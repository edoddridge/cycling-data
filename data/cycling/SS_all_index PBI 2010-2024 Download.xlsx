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lp.sharepoint.com/sites/General/Shared Documents/Current projects/0376 Bicycle Network Super Count Dashboards/7. Excel Extracts/2025 Full Downloads/"/>
    </mc:Choice>
  </mc:AlternateContent>
  <xr:revisionPtr revIDLastSave="3" documentId="8_{0584F014-394C-4986-A80D-534B185FC060}" xr6:coauthVersionLast="47" xr6:coauthVersionMax="47" xr10:uidLastSave="{3C2A9BA5-EF4D-4E0B-8C41-6E4B72EF7C1A}"/>
  <bookViews>
    <workbookView xWindow="-120" yWindow="-120" windowWidth="29040" windowHeight="15720" xr2:uid="{CDB396D3-EE7B-4A36-9FDE-0E56680CEF14}"/>
  </bookViews>
  <sheets>
    <sheet name="Super Sunday Recreation 2010-25" sheetId="1" r:id="rId1"/>
  </sheets>
  <definedNames>
    <definedName name="_xlnm._FilterDatabase" localSheetId="0" hidden="1">'Super Sunday Recreation 2010-25'!$A$2:$CJ$2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3006" i="1" l="1"/>
  <c r="CJ3006" i="1" s="1"/>
  <c r="CJ3005" i="1"/>
  <c r="CI3005" i="1"/>
  <c r="CI3004" i="1"/>
  <c r="CJ3004" i="1" s="1"/>
  <c r="CJ3003" i="1"/>
  <c r="CI3003" i="1"/>
  <c r="CI3002" i="1"/>
  <c r="CJ3002" i="1" s="1"/>
  <c r="CJ3001" i="1"/>
  <c r="CI3001" i="1"/>
  <c r="CJ3000" i="1"/>
  <c r="CI3000" i="1"/>
  <c r="CJ2999" i="1"/>
  <c r="CI2999" i="1"/>
  <c r="CJ2998" i="1"/>
  <c r="CI2998" i="1"/>
  <c r="CJ2997" i="1"/>
  <c r="CI2997" i="1"/>
  <c r="CJ2996" i="1"/>
  <c r="CI2996" i="1"/>
  <c r="CJ2995" i="1"/>
  <c r="CI2995" i="1"/>
  <c r="CJ2994" i="1"/>
  <c r="CI2994" i="1"/>
  <c r="CJ2993" i="1"/>
  <c r="CI2993" i="1"/>
  <c r="CJ2992" i="1"/>
  <c r="CI2992" i="1"/>
  <c r="CJ2991" i="1"/>
  <c r="CI2991" i="1"/>
  <c r="CJ2990" i="1"/>
  <c r="CI2990" i="1"/>
  <c r="CJ2989" i="1"/>
  <c r="CI2989" i="1"/>
  <c r="CJ2988" i="1"/>
  <c r="CI2988" i="1"/>
  <c r="CJ2987" i="1"/>
  <c r="CI2987" i="1"/>
  <c r="CJ2986" i="1"/>
  <c r="CI2986" i="1"/>
  <c r="CJ2985" i="1"/>
  <c r="CI2985" i="1"/>
  <c r="CJ2984" i="1"/>
  <c r="CI2984" i="1"/>
  <c r="CJ2983" i="1"/>
  <c r="CI2983" i="1"/>
  <c r="CJ2982" i="1"/>
  <c r="CI2982" i="1"/>
  <c r="CJ2981" i="1"/>
  <c r="CI2981" i="1"/>
  <c r="CJ2980" i="1"/>
  <c r="CI2980" i="1"/>
  <c r="CJ2979" i="1"/>
  <c r="CI2979" i="1"/>
  <c r="CJ2978" i="1"/>
  <c r="CI2978" i="1"/>
  <c r="CJ2977" i="1"/>
  <c r="CI2977" i="1"/>
  <c r="CJ2976" i="1"/>
  <c r="CI2976" i="1"/>
  <c r="CJ2975" i="1"/>
  <c r="CI2975" i="1"/>
  <c r="CJ2974" i="1"/>
  <c r="CI2974" i="1"/>
  <c r="CJ2973" i="1"/>
  <c r="CI2973" i="1"/>
  <c r="CJ2972" i="1"/>
  <c r="CI2972" i="1"/>
  <c r="CJ2971" i="1"/>
  <c r="CI2971" i="1"/>
  <c r="CJ2970" i="1"/>
  <c r="CI2970" i="1"/>
  <c r="CJ2969" i="1"/>
  <c r="CI2969" i="1"/>
  <c r="CJ2968" i="1"/>
  <c r="CI2968" i="1"/>
  <c r="CJ2967" i="1"/>
  <c r="CI2967" i="1"/>
  <c r="CJ2966" i="1"/>
  <c r="CI2966" i="1"/>
  <c r="CJ2965" i="1"/>
  <c r="CI2965" i="1"/>
  <c r="CJ2964" i="1"/>
  <c r="CI2964" i="1"/>
  <c r="CJ2963" i="1"/>
  <c r="CI2963" i="1"/>
  <c r="CJ2962" i="1"/>
  <c r="CI2962" i="1"/>
  <c r="CJ2961" i="1"/>
  <c r="CI2961" i="1"/>
  <c r="CJ2960" i="1"/>
  <c r="CI2960" i="1"/>
  <c r="CJ2959" i="1"/>
  <c r="CI2959" i="1"/>
  <c r="CJ2958" i="1"/>
  <c r="CI2958" i="1"/>
  <c r="CJ2957" i="1"/>
  <c r="CI2957" i="1"/>
  <c r="CJ2956" i="1"/>
  <c r="CI2956" i="1"/>
  <c r="CJ2955" i="1"/>
  <c r="CI2955" i="1"/>
  <c r="CJ2954" i="1"/>
  <c r="CI2954" i="1"/>
  <c r="CJ2953" i="1"/>
  <c r="CI2953" i="1"/>
  <c r="CJ2952" i="1"/>
  <c r="CI2952" i="1"/>
  <c r="CJ2951" i="1"/>
  <c r="CI2951" i="1"/>
  <c r="CJ2950" i="1"/>
  <c r="CI2950" i="1"/>
  <c r="CJ2949" i="1"/>
  <c r="CI2949" i="1"/>
  <c r="CJ2948" i="1"/>
  <c r="CI2948" i="1"/>
  <c r="CJ2947" i="1"/>
  <c r="CI2947" i="1"/>
  <c r="CJ2946" i="1"/>
  <c r="CI2946" i="1"/>
  <c r="CJ2945" i="1"/>
  <c r="CI2945" i="1"/>
  <c r="CJ2944" i="1"/>
  <c r="CI2944" i="1"/>
  <c r="CJ2943" i="1"/>
  <c r="CI2943" i="1"/>
  <c r="CJ2942" i="1"/>
  <c r="CI2942" i="1"/>
  <c r="CJ2941" i="1"/>
  <c r="CI2941" i="1"/>
  <c r="CJ2940" i="1"/>
  <c r="CI2940" i="1"/>
  <c r="CJ2939" i="1"/>
  <c r="CI2939" i="1"/>
  <c r="CJ2938" i="1"/>
  <c r="CI2938" i="1"/>
  <c r="CJ2937" i="1"/>
  <c r="CI2937" i="1"/>
  <c r="CJ2936" i="1"/>
  <c r="CI2936" i="1"/>
  <c r="CJ2935" i="1"/>
  <c r="CI2935" i="1"/>
  <c r="CJ2934" i="1"/>
  <c r="CI2934" i="1"/>
  <c r="CJ2933" i="1"/>
  <c r="CI2933" i="1"/>
  <c r="CJ2932" i="1"/>
  <c r="CI2932" i="1"/>
  <c r="CJ2931" i="1"/>
  <c r="CI2931" i="1"/>
  <c r="CJ2930" i="1"/>
  <c r="CI2930" i="1"/>
  <c r="CJ2929" i="1"/>
  <c r="CI2929" i="1"/>
  <c r="CJ2928" i="1"/>
  <c r="CI2928" i="1"/>
  <c r="CJ2927" i="1"/>
  <c r="CI2927" i="1"/>
  <c r="CJ2926" i="1"/>
  <c r="CI2926" i="1"/>
  <c r="CJ2925" i="1"/>
  <c r="CI2925" i="1"/>
  <c r="CJ2924" i="1"/>
  <c r="CI2924" i="1"/>
  <c r="CJ2923" i="1"/>
  <c r="CI2923" i="1"/>
  <c r="CJ2922" i="1"/>
  <c r="CI2922" i="1"/>
  <c r="CJ2921" i="1"/>
  <c r="CI2921" i="1"/>
  <c r="CJ2920" i="1"/>
  <c r="CI2920" i="1"/>
  <c r="CJ2919" i="1"/>
  <c r="CI2919" i="1"/>
  <c r="CJ2918" i="1"/>
  <c r="CI2918" i="1"/>
  <c r="CJ2917" i="1"/>
  <c r="CI2917" i="1"/>
  <c r="CJ2916" i="1"/>
  <c r="CI2916" i="1"/>
  <c r="CJ2915" i="1"/>
  <c r="CI2915" i="1"/>
  <c r="CJ2914" i="1"/>
  <c r="CI2914" i="1"/>
  <c r="CJ2913" i="1"/>
  <c r="CI2913" i="1"/>
  <c r="CJ2912" i="1"/>
  <c r="CI2912" i="1"/>
  <c r="CJ2911" i="1"/>
  <c r="CI2911" i="1"/>
  <c r="CJ2910" i="1"/>
  <c r="CI2910" i="1"/>
  <c r="CJ2909" i="1"/>
  <c r="CI2909" i="1"/>
  <c r="CJ2908" i="1"/>
  <c r="CI2908" i="1"/>
  <c r="CJ2907" i="1"/>
  <c r="CI2907" i="1"/>
  <c r="CJ2906" i="1"/>
  <c r="CI2906" i="1"/>
  <c r="CJ2905" i="1"/>
  <c r="CI2905" i="1"/>
  <c r="CJ2904" i="1"/>
  <c r="CI2904" i="1"/>
  <c r="CJ2903" i="1"/>
  <c r="CI2903" i="1"/>
  <c r="CJ2902" i="1"/>
  <c r="CI2902" i="1"/>
  <c r="CJ2901" i="1"/>
  <c r="CI2901" i="1"/>
  <c r="CJ2900" i="1"/>
  <c r="CI2900" i="1"/>
  <c r="CJ2899" i="1"/>
  <c r="CI2899" i="1"/>
  <c r="CJ2898" i="1"/>
  <c r="CI2898" i="1"/>
  <c r="CJ2897" i="1"/>
  <c r="CI2897" i="1"/>
  <c r="CJ2896" i="1"/>
  <c r="CI2896" i="1"/>
  <c r="CJ2895" i="1"/>
  <c r="CI2895" i="1"/>
  <c r="CJ2894" i="1"/>
  <c r="CI2894" i="1"/>
  <c r="CJ2893" i="1"/>
  <c r="CI2893" i="1"/>
  <c r="CJ2892" i="1"/>
  <c r="CI2892" i="1"/>
  <c r="CJ2891" i="1"/>
  <c r="CI2891" i="1"/>
  <c r="CJ2890" i="1"/>
  <c r="CI2890" i="1"/>
  <c r="CJ2889" i="1"/>
  <c r="CI2889" i="1"/>
  <c r="CJ2888" i="1"/>
  <c r="CI2888" i="1"/>
  <c r="CJ2887" i="1"/>
  <c r="CI2887" i="1"/>
  <c r="CJ2886" i="1"/>
  <c r="CI2886" i="1"/>
  <c r="CJ2885" i="1"/>
  <c r="CI2885" i="1"/>
  <c r="CJ2884" i="1"/>
  <c r="CI2884" i="1"/>
  <c r="CJ2883" i="1"/>
  <c r="CI2883" i="1"/>
  <c r="CJ2882" i="1"/>
  <c r="CI2882" i="1"/>
  <c r="CJ2881" i="1"/>
  <c r="CI2881" i="1"/>
  <c r="CJ2880" i="1"/>
  <c r="CI2880" i="1"/>
  <c r="CJ2879" i="1"/>
  <c r="CI2879" i="1"/>
  <c r="CJ2878" i="1"/>
  <c r="CI2878" i="1"/>
  <c r="CJ2877" i="1"/>
  <c r="CI2877" i="1"/>
  <c r="CJ2876" i="1"/>
  <c r="CI2876" i="1"/>
  <c r="CJ2875" i="1"/>
  <c r="CI2875" i="1"/>
  <c r="CJ2874" i="1"/>
  <c r="CI2874" i="1"/>
  <c r="CJ2873" i="1"/>
  <c r="CI2873" i="1"/>
  <c r="CJ2872" i="1"/>
  <c r="CI2872" i="1"/>
  <c r="CJ2871" i="1"/>
  <c r="CI2871" i="1"/>
  <c r="CJ2870" i="1"/>
  <c r="CI2870" i="1"/>
  <c r="CJ2869" i="1"/>
  <c r="CI2869" i="1"/>
  <c r="CJ2868" i="1"/>
  <c r="CI2868" i="1"/>
  <c r="CJ2867" i="1"/>
  <c r="CI2867" i="1"/>
  <c r="CJ2866" i="1"/>
  <c r="CI2866" i="1"/>
  <c r="CJ2865" i="1"/>
  <c r="CI2865" i="1"/>
  <c r="CJ2864" i="1"/>
  <c r="CI2864" i="1"/>
  <c r="CJ2863" i="1"/>
  <c r="CI2863" i="1"/>
  <c r="CJ2862" i="1"/>
  <c r="CI2862" i="1"/>
  <c r="CJ2861" i="1"/>
  <c r="CI2861" i="1"/>
  <c r="CJ2860" i="1"/>
  <c r="CI2860" i="1"/>
  <c r="CJ2859" i="1"/>
  <c r="CI2859" i="1"/>
  <c r="CJ2858" i="1"/>
  <c r="CI2858" i="1"/>
  <c r="CJ2857" i="1"/>
  <c r="CI2857" i="1"/>
  <c r="CJ2856" i="1"/>
  <c r="CI2856" i="1"/>
  <c r="CJ2855" i="1"/>
  <c r="CI2855" i="1"/>
  <c r="CJ2854" i="1"/>
  <c r="CI2854" i="1"/>
  <c r="CJ2853" i="1"/>
  <c r="CI2853" i="1"/>
  <c r="CJ2852" i="1"/>
  <c r="CI2852" i="1"/>
  <c r="CJ2851" i="1"/>
  <c r="CI2851" i="1"/>
  <c r="CJ2850" i="1"/>
  <c r="CI2850" i="1"/>
  <c r="CJ2849" i="1"/>
  <c r="CI2849" i="1"/>
  <c r="CJ2848" i="1"/>
  <c r="CI2848" i="1"/>
  <c r="CJ2847" i="1"/>
  <c r="CI2847" i="1"/>
  <c r="CJ2846" i="1"/>
  <c r="CI2846" i="1"/>
  <c r="CJ2845" i="1"/>
  <c r="CI2845" i="1"/>
  <c r="CJ2844" i="1"/>
  <c r="CI2844" i="1"/>
  <c r="CJ2843" i="1"/>
  <c r="CI2843" i="1"/>
  <c r="CJ2842" i="1"/>
  <c r="CI2842" i="1"/>
  <c r="CJ2841" i="1"/>
  <c r="CI2841" i="1"/>
  <c r="CJ2840" i="1"/>
  <c r="CI2840" i="1"/>
  <c r="CJ2839" i="1"/>
  <c r="CI2839" i="1"/>
  <c r="CJ2838" i="1"/>
  <c r="CI2838" i="1"/>
  <c r="CJ2837" i="1"/>
  <c r="CI2837" i="1"/>
  <c r="CJ2836" i="1"/>
  <c r="CI2836" i="1"/>
  <c r="CJ2835" i="1"/>
  <c r="CI2835" i="1"/>
  <c r="CJ2834" i="1"/>
  <c r="CI2834" i="1"/>
  <c r="CJ2833" i="1"/>
  <c r="CI2833" i="1"/>
  <c r="CJ2832" i="1"/>
  <c r="CI2832" i="1"/>
  <c r="CJ2831" i="1"/>
  <c r="CI2831" i="1"/>
  <c r="CJ2830" i="1"/>
  <c r="CI2830" i="1"/>
  <c r="CJ2829" i="1"/>
  <c r="CI2829" i="1"/>
  <c r="CJ2828" i="1"/>
  <c r="CI2828" i="1"/>
  <c r="CJ2827" i="1"/>
  <c r="CI2827" i="1"/>
  <c r="CJ2826" i="1"/>
  <c r="CI2826" i="1"/>
  <c r="CJ2825" i="1"/>
  <c r="CI2825" i="1"/>
  <c r="CJ2824" i="1"/>
  <c r="CI2824" i="1"/>
  <c r="CJ2823" i="1"/>
  <c r="CI2823" i="1"/>
  <c r="CJ2822" i="1"/>
  <c r="CI2822" i="1"/>
  <c r="CJ2821" i="1"/>
  <c r="CI2821" i="1"/>
  <c r="CJ2820" i="1"/>
  <c r="CI2820" i="1"/>
  <c r="CJ2819" i="1"/>
  <c r="CI2819" i="1"/>
  <c r="CJ2818" i="1"/>
  <c r="CI2818" i="1"/>
  <c r="CJ2817" i="1"/>
  <c r="CI2817" i="1"/>
  <c r="CJ2816" i="1"/>
  <c r="CI2816" i="1"/>
  <c r="CJ2815" i="1"/>
  <c r="CI2815" i="1"/>
  <c r="CJ2814" i="1"/>
  <c r="CI2814" i="1"/>
  <c r="CJ2813" i="1"/>
  <c r="CI2813" i="1"/>
  <c r="CJ2812" i="1"/>
  <c r="CI2812" i="1"/>
  <c r="CJ2811" i="1"/>
  <c r="CI2811" i="1"/>
  <c r="CJ2810" i="1"/>
  <c r="CI2810" i="1"/>
  <c r="CJ2809" i="1"/>
  <c r="CI2809" i="1"/>
  <c r="CJ2808" i="1"/>
  <c r="CI2808" i="1"/>
  <c r="CJ2807" i="1"/>
  <c r="CI2807" i="1"/>
  <c r="CJ2806" i="1"/>
  <c r="CI2806" i="1"/>
  <c r="CJ2805" i="1"/>
  <c r="CI2805" i="1"/>
  <c r="CJ2804" i="1"/>
  <c r="CI2804" i="1"/>
  <c r="CJ2803" i="1"/>
  <c r="CI2803" i="1"/>
  <c r="CJ2802" i="1"/>
  <c r="CI2802" i="1"/>
  <c r="CJ2801" i="1"/>
  <c r="CI2801" i="1"/>
  <c r="CJ2800" i="1"/>
  <c r="CI2800" i="1"/>
  <c r="CJ2799" i="1"/>
  <c r="CI2799" i="1"/>
  <c r="CJ2798" i="1"/>
  <c r="CI2798" i="1"/>
  <c r="CJ2797" i="1"/>
  <c r="CI2797" i="1"/>
  <c r="CJ2796" i="1"/>
  <c r="CI2796" i="1"/>
  <c r="CJ2795" i="1"/>
  <c r="CI2795" i="1"/>
  <c r="CJ2794" i="1"/>
  <c r="CI2794" i="1"/>
  <c r="CJ2793" i="1"/>
  <c r="CI2793" i="1"/>
  <c r="CJ2792" i="1"/>
  <c r="CI2792" i="1"/>
  <c r="CJ2791" i="1"/>
  <c r="CI2791" i="1"/>
  <c r="CJ2790" i="1"/>
  <c r="CI2790" i="1"/>
  <c r="CJ2789" i="1"/>
  <c r="CI2789" i="1"/>
  <c r="CJ2788" i="1"/>
  <c r="CI2788" i="1"/>
  <c r="CJ2787" i="1"/>
  <c r="CI2787" i="1"/>
  <c r="CJ2786" i="1"/>
  <c r="CI2786" i="1"/>
  <c r="CJ2785" i="1"/>
  <c r="CI2785" i="1"/>
  <c r="CJ2784" i="1"/>
  <c r="CI2784" i="1"/>
  <c r="CJ2783" i="1"/>
  <c r="CI2783" i="1"/>
  <c r="CJ2782" i="1"/>
  <c r="CI2782" i="1"/>
  <c r="CJ2781" i="1"/>
  <c r="CI2781" i="1"/>
  <c r="CJ2780" i="1"/>
  <c r="CI2780" i="1"/>
  <c r="CJ2779" i="1"/>
  <c r="CI2779" i="1"/>
  <c r="CJ2778" i="1"/>
  <c r="CI2778" i="1"/>
  <c r="CJ2777" i="1"/>
  <c r="CI2777" i="1"/>
  <c r="CJ2776" i="1"/>
  <c r="CI2776" i="1"/>
  <c r="CJ2775" i="1"/>
  <c r="CI2775" i="1"/>
  <c r="CJ2774" i="1"/>
  <c r="CI2774" i="1"/>
  <c r="CJ2773" i="1"/>
  <c r="CI2773" i="1"/>
  <c r="CJ2772" i="1"/>
  <c r="CI2772" i="1"/>
  <c r="CJ2771" i="1"/>
  <c r="CI2771" i="1"/>
  <c r="CJ2770" i="1"/>
  <c r="CI2770" i="1"/>
  <c r="CJ2769" i="1"/>
  <c r="CI2769" i="1"/>
  <c r="CJ2768" i="1"/>
  <c r="CI2768" i="1"/>
  <c r="CJ2767" i="1"/>
  <c r="CI2767" i="1"/>
  <c r="CJ2766" i="1"/>
  <c r="CI2766" i="1"/>
  <c r="CJ2765" i="1"/>
  <c r="CI2765" i="1"/>
  <c r="CJ2764" i="1"/>
  <c r="CI2764" i="1"/>
  <c r="CJ2763" i="1"/>
  <c r="CI2763" i="1"/>
  <c r="CJ2762" i="1"/>
  <c r="CI2762" i="1"/>
  <c r="CJ2761" i="1"/>
  <c r="CI2761" i="1"/>
  <c r="CJ2760" i="1"/>
  <c r="CI2760" i="1"/>
  <c r="CJ2759" i="1"/>
  <c r="CI2759" i="1"/>
  <c r="CJ2758" i="1"/>
  <c r="CI2758" i="1"/>
  <c r="CJ2757" i="1"/>
  <c r="CI2757" i="1"/>
  <c r="CJ2756" i="1"/>
  <c r="CI2756" i="1"/>
  <c r="CJ2755" i="1"/>
  <c r="CI2755" i="1"/>
  <c r="CJ2754" i="1"/>
  <c r="CI2754" i="1"/>
  <c r="CJ2753" i="1"/>
  <c r="CI2753" i="1"/>
  <c r="CJ2752" i="1"/>
  <c r="CI2752" i="1"/>
  <c r="CJ2751" i="1"/>
  <c r="CI2751" i="1"/>
  <c r="CJ2750" i="1"/>
  <c r="CI2750" i="1"/>
  <c r="CJ2749" i="1"/>
  <c r="CI2749" i="1"/>
  <c r="CJ2748" i="1"/>
  <c r="CI2748" i="1"/>
  <c r="CJ2747" i="1"/>
  <c r="CI2747" i="1"/>
  <c r="CJ2746" i="1"/>
  <c r="CI2746" i="1"/>
  <c r="CJ2745" i="1"/>
  <c r="CI2745" i="1"/>
  <c r="CJ2744" i="1"/>
  <c r="CI2744" i="1"/>
  <c r="CJ2743" i="1"/>
  <c r="CI2743" i="1"/>
  <c r="CJ2742" i="1"/>
  <c r="CI2742" i="1"/>
  <c r="CJ2741" i="1"/>
  <c r="CI2741" i="1"/>
  <c r="CJ2740" i="1"/>
  <c r="CI2740" i="1"/>
  <c r="CJ2739" i="1"/>
  <c r="CI2739" i="1"/>
  <c r="CJ2738" i="1"/>
  <c r="CI2738" i="1"/>
  <c r="CJ2737" i="1"/>
  <c r="CI2737" i="1"/>
  <c r="CJ2736" i="1"/>
  <c r="CI2736" i="1"/>
  <c r="CJ2735" i="1"/>
  <c r="CI2735" i="1"/>
  <c r="CJ2734" i="1"/>
  <c r="CI2734" i="1"/>
  <c r="CJ2733" i="1"/>
  <c r="CI2733" i="1"/>
  <c r="CJ2732" i="1"/>
  <c r="CI2732" i="1"/>
  <c r="CJ2731" i="1"/>
  <c r="CI2731" i="1"/>
  <c r="CJ2730" i="1"/>
  <c r="CI2730" i="1"/>
  <c r="CJ2729" i="1"/>
  <c r="CI2729" i="1"/>
  <c r="CJ2728" i="1"/>
  <c r="CI2728" i="1"/>
  <c r="CJ2727" i="1"/>
  <c r="CI2727" i="1"/>
  <c r="CJ2726" i="1"/>
  <c r="CI2726" i="1"/>
  <c r="CJ2725" i="1"/>
  <c r="CI2725" i="1"/>
  <c r="CJ2724" i="1"/>
  <c r="CI2724" i="1"/>
  <c r="CJ2723" i="1"/>
  <c r="CI2723" i="1"/>
  <c r="CJ2722" i="1"/>
  <c r="CI2722" i="1"/>
  <c r="CJ2721" i="1"/>
  <c r="CI2721" i="1"/>
  <c r="CJ2720" i="1"/>
  <c r="CI2720" i="1"/>
  <c r="CJ2719" i="1"/>
  <c r="CI2719" i="1"/>
  <c r="CJ2718" i="1"/>
  <c r="CI2718" i="1"/>
  <c r="CJ2717" i="1"/>
  <c r="CI2717" i="1"/>
  <c r="CJ2716" i="1"/>
  <c r="CI2716" i="1"/>
  <c r="CJ2715" i="1"/>
  <c r="CI2715" i="1"/>
  <c r="CJ2714" i="1"/>
  <c r="CI2714" i="1"/>
  <c r="CJ2713" i="1"/>
  <c r="CI2713" i="1"/>
  <c r="CJ2712" i="1"/>
  <c r="CI2712" i="1"/>
  <c r="CJ2711" i="1"/>
  <c r="CI2711" i="1"/>
  <c r="CJ2710" i="1"/>
  <c r="CI2710" i="1"/>
  <c r="CJ2709" i="1"/>
  <c r="CI2709" i="1"/>
  <c r="CJ2708" i="1"/>
  <c r="CI2708" i="1"/>
  <c r="CJ2707" i="1"/>
  <c r="CI2707" i="1"/>
  <c r="CJ2706" i="1"/>
  <c r="CI2706" i="1"/>
  <c r="CJ2705" i="1"/>
  <c r="CI2705" i="1"/>
  <c r="CJ2704" i="1"/>
  <c r="CI2704" i="1"/>
  <c r="CJ2703" i="1"/>
  <c r="CI2703" i="1"/>
  <c r="CJ2702" i="1"/>
  <c r="CI2702" i="1"/>
  <c r="CJ2701" i="1"/>
  <c r="CI2701" i="1"/>
  <c r="CJ2700" i="1"/>
  <c r="CI2700" i="1"/>
  <c r="CJ2699" i="1"/>
  <c r="CI2699" i="1"/>
  <c r="CJ2698" i="1"/>
  <c r="CI2698" i="1"/>
  <c r="CJ2697" i="1"/>
  <c r="CI2697" i="1"/>
  <c r="CJ2696" i="1"/>
  <c r="CI2696" i="1"/>
  <c r="CJ2695" i="1"/>
  <c r="CI2695" i="1"/>
  <c r="CJ2694" i="1"/>
  <c r="CI2694" i="1"/>
  <c r="CJ2693" i="1"/>
  <c r="CI2693" i="1"/>
  <c r="CJ2692" i="1"/>
  <c r="CI2692" i="1"/>
  <c r="CJ2691" i="1"/>
  <c r="CI2691" i="1"/>
  <c r="CJ2690" i="1"/>
  <c r="CI2690" i="1"/>
  <c r="CJ2689" i="1"/>
  <c r="CI2689" i="1"/>
  <c r="CJ2688" i="1"/>
  <c r="CI2688" i="1"/>
  <c r="CJ2687" i="1"/>
  <c r="CI2687" i="1"/>
  <c r="CJ2686" i="1"/>
  <c r="CI2686" i="1"/>
  <c r="CJ2685" i="1"/>
  <c r="CI2685" i="1"/>
  <c r="CJ2684" i="1"/>
  <c r="CI2684" i="1"/>
  <c r="CJ2683" i="1"/>
  <c r="CI2683" i="1"/>
  <c r="CJ2682" i="1"/>
  <c r="CI2682" i="1"/>
  <c r="CJ2681" i="1"/>
  <c r="CI2681" i="1"/>
  <c r="CJ2680" i="1"/>
  <c r="CI2680" i="1"/>
  <c r="CJ2679" i="1"/>
  <c r="CI2679" i="1"/>
  <c r="CJ2678" i="1"/>
  <c r="CI2678" i="1"/>
  <c r="CJ2677" i="1"/>
  <c r="CI2677" i="1"/>
  <c r="CJ2676" i="1"/>
  <c r="CI2676" i="1"/>
  <c r="CJ2675" i="1"/>
  <c r="CI2675" i="1"/>
  <c r="CJ2674" i="1"/>
  <c r="CI2674" i="1"/>
  <c r="CJ2673" i="1"/>
  <c r="CI2673" i="1"/>
  <c r="CJ2672" i="1"/>
  <c r="CI2672" i="1"/>
  <c r="CJ2671" i="1"/>
  <c r="CI2671" i="1"/>
  <c r="CJ2670" i="1"/>
  <c r="CI2670" i="1"/>
  <c r="CJ2669" i="1"/>
  <c r="CI2669" i="1"/>
  <c r="CJ2668" i="1"/>
  <c r="CI2668" i="1"/>
  <c r="CJ2667" i="1"/>
  <c r="CI2667" i="1"/>
  <c r="CJ2666" i="1"/>
  <c r="CI2666" i="1"/>
  <c r="CJ2665" i="1"/>
  <c r="CI2665" i="1"/>
  <c r="CJ2664" i="1"/>
  <c r="CI2664" i="1"/>
  <c r="CJ2663" i="1"/>
  <c r="CI2663" i="1"/>
  <c r="CJ2662" i="1"/>
  <c r="CI2662" i="1"/>
  <c r="CJ2661" i="1"/>
  <c r="CI2661" i="1"/>
  <c r="CJ2660" i="1"/>
  <c r="CI2660" i="1"/>
  <c r="CJ2659" i="1"/>
  <c r="CI2659" i="1"/>
  <c r="CJ2658" i="1"/>
  <c r="CI2658" i="1"/>
  <c r="CJ2657" i="1"/>
  <c r="CI2657" i="1"/>
  <c r="CJ2656" i="1"/>
  <c r="CI2656" i="1"/>
  <c r="CJ2655" i="1"/>
  <c r="CI2655" i="1"/>
  <c r="CJ2654" i="1"/>
  <c r="CI2654" i="1"/>
  <c r="CJ2653" i="1"/>
  <c r="CI2653" i="1"/>
  <c r="CJ2652" i="1"/>
  <c r="CI2652" i="1"/>
  <c r="CJ2651" i="1"/>
  <c r="CI2651" i="1"/>
  <c r="CJ2650" i="1"/>
  <c r="CI2650" i="1"/>
  <c r="CJ2649" i="1"/>
  <c r="CI2649" i="1"/>
  <c r="CJ2648" i="1"/>
  <c r="CI2648" i="1"/>
  <c r="CJ2647" i="1"/>
  <c r="CI2647" i="1"/>
  <c r="CJ2646" i="1"/>
  <c r="CI2646" i="1"/>
  <c r="CJ2645" i="1"/>
  <c r="CI2645" i="1"/>
  <c r="CJ2644" i="1"/>
  <c r="CI2644" i="1"/>
  <c r="CJ2643" i="1"/>
  <c r="CI2643" i="1"/>
  <c r="CJ2642" i="1"/>
  <c r="CI2642" i="1"/>
  <c r="CJ2641" i="1"/>
  <c r="CI2641" i="1"/>
  <c r="CJ2640" i="1"/>
  <c r="CI2640" i="1"/>
  <c r="CJ2639" i="1"/>
  <c r="CI2639" i="1"/>
  <c r="CJ2638" i="1"/>
  <c r="CI2638" i="1"/>
  <c r="CJ2637" i="1"/>
  <c r="CI2637" i="1"/>
  <c r="CJ2636" i="1"/>
  <c r="CI2636" i="1"/>
  <c r="CJ2635" i="1"/>
  <c r="CI2635" i="1"/>
  <c r="CJ2634" i="1"/>
  <c r="CI2634" i="1"/>
  <c r="CJ2633" i="1"/>
  <c r="CI2633" i="1"/>
  <c r="CJ2632" i="1"/>
  <c r="CI2632" i="1"/>
  <c r="CJ2631" i="1"/>
  <c r="CI2631" i="1"/>
  <c r="CJ2630" i="1"/>
  <c r="CI2630" i="1"/>
  <c r="CJ2629" i="1"/>
  <c r="CI2629" i="1"/>
  <c r="CJ2628" i="1"/>
  <c r="CI2628" i="1"/>
  <c r="CJ2627" i="1"/>
  <c r="CI2627" i="1"/>
  <c r="CJ2626" i="1"/>
  <c r="CI2626" i="1"/>
  <c r="CJ2625" i="1"/>
  <c r="CI2625" i="1"/>
  <c r="CJ2624" i="1"/>
  <c r="CI2624" i="1"/>
  <c r="CJ2623" i="1"/>
  <c r="CI2623" i="1"/>
  <c r="CJ2622" i="1"/>
  <c r="CI2622" i="1"/>
  <c r="CJ2621" i="1"/>
  <c r="CI2621" i="1"/>
  <c r="CJ2620" i="1"/>
  <c r="CI2620" i="1"/>
  <c r="CJ2619" i="1"/>
  <c r="CI2619" i="1"/>
  <c r="CJ2618" i="1"/>
  <c r="CI2618" i="1"/>
  <c r="CJ2617" i="1"/>
  <c r="CI2617" i="1"/>
  <c r="CJ2616" i="1"/>
  <c r="CI2616" i="1"/>
  <c r="CJ2615" i="1"/>
  <c r="CI2615" i="1"/>
  <c r="CJ2614" i="1"/>
  <c r="CI2614" i="1"/>
  <c r="CJ2613" i="1"/>
  <c r="CI2613" i="1"/>
  <c r="CJ2612" i="1"/>
  <c r="CI2612" i="1"/>
  <c r="CJ2611" i="1"/>
  <c r="CI2611" i="1"/>
  <c r="CJ2610" i="1"/>
  <c r="CI2610" i="1"/>
  <c r="CJ2609" i="1"/>
  <c r="CI2609" i="1"/>
  <c r="CJ2608" i="1"/>
  <c r="CI2608" i="1"/>
  <c r="CJ2607" i="1"/>
  <c r="CI2607" i="1"/>
  <c r="CJ2606" i="1"/>
  <c r="CI2606" i="1"/>
  <c r="CJ2605" i="1"/>
  <c r="CI2605" i="1"/>
  <c r="CJ2604" i="1"/>
  <c r="CI2604" i="1"/>
  <c r="CJ2603" i="1"/>
  <c r="CI2603" i="1"/>
  <c r="CJ2602" i="1"/>
  <c r="CI2602" i="1"/>
  <c r="CJ2601" i="1"/>
  <c r="CI2601" i="1"/>
  <c r="CJ2600" i="1"/>
  <c r="CI2600" i="1"/>
  <c r="CJ2599" i="1"/>
  <c r="CI2599" i="1"/>
  <c r="CJ2598" i="1"/>
  <c r="CI2598" i="1"/>
  <c r="CJ2597" i="1"/>
  <c r="CI2597" i="1"/>
  <c r="CJ2596" i="1"/>
  <c r="CI2596" i="1"/>
  <c r="CJ2595" i="1"/>
  <c r="CI2595" i="1"/>
  <c r="CJ2594" i="1"/>
  <c r="CI2594" i="1"/>
  <c r="CJ2593" i="1"/>
  <c r="CI2593" i="1"/>
  <c r="CJ2592" i="1"/>
  <c r="CI2592" i="1"/>
  <c r="CJ2591" i="1"/>
  <c r="CI2591" i="1"/>
  <c r="CJ2590" i="1"/>
  <c r="CI2590" i="1"/>
  <c r="CJ2589" i="1"/>
  <c r="CI2589" i="1"/>
  <c r="CJ2588" i="1"/>
  <c r="CI2588" i="1"/>
  <c r="CJ2587" i="1"/>
  <c r="CI2587" i="1"/>
  <c r="CJ2586" i="1"/>
  <c r="CI2586" i="1"/>
  <c r="CJ2585" i="1"/>
  <c r="CI2585" i="1"/>
  <c r="CJ2584" i="1"/>
  <c r="CI2584" i="1"/>
  <c r="CJ2583" i="1"/>
  <c r="CI2583" i="1"/>
  <c r="CJ2582" i="1"/>
  <c r="CI2582" i="1"/>
  <c r="CJ2581" i="1"/>
  <c r="CI2581" i="1"/>
  <c r="CJ2580" i="1"/>
  <c r="CI2580" i="1"/>
  <c r="CJ2579" i="1"/>
  <c r="CI2579" i="1"/>
  <c r="CJ2578" i="1"/>
  <c r="CI2578" i="1"/>
  <c r="CJ2577" i="1"/>
  <c r="CI2577" i="1"/>
  <c r="CJ2576" i="1"/>
  <c r="CI2576" i="1"/>
  <c r="CJ2575" i="1"/>
  <c r="CI2575" i="1"/>
  <c r="CJ2574" i="1"/>
  <c r="CI2574" i="1"/>
  <c r="CJ2573" i="1"/>
  <c r="CI2573" i="1"/>
  <c r="CJ2572" i="1"/>
  <c r="CI2572" i="1"/>
  <c r="CJ2571" i="1"/>
  <c r="CI2571" i="1"/>
  <c r="CJ2570" i="1"/>
  <c r="CI2570" i="1"/>
  <c r="CJ2569" i="1"/>
  <c r="CI2569" i="1"/>
  <c r="CJ2568" i="1"/>
  <c r="CI2568" i="1"/>
  <c r="CJ2567" i="1"/>
  <c r="CI2567" i="1"/>
  <c r="CJ2566" i="1"/>
  <c r="CI2566" i="1"/>
  <c r="CJ2565" i="1"/>
  <c r="CI2565" i="1"/>
  <c r="CJ2564" i="1"/>
  <c r="CI2564" i="1"/>
  <c r="CJ2563" i="1"/>
  <c r="CI2563" i="1"/>
  <c r="CJ2562" i="1"/>
  <c r="CI2562" i="1"/>
  <c r="CJ2561" i="1"/>
  <c r="CI2561" i="1"/>
  <c r="CJ2560" i="1"/>
  <c r="CI2560" i="1"/>
  <c r="CJ2559" i="1"/>
  <c r="CI2559" i="1"/>
  <c r="CJ2558" i="1"/>
  <c r="CI2558" i="1"/>
  <c r="CJ2557" i="1"/>
  <c r="CI2557" i="1"/>
  <c r="CJ2556" i="1"/>
  <c r="CI2556" i="1"/>
  <c r="CJ2555" i="1"/>
  <c r="CI2555" i="1"/>
  <c r="CJ2554" i="1"/>
  <c r="CI2554" i="1"/>
  <c r="CJ2553" i="1"/>
  <c r="CI2553" i="1"/>
  <c r="CJ2552" i="1"/>
  <c r="CI2552" i="1"/>
  <c r="CJ2551" i="1"/>
  <c r="CI2551" i="1"/>
  <c r="CJ2550" i="1"/>
  <c r="CI2550" i="1"/>
  <c r="CJ2549" i="1"/>
  <c r="CI2549" i="1"/>
  <c r="CJ2548" i="1"/>
  <c r="CI2548" i="1"/>
  <c r="CJ2547" i="1"/>
  <c r="CI2547" i="1"/>
  <c r="CJ2546" i="1"/>
  <c r="CI2546" i="1"/>
  <c r="CJ2545" i="1"/>
  <c r="CI2545" i="1"/>
  <c r="CJ2544" i="1"/>
  <c r="CI2544" i="1"/>
  <c r="CJ2543" i="1"/>
  <c r="CI2543" i="1"/>
  <c r="CJ2542" i="1"/>
  <c r="CI2542" i="1"/>
  <c r="CJ2541" i="1"/>
  <c r="CI2541" i="1"/>
  <c r="CJ2540" i="1"/>
  <c r="CI2540" i="1"/>
  <c r="CJ2539" i="1"/>
  <c r="CI2539" i="1"/>
  <c r="CJ2538" i="1"/>
  <c r="CI2538" i="1"/>
  <c r="CJ2537" i="1"/>
  <c r="CI2537" i="1"/>
  <c r="CJ2536" i="1"/>
  <c r="CI2536" i="1"/>
  <c r="CJ2535" i="1"/>
  <c r="CI2535" i="1"/>
  <c r="CJ2534" i="1"/>
  <c r="CI2534" i="1"/>
  <c r="CJ2533" i="1"/>
  <c r="CI2533" i="1"/>
  <c r="CJ2532" i="1"/>
  <c r="CI2532" i="1"/>
  <c r="CJ2531" i="1"/>
  <c r="CI2531" i="1"/>
  <c r="CJ2530" i="1"/>
  <c r="CI2530" i="1"/>
  <c r="CJ2529" i="1"/>
  <c r="CI2529" i="1"/>
  <c r="CJ2528" i="1"/>
  <c r="CI2528" i="1"/>
  <c r="CJ2527" i="1"/>
  <c r="CI2527" i="1"/>
  <c r="CJ2526" i="1"/>
  <c r="CI2526" i="1"/>
  <c r="CJ2525" i="1"/>
  <c r="CI2525" i="1"/>
  <c r="CJ2524" i="1"/>
  <c r="CI2524" i="1"/>
  <c r="CJ2523" i="1"/>
  <c r="CI2523" i="1"/>
  <c r="CJ2522" i="1"/>
  <c r="CI2522" i="1"/>
  <c r="CJ2521" i="1"/>
  <c r="CI2521" i="1"/>
  <c r="CJ2520" i="1"/>
  <c r="CI2520" i="1"/>
  <c r="CJ2519" i="1"/>
  <c r="CI2519" i="1"/>
  <c r="CJ2518" i="1"/>
  <c r="CI2518" i="1"/>
  <c r="CJ2517" i="1"/>
  <c r="CI2517" i="1"/>
  <c r="CJ2516" i="1"/>
  <c r="CI2516" i="1"/>
  <c r="CJ2515" i="1"/>
  <c r="CI2515" i="1"/>
  <c r="CJ2514" i="1"/>
  <c r="CI2514" i="1"/>
  <c r="CJ2513" i="1"/>
  <c r="CI2513" i="1"/>
  <c r="CJ2512" i="1"/>
  <c r="CI2512" i="1"/>
  <c r="CJ2511" i="1"/>
  <c r="CI2511" i="1"/>
  <c r="CJ2510" i="1"/>
  <c r="CI2510" i="1"/>
  <c r="CJ2509" i="1"/>
  <c r="CI2509" i="1"/>
  <c r="CJ2508" i="1"/>
  <c r="CI2508" i="1"/>
  <c r="CJ2507" i="1"/>
  <c r="CI2507" i="1"/>
  <c r="CJ2506" i="1"/>
  <c r="CI2506" i="1"/>
  <c r="CJ2505" i="1"/>
  <c r="CI2505" i="1"/>
  <c r="CJ2504" i="1"/>
  <c r="CI2504" i="1"/>
  <c r="CJ2503" i="1"/>
  <c r="CI2503" i="1"/>
  <c r="CJ2502" i="1"/>
  <c r="CI2502" i="1"/>
  <c r="CJ2501" i="1"/>
  <c r="CI2501" i="1"/>
  <c r="CJ2500" i="1"/>
  <c r="CI2500" i="1"/>
  <c r="CJ2499" i="1"/>
  <c r="CI2499" i="1"/>
  <c r="CJ2498" i="1"/>
  <c r="CI2498" i="1"/>
  <c r="CJ2497" i="1"/>
  <c r="CI2497" i="1"/>
  <c r="CJ2496" i="1"/>
  <c r="CI2496" i="1"/>
  <c r="CJ2495" i="1"/>
  <c r="CI2495" i="1"/>
  <c r="CJ2494" i="1"/>
  <c r="CI2494" i="1"/>
  <c r="CJ2493" i="1"/>
  <c r="CI2493" i="1"/>
  <c r="CJ2492" i="1"/>
  <c r="CI2492" i="1"/>
  <c r="CJ2491" i="1"/>
  <c r="CI2491" i="1"/>
  <c r="CJ2490" i="1"/>
  <c r="CI2490" i="1"/>
  <c r="CJ2489" i="1"/>
  <c r="CI2489" i="1"/>
  <c r="CJ2488" i="1"/>
  <c r="CI2488" i="1"/>
  <c r="CJ2487" i="1"/>
  <c r="CI2487" i="1"/>
  <c r="CJ2486" i="1"/>
  <c r="CI2486" i="1"/>
  <c r="CJ2485" i="1"/>
  <c r="CI2485" i="1"/>
  <c r="CJ2484" i="1"/>
  <c r="CI2484" i="1"/>
  <c r="CJ2483" i="1"/>
  <c r="CI2483" i="1"/>
  <c r="CJ2482" i="1"/>
  <c r="CI2482" i="1"/>
  <c r="CJ2481" i="1"/>
  <c r="CI2481" i="1"/>
  <c r="CJ2480" i="1"/>
  <c r="CI2480" i="1"/>
  <c r="CJ2479" i="1"/>
  <c r="CI2479" i="1"/>
  <c r="CJ2478" i="1"/>
  <c r="CI2478" i="1"/>
  <c r="CJ2477" i="1"/>
  <c r="CI2477" i="1"/>
  <c r="CJ2476" i="1"/>
  <c r="CI2476" i="1"/>
  <c r="CJ2475" i="1"/>
  <c r="CI2475" i="1"/>
  <c r="CJ2474" i="1"/>
  <c r="CI2474" i="1"/>
  <c r="CJ2473" i="1"/>
  <c r="CI2473" i="1"/>
  <c r="CJ2472" i="1"/>
  <c r="CI2472" i="1"/>
  <c r="CJ2471" i="1"/>
  <c r="CI2471" i="1"/>
  <c r="CJ2470" i="1"/>
  <c r="CI2470" i="1"/>
  <c r="CJ2469" i="1"/>
  <c r="CI2469" i="1"/>
  <c r="CJ2468" i="1"/>
  <c r="CI2468" i="1"/>
  <c r="CJ2467" i="1"/>
  <c r="CI2467" i="1"/>
  <c r="CJ2466" i="1"/>
  <c r="CI2466" i="1"/>
  <c r="CJ2465" i="1"/>
  <c r="CI2465" i="1"/>
  <c r="CJ2464" i="1"/>
  <c r="CI2464" i="1"/>
  <c r="CJ2463" i="1"/>
  <c r="CI2463" i="1"/>
  <c r="CJ2462" i="1"/>
  <c r="CI2462" i="1"/>
  <c r="CJ2461" i="1"/>
  <c r="CI2461" i="1"/>
  <c r="CJ2460" i="1"/>
  <c r="CI2460" i="1"/>
  <c r="CJ2459" i="1"/>
  <c r="CI2459" i="1"/>
  <c r="CJ2458" i="1"/>
  <c r="CI2458" i="1"/>
  <c r="CJ2457" i="1"/>
  <c r="CI2457" i="1"/>
  <c r="CJ2456" i="1"/>
  <c r="CI2456" i="1"/>
  <c r="CJ2455" i="1"/>
  <c r="CI2455" i="1"/>
  <c r="CJ2454" i="1"/>
  <c r="CI2454" i="1"/>
  <c r="CJ2453" i="1"/>
  <c r="CI2453" i="1"/>
  <c r="CJ2452" i="1"/>
  <c r="CI2452" i="1"/>
  <c r="CJ2451" i="1"/>
  <c r="CI2451" i="1"/>
  <c r="CJ2450" i="1"/>
  <c r="CI2450" i="1"/>
  <c r="CJ2449" i="1"/>
  <c r="CI2449" i="1"/>
  <c r="CJ2448" i="1"/>
  <c r="CI2448" i="1"/>
  <c r="CJ2447" i="1"/>
  <c r="CI2447" i="1"/>
  <c r="CJ2446" i="1"/>
  <c r="CI2446" i="1"/>
  <c r="CJ2445" i="1"/>
  <c r="CI2445" i="1"/>
  <c r="CJ2444" i="1"/>
  <c r="CI2444" i="1"/>
  <c r="CJ2443" i="1"/>
  <c r="CI2443" i="1"/>
  <c r="CJ2442" i="1"/>
  <c r="CI2442" i="1"/>
  <c r="CJ2441" i="1"/>
  <c r="CI2441" i="1"/>
  <c r="CJ2440" i="1"/>
  <c r="CI2440" i="1"/>
  <c r="CJ2439" i="1"/>
  <c r="CI2439" i="1"/>
  <c r="CJ2438" i="1"/>
  <c r="CI2438" i="1"/>
  <c r="CJ2437" i="1"/>
  <c r="CI2437" i="1"/>
  <c r="CJ2436" i="1"/>
  <c r="CI2436" i="1"/>
  <c r="CJ2435" i="1"/>
  <c r="CI2435" i="1"/>
  <c r="CJ2434" i="1"/>
  <c r="CI2434" i="1"/>
  <c r="CJ2433" i="1"/>
  <c r="CI2433" i="1"/>
  <c r="CJ2432" i="1"/>
  <c r="CI2432" i="1"/>
  <c r="CJ2431" i="1"/>
  <c r="CI2431" i="1"/>
  <c r="CJ2430" i="1"/>
  <c r="CI2430" i="1"/>
  <c r="CJ2429" i="1"/>
  <c r="CI2429" i="1"/>
  <c r="CJ2428" i="1"/>
  <c r="CI2428" i="1"/>
  <c r="CJ2427" i="1"/>
  <c r="CI2427" i="1"/>
  <c r="CJ2426" i="1"/>
  <c r="CI2426" i="1"/>
  <c r="CJ2425" i="1"/>
  <c r="CI2425" i="1"/>
  <c r="CJ2424" i="1"/>
  <c r="CI2424" i="1"/>
  <c r="CJ2423" i="1"/>
  <c r="CI2423" i="1"/>
  <c r="CJ2422" i="1"/>
  <c r="CI2422" i="1"/>
  <c r="CJ2421" i="1"/>
  <c r="CI2421" i="1"/>
  <c r="CJ2420" i="1"/>
  <c r="CI2420" i="1"/>
  <c r="CJ2419" i="1"/>
  <c r="CI2419" i="1"/>
  <c r="CJ2418" i="1"/>
  <c r="CI2418" i="1"/>
  <c r="CJ2417" i="1"/>
  <c r="CI2417" i="1"/>
  <c r="CJ2416" i="1"/>
  <c r="CI2416" i="1"/>
  <c r="CJ2415" i="1"/>
  <c r="CI2415" i="1"/>
  <c r="CJ2414" i="1"/>
  <c r="CI2414" i="1"/>
  <c r="CJ2413" i="1"/>
  <c r="CI2413" i="1"/>
  <c r="CJ2412" i="1"/>
  <c r="CI2412" i="1"/>
  <c r="CJ2411" i="1"/>
  <c r="CI2411" i="1"/>
  <c r="CJ2410" i="1"/>
  <c r="CI2410" i="1"/>
  <c r="CJ2409" i="1"/>
  <c r="CI2409" i="1"/>
  <c r="CJ2408" i="1"/>
  <c r="CI2408" i="1"/>
  <c r="CJ2407" i="1"/>
  <c r="CI2407" i="1"/>
  <c r="CJ2406" i="1"/>
  <c r="CI2406" i="1"/>
  <c r="CJ2405" i="1"/>
  <c r="CI2405" i="1"/>
  <c r="CJ2404" i="1"/>
  <c r="CI2404" i="1"/>
  <c r="CJ2403" i="1"/>
  <c r="CI2403" i="1"/>
  <c r="CJ2402" i="1"/>
  <c r="CI2402" i="1"/>
  <c r="CJ2401" i="1"/>
  <c r="CI2401" i="1"/>
  <c r="CJ2400" i="1"/>
  <c r="CI2400" i="1"/>
  <c r="CJ2399" i="1"/>
  <c r="CI2399" i="1"/>
  <c r="CJ2398" i="1"/>
  <c r="CI2398" i="1"/>
  <c r="CJ2397" i="1"/>
  <c r="CI2397" i="1"/>
  <c r="CJ2396" i="1"/>
  <c r="CI2396" i="1"/>
  <c r="CJ2395" i="1"/>
  <c r="CI2395" i="1"/>
  <c r="CJ2394" i="1"/>
  <c r="CI2394" i="1"/>
  <c r="CJ2393" i="1"/>
  <c r="CI2393" i="1"/>
  <c r="CJ2392" i="1"/>
  <c r="CI2392" i="1"/>
  <c r="CJ2391" i="1"/>
  <c r="CI2391" i="1"/>
  <c r="CJ2390" i="1"/>
  <c r="CI2390" i="1"/>
  <c r="CJ2389" i="1"/>
  <c r="CI2389" i="1"/>
  <c r="CJ2388" i="1"/>
  <c r="CI2388" i="1"/>
  <c r="CJ2387" i="1"/>
  <c r="CI2387" i="1"/>
  <c r="CJ2386" i="1"/>
  <c r="CI2386" i="1"/>
  <c r="CJ2385" i="1"/>
  <c r="CI2385" i="1"/>
  <c r="CJ2384" i="1"/>
  <c r="CI2384" i="1"/>
  <c r="CJ2383" i="1"/>
  <c r="CI2383" i="1"/>
  <c r="CJ2382" i="1"/>
  <c r="CI2382" i="1"/>
  <c r="CJ2381" i="1"/>
  <c r="CI2381" i="1"/>
  <c r="CJ2380" i="1"/>
  <c r="CI2380" i="1"/>
  <c r="CJ2379" i="1"/>
  <c r="CI2379" i="1"/>
  <c r="CJ2378" i="1"/>
  <c r="CI2378" i="1"/>
  <c r="CJ2377" i="1"/>
  <c r="CI2377" i="1"/>
  <c r="CJ2376" i="1"/>
  <c r="CI2376" i="1"/>
  <c r="CJ2375" i="1"/>
  <c r="CI2375" i="1"/>
  <c r="CJ2374" i="1"/>
  <c r="CI2374" i="1"/>
  <c r="CJ2373" i="1"/>
  <c r="CI2373" i="1"/>
  <c r="CJ2372" i="1"/>
  <c r="CI2372" i="1"/>
  <c r="CJ2371" i="1"/>
  <c r="CI2371" i="1"/>
  <c r="CJ2370" i="1"/>
  <c r="CI2370" i="1"/>
  <c r="CJ2369" i="1"/>
  <c r="CI2369" i="1"/>
  <c r="CJ2368" i="1"/>
  <c r="CI2368" i="1"/>
  <c r="CJ2367" i="1"/>
  <c r="CI2367" i="1"/>
  <c r="CJ2366" i="1"/>
  <c r="CI2366" i="1"/>
  <c r="CJ2365" i="1"/>
  <c r="CI2365" i="1"/>
  <c r="CJ2364" i="1"/>
  <c r="CI2364" i="1"/>
  <c r="CJ2363" i="1"/>
  <c r="CI2363" i="1"/>
  <c r="CJ2362" i="1"/>
  <c r="CI2362" i="1"/>
  <c r="CJ2361" i="1"/>
  <c r="CI2361" i="1"/>
  <c r="CJ2360" i="1"/>
  <c r="CI2360" i="1"/>
  <c r="CJ2359" i="1"/>
  <c r="CI2359" i="1"/>
  <c r="CJ2358" i="1"/>
  <c r="CI2358" i="1"/>
  <c r="CJ2357" i="1"/>
  <c r="CI2357" i="1"/>
  <c r="CJ2356" i="1"/>
  <c r="CI2356" i="1"/>
  <c r="CJ2355" i="1"/>
  <c r="CI2355" i="1"/>
  <c r="CJ2354" i="1"/>
  <c r="CI2354" i="1"/>
  <c r="CJ2353" i="1"/>
  <c r="CI2353" i="1"/>
  <c r="CJ2352" i="1"/>
  <c r="CI2352" i="1"/>
  <c r="CJ2351" i="1"/>
  <c r="CI2351" i="1"/>
  <c r="CJ2350" i="1"/>
  <c r="CI2350" i="1"/>
  <c r="CJ2349" i="1"/>
  <c r="CI2349" i="1"/>
  <c r="CJ2348" i="1"/>
  <c r="CI2348" i="1"/>
  <c r="CJ2347" i="1"/>
  <c r="CI2347" i="1"/>
  <c r="CJ2346" i="1"/>
  <c r="CI2346" i="1"/>
  <c r="CJ2345" i="1"/>
  <c r="CI2345" i="1"/>
  <c r="CJ2344" i="1"/>
  <c r="CI2344" i="1"/>
  <c r="CJ2343" i="1"/>
  <c r="CI2343" i="1"/>
  <c r="CJ2342" i="1"/>
  <c r="CI2342" i="1"/>
  <c r="CJ2341" i="1"/>
  <c r="CI2341" i="1"/>
  <c r="CJ2340" i="1"/>
  <c r="CI2340" i="1"/>
  <c r="CJ2339" i="1"/>
  <c r="CI2339" i="1"/>
  <c r="CJ2338" i="1"/>
  <c r="CI2338" i="1"/>
  <c r="CJ2337" i="1"/>
  <c r="CI2337" i="1"/>
  <c r="CJ2336" i="1"/>
  <c r="CI2336" i="1"/>
  <c r="CJ2335" i="1"/>
  <c r="CI2335" i="1"/>
  <c r="CJ2334" i="1"/>
  <c r="CI2334" i="1"/>
  <c r="CJ2333" i="1"/>
  <c r="CI2333" i="1"/>
  <c r="CJ2332" i="1"/>
  <c r="CI2332" i="1"/>
  <c r="CJ2331" i="1"/>
  <c r="CI2331" i="1"/>
  <c r="CJ2330" i="1"/>
  <c r="CI2330" i="1"/>
  <c r="CJ2329" i="1"/>
  <c r="CI2329" i="1"/>
  <c r="CJ2328" i="1"/>
  <c r="CI2328" i="1"/>
  <c r="CJ2327" i="1"/>
  <c r="CI2327" i="1"/>
  <c r="CJ2326" i="1"/>
  <c r="CI2326" i="1"/>
  <c r="CJ2325" i="1"/>
  <c r="CI2325" i="1"/>
  <c r="CJ2324" i="1"/>
  <c r="CI2324" i="1"/>
  <c r="CJ2323" i="1"/>
  <c r="CI2323" i="1"/>
  <c r="CJ2322" i="1"/>
  <c r="CI2322" i="1"/>
  <c r="CJ2321" i="1"/>
  <c r="CI2321" i="1"/>
  <c r="CJ2320" i="1"/>
  <c r="CI2320" i="1"/>
  <c r="CJ2319" i="1"/>
  <c r="CI2319" i="1"/>
  <c r="CJ2318" i="1"/>
  <c r="CI2318" i="1"/>
  <c r="CJ2317" i="1"/>
  <c r="CI2317" i="1"/>
  <c r="CJ2316" i="1"/>
  <c r="CI2316" i="1"/>
  <c r="CJ2315" i="1"/>
  <c r="CI2315" i="1"/>
  <c r="CJ2314" i="1"/>
  <c r="CI2314" i="1"/>
  <c r="CJ2313" i="1"/>
  <c r="CI2313" i="1"/>
  <c r="CJ2312" i="1"/>
  <c r="CI2312" i="1"/>
  <c r="CJ2311" i="1"/>
  <c r="CI2311" i="1"/>
  <c r="CJ2310" i="1"/>
  <c r="CI2310" i="1"/>
  <c r="CJ2309" i="1"/>
  <c r="CI2309" i="1"/>
  <c r="CJ2308" i="1"/>
  <c r="CI2308" i="1"/>
  <c r="CJ2307" i="1"/>
  <c r="CI2307" i="1"/>
  <c r="CJ2306" i="1"/>
  <c r="CI2306" i="1"/>
  <c r="CJ2305" i="1"/>
  <c r="CI2305" i="1"/>
  <c r="CJ2304" i="1"/>
  <c r="CI2304" i="1"/>
  <c r="CJ2303" i="1"/>
  <c r="CI2303" i="1"/>
  <c r="CJ2302" i="1"/>
  <c r="CI2302" i="1"/>
  <c r="CJ2301" i="1"/>
  <c r="CI2301" i="1"/>
  <c r="CJ2300" i="1"/>
  <c r="CI2300" i="1"/>
  <c r="CJ2299" i="1"/>
  <c r="CI2299" i="1"/>
  <c r="CI2298" i="1"/>
  <c r="CI2297" i="1"/>
  <c r="CJ2297" i="1" s="1"/>
  <c r="CJ2296" i="1"/>
  <c r="CI2296" i="1"/>
  <c r="CJ2295" i="1"/>
  <c r="CI2295" i="1"/>
  <c r="CI2294" i="1"/>
  <c r="CJ2294" i="1" s="1"/>
  <c r="CI2293" i="1"/>
  <c r="CJ2293" i="1" s="1"/>
  <c r="CI2292" i="1"/>
  <c r="CJ2292" i="1" s="1"/>
  <c r="BY2292" i="1"/>
  <c r="BZ2292" i="1" s="1"/>
  <c r="BX2292" i="1"/>
  <c r="CI2291" i="1"/>
  <c r="CJ2291" i="1" s="1"/>
  <c r="CJ2290" i="1"/>
  <c r="CI2290" i="1"/>
  <c r="BX2290" i="1" s="1"/>
  <c r="BY2290" i="1" s="1"/>
  <c r="BZ2290" i="1" s="1"/>
  <c r="CJ2289" i="1"/>
  <c r="CI2289" i="1"/>
  <c r="CI2288" i="1"/>
  <c r="CJ2288" i="1" s="1"/>
  <c r="CJ2287" i="1"/>
  <c r="CI2287" i="1"/>
  <c r="BY2287" i="1"/>
  <c r="BZ2287" i="1" s="1"/>
  <c r="BX2287" i="1"/>
  <c r="CJ2286" i="1"/>
  <c r="CI2286" i="1"/>
  <c r="CJ2285" i="1"/>
  <c r="CI2285" i="1"/>
  <c r="BY2285" i="1"/>
  <c r="BZ2285" i="1" s="1"/>
  <c r="BX2285" i="1"/>
  <c r="CJ2284" i="1"/>
  <c r="CI2284" i="1"/>
  <c r="CI2283" i="1"/>
  <c r="CJ2282" i="1"/>
  <c r="CI2282" i="1"/>
  <c r="BX2282" i="1"/>
  <c r="BY2282" i="1" s="1"/>
  <c r="BZ2282" i="1" s="1"/>
  <c r="CJ2281" i="1"/>
  <c r="CI2281" i="1"/>
  <c r="CI2280" i="1"/>
  <c r="CJ2279" i="1"/>
  <c r="CI2279" i="1"/>
  <c r="BY2279" i="1"/>
  <c r="BZ2279" i="1" s="1"/>
  <c r="BX2279" i="1"/>
  <c r="CJ2278" i="1"/>
  <c r="CI2278" i="1"/>
  <c r="CI2277" i="1"/>
  <c r="CJ2276" i="1"/>
  <c r="CI2276" i="1"/>
  <c r="BX2276" i="1"/>
  <c r="BY2276" i="1" s="1"/>
  <c r="BZ2276" i="1" s="1"/>
  <c r="CJ2275" i="1"/>
  <c r="CI2275" i="1"/>
  <c r="CI2274" i="1"/>
  <c r="CJ2273" i="1"/>
  <c r="CI2273" i="1"/>
  <c r="BY2273" i="1"/>
  <c r="BZ2273" i="1" s="1"/>
  <c r="BX2273" i="1"/>
  <c r="CJ2272" i="1"/>
  <c r="CI2272" i="1"/>
  <c r="CI2271" i="1"/>
  <c r="CJ2270" i="1"/>
  <c r="CI2270" i="1"/>
  <c r="BY2270" i="1"/>
  <c r="BZ2270" i="1" s="1"/>
  <c r="BX2270" i="1"/>
  <c r="CJ2269" i="1"/>
  <c r="CI2269" i="1"/>
  <c r="CI2268" i="1"/>
  <c r="CJ2268" i="1" s="1"/>
  <c r="BY2268" i="1"/>
  <c r="BZ2268" i="1" s="1"/>
  <c r="BX2268" i="1"/>
  <c r="CJ2267" i="1"/>
  <c r="CI2267" i="1"/>
  <c r="BY2267" i="1"/>
  <c r="BZ2267" i="1" s="1"/>
  <c r="BX2267" i="1"/>
  <c r="CJ2266" i="1"/>
  <c r="CI2266" i="1"/>
  <c r="CI2265" i="1"/>
  <c r="CJ2264" i="1"/>
  <c r="CI2264" i="1"/>
  <c r="CI2263" i="1"/>
  <c r="CJ2262" i="1"/>
  <c r="CI2262" i="1"/>
  <c r="CI2261" i="1"/>
  <c r="CJ2261" i="1" s="1"/>
  <c r="CJ2260" i="1"/>
  <c r="CI2260" i="1"/>
  <c r="CJ2259" i="1"/>
  <c r="CI2259" i="1"/>
  <c r="BY2259" i="1"/>
  <c r="BZ2259" i="1" s="1"/>
  <c r="BX2259" i="1"/>
  <c r="CJ2258" i="1"/>
  <c r="CI2258" i="1"/>
  <c r="BY2258" i="1"/>
  <c r="BZ2258" i="1" s="1"/>
  <c r="BX2258" i="1"/>
  <c r="CJ2257" i="1"/>
  <c r="CI2257" i="1"/>
  <c r="CJ2256" i="1"/>
  <c r="CI2256" i="1"/>
  <c r="BX2256" i="1"/>
  <c r="BY2256" i="1" s="1"/>
  <c r="BZ2256" i="1" s="1"/>
  <c r="CJ2255" i="1"/>
  <c r="CI2255" i="1"/>
  <c r="BY2255" i="1"/>
  <c r="BZ2255" i="1" s="1"/>
  <c r="CJ2254" i="1"/>
  <c r="CI2254" i="1"/>
  <c r="BX2255" i="1" s="1"/>
  <c r="CJ2253" i="1"/>
  <c r="CI2253" i="1"/>
  <c r="CI2252" i="1"/>
  <c r="CJ2252" i="1" s="1"/>
  <c r="CJ2251" i="1"/>
  <c r="CI2251" i="1"/>
  <c r="CI2250" i="1"/>
  <c r="CJ2250" i="1" s="1"/>
  <c r="BX2250" i="1"/>
  <c r="BY2250" i="1" s="1"/>
  <c r="BZ2250" i="1" s="1"/>
  <c r="CI2249" i="1"/>
  <c r="CJ2248" i="1"/>
  <c r="CI2248" i="1"/>
  <c r="CI2247" i="1"/>
  <c r="CJ2247" i="1" s="1"/>
  <c r="CJ2246" i="1"/>
  <c r="CI2246" i="1"/>
  <c r="BY2246" i="1"/>
  <c r="BZ2246" i="1" s="1"/>
  <c r="BX2246" i="1"/>
  <c r="CI2245" i="1"/>
  <c r="CJ2245" i="1" s="1"/>
  <c r="CI2244" i="1"/>
  <c r="CJ2244" i="1" s="1"/>
  <c r="CJ2243" i="1"/>
  <c r="CI2243" i="1"/>
  <c r="CI2242" i="1"/>
  <c r="CJ2242" i="1" s="1"/>
  <c r="CJ2241" i="1"/>
  <c r="CI2241" i="1"/>
  <c r="BX2241" i="1"/>
  <c r="BY2241" i="1" s="1"/>
  <c r="BZ2241" i="1" s="1"/>
  <c r="CI2240" i="1"/>
  <c r="CI2239" i="1"/>
  <c r="CJ2239" i="1" s="1"/>
  <c r="CJ2238" i="1"/>
  <c r="CI2238" i="1"/>
  <c r="CJ2237" i="1"/>
  <c r="CI2237" i="1"/>
  <c r="BZ2237" i="1"/>
  <c r="BX2237" i="1"/>
  <c r="BY2237" i="1" s="1"/>
  <c r="CJ2236" i="1"/>
  <c r="CI2236" i="1"/>
  <c r="CI2235" i="1"/>
  <c r="CJ2235" i="1" s="1"/>
  <c r="CJ2234" i="1"/>
  <c r="CI2234" i="1"/>
  <c r="BX2235" i="1" s="1"/>
  <c r="BY2235" i="1" s="1"/>
  <c r="BZ2235" i="1" s="1"/>
  <c r="CJ2233" i="1"/>
  <c r="CI2233" i="1"/>
  <c r="CJ2232" i="1"/>
  <c r="CI2232" i="1"/>
  <c r="CJ2231" i="1"/>
  <c r="CI2231" i="1"/>
  <c r="BY2231" i="1"/>
  <c r="BZ2231" i="1" s="1"/>
  <c r="BX2231" i="1"/>
  <c r="CJ2230" i="1"/>
  <c r="CI2230" i="1"/>
  <c r="BX2230" i="1" s="1"/>
  <c r="BY2230" i="1" s="1"/>
  <c r="BZ2230" i="1"/>
  <c r="CJ2229" i="1"/>
  <c r="CI2229" i="1"/>
  <c r="CJ2228" i="1"/>
  <c r="CI2228" i="1"/>
  <c r="CJ2227" i="1"/>
  <c r="CI2227" i="1"/>
  <c r="BX2227" i="1" s="1"/>
  <c r="BY2227" i="1" s="1"/>
  <c r="BZ2227" i="1" s="1"/>
  <c r="CJ2226" i="1"/>
  <c r="CI2226" i="1"/>
  <c r="CJ2225" i="1"/>
  <c r="CI2225" i="1"/>
  <c r="BY2225" i="1"/>
  <c r="BZ2225" i="1" s="1"/>
  <c r="BX2225" i="1"/>
  <c r="CI2224" i="1"/>
  <c r="BX2224" i="1" s="1"/>
  <c r="BZ2224" i="1"/>
  <c r="BY2224" i="1"/>
  <c r="CJ2223" i="1"/>
  <c r="CI2223" i="1"/>
  <c r="CJ2222" i="1"/>
  <c r="CI2222" i="1"/>
  <c r="CI2221" i="1"/>
  <c r="CJ2221" i="1" s="1"/>
  <c r="CI2220" i="1"/>
  <c r="CJ2219" i="1"/>
  <c r="CI2219" i="1"/>
  <c r="CJ2218" i="1"/>
  <c r="CI2218" i="1"/>
  <c r="CI2217" i="1"/>
  <c r="CJ2217" i="1" s="1"/>
  <c r="CI2216" i="1"/>
  <c r="CJ2216" i="1" s="1"/>
  <c r="CI2215" i="1"/>
  <c r="CJ2215" i="1" s="1"/>
  <c r="CJ2214" i="1"/>
  <c r="CI2214" i="1"/>
  <c r="CI2213" i="1"/>
  <c r="CJ2213" i="1" s="1"/>
  <c r="CJ2212" i="1"/>
  <c r="CI2212" i="1"/>
  <c r="CI2211" i="1"/>
  <c r="CJ2211" i="1" s="1"/>
  <c r="CJ2210" i="1"/>
  <c r="CI2210" i="1"/>
  <c r="CJ2209" i="1"/>
  <c r="CI2209" i="1"/>
  <c r="BZ2209" i="1"/>
  <c r="BX2209" i="1"/>
  <c r="BY2209" i="1" s="1"/>
  <c r="CI2208" i="1"/>
  <c r="CJ2208" i="1" s="1"/>
  <c r="BX2208" i="1"/>
  <c r="BY2208" i="1" s="1"/>
  <c r="BZ2208" i="1" s="1"/>
  <c r="CI2207" i="1"/>
  <c r="CI2206" i="1"/>
  <c r="CJ2206" i="1" s="1"/>
  <c r="CI2205" i="1"/>
  <c r="CI2204" i="1"/>
  <c r="CJ2204" i="1" s="1"/>
  <c r="BZ2204" i="1"/>
  <c r="BX2204" i="1"/>
  <c r="BY2204" i="1" s="1"/>
  <c r="CI2203" i="1"/>
  <c r="CI2202" i="1"/>
  <c r="CJ2202" i="1" s="1"/>
  <c r="CI2201" i="1"/>
  <c r="CI2200" i="1"/>
  <c r="CJ2200" i="1" s="1"/>
  <c r="CI2199" i="1"/>
  <c r="CJ2198" i="1"/>
  <c r="CI2198" i="1"/>
  <c r="CI2197" i="1"/>
  <c r="CJ2196" i="1"/>
  <c r="CI2196" i="1"/>
  <c r="CJ2195" i="1"/>
  <c r="CI2195" i="1"/>
  <c r="BX2195" i="1" s="1"/>
  <c r="CI2194" i="1"/>
  <c r="CJ2194" i="1" s="1"/>
  <c r="CJ2193" i="1"/>
  <c r="CI2193" i="1"/>
  <c r="CJ2192" i="1"/>
  <c r="CI2192" i="1"/>
  <c r="CJ2191" i="1"/>
  <c r="CI2191" i="1"/>
  <c r="CI2190" i="1"/>
  <c r="CJ2190" i="1" s="1"/>
  <c r="CI2189" i="1"/>
  <c r="CI2188" i="1"/>
  <c r="BX2188" i="1" s="1"/>
  <c r="BY2188" i="1" s="1"/>
  <c r="BZ2188" i="1" s="1"/>
  <c r="CJ2187" i="1"/>
  <c r="CI2187" i="1"/>
  <c r="CI2186" i="1"/>
  <c r="BX2186" i="1" s="1"/>
  <c r="BZ2186" i="1"/>
  <c r="BY2186" i="1"/>
  <c r="CJ2185" i="1"/>
  <c r="CI2185" i="1"/>
  <c r="CI2184" i="1"/>
  <c r="CJ2184" i="1" s="1"/>
  <c r="CI2183" i="1"/>
  <c r="CJ2182" i="1"/>
  <c r="CI2182" i="1"/>
  <c r="CJ2181" i="1"/>
  <c r="CI2181" i="1"/>
  <c r="CI2180" i="1"/>
  <c r="CJ2179" i="1"/>
  <c r="CI2179" i="1"/>
  <c r="CI2178" i="1"/>
  <c r="CI2177" i="1"/>
  <c r="CJ2176" i="1"/>
  <c r="CI2176" i="1"/>
  <c r="CJ2175" i="1"/>
  <c r="CI2175" i="1"/>
  <c r="CI2174" i="1"/>
  <c r="CJ2173" i="1"/>
  <c r="CI2173" i="1"/>
  <c r="BX2173" i="1"/>
  <c r="BY2173" i="1" s="1"/>
  <c r="BZ2173" i="1" s="1"/>
  <c r="CI2172" i="1"/>
  <c r="CJ2172" i="1" s="1"/>
  <c r="CI2171" i="1"/>
  <c r="CJ2171" i="1" s="1"/>
  <c r="BX2171" i="1"/>
  <c r="BY2171" i="1" s="1"/>
  <c r="BZ2171" i="1" s="1"/>
  <c r="CJ2170" i="1"/>
  <c r="CI2170" i="1"/>
  <c r="BY2170" i="1"/>
  <c r="BZ2170" i="1" s="1"/>
  <c r="BX2170" i="1"/>
  <c r="CI2169" i="1"/>
  <c r="CJ2169" i="1" s="1"/>
  <c r="CJ2168" i="1"/>
  <c r="CI2168" i="1"/>
  <c r="CJ2167" i="1"/>
  <c r="CI2167" i="1"/>
  <c r="BX2168" i="1" s="1"/>
  <c r="CJ2166" i="1"/>
  <c r="CI2166" i="1"/>
  <c r="BZ2166" i="1"/>
  <c r="BX2166" i="1"/>
  <c r="BY2166" i="1" s="1"/>
  <c r="CI2165" i="1"/>
  <c r="CJ2165" i="1" s="1"/>
  <c r="CI2164" i="1"/>
  <c r="CI2163" i="1"/>
  <c r="CJ2163" i="1" s="1"/>
  <c r="CI2162" i="1"/>
  <c r="CJ2162" i="1" s="1"/>
  <c r="BZ2162" i="1"/>
  <c r="BX2162" i="1"/>
  <c r="BY2162" i="1" s="1"/>
  <c r="CJ2161" i="1"/>
  <c r="CI2161" i="1"/>
  <c r="BX2161" i="1"/>
  <c r="BY2161" i="1" s="1"/>
  <c r="BZ2161" i="1" s="1"/>
  <c r="CI2160" i="1"/>
  <c r="CJ2160" i="1" s="1"/>
  <c r="CI2159" i="1"/>
  <c r="CJ2159" i="1" s="1"/>
  <c r="BX2159" i="1"/>
  <c r="BY2159" i="1" s="1"/>
  <c r="BZ2159" i="1" s="1"/>
  <c r="CI2158" i="1"/>
  <c r="CI2157" i="1"/>
  <c r="CJ2156" i="1"/>
  <c r="CI2156" i="1"/>
  <c r="CJ2155" i="1"/>
  <c r="CI2155" i="1"/>
  <c r="BX2155" i="1" s="1"/>
  <c r="BY2155" i="1" s="1"/>
  <c r="BZ2155" i="1" s="1"/>
  <c r="CJ2154" i="1"/>
  <c r="CI2154" i="1"/>
  <c r="CI2153" i="1"/>
  <c r="CJ2153" i="1" s="1"/>
  <c r="CI2152" i="1"/>
  <c r="CJ2152" i="1" s="1"/>
  <c r="BX2152" i="1"/>
  <c r="BY2152" i="1" s="1"/>
  <c r="BZ2152" i="1" s="1"/>
  <c r="CI2151" i="1"/>
  <c r="CJ2150" i="1"/>
  <c r="CI2150" i="1"/>
  <c r="BX2150" i="1"/>
  <c r="BY2150" i="1" s="1"/>
  <c r="BZ2150" i="1" s="1"/>
  <c r="CI2149" i="1"/>
  <c r="CJ2149" i="1" s="1"/>
  <c r="CJ2148" i="1"/>
  <c r="CI2148" i="1"/>
  <c r="BX2148" i="1"/>
  <c r="BY2148" i="1" s="1"/>
  <c r="BZ2148" i="1" s="1"/>
  <c r="CI2147" i="1"/>
  <c r="CI2146" i="1"/>
  <c r="CJ2146" i="1" s="1"/>
  <c r="CI2145" i="1"/>
  <c r="CJ2144" i="1"/>
  <c r="CI2144" i="1"/>
  <c r="BX2144" i="1"/>
  <c r="BY2144" i="1" s="1"/>
  <c r="BZ2144" i="1" s="1"/>
  <c r="CI2143" i="1"/>
  <c r="CI2142" i="1"/>
  <c r="CJ2142" i="1" s="1"/>
  <c r="CI2141" i="1"/>
  <c r="CJ2140" i="1"/>
  <c r="CI2140" i="1"/>
  <c r="CI2139" i="1"/>
  <c r="CJ2139" i="1" s="1"/>
  <c r="CJ2138" i="1"/>
  <c r="CI2138" i="1"/>
  <c r="CI2137" i="1"/>
  <c r="CJ2137" i="1" s="1"/>
  <c r="CJ2136" i="1"/>
  <c r="CI2136" i="1"/>
  <c r="CI2135" i="1"/>
  <c r="CJ2135" i="1" s="1"/>
  <c r="CJ2134" i="1"/>
  <c r="CI2134" i="1"/>
  <c r="BX2134" i="1"/>
  <c r="BY2134" i="1" s="1"/>
  <c r="BZ2134" i="1" s="1"/>
  <c r="CJ2133" i="1"/>
  <c r="CI2133" i="1"/>
  <c r="BY2133" i="1"/>
  <c r="BZ2133" i="1" s="1"/>
  <c r="BX2133" i="1"/>
  <c r="CJ2132" i="1"/>
  <c r="CI2132" i="1"/>
  <c r="CJ2131" i="1"/>
  <c r="CI2131" i="1"/>
  <c r="CJ2130" i="1"/>
  <c r="CI2130" i="1"/>
  <c r="BX2131" i="1" s="1"/>
  <c r="BY2131" i="1" s="1"/>
  <c r="BZ2131" i="1" s="1"/>
  <c r="CJ2129" i="1"/>
  <c r="CI2129" i="1"/>
  <c r="BX2130" i="1" s="1"/>
  <c r="BY2130" i="1" s="1"/>
  <c r="BZ2130" i="1" s="1"/>
  <c r="CJ2128" i="1"/>
  <c r="CI2128" i="1"/>
  <c r="BX2128" i="1"/>
  <c r="BY2128" i="1" s="1"/>
  <c r="BZ2128" i="1" s="1"/>
  <c r="CI2127" i="1"/>
  <c r="CJ2126" i="1"/>
  <c r="CI2126" i="1"/>
  <c r="CI2125" i="1"/>
  <c r="CJ2125" i="1" s="1"/>
  <c r="CI2124" i="1"/>
  <c r="CJ2124" i="1" s="1"/>
  <c r="CI2123" i="1"/>
  <c r="CJ2123" i="1" s="1"/>
  <c r="CJ2122" i="1"/>
  <c r="CI2122" i="1"/>
  <c r="CI2121" i="1"/>
  <c r="CJ2121" i="1" s="1"/>
  <c r="CI2120" i="1"/>
  <c r="CJ2120" i="1" s="1"/>
  <c r="CJ2119" i="1"/>
  <c r="CI2119" i="1"/>
  <c r="CJ2118" i="1"/>
  <c r="CI2118" i="1"/>
  <c r="CJ2117" i="1"/>
  <c r="CI2117" i="1"/>
  <c r="CJ2116" i="1"/>
  <c r="CI2116" i="1"/>
  <c r="CI2115" i="1"/>
  <c r="CJ2114" i="1"/>
  <c r="CI2114" i="1"/>
  <c r="CJ2113" i="1"/>
  <c r="CI2113" i="1"/>
  <c r="CI2112" i="1"/>
  <c r="CJ2112" i="1" s="1"/>
  <c r="CI2111" i="1"/>
  <c r="CJ2110" i="1"/>
  <c r="CI2110" i="1"/>
  <c r="CJ2109" i="1"/>
  <c r="CI2109" i="1"/>
  <c r="CI2108" i="1"/>
  <c r="CJ2108" i="1" s="1"/>
  <c r="CI2107" i="1"/>
  <c r="BX2108" i="1" s="1"/>
  <c r="BY2108" i="1" s="1"/>
  <c r="BZ2108" i="1" s="1"/>
  <c r="BX2107" i="1"/>
  <c r="BY2107" i="1" s="1"/>
  <c r="BZ2107" i="1" s="1"/>
  <c r="CI2106" i="1"/>
  <c r="CJ2106" i="1" s="1"/>
  <c r="CI2105" i="1"/>
  <c r="CJ2105" i="1" s="1"/>
  <c r="CI2104" i="1"/>
  <c r="CJ2103" i="1"/>
  <c r="CI2103" i="1"/>
  <c r="BX2103" i="1" s="1"/>
  <c r="BY2103" i="1" s="1"/>
  <c r="BZ2103" i="1" s="1"/>
  <c r="CI2102" i="1"/>
  <c r="CJ2102" i="1" s="1"/>
  <c r="BY2102" i="1"/>
  <c r="BZ2102" i="1" s="1"/>
  <c r="BX2102" i="1"/>
  <c r="CI2101" i="1"/>
  <c r="CJ2101" i="1" s="1"/>
  <c r="BX2101" i="1"/>
  <c r="BY2101" i="1" s="1"/>
  <c r="BZ2101" i="1" s="1"/>
  <c r="CI2100" i="1"/>
  <c r="CJ2099" i="1"/>
  <c r="CI2099" i="1"/>
  <c r="CJ2098" i="1"/>
  <c r="CI2098" i="1"/>
  <c r="BX2098" i="1"/>
  <c r="BY2098" i="1" s="1"/>
  <c r="BZ2098" i="1" s="1"/>
  <c r="CI2097" i="1"/>
  <c r="CJ2097" i="1" s="1"/>
  <c r="CI2096" i="1"/>
  <c r="CJ2096" i="1" s="1"/>
  <c r="CJ2095" i="1"/>
  <c r="CI2095" i="1"/>
  <c r="CJ2094" i="1"/>
  <c r="CI2094" i="1"/>
  <c r="CI2093" i="1"/>
  <c r="CJ2092" i="1"/>
  <c r="CI2092" i="1"/>
  <c r="CI2091" i="1"/>
  <c r="CJ2091" i="1" s="1"/>
  <c r="CI2090" i="1"/>
  <c r="CI2089" i="1"/>
  <c r="CJ2089" i="1" s="1"/>
  <c r="BZ2089" i="1"/>
  <c r="BY2089" i="1"/>
  <c r="BX2089" i="1"/>
  <c r="CJ2088" i="1"/>
  <c r="CI2088" i="1"/>
  <c r="BX2088" i="1"/>
  <c r="CI2087" i="1"/>
  <c r="CJ2087" i="1" s="1"/>
  <c r="CJ2086" i="1"/>
  <c r="CI2086" i="1"/>
  <c r="CJ2085" i="1"/>
  <c r="CI2085" i="1"/>
  <c r="BX2086" i="1" s="1"/>
  <c r="BY2086" i="1" s="1"/>
  <c r="BZ2086" i="1" s="1"/>
  <c r="BX2085" i="1"/>
  <c r="BY2085" i="1" s="1"/>
  <c r="BZ2085" i="1" s="1"/>
  <c r="CI2084" i="1"/>
  <c r="CJ2083" i="1"/>
  <c r="CI2083" i="1"/>
  <c r="CI2082" i="1"/>
  <c r="CJ2082" i="1" s="1"/>
  <c r="BY2082" i="1"/>
  <c r="BZ2082" i="1" s="1"/>
  <c r="BX2082" i="1"/>
  <c r="CJ2081" i="1"/>
  <c r="CI2081" i="1"/>
  <c r="BZ2081" i="1"/>
  <c r="BX2081" i="1"/>
  <c r="BY2081" i="1" s="1"/>
  <c r="CJ2080" i="1"/>
  <c r="CI2080" i="1"/>
  <c r="CJ2079" i="1"/>
  <c r="CI2079" i="1"/>
  <c r="BX2080" i="1" s="1"/>
  <c r="CI2078" i="1"/>
  <c r="CJ2078" i="1" s="1"/>
  <c r="CJ2077" i="1"/>
  <c r="CI2077" i="1"/>
  <c r="CI2076" i="1"/>
  <c r="CJ2076" i="1" s="1"/>
  <c r="CI2075" i="1"/>
  <c r="CJ2074" i="1"/>
  <c r="CI2074" i="1"/>
  <c r="BX2074" i="1" s="1"/>
  <c r="CI2073" i="1"/>
  <c r="CJ2072" i="1"/>
  <c r="CI2072" i="1"/>
  <c r="BY2072" i="1"/>
  <c r="BZ2072" i="1" s="1"/>
  <c r="CJ2071" i="1"/>
  <c r="CI2071" i="1"/>
  <c r="BX2072" i="1" s="1"/>
  <c r="CI2070" i="1"/>
  <c r="CJ2070" i="1" s="1"/>
  <c r="CJ2069" i="1"/>
  <c r="CI2069" i="1"/>
  <c r="CJ2068" i="1"/>
  <c r="CI2068" i="1"/>
  <c r="CI2067" i="1"/>
  <c r="CJ2067" i="1" s="1"/>
  <c r="CI2066" i="1"/>
  <c r="CJ2066" i="1" s="1"/>
  <c r="CI2065" i="1"/>
  <c r="CJ2065" i="1" s="1"/>
  <c r="CJ2064" i="1"/>
  <c r="CI2064" i="1"/>
  <c r="CI2063" i="1"/>
  <c r="CJ2063" i="1" s="1"/>
  <c r="CJ2062" i="1"/>
  <c r="CI2062" i="1"/>
  <c r="CI2061" i="1"/>
  <c r="CJ2061" i="1" s="1"/>
  <c r="CJ2060" i="1"/>
  <c r="CI2060" i="1"/>
  <c r="BX2060" i="1"/>
  <c r="BY2060" i="1" s="1"/>
  <c r="BZ2060" i="1" s="1"/>
  <c r="CJ2059" i="1"/>
  <c r="CI2059" i="1"/>
  <c r="CI2058" i="1"/>
  <c r="CJ2057" i="1"/>
  <c r="CI2057" i="1"/>
  <c r="CJ2056" i="1"/>
  <c r="CI2056" i="1"/>
  <c r="BX2056" i="1"/>
  <c r="BY2056" i="1" s="1"/>
  <c r="BZ2056" i="1" s="1"/>
  <c r="CJ2055" i="1"/>
  <c r="CI2055" i="1"/>
  <c r="CJ2054" i="1"/>
  <c r="CI2054" i="1"/>
  <c r="BX2054" i="1"/>
  <c r="BY2054" i="1" s="1"/>
  <c r="BZ2054" i="1" s="1"/>
  <c r="CI2053" i="1"/>
  <c r="CJ2053" i="1" s="1"/>
  <c r="CI2052" i="1"/>
  <c r="CJ2051" i="1"/>
  <c r="CI2051" i="1"/>
  <c r="CI2050" i="1"/>
  <c r="CJ2049" i="1"/>
  <c r="CI2049" i="1"/>
  <c r="CJ2048" i="1"/>
  <c r="CI2048" i="1"/>
  <c r="CI2047" i="1"/>
  <c r="CJ2047" i="1" s="1"/>
  <c r="BX2047" i="1"/>
  <c r="BY2047" i="1" s="1"/>
  <c r="BZ2047" i="1" s="1"/>
  <c r="CJ2046" i="1"/>
  <c r="CI2046" i="1"/>
  <c r="BX2046" i="1"/>
  <c r="BY2046" i="1" s="1"/>
  <c r="BZ2046" i="1" s="1"/>
  <c r="CJ2045" i="1"/>
  <c r="CI2045" i="1"/>
  <c r="CI2044" i="1"/>
  <c r="CJ2043" i="1"/>
  <c r="CI2043" i="1"/>
  <c r="BX2043" i="1" s="1"/>
  <c r="BY2043" i="1" s="1"/>
  <c r="BZ2043" i="1" s="1"/>
  <c r="CJ2042" i="1"/>
  <c r="CI2042" i="1"/>
  <c r="CJ2041" i="1"/>
  <c r="CI2041" i="1"/>
  <c r="BX2042" i="1" s="1"/>
  <c r="CI2040" i="1"/>
  <c r="CJ2040" i="1" s="1"/>
  <c r="CJ2039" i="1"/>
  <c r="CI2039" i="1"/>
  <c r="BX2039" i="1" s="1"/>
  <c r="BY2039" i="1"/>
  <c r="BZ2039" i="1" s="1"/>
  <c r="CI2038" i="1"/>
  <c r="CJ2038" i="1" s="1"/>
  <c r="CJ2037" i="1"/>
  <c r="CI2037" i="1"/>
  <c r="BX2038" i="1" s="1"/>
  <c r="CI2036" i="1"/>
  <c r="CI2035" i="1"/>
  <c r="CJ2035" i="1" s="1"/>
  <c r="CJ2034" i="1"/>
  <c r="CI2034" i="1"/>
  <c r="BX2034" i="1"/>
  <c r="CJ2033" i="1"/>
  <c r="CI2033" i="1"/>
  <c r="BY2033" i="1"/>
  <c r="BZ2033" i="1" s="1"/>
  <c r="BX2033" i="1"/>
  <c r="CJ2032" i="1"/>
  <c r="CI2032" i="1"/>
  <c r="CI2031" i="1"/>
  <c r="CJ2030" i="1"/>
  <c r="CI2030" i="1"/>
  <c r="CI2029" i="1"/>
  <c r="CJ2028" i="1"/>
  <c r="CI2028" i="1"/>
  <c r="CJ2027" i="1"/>
  <c r="CI2027" i="1"/>
  <c r="BX2027" i="1"/>
  <c r="CI2026" i="1"/>
  <c r="CI2025" i="1"/>
  <c r="CJ2025" i="1" s="1"/>
  <c r="CI2024" i="1"/>
  <c r="BX2024" i="1" s="1"/>
  <c r="BY2024" i="1" s="1"/>
  <c r="BZ2024" i="1" s="1"/>
  <c r="CJ2023" i="1"/>
  <c r="CI2023" i="1"/>
  <c r="BZ2023" i="1"/>
  <c r="BY2023" i="1"/>
  <c r="BX2023" i="1"/>
  <c r="CI2022" i="1"/>
  <c r="CJ2022" i="1" s="1"/>
  <c r="CJ2021" i="1"/>
  <c r="CI2021" i="1"/>
  <c r="CI2020" i="1"/>
  <c r="CI2019" i="1"/>
  <c r="CJ2019" i="1" s="1"/>
  <c r="CI2018" i="1"/>
  <c r="CJ2018" i="1" s="1"/>
  <c r="CJ2017" i="1"/>
  <c r="CI2017" i="1"/>
  <c r="CI2016" i="1"/>
  <c r="CJ2016" i="1" s="1"/>
  <c r="CI2015" i="1"/>
  <c r="CI2014" i="1"/>
  <c r="CJ2014" i="1" s="1"/>
  <c r="CI2013" i="1"/>
  <c r="CJ2013" i="1" s="1"/>
  <c r="CI2012" i="1"/>
  <c r="CI2011" i="1"/>
  <c r="CJ2011" i="1" s="1"/>
  <c r="CI2010" i="1"/>
  <c r="CJ2010" i="1" s="1"/>
  <c r="CI2009" i="1"/>
  <c r="CJ2008" i="1"/>
  <c r="CI2008" i="1"/>
  <c r="BX2008" i="1" s="1"/>
  <c r="BY2008" i="1" s="1"/>
  <c r="BZ2008" i="1" s="1"/>
  <c r="CI2007" i="1"/>
  <c r="CJ2007" i="1" s="1"/>
  <c r="CI2006" i="1"/>
  <c r="CJ2006" i="1" s="1"/>
  <c r="CJ2005" i="1"/>
  <c r="CI2005" i="1"/>
  <c r="CI2004" i="1"/>
  <c r="CJ2004" i="1" s="1"/>
  <c r="CI2003" i="1"/>
  <c r="CJ2003" i="1" s="1"/>
  <c r="CI2002" i="1"/>
  <c r="CJ2002" i="1" s="1"/>
  <c r="CI2001" i="1"/>
  <c r="CJ2001" i="1" s="1"/>
  <c r="CJ2000" i="1"/>
  <c r="CI2000" i="1"/>
  <c r="CJ1999" i="1"/>
  <c r="CI1999" i="1"/>
  <c r="CJ1998" i="1"/>
  <c r="CI1998" i="1"/>
  <c r="CI1997" i="1"/>
  <c r="CJ1997" i="1" s="1"/>
  <c r="CJ1996" i="1"/>
  <c r="CI1996" i="1"/>
  <c r="CI1995" i="1"/>
  <c r="CJ1994" i="1"/>
  <c r="CI1994" i="1"/>
  <c r="BX1994" i="1"/>
  <c r="CJ1993" i="1"/>
  <c r="CI1993" i="1"/>
  <c r="CI1992" i="1"/>
  <c r="CI1991" i="1"/>
  <c r="CJ1990" i="1"/>
  <c r="CI1990" i="1"/>
  <c r="BY1990" i="1"/>
  <c r="BZ1990" i="1" s="1"/>
  <c r="BX1990" i="1"/>
  <c r="CJ1989" i="1"/>
  <c r="CI1989" i="1"/>
  <c r="BZ1989" i="1"/>
  <c r="BX1989" i="1"/>
  <c r="BY1989" i="1" s="1"/>
  <c r="CJ1988" i="1"/>
  <c r="CI1988" i="1"/>
  <c r="CJ1987" i="1"/>
  <c r="CI1987" i="1"/>
  <c r="CI1986" i="1"/>
  <c r="CJ1986" i="1" s="1"/>
  <c r="CJ1985" i="1"/>
  <c r="CI1985" i="1"/>
  <c r="CJ1984" i="1"/>
  <c r="CI1984" i="1"/>
  <c r="BX1984" i="1"/>
  <c r="BY1984" i="1" s="1"/>
  <c r="BZ1984" i="1" s="1"/>
  <c r="CJ1983" i="1"/>
  <c r="CI1983" i="1"/>
  <c r="CI1982" i="1"/>
  <c r="BX1982" i="1"/>
  <c r="BY1982" i="1" s="1"/>
  <c r="BZ1982" i="1" s="1"/>
  <c r="CI1981" i="1"/>
  <c r="CJ1981" i="1" s="1"/>
  <c r="CI1980" i="1"/>
  <c r="CI1979" i="1"/>
  <c r="CJ1979" i="1" s="1"/>
  <c r="BX1979" i="1"/>
  <c r="BY1979" i="1" s="1"/>
  <c r="BZ1979" i="1" s="1"/>
  <c r="CI1978" i="1"/>
  <c r="CI1977" i="1"/>
  <c r="CJ1977" i="1" s="1"/>
  <c r="CJ1976" i="1"/>
  <c r="CI1976" i="1"/>
  <c r="BX1976" i="1"/>
  <c r="BY1976" i="1" s="1"/>
  <c r="BZ1976" i="1" s="1"/>
  <c r="CI1975" i="1"/>
  <c r="CI1974" i="1"/>
  <c r="CJ1974" i="1" s="1"/>
  <c r="BX1974" i="1"/>
  <c r="BY1974" i="1" s="1"/>
  <c r="BZ1974" i="1" s="1"/>
  <c r="CJ1973" i="1"/>
  <c r="CI1973" i="1"/>
  <c r="CI1972" i="1"/>
  <c r="CJ1972" i="1" s="1"/>
  <c r="CJ1971" i="1"/>
  <c r="CI1971" i="1"/>
  <c r="BX1971" i="1" s="1"/>
  <c r="BY1971" i="1" s="1"/>
  <c r="BZ1971" i="1" s="1"/>
  <c r="CJ1970" i="1"/>
  <c r="CI1970" i="1"/>
  <c r="BX1970" i="1"/>
  <c r="CI1969" i="1"/>
  <c r="CJ1969" i="1" s="1"/>
  <c r="CJ1968" i="1"/>
  <c r="CI1968" i="1"/>
  <c r="CI1967" i="1"/>
  <c r="CJ1967" i="1" s="1"/>
  <c r="CI1966" i="1"/>
  <c r="CJ1965" i="1"/>
  <c r="CI1965" i="1"/>
  <c r="BY1965" i="1"/>
  <c r="BZ1965" i="1" s="1"/>
  <c r="BX1965" i="1"/>
  <c r="CJ1964" i="1"/>
  <c r="CI1964" i="1"/>
  <c r="BX1964" i="1"/>
  <c r="CI1963" i="1"/>
  <c r="CJ1963" i="1" s="1"/>
  <c r="CI1962" i="1"/>
  <c r="CJ1961" i="1"/>
  <c r="CI1961" i="1"/>
  <c r="CI1960" i="1"/>
  <c r="CI1959" i="1"/>
  <c r="CJ1959" i="1" s="1"/>
  <c r="CI1958" i="1"/>
  <c r="CI1957" i="1"/>
  <c r="CJ1957" i="1" s="1"/>
  <c r="CI1956" i="1"/>
  <c r="CJ1955" i="1"/>
  <c r="CI1955" i="1"/>
  <c r="CI1954" i="1"/>
  <c r="CI1953" i="1"/>
  <c r="CJ1953" i="1" s="1"/>
  <c r="BX1953" i="1"/>
  <c r="BY1953" i="1" s="1"/>
  <c r="BZ1953" i="1" s="1"/>
  <c r="CJ1952" i="1"/>
  <c r="CI1952" i="1"/>
  <c r="CI1951" i="1"/>
  <c r="CJ1950" i="1"/>
  <c r="CI1950" i="1"/>
  <c r="CI1949" i="1"/>
  <c r="CJ1948" i="1"/>
  <c r="CI1948" i="1"/>
  <c r="BX1948" i="1"/>
  <c r="BY1948" i="1" s="1"/>
  <c r="BZ1948" i="1" s="1"/>
  <c r="CI1947" i="1"/>
  <c r="CJ1947" i="1" s="1"/>
  <c r="BX1947" i="1"/>
  <c r="CI1946" i="1"/>
  <c r="CJ1946" i="1" s="1"/>
  <c r="CI1945" i="1"/>
  <c r="CI1944" i="1"/>
  <c r="CJ1943" i="1"/>
  <c r="CI1943" i="1"/>
  <c r="BZ1943" i="1"/>
  <c r="BX1943" i="1"/>
  <c r="BY1943" i="1" s="1"/>
  <c r="CJ1942" i="1"/>
  <c r="CI1942" i="1"/>
  <c r="CJ1941" i="1"/>
  <c r="CI1941" i="1"/>
  <c r="BX1941" i="1" s="1"/>
  <c r="CJ1940" i="1"/>
  <c r="CI1940" i="1"/>
  <c r="CJ1939" i="1"/>
  <c r="CI1939" i="1"/>
  <c r="BZ1939" i="1"/>
  <c r="BY1939" i="1"/>
  <c r="BX1939" i="1"/>
  <c r="CJ1938" i="1"/>
  <c r="CI1938" i="1"/>
  <c r="BY1938" i="1"/>
  <c r="BZ1938" i="1" s="1"/>
  <c r="BX1938" i="1"/>
  <c r="CJ1937" i="1"/>
  <c r="CI1937" i="1"/>
  <c r="BZ1937" i="1"/>
  <c r="BX1937" i="1"/>
  <c r="BY1937" i="1" s="1"/>
  <c r="CJ1936" i="1"/>
  <c r="CI1936" i="1"/>
  <c r="BX1936" i="1"/>
  <c r="BY1936" i="1" s="1"/>
  <c r="BZ1936" i="1" s="1"/>
  <c r="CJ1935" i="1"/>
  <c r="CI1935" i="1"/>
  <c r="BX1935" i="1" s="1"/>
  <c r="CJ1934" i="1"/>
  <c r="CI1934" i="1"/>
  <c r="CJ1933" i="1"/>
  <c r="CI1933" i="1"/>
  <c r="BZ1933" i="1"/>
  <c r="BY1933" i="1"/>
  <c r="BX1933" i="1"/>
  <c r="CI1932" i="1"/>
  <c r="CJ1932" i="1" s="1"/>
  <c r="BX1932" i="1"/>
  <c r="BY1932" i="1" s="1"/>
  <c r="BZ1932" i="1" s="1"/>
  <c r="CI1931" i="1"/>
  <c r="CJ1930" i="1"/>
  <c r="CI1930" i="1"/>
  <c r="BX1930" i="1" s="1"/>
  <c r="BY1930" i="1" s="1"/>
  <c r="BZ1930" i="1" s="1"/>
  <c r="CI1929" i="1"/>
  <c r="CJ1929" i="1" s="1"/>
  <c r="CI1928" i="1"/>
  <c r="CJ1928" i="1" s="1"/>
  <c r="CI1927" i="1"/>
  <c r="CJ1926" i="1"/>
  <c r="CI1926" i="1"/>
  <c r="BX1926" i="1"/>
  <c r="BY1926" i="1" s="1"/>
  <c r="BZ1926" i="1" s="1"/>
  <c r="CJ1925" i="1"/>
  <c r="CI1925" i="1"/>
  <c r="BX1925" i="1"/>
  <c r="BY1925" i="1" s="1"/>
  <c r="BZ1925" i="1" s="1"/>
  <c r="CJ1924" i="1"/>
  <c r="CI1924" i="1"/>
  <c r="CI1923" i="1"/>
  <c r="CI1922" i="1"/>
  <c r="CJ1922" i="1" s="1"/>
  <c r="CI1921" i="1"/>
  <c r="CJ1921" i="1" s="1"/>
  <c r="BX1921" i="1"/>
  <c r="BY1921" i="1" s="1"/>
  <c r="BZ1921" i="1" s="1"/>
  <c r="CJ1920" i="1"/>
  <c r="CI1920" i="1"/>
  <c r="BX1920" i="1"/>
  <c r="BY1920" i="1" s="1"/>
  <c r="BZ1920" i="1" s="1"/>
  <c r="CJ1919" i="1"/>
  <c r="CI1919" i="1"/>
  <c r="BX1919" i="1"/>
  <c r="BY1919" i="1" s="1"/>
  <c r="BZ1919" i="1" s="1"/>
  <c r="CI1918" i="1"/>
  <c r="CJ1918" i="1" s="1"/>
  <c r="CI1917" i="1"/>
  <c r="CI1916" i="1"/>
  <c r="CJ1916" i="1" s="1"/>
  <c r="CI1915" i="1"/>
  <c r="CJ1915" i="1" s="1"/>
  <c r="CJ1914" i="1"/>
  <c r="CI1914" i="1"/>
  <c r="CI1913" i="1"/>
  <c r="CJ1913" i="1" s="1"/>
  <c r="CJ1912" i="1"/>
  <c r="CI1912" i="1"/>
  <c r="CI1911" i="1"/>
  <c r="CJ1911" i="1" s="1"/>
  <c r="CJ1910" i="1"/>
  <c r="CI1910" i="1"/>
  <c r="CI1909" i="1"/>
  <c r="CI1908" i="1"/>
  <c r="CJ1908" i="1" s="1"/>
  <c r="BX1908" i="1"/>
  <c r="CJ1907" i="1"/>
  <c r="CI1907" i="1"/>
  <c r="CI1906" i="1"/>
  <c r="CI1905" i="1"/>
  <c r="CI1904" i="1"/>
  <c r="CJ1903" i="1"/>
  <c r="CI1903" i="1"/>
  <c r="CI1902" i="1"/>
  <c r="CI1901" i="1"/>
  <c r="CJ1901" i="1" s="1"/>
  <c r="BZ1901" i="1"/>
  <c r="BY1901" i="1"/>
  <c r="BX1901" i="1"/>
  <c r="CJ1900" i="1"/>
  <c r="CI1900" i="1"/>
  <c r="BX1900" i="1"/>
  <c r="CJ1899" i="1"/>
  <c r="CI1899" i="1"/>
  <c r="CJ1898" i="1"/>
  <c r="CI1898" i="1"/>
  <c r="CI1897" i="1"/>
  <c r="CJ1897" i="1" s="1"/>
  <c r="BX1897" i="1"/>
  <c r="BY1897" i="1" s="1"/>
  <c r="BZ1897" i="1" s="1"/>
  <c r="CI1896" i="1"/>
  <c r="CJ1895" i="1"/>
  <c r="CI1895" i="1"/>
  <c r="CI1894" i="1"/>
  <c r="CJ1894" i="1" s="1"/>
  <c r="CI1893" i="1"/>
  <c r="CI1892" i="1"/>
  <c r="CJ1892" i="1" s="1"/>
  <c r="BX1892" i="1"/>
  <c r="BY1892" i="1" s="1"/>
  <c r="BZ1892" i="1" s="1"/>
  <c r="CI1891" i="1"/>
  <c r="CI1890" i="1"/>
  <c r="CJ1889" i="1"/>
  <c r="CI1889" i="1"/>
  <c r="CJ1888" i="1"/>
  <c r="CI1888" i="1"/>
  <c r="BZ1888" i="1"/>
  <c r="BX1888" i="1"/>
  <c r="BY1888" i="1" s="1"/>
  <c r="CJ1887" i="1"/>
  <c r="CI1887" i="1"/>
  <c r="CJ1886" i="1"/>
  <c r="CI1886" i="1"/>
  <c r="BX1886" i="1" s="1"/>
  <c r="CJ1885" i="1"/>
  <c r="CI1885" i="1"/>
  <c r="CJ1884" i="1"/>
  <c r="CI1884" i="1"/>
  <c r="CI1883" i="1"/>
  <c r="BX1883" i="1" s="1"/>
  <c r="BY1883" i="1" s="1"/>
  <c r="BZ1883" i="1" s="1"/>
  <c r="CJ1882" i="1"/>
  <c r="CI1882" i="1"/>
  <c r="BZ1882" i="1"/>
  <c r="BX1882" i="1"/>
  <c r="BY1882" i="1" s="1"/>
  <c r="CI1881" i="1"/>
  <c r="CJ1881" i="1" s="1"/>
  <c r="CI1880" i="1"/>
  <c r="CJ1880" i="1" s="1"/>
  <c r="CJ1879" i="1"/>
  <c r="CI1879" i="1"/>
  <c r="CI1878" i="1"/>
  <c r="CJ1877" i="1"/>
  <c r="CI1877" i="1"/>
  <c r="BX1877" i="1"/>
  <c r="BY1877" i="1" s="1"/>
  <c r="BZ1877" i="1" s="1"/>
  <c r="CJ1876" i="1"/>
  <c r="CI1876" i="1"/>
  <c r="BX1876" i="1"/>
  <c r="BY1876" i="1" s="1"/>
  <c r="BZ1876" i="1" s="1"/>
  <c r="CJ1875" i="1"/>
  <c r="CI1875" i="1"/>
  <c r="CI1874" i="1"/>
  <c r="CJ1873" i="1"/>
  <c r="CI1873" i="1"/>
  <c r="BX1873" i="1"/>
  <c r="BY1873" i="1" s="1"/>
  <c r="BZ1873" i="1" s="1"/>
  <c r="CJ1872" i="1"/>
  <c r="CI1872" i="1"/>
  <c r="BX1872" i="1"/>
  <c r="CI1871" i="1"/>
  <c r="CI1870" i="1"/>
  <c r="CJ1870" i="1" s="1"/>
  <c r="BY1870" i="1"/>
  <c r="BZ1870" i="1" s="1"/>
  <c r="BX1870" i="1"/>
  <c r="CJ1869" i="1"/>
  <c r="CI1869" i="1"/>
  <c r="BX1869" i="1"/>
  <c r="BY1869" i="1" s="1"/>
  <c r="BZ1869" i="1" s="1"/>
  <c r="CI1868" i="1"/>
  <c r="CJ1868" i="1" s="1"/>
  <c r="CI1867" i="1"/>
  <c r="CJ1867" i="1" s="1"/>
  <c r="CJ1866" i="1"/>
  <c r="CI1866" i="1"/>
  <c r="CI1865" i="1"/>
  <c r="CJ1865" i="1" s="1"/>
  <c r="CJ1864" i="1"/>
  <c r="CI1864" i="1"/>
  <c r="CI1863" i="1"/>
  <c r="CI1862" i="1"/>
  <c r="CJ1862" i="1" s="1"/>
  <c r="CJ1861" i="1"/>
  <c r="CI1861" i="1"/>
  <c r="CI1860" i="1"/>
  <c r="CI1859" i="1"/>
  <c r="CJ1858" i="1"/>
  <c r="CI1858" i="1"/>
  <c r="BX1858" i="1"/>
  <c r="BY1858" i="1" s="1"/>
  <c r="BZ1858" i="1" s="1"/>
  <c r="CI1857" i="1"/>
  <c r="CJ1857" i="1" s="1"/>
  <c r="CI1856" i="1"/>
  <c r="CJ1856" i="1" s="1"/>
  <c r="CJ1855" i="1"/>
  <c r="CI1855" i="1"/>
  <c r="BY1855" i="1"/>
  <c r="BZ1855" i="1" s="1"/>
  <c r="BX1855" i="1"/>
  <c r="CI1854" i="1"/>
  <c r="CI1853" i="1"/>
  <c r="CJ1853" i="1" s="1"/>
  <c r="CJ1852" i="1"/>
  <c r="CI1852" i="1"/>
  <c r="BY1852" i="1"/>
  <c r="BZ1852" i="1" s="1"/>
  <c r="BX1852" i="1"/>
  <c r="CI1851" i="1"/>
  <c r="CJ1850" i="1"/>
  <c r="CI1850" i="1"/>
  <c r="BX1850" i="1" s="1"/>
  <c r="BY1850" i="1" s="1"/>
  <c r="BZ1850" i="1" s="1"/>
  <c r="CI1849" i="1"/>
  <c r="CJ1849" i="1" s="1"/>
  <c r="CI1848" i="1"/>
  <c r="CJ1848" i="1" s="1"/>
  <c r="CI1847" i="1"/>
  <c r="CJ1847" i="1" s="1"/>
  <c r="CI1846" i="1"/>
  <c r="CJ1846" i="1" s="1"/>
  <c r="CJ1845" i="1"/>
  <c r="CI1845" i="1"/>
  <c r="CI1844" i="1"/>
  <c r="CJ1844" i="1" s="1"/>
  <c r="CI1843" i="1"/>
  <c r="CJ1843" i="1" s="1"/>
  <c r="CI1842" i="1"/>
  <c r="CJ1842" i="1" s="1"/>
  <c r="CI1841" i="1"/>
  <c r="CJ1841" i="1" s="1"/>
  <c r="CI1840" i="1"/>
  <c r="CJ1840" i="1" s="1"/>
  <c r="CJ1839" i="1"/>
  <c r="CI1839" i="1"/>
  <c r="CJ1838" i="1"/>
  <c r="CI1838" i="1"/>
  <c r="CJ1837" i="1"/>
  <c r="CI1837" i="1"/>
  <c r="CI1836" i="1"/>
  <c r="CJ1836" i="1" s="1"/>
  <c r="CI1835" i="1"/>
  <c r="CJ1835" i="1" s="1"/>
  <c r="CI1834" i="1"/>
  <c r="CJ1833" i="1"/>
  <c r="CI1833" i="1"/>
  <c r="BX1833" i="1"/>
  <c r="BY1833" i="1" s="1"/>
  <c r="BZ1833" i="1" s="1"/>
  <c r="CI1832" i="1"/>
  <c r="CJ1832" i="1" s="1"/>
  <c r="CI1831" i="1"/>
  <c r="BX1832" i="1" s="1"/>
  <c r="BY1832" i="1" s="1"/>
  <c r="BZ1832" i="1" s="1"/>
  <c r="BX1831" i="1"/>
  <c r="BY1831" i="1" s="1"/>
  <c r="BZ1831" i="1" s="1"/>
  <c r="CI1830" i="1"/>
  <c r="CJ1829" i="1"/>
  <c r="CI1829" i="1"/>
  <c r="CI1828" i="1"/>
  <c r="CI1827" i="1"/>
  <c r="CI1826" i="1"/>
  <c r="CJ1826" i="1" s="1"/>
  <c r="BX1826" i="1"/>
  <c r="BY1826" i="1" s="1"/>
  <c r="BZ1826" i="1" s="1"/>
  <c r="CJ1825" i="1"/>
  <c r="CI1825" i="1"/>
  <c r="BX1825" i="1" s="1"/>
  <c r="BY1825" i="1"/>
  <c r="BZ1825" i="1" s="1"/>
  <c r="CJ1824" i="1"/>
  <c r="CI1824" i="1"/>
  <c r="BY1824" i="1"/>
  <c r="BZ1824" i="1" s="1"/>
  <c r="BX1824" i="1"/>
  <c r="CJ1823" i="1"/>
  <c r="CI1823" i="1"/>
  <c r="BX1823" i="1" s="1"/>
  <c r="BZ1823" i="1"/>
  <c r="BY1823" i="1"/>
  <c r="CJ1822" i="1"/>
  <c r="CI1822" i="1"/>
  <c r="BZ1822" i="1"/>
  <c r="BX1822" i="1"/>
  <c r="BY1822" i="1" s="1"/>
  <c r="CJ1821" i="1"/>
  <c r="CI1821" i="1"/>
  <c r="CJ1820" i="1"/>
  <c r="CI1820" i="1"/>
  <c r="CI1819" i="1"/>
  <c r="BX1819" i="1" s="1"/>
  <c r="BY1819" i="1" s="1"/>
  <c r="BZ1819" i="1" s="1"/>
  <c r="CJ1818" i="1"/>
  <c r="CI1818" i="1"/>
  <c r="BX1818" i="1" s="1"/>
  <c r="BY1818" i="1" s="1"/>
  <c r="BZ1818" i="1" s="1"/>
  <c r="CJ1817" i="1"/>
  <c r="CI1817" i="1"/>
  <c r="CI1816" i="1"/>
  <c r="CJ1816" i="1" s="1"/>
  <c r="BX1816" i="1"/>
  <c r="BY1816" i="1" s="1"/>
  <c r="BZ1816" i="1" s="1"/>
  <c r="CJ1815" i="1"/>
  <c r="CI1815" i="1"/>
  <c r="BZ1815" i="1"/>
  <c r="BX1815" i="1"/>
  <c r="BY1815" i="1" s="1"/>
  <c r="CJ1814" i="1"/>
  <c r="CI1814" i="1"/>
  <c r="CI1813" i="1"/>
  <c r="CJ1812" i="1"/>
  <c r="CI1812" i="1"/>
  <c r="CI1811" i="1"/>
  <c r="CI1810" i="1"/>
  <c r="CJ1810" i="1" s="1"/>
  <c r="BX1810" i="1"/>
  <c r="BY1810" i="1" s="1"/>
  <c r="BZ1810" i="1" s="1"/>
  <c r="CJ1809" i="1"/>
  <c r="CI1809" i="1"/>
  <c r="CI1808" i="1"/>
  <c r="CI1807" i="1"/>
  <c r="CJ1807" i="1" s="1"/>
  <c r="CJ1806" i="1"/>
  <c r="CI1806" i="1"/>
  <c r="CI1805" i="1"/>
  <c r="CJ1804" i="1"/>
  <c r="CI1804" i="1"/>
  <c r="BX1804" i="1"/>
  <c r="BY1804" i="1" s="1"/>
  <c r="BZ1804" i="1" s="1"/>
  <c r="CJ1803" i="1"/>
  <c r="CI1803" i="1"/>
  <c r="BY1803" i="1"/>
  <c r="BZ1803" i="1" s="1"/>
  <c r="BX1803" i="1"/>
  <c r="CJ1802" i="1"/>
  <c r="CI1802" i="1"/>
  <c r="CI1801" i="1"/>
  <c r="BX1802" i="1" s="1"/>
  <c r="BY1802" i="1" s="1"/>
  <c r="BZ1802" i="1" s="1"/>
  <c r="CI1800" i="1"/>
  <c r="CJ1799" i="1"/>
  <c r="CI1799" i="1"/>
  <c r="BY1799" i="1"/>
  <c r="BZ1799" i="1" s="1"/>
  <c r="BX1799" i="1"/>
  <c r="CJ1798" i="1"/>
  <c r="CI1798" i="1"/>
  <c r="BX1798" i="1" s="1"/>
  <c r="BY1798" i="1"/>
  <c r="BZ1798" i="1" s="1"/>
  <c r="CJ1797" i="1"/>
  <c r="CI1797" i="1"/>
  <c r="BZ1797" i="1"/>
  <c r="BX1797" i="1"/>
  <c r="BY1797" i="1" s="1"/>
  <c r="CJ1796" i="1"/>
  <c r="CI1796" i="1"/>
  <c r="BZ1796" i="1"/>
  <c r="BY1796" i="1"/>
  <c r="BX1796" i="1"/>
  <c r="CJ1795" i="1"/>
  <c r="CI1795" i="1"/>
  <c r="CI1794" i="1"/>
  <c r="CI1793" i="1"/>
  <c r="CJ1793" i="1" s="1"/>
  <c r="CJ1792" i="1"/>
  <c r="CI1792" i="1"/>
  <c r="BX1792" i="1"/>
  <c r="BY1792" i="1" s="1"/>
  <c r="BZ1792" i="1" s="1"/>
  <c r="CI1791" i="1"/>
  <c r="CJ1791" i="1" s="1"/>
  <c r="CJ1790" i="1"/>
  <c r="CI1790" i="1"/>
  <c r="BX1790" i="1"/>
  <c r="BY1790" i="1" s="1"/>
  <c r="BZ1790" i="1" s="1"/>
  <c r="CJ1789" i="1"/>
  <c r="CI1789" i="1"/>
  <c r="CI1788" i="1"/>
  <c r="CI1787" i="1"/>
  <c r="CJ1787" i="1" s="1"/>
  <c r="CJ1786" i="1"/>
  <c r="CI1786" i="1"/>
  <c r="CI1785" i="1"/>
  <c r="CJ1785" i="1" s="1"/>
  <c r="CJ1784" i="1"/>
  <c r="CI1784" i="1"/>
  <c r="BX1784" i="1"/>
  <c r="BY1784" i="1" s="1"/>
  <c r="BZ1784" i="1" s="1"/>
  <c r="CJ1783" i="1"/>
  <c r="CI1783" i="1"/>
  <c r="BX1783" i="1"/>
  <c r="CJ1782" i="1"/>
  <c r="CI1782" i="1"/>
  <c r="BX1782" i="1"/>
  <c r="BY1782" i="1" s="1"/>
  <c r="BZ1782" i="1" s="1"/>
  <c r="CJ1781" i="1"/>
  <c r="CI1781" i="1"/>
  <c r="CJ1780" i="1"/>
  <c r="CI1780" i="1"/>
  <c r="BX1780" i="1" s="1"/>
  <c r="BY1780" i="1" s="1"/>
  <c r="BZ1780" i="1" s="1"/>
  <c r="CJ1779" i="1"/>
  <c r="CI1779" i="1"/>
  <c r="BX1779" i="1" s="1"/>
  <c r="BY1779" i="1" s="1"/>
  <c r="BZ1779" i="1" s="1"/>
  <c r="CI1778" i="1"/>
  <c r="BX1778" i="1" s="1"/>
  <c r="BY1778" i="1" s="1"/>
  <c r="BZ1778" i="1"/>
  <c r="CI1777" i="1"/>
  <c r="CJ1777" i="1" s="1"/>
  <c r="CJ1776" i="1"/>
  <c r="CI1776" i="1"/>
  <c r="BY1776" i="1"/>
  <c r="BZ1776" i="1" s="1"/>
  <c r="BX1776" i="1"/>
  <c r="CJ1775" i="1"/>
  <c r="CI1775" i="1"/>
  <c r="BX1775" i="1"/>
  <c r="BY1775" i="1" s="1"/>
  <c r="BZ1775" i="1" s="1"/>
  <c r="CI1774" i="1"/>
  <c r="CJ1773" i="1"/>
  <c r="CI1773" i="1"/>
  <c r="BZ1773" i="1"/>
  <c r="CI1772" i="1"/>
  <c r="BX1773" i="1" s="1"/>
  <c r="BY1773" i="1" s="1"/>
  <c r="CI1771" i="1"/>
  <c r="CJ1770" i="1"/>
  <c r="CI1770" i="1"/>
  <c r="BX1770" i="1"/>
  <c r="BY1770" i="1" s="1"/>
  <c r="BZ1770" i="1" s="1"/>
  <c r="CJ1769" i="1"/>
  <c r="CI1769" i="1"/>
  <c r="BX1769" i="1"/>
  <c r="BY1769" i="1" s="1"/>
  <c r="BZ1769" i="1" s="1"/>
  <c r="CJ1768" i="1"/>
  <c r="CI1768" i="1"/>
  <c r="BY1768" i="1"/>
  <c r="BZ1768" i="1" s="1"/>
  <c r="BX1768" i="1"/>
  <c r="CJ1767" i="1"/>
  <c r="CI1767" i="1"/>
  <c r="CJ1766" i="1"/>
  <c r="CI1766" i="1"/>
  <c r="BX1766" i="1" s="1"/>
  <c r="BY1766" i="1" s="1"/>
  <c r="BZ1766" i="1" s="1"/>
  <c r="CJ1765" i="1"/>
  <c r="CI1765" i="1"/>
  <c r="CI1764" i="1"/>
  <c r="BX1764" i="1" s="1"/>
  <c r="BY1764" i="1"/>
  <c r="BZ1764" i="1" s="1"/>
  <c r="CJ1763" i="1"/>
  <c r="CI1763" i="1"/>
  <c r="CJ1762" i="1"/>
  <c r="CI1762" i="1"/>
  <c r="CJ1761" i="1"/>
  <c r="CI1761" i="1"/>
  <c r="BX1761" i="1" s="1"/>
  <c r="BY1761" i="1" s="1"/>
  <c r="BZ1761" i="1" s="1"/>
  <c r="CJ1760" i="1"/>
  <c r="CI1760" i="1"/>
  <c r="BX1760" i="1" s="1"/>
  <c r="BY1760" i="1" s="1"/>
  <c r="BZ1760" i="1" s="1"/>
  <c r="CI1759" i="1"/>
  <c r="CJ1759" i="1" s="1"/>
  <c r="CJ1758" i="1"/>
  <c r="CI1758" i="1"/>
  <c r="BX1758" i="1"/>
  <c r="CJ1757" i="1"/>
  <c r="CI1757" i="1"/>
  <c r="BY1757" i="1"/>
  <c r="BZ1757" i="1" s="1"/>
  <c r="BX1757" i="1"/>
  <c r="CI1756" i="1"/>
  <c r="CJ1756" i="1" s="1"/>
  <c r="CI1755" i="1"/>
  <c r="BX1755" i="1" s="1"/>
  <c r="BY1755" i="1"/>
  <c r="BZ1755" i="1" s="1"/>
  <c r="CJ1754" i="1"/>
  <c r="CI1754" i="1"/>
  <c r="BX1754" i="1"/>
  <c r="BY1754" i="1" s="1"/>
  <c r="BZ1754" i="1" s="1"/>
  <c r="CI1753" i="1"/>
  <c r="CJ1753" i="1" s="1"/>
  <c r="CI1752" i="1"/>
  <c r="CI1751" i="1"/>
  <c r="CJ1751" i="1" s="1"/>
  <c r="CI1750" i="1"/>
  <c r="CJ1750" i="1" s="1"/>
  <c r="CI1749" i="1"/>
  <c r="BX1750" i="1" s="1"/>
  <c r="BY1750" i="1" s="1"/>
  <c r="BZ1750" i="1" s="1"/>
  <c r="BX1749" i="1"/>
  <c r="BY1749" i="1" s="1"/>
  <c r="BZ1749" i="1" s="1"/>
  <c r="CI1748" i="1"/>
  <c r="CJ1748" i="1" s="1"/>
  <c r="CI1747" i="1"/>
  <c r="CI1746" i="1"/>
  <c r="CJ1746" i="1" s="1"/>
  <c r="CI1745" i="1"/>
  <c r="CI1744" i="1"/>
  <c r="CJ1744" i="1" s="1"/>
  <c r="CI1743" i="1"/>
  <c r="CI1742" i="1"/>
  <c r="CJ1742" i="1" s="1"/>
  <c r="CI1741" i="1"/>
  <c r="CJ1741" i="1" s="1"/>
  <c r="CI1740" i="1"/>
  <c r="CI1739" i="1"/>
  <c r="BX1739" i="1" s="1"/>
  <c r="BY1739" i="1" s="1"/>
  <c r="BZ1739" i="1" s="1"/>
  <c r="CJ1738" i="1"/>
  <c r="CI1738" i="1"/>
  <c r="CI1737" i="1"/>
  <c r="CJ1736" i="1"/>
  <c r="CI1736" i="1"/>
  <c r="BX1736" i="1"/>
  <c r="BY1736" i="1" s="1"/>
  <c r="BZ1736" i="1" s="1"/>
  <c r="CJ1735" i="1"/>
  <c r="CI1735" i="1"/>
  <c r="BY1735" i="1"/>
  <c r="BZ1735" i="1" s="1"/>
  <c r="BX1735" i="1"/>
  <c r="CJ1734" i="1"/>
  <c r="CI1734" i="1"/>
  <c r="CI1733" i="1"/>
  <c r="BX1734" i="1" s="1"/>
  <c r="BY1734" i="1" s="1"/>
  <c r="BZ1734" i="1" s="1"/>
  <c r="CI1732" i="1"/>
  <c r="CJ1732" i="1" s="1"/>
  <c r="CI1731" i="1"/>
  <c r="CJ1730" i="1"/>
  <c r="CI1730" i="1"/>
  <c r="BZ1730" i="1"/>
  <c r="CI1729" i="1"/>
  <c r="BX1730" i="1" s="1"/>
  <c r="BY1730" i="1" s="1"/>
  <c r="CI1728" i="1"/>
  <c r="CJ1728" i="1" s="1"/>
  <c r="CJ1727" i="1"/>
  <c r="CI1727" i="1"/>
  <c r="BY1727" i="1"/>
  <c r="BZ1727" i="1" s="1"/>
  <c r="BX1727" i="1"/>
  <c r="CJ1726" i="1"/>
  <c r="CI1726" i="1"/>
  <c r="CJ1725" i="1"/>
  <c r="CI1725" i="1"/>
  <c r="BX1725" i="1" s="1"/>
  <c r="BY1725" i="1" s="1"/>
  <c r="BZ1725" i="1" s="1"/>
  <c r="CI1724" i="1"/>
  <c r="BX1724" i="1" s="1"/>
  <c r="BY1724" i="1"/>
  <c r="BZ1724" i="1" s="1"/>
  <c r="CJ1723" i="1"/>
  <c r="CI1723" i="1"/>
  <c r="CJ1722" i="1"/>
  <c r="CI1722" i="1"/>
  <c r="BZ1722" i="1"/>
  <c r="BX1722" i="1"/>
  <c r="BY1722" i="1" s="1"/>
  <c r="CJ1721" i="1"/>
  <c r="CI1721" i="1"/>
  <c r="CI1720" i="1"/>
  <c r="CJ1720" i="1" s="1"/>
  <c r="CI1719" i="1"/>
  <c r="CJ1719" i="1" s="1"/>
  <c r="CI1718" i="1"/>
  <c r="CJ1718" i="1" s="1"/>
  <c r="CI1717" i="1"/>
  <c r="CJ1717" i="1" s="1"/>
  <c r="CJ1716" i="1"/>
  <c r="CI1716" i="1"/>
  <c r="BX1716" i="1"/>
  <c r="BY1716" i="1" s="1"/>
  <c r="BZ1716" i="1" s="1"/>
  <c r="CJ1715" i="1"/>
  <c r="CI1715" i="1"/>
  <c r="CJ1714" i="1"/>
  <c r="CI1714" i="1"/>
  <c r="CJ1713" i="1"/>
  <c r="CI1713" i="1"/>
  <c r="CI1712" i="1"/>
  <c r="CI1711" i="1"/>
  <c r="CJ1711" i="1" s="1"/>
  <c r="CJ1710" i="1"/>
  <c r="CI1710" i="1"/>
  <c r="CI1709" i="1"/>
  <c r="CJ1709" i="1" s="1"/>
  <c r="BX1709" i="1"/>
  <c r="CJ1708" i="1"/>
  <c r="CI1708" i="1"/>
  <c r="BX1708" i="1"/>
  <c r="BY1708" i="1" s="1"/>
  <c r="BZ1708" i="1" s="1"/>
  <c r="CI1707" i="1"/>
  <c r="CJ1707" i="1" s="1"/>
  <c r="BZ1707" i="1"/>
  <c r="CI1706" i="1"/>
  <c r="BX1707" i="1" s="1"/>
  <c r="BY1707" i="1" s="1"/>
  <c r="BZ1706" i="1"/>
  <c r="BX1706" i="1"/>
  <c r="BY1706" i="1" s="1"/>
  <c r="CI1705" i="1"/>
  <c r="CJ1705" i="1" s="1"/>
  <c r="BX1705" i="1"/>
  <c r="BY1705" i="1" s="1"/>
  <c r="BZ1705" i="1" s="1"/>
  <c r="CI1704" i="1"/>
  <c r="CJ1704" i="1" s="1"/>
  <c r="CJ1703" i="1"/>
  <c r="CI1703" i="1"/>
  <c r="CI1702" i="1"/>
  <c r="CI1701" i="1"/>
  <c r="CJ1700" i="1"/>
  <c r="CI1700" i="1"/>
  <c r="BX1700" i="1" s="1"/>
  <c r="BY1700" i="1" s="1"/>
  <c r="BZ1700" i="1" s="1"/>
  <c r="CJ1699" i="1"/>
  <c r="CI1699" i="1"/>
  <c r="BZ1699" i="1"/>
  <c r="BX1699" i="1"/>
  <c r="BY1699" i="1" s="1"/>
  <c r="CI1698" i="1"/>
  <c r="CJ1697" i="1"/>
  <c r="CI1697" i="1"/>
  <c r="CJ1696" i="1"/>
  <c r="CI1696" i="1"/>
  <c r="BX1696" i="1"/>
  <c r="CJ1695" i="1"/>
  <c r="CI1695" i="1"/>
  <c r="BX1695" i="1"/>
  <c r="BY1695" i="1" s="1"/>
  <c r="BZ1695" i="1" s="1"/>
  <c r="CJ1694" i="1"/>
  <c r="CI1694" i="1"/>
  <c r="CI1693" i="1"/>
  <c r="CJ1693" i="1" s="1"/>
  <c r="CJ1692" i="1"/>
  <c r="CI1692" i="1"/>
  <c r="BX1692" i="1" s="1"/>
  <c r="BY1692" i="1" s="1"/>
  <c r="BZ1692" i="1" s="1"/>
  <c r="CJ1691" i="1"/>
  <c r="CI1691" i="1"/>
  <c r="CI1690" i="1"/>
  <c r="CJ1690" i="1" s="1"/>
  <c r="CI1689" i="1"/>
  <c r="CJ1689" i="1" s="1"/>
  <c r="CI1688" i="1"/>
  <c r="CJ1688" i="1" s="1"/>
  <c r="CJ1687" i="1"/>
  <c r="CI1687" i="1"/>
  <c r="CJ1686" i="1"/>
  <c r="CI1686" i="1"/>
  <c r="BX1686" i="1"/>
  <c r="BY1686" i="1" s="1"/>
  <c r="BZ1686" i="1" s="1"/>
  <c r="CJ1685" i="1"/>
  <c r="CI1685" i="1"/>
  <c r="CI1684" i="1"/>
  <c r="CJ1683" i="1"/>
  <c r="CI1683" i="1"/>
  <c r="CJ1682" i="1"/>
  <c r="CI1682" i="1"/>
  <c r="BX1682" i="1" s="1"/>
  <c r="CI1681" i="1"/>
  <c r="CJ1681" i="1" s="1"/>
  <c r="BY1681" i="1"/>
  <c r="BZ1681" i="1" s="1"/>
  <c r="BX1681" i="1"/>
  <c r="CJ1680" i="1"/>
  <c r="CI1680" i="1"/>
  <c r="CI1679" i="1"/>
  <c r="BX1679" i="1" s="1"/>
  <c r="BY1679" i="1" s="1"/>
  <c r="BZ1679" i="1" s="1"/>
  <c r="CJ1678" i="1"/>
  <c r="CI1678" i="1"/>
  <c r="BX1678" i="1"/>
  <c r="BY1678" i="1" s="1"/>
  <c r="BZ1678" i="1" s="1"/>
  <c r="CJ1677" i="1"/>
  <c r="CI1677" i="1"/>
  <c r="CI1676" i="1"/>
  <c r="CI1675" i="1"/>
  <c r="CJ1675" i="1" s="1"/>
  <c r="CI1674" i="1"/>
  <c r="CJ1673" i="1"/>
  <c r="CI1673" i="1"/>
  <c r="CJ1672" i="1"/>
  <c r="CI1672" i="1"/>
  <c r="BX1672" i="1"/>
  <c r="BY1672" i="1" s="1"/>
  <c r="BZ1672" i="1" s="1"/>
  <c r="CJ1671" i="1"/>
  <c r="CI1671" i="1"/>
  <c r="BX1671" i="1"/>
  <c r="BY1671" i="1" s="1"/>
  <c r="BZ1671" i="1" s="1"/>
  <c r="CJ1670" i="1"/>
  <c r="CI1670" i="1"/>
  <c r="CI1669" i="1"/>
  <c r="CI1668" i="1"/>
  <c r="CJ1668" i="1" s="1"/>
  <c r="BX1668" i="1"/>
  <c r="CI1667" i="1"/>
  <c r="CJ1667" i="1" s="1"/>
  <c r="CJ1666" i="1"/>
  <c r="CI1666" i="1"/>
  <c r="CI1665" i="1"/>
  <c r="CJ1665" i="1" s="1"/>
  <c r="CI1664" i="1"/>
  <c r="CJ1664" i="1" s="1"/>
  <c r="CJ1663" i="1"/>
  <c r="CI1663" i="1"/>
  <c r="BY1663" i="1"/>
  <c r="BZ1663" i="1" s="1"/>
  <c r="BX1663" i="1"/>
  <c r="CJ1662" i="1"/>
  <c r="CI1662" i="1"/>
  <c r="BX1662" i="1"/>
  <c r="BY1662" i="1" s="1"/>
  <c r="BZ1662" i="1" s="1"/>
  <c r="CI1661" i="1"/>
  <c r="CJ1661" i="1" s="1"/>
  <c r="CJ1660" i="1"/>
  <c r="CI1660" i="1"/>
  <c r="BX1660" i="1" s="1"/>
  <c r="BY1660" i="1"/>
  <c r="BZ1660" i="1" s="1"/>
  <c r="CJ1659" i="1"/>
  <c r="CI1659" i="1"/>
  <c r="BX1659" i="1"/>
  <c r="BY1659" i="1" s="1"/>
  <c r="BZ1659" i="1" s="1"/>
  <c r="CI1658" i="1"/>
  <c r="CJ1658" i="1" s="1"/>
  <c r="CJ1657" i="1"/>
  <c r="CI1657" i="1"/>
  <c r="CJ1656" i="1"/>
  <c r="CI1656" i="1"/>
  <c r="BX1656" i="1" s="1"/>
  <c r="BY1656" i="1"/>
  <c r="BZ1656" i="1" s="1"/>
  <c r="CJ1655" i="1"/>
  <c r="CI1655" i="1"/>
  <c r="BX1655" i="1"/>
  <c r="BY1655" i="1" s="1"/>
  <c r="BZ1655" i="1" s="1"/>
  <c r="CJ1654" i="1"/>
  <c r="CI1654" i="1"/>
  <c r="CI1653" i="1"/>
  <c r="BX1654" i="1" s="1"/>
  <c r="CI1652" i="1"/>
  <c r="CI1651" i="1"/>
  <c r="CJ1651" i="1" s="1"/>
  <c r="CI1650" i="1"/>
  <c r="CJ1649" i="1"/>
  <c r="CI1649" i="1"/>
  <c r="CI1648" i="1"/>
  <c r="CJ1648" i="1" s="1"/>
  <c r="CJ1647" i="1"/>
  <c r="CI1647" i="1"/>
  <c r="BY1647" i="1"/>
  <c r="BZ1647" i="1" s="1"/>
  <c r="BX1647" i="1"/>
  <c r="CJ1646" i="1"/>
  <c r="CI1646" i="1"/>
  <c r="CI1645" i="1"/>
  <c r="CI1644" i="1"/>
  <c r="BX1644" i="1" s="1"/>
  <c r="BY1644" i="1" s="1"/>
  <c r="BZ1644" i="1"/>
  <c r="CJ1643" i="1"/>
  <c r="CI1643" i="1"/>
  <c r="CJ1642" i="1"/>
  <c r="CI1642" i="1"/>
  <c r="CJ1641" i="1"/>
  <c r="CI1641" i="1"/>
  <c r="BX1641" i="1"/>
  <c r="BY1641" i="1" s="1"/>
  <c r="BZ1641" i="1" s="1"/>
  <c r="CJ1640" i="1"/>
  <c r="CI1640" i="1"/>
  <c r="BY1640" i="1"/>
  <c r="BZ1640" i="1" s="1"/>
  <c r="BX1640" i="1"/>
  <c r="CJ1639" i="1"/>
  <c r="CI1639" i="1"/>
  <c r="BX1639" i="1"/>
  <c r="BY1639" i="1" s="1"/>
  <c r="BZ1639" i="1" s="1"/>
  <c r="CI1638" i="1"/>
  <c r="CJ1637" i="1"/>
  <c r="CI1637" i="1"/>
  <c r="CI1636" i="1"/>
  <c r="CI1635" i="1"/>
  <c r="CJ1634" i="1"/>
  <c r="CI1634" i="1"/>
  <c r="CJ1633" i="1"/>
  <c r="CI1633" i="1"/>
  <c r="BX1633" i="1"/>
  <c r="BY1633" i="1" s="1"/>
  <c r="BZ1633" i="1" s="1"/>
  <c r="CI1632" i="1"/>
  <c r="CJ1631" i="1"/>
  <c r="CI1631" i="1"/>
  <c r="CI1630" i="1"/>
  <c r="CJ1630" i="1" s="1"/>
  <c r="BX1630" i="1"/>
  <c r="BY1630" i="1" s="1"/>
  <c r="BZ1630" i="1" s="1"/>
  <c r="CI1629" i="1"/>
  <c r="CI1628" i="1"/>
  <c r="CJ1628" i="1" s="1"/>
  <c r="CJ1627" i="1"/>
  <c r="CI1627" i="1"/>
  <c r="BX1627" i="1"/>
  <c r="BY1627" i="1" s="1"/>
  <c r="BZ1627" i="1" s="1"/>
  <c r="CI1626" i="1"/>
  <c r="CJ1625" i="1"/>
  <c r="CI1625" i="1"/>
  <c r="BX1625" i="1"/>
  <c r="BY1625" i="1" s="1"/>
  <c r="BZ1625" i="1" s="1"/>
  <c r="CI1624" i="1"/>
  <c r="CJ1624" i="1" s="1"/>
  <c r="CJ1623" i="1"/>
  <c r="CI1623" i="1"/>
  <c r="CI1622" i="1"/>
  <c r="CJ1621" i="1"/>
  <c r="CI1621" i="1"/>
  <c r="CJ1620" i="1"/>
  <c r="CI1620" i="1"/>
  <c r="CI1619" i="1"/>
  <c r="CI1618" i="1"/>
  <c r="CJ1618" i="1" s="1"/>
  <c r="CI1617" i="1"/>
  <c r="CJ1617" i="1" s="1"/>
  <c r="CI1616" i="1"/>
  <c r="CJ1616" i="1" s="1"/>
  <c r="CI1615" i="1"/>
  <c r="CJ1615" i="1" s="1"/>
  <c r="CI1614" i="1"/>
  <c r="CJ1614" i="1" s="1"/>
  <c r="CI1613" i="1"/>
  <c r="CJ1613" i="1" s="1"/>
  <c r="CI1612" i="1"/>
  <c r="CJ1612" i="1" s="1"/>
  <c r="CI1611" i="1"/>
  <c r="CJ1611" i="1" s="1"/>
  <c r="CJ1610" i="1"/>
  <c r="CI1610" i="1"/>
  <c r="CI1609" i="1"/>
  <c r="CJ1608" i="1"/>
  <c r="CI1608" i="1"/>
  <c r="BX1608" i="1"/>
  <c r="BY1608" i="1" s="1"/>
  <c r="BZ1608" i="1" s="1"/>
  <c r="CI1607" i="1"/>
  <c r="CJ1607" i="1" s="1"/>
  <c r="BX1607" i="1"/>
  <c r="BY1607" i="1" s="1"/>
  <c r="BZ1607" i="1" s="1"/>
  <c r="CJ1606" i="1"/>
  <c r="CI1606" i="1"/>
  <c r="CI1605" i="1"/>
  <c r="CJ1605" i="1" s="1"/>
  <c r="CI1604" i="1"/>
  <c r="CJ1604" i="1" s="1"/>
  <c r="CI1603" i="1"/>
  <c r="CJ1603" i="1" s="1"/>
  <c r="CJ1602" i="1"/>
  <c r="CI1602" i="1"/>
  <c r="CI1601" i="1"/>
  <c r="CJ1601" i="1" s="1"/>
  <c r="CI1600" i="1"/>
  <c r="CJ1600" i="1" s="1"/>
  <c r="CI1599" i="1"/>
  <c r="CJ1599" i="1" s="1"/>
  <c r="CI1598" i="1"/>
  <c r="CJ1598" i="1" s="1"/>
  <c r="CI1597" i="1"/>
  <c r="CJ1597" i="1" s="1"/>
  <c r="CI1596" i="1"/>
  <c r="CJ1596" i="1" s="1"/>
  <c r="CI1595" i="1"/>
  <c r="CJ1595" i="1" s="1"/>
  <c r="CI1594" i="1"/>
  <c r="CJ1593" i="1"/>
  <c r="CI1593" i="1"/>
  <c r="CI1592" i="1"/>
  <c r="CJ1591" i="1"/>
  <c r="CI1591" i="1"/>
  <c r="BX1591" i="1"/>
  <c r="BY1591" i="1" s="1"/>
  <c r="BZ1591" i="1" s="1"/>
  <c r="CJ1590" i="1"/>
  <c r="CI1590" i="1"/>
  <c r="CI1589" i="1"/>
  <c r="CJ1589" i="1" s="1"/>
  <c r="BX1589" i="1"/>
  <c r="CJ1588" i="1"/>
  <c r="CI1588" i="1"/>
  <c r="CI1587" i="1"/>
  <c r="CI1586" i="1"/>
  <c r="CJ1586" i="1" s="1"/>
  <c r="CJ1585" i="1"/>
  <c r="CI1585" i="1"/>
  <c r="BX1585" i="1"/>
  <c r="CI1584" i="1"/>
  <c r="CJ1584" i="1" s="1"/>
  <c r="BY1584" i="1"/>
  <c r="BZ1584" i="1" s="1"/>
  <c r="BX1584" i="1"/>
  <c r="CJ1583" i="1"/>
  <c r="CI1583" i="1"/>
  <c r="CI1582" i="1"/>
  <c r="CI1581" i="1"/>
  <c r="CJ1581" i="1" s="1"/>
  <c r="BX1581" i="1"/>
  <c r="BY1581" i="1" s="1"/>
  <c r="BZ1581" i="1" s="1"/>
  <c r="CJ1580" i="1"/>
  <c r="CI1580" i="1"/>
  <c r="CI1579" i="1"/>
  <c r="CJ1578" i="1"/>
  <c r="CI1578" i="1"/>
  <c r="CI1577" i="1"/>
  <c r="CJ1576" i="1"/>
  <c r="CI1576" i="1"/>
  <c r="CJ1575" i="1"/>
  <c r="CI1575" i="1"/>
  <c r="BX1575" i="1"/>
  <c r="BY1575" i="1" s="1"/>
  <c r="BZ1575" i="1" s="1"/>
  <c r="CI1574" i="1"/>
  <c r="CJ1573" i="1"/>
  <c r="CI1573" i="1"/>
  <c r="CI1572" i="1"/>
  <c r="CJ1571" i="1"/>
  <c r="CI1571" i="1"/>
  <c r="BX1571" i="1"/>
  <c r="BY1571" i="1" s="1"/>
  <c r="BZ1571" i="1" s="1"/>
  <c r="CI1570" i="1"/>
  <c r="CJ1570" i="1" s="1"/>
  <c r="CI1569" i="1"/>
  <c r="CJ1569" i="1" s="1"/>
  <c r="CI1568" i="1"/>
  <c r="CJ1568" i="1" s="1"/>
  <c r="CI1567" i="1"/>
  <c r="CJ1567" i="1" s="1"/>
  <c r="CJ1566" i="1"/>
  <c r="CI1566" i="1"/>
  <c r="CI1565" i="1"/>
  <c r="CJ1564" i="1"/>
  <c r="CI1564" i="1"/>
  <c r="CJ1563" i="1"/>
  <c r="CI1563" i="1"/>
  <c r="BX1563" i="1"/>
  <c r="CI1562" i="1"/>
  <c r="CJ1562" i="1" s="1"/>
  <c r="BY1562" i="1"/>
  <c r="BZ1562" i="1" s="1"/>
  <c r="BX1562" i="1"/>
  <c r="CJ1561" i="1"/>
  <c r="CI1561" i="1"/>
  <c r="BY1561" i="1"/>
  <c r="BZ1561" i="1" s="1"/>
  <c r="BX1561" i="1"/>
  <c r="CI1560" i="1"/>
  <c r="CJ1560" i="1" s="1"/>
  <c r="CI1559" i="1"/>
  <c r="CJ1559" i="1" s="1"/>
  <c r="BX1559" i="1"/>
  <c r="BY1559" i="1" s="1"/>
  <c r="BZ1559" i="1" s="1"/>
  <c r="CJ1558" i="1"/>
  <c r="CI1558" i="1"/>
  <c r="CI1557" i="1"/>
  <c r="CJ1557" i="1" s="1"/>
  <c r="CI1556" i="1"/>
  <c r="CJ1556" i="1" s="1"/>
  <c r="CJ1555" i="1"/>
  <c r="CI1555" i="1"/>
  <c r="BX1555" i="1"/>
  <c r="BY1555" i="1" s="1"/>
  <c r="BZ1555" i="1" s="1"/>
  <c r="CJ1554" i="1"/>
  <c r="CI1554" i="1"/>
  <c r="BX1554" i="1" s="1"/>
  <c r="BY1554" i="1"/>
  <c r="BZ1554" i="1" s="1"/>
  <c r="CJ1553" i="1"/>
  <c r="CI1553" i="1"/>
  <c r="CI1552" i="1"/>
  <c r="CJ1552" i="1" s="1"/>
  <c r="BX1552" i="1"/>
  <c r="CI1551" i="1"/>
  <c r="CJ1550" i="1"/>
  <c r="CI1550" i="1"/>
  <c r="CJ1549" i="1"/>
  <c r="CI1549" i="1"/>
  <c r="BX1550" i="1" s="1"/>
  <c r="BY1550" i="1" s="1"/>
  <c r="BZ1550" i="1" s="1"/>
  <c r="CI1548" i="1"/>
  <c r="CJ1548" i="1" s="1"/>
  <c r="CJ1547" i="1"/>
  <c r="CI1547" i="1"/>
  <c r="CI1546" i="1"/>
  <c r="CJ1545" i="1"/>
  <c r="CI1545" i="1"/>
  <c r="CJ1544" i="1"/>
  <c r="CI1544" i="1"/>
  <c r="CJ1543" i="1"/>
  <c r="CI1543" i="1"/>
  <c r="CJ1542" i="1"/>
  <c r="CI1542" i="1"/>
  <c r="CJ1541" i="1"/>
  <c r="CI1541" i="1"/>
  <c r="CJ1540" i="1"/>
  <c r="CI1540" i="1"/>
  <c r="CJ1539" i="1"/>
  <c r="CI1539" i="1"/>
  <c r="BZ1539" i="1"/>
  <c r="BX1539" i="1"/>
  <c r="BY1539" i="1" s="1"/>
  <c r="CI1538" i="1"/>
  <c r="CJ1538" i="1" s="1"/>
  <c r="BX1538" i="1"/>
  <c r="BY1538" i="1" s="1"/>
  <c r="BZ1538" i="1" s="1"/>
  <c r="CJ1537" i="1"/>
  <c r="CI1537" i="1"/>
  <c r="CI1536" i="1"/>
  <c r="CI1535" i="1"/>
  <c r="CJ1535" i="1" s="1"/>
  <c r="CJ1534" i="1"/>
  <c r="CI1534" i="1"/>
  <c r="BX1534" i="1"/>
  <c r="BY1534" i="1" s="1"/>
  <c r="BZ1534" i="1" s="1"/>
  <c r="CI1533" i="1"/>
  <c r="CI1532" i="1"/>
  <c r="CJ1532" i="1" s="1"/>
  <c r="BX1532" i="1"/>
  <c r="BY1532" i="1" s="1"/>
  <c r="BZ1532" i="1" s="1"/>
  <c r="CI1531" i="1"/>
  <c r="BX1531" i="1" s="1"/>
  <c r="BY1531" i="1" s="1"/>
  <c r="BZ1531" i="1" s="1"/>
  <c r="CJ1530" i="1"/>
  <c r="CI1530" i="1"/>
  <c r="CI1529" i="1"/>
  <c r="CI1528" i="1"/>
  <c r="BX1528" i="1" s="1"/>
  <c r="BY1528" i="1"/>
  <c r="BZ1528" i="1" s="1"/>
  <c r="CJ1527" i="1"/>
  <c r="CI1527" i="1"/>
  <c r="CI1526" i="1"/>
  <c r="CJ1525" i="1"/>
  <c r="CI1525" i="1"/>
  <c r="BX1525" i="1"/>
  <c r="BY1525" i="1" s="1"/>
  <c r="BZ1525" i="1" s="1"/>
  <c r="CI1524" i="1"/>
  <c r="CJ1524" i="1" s="1"/>
  <c r="CI1523" i="1"/>
  <c r="CJ1522" i="1"/>
  <c r="CI1522" i="1"/>
  <c r="CI1521" i="1"/>
  <c r="BX1522" i="1" s="1"/>
  <c r="BY1522" i="1" s="1"/>
  <c r="BZ1522" i="1" s="1"/>
  <c r="CJ1520" i="1"/>
  <c r="CI1520" i="1"/>
  <c r="CI1519" i="1"/>
  <c r="CI1518" i="1"/>
  <c r="CJ1518" i="1" s="1"/>
  <c r="CJ1517" i="1"/>
  <c r="CI1517" i="1"/>
  <c r="BX1517" i="1"/>
  <c r="BY1517" i="1" s="1"/>
  <c r="BZ1517" i="1" s="1"/>
  <c r="CI1516" i="1"/>
  <c r="CI1515" i="1"/>
  <c r="CI1514" i="1"/>
  <c r="CJ1514" i="1" s="1"/>
  <c r="BX1514" i="1"/>
  <c r="BY1514" i="1" s="1"/>
  <c r="BZ1514" i="1" s="1"/>
  <c r="CJ1513" i="1"/>
  <c r="CI1513" i="1"/>
  <c r="CI1512" i="1"/>
  <c r="CJ1512" i="1" s="1"/>
  <c r="CI1511" i="1"/>
  <c r="CJ1510" i="1"/>
  <c r="CI1510" i="1"/>
  <c r="BX1510" i="1"/>
  <c r="BY1510" i="1" s="1"/>
  <c r="BZ1510" i="1" s="1"/>
  <c r="CI1509" i="1"/>
  <c r="CI1508" i="1"/>
  <c r="CJ1508" i="1" s="1"/>
  <c r="BZ1508" i="1"/>
  <c r="BX1508" i="1"/>
  <c r="BY1508" i="1" s="1"/>
  <c r="CI1507" i="1"/>
  <c r="BX1507" i="1" s="1"/>
  <c r="BY1507" i="1"/>
  <c r="BZ1507" i="1" s="1"/>
  <c r="CJ1506" i="1"/>
  <c r="CI1506" i="1"/>
  <c r="CJ1505" i="1"/>
  <c r="CI1505" i="1"/>
  <c r="CI1504" i="1"/>
  <c r="CJ1503" i="1"/>
  <c r="CI1503" i="1"/>
  <c r="CI1502" i="1"/>
  <c r="CJ1501" i="1"/>
  <c r="CI1501" i="1"/>
  <c r="BZ1501" i="1"/>
  <c r="BX1501" i="1"/>
  <c r="BY1501" i="1" s="1"/>
  <c r="CI1500" i="1"/>
  <c r="CJ1500" i="1" s="1"/>
  <c r="CI1499" i="1"/>
  <c r="CJ1498" i="1"/>
  <c r="CI1498" i="1"/>
  <c r="CI1497" i="1"/>
  <c r="CJ1496" i="1"/>
  <c r="CI1496" i="1"/>
  <c r="CI1495" i="1"/>
  <c r="CI1494" i="1"/>
  <c r="CJ1494" i="1" s="1"/>
  <c r="CJ1493" i="1"/>
  <c r="CI1493" i="1"/>
  <c r="CI1492" i="1"/>
  <c r="CJ1491" i="1"/>
  <c r="CI1491" i="1"/>
  <c r="CI1490" i="1"/>
  <c r="CJ1489" i="1"/>
  <c r="CI1489" i="1"/>
  <c r="CJ1488" i="1"/>
  <c r="CI1488" i="1"/>
  <c r="BZ1488" i="1"/>
  <c r="BX1488" i="1"/>
  <c r="BY1488" i="1" s="1"/>
  <c r="CJ1487" i="1"/>
  <c r="CI1487" i="1"/>
  <c r="BX1487" i="1"/>
  <c r="BY1487" i="1" s="1"/>
  <c r="BZ1487" i="1" s="1"/>
  <c r="CJ1486" i="1"/>
  <c r="CI1486" i="1"/>
  <c r="BX1486" i="1"/>
  <c r="BY1486" i="1" s="1"/>
  <c r="BZ1486" i="1" s="1"/>
  <c r="CI1485" i="1"/>
  <c r="CJ1485" i="1" s="1"/>
  <c r="BX1485" i="1"/>
  <c r="BY1485" i="1" s="1"/>
  <c r="BZ1485" i="1" s="1"/>
  <c r="CI1484" i="1"/>
  <c r="CJ1484" i="1" s="1"/>
  <c r="CJ1483" i="1"/>
  <c r="CI1483" i="1"/>
  <c r="CI1482" i="1"/>
  <c r="CJ1482" i="1" s="1"/>
  <c r="CJ1481" i="1"/>
  <c r="CI1481" i="1"/>
  <c r="BX1481" i="1"/>
  <c r="BY1481" i="1" s="1"/>
  <c r="BZ1481" i="1" s="1"/>
  <c r="CJ1480" i="1"/>
  <c r="CI1480" i="1"/>
  <c r="BX1480" i="1"/>
  <c r="BY1480" i="1" s="1"/>
  <c r="BZ1480" i="1" s="1"/>
  <c r="CJ1479" i="1"/>
  <c r="CI1479" i="1"/>
  <c r="CJ1478" i="1"/>
  <c r="CI1478" i="1"/>
  <c r="CI1477" i="1"/>
  <c r="CI1476" i="1"/>
  <c r="CJ1476" i="1" s="1"/>
  <c r="BX1476" i="1"/>
  <c r="BY1476" i="1" s="1"/>
  <c r="BZ1476" i="1" s="1"/>
  <c r="CI1475" i="1"/>
  <c r="CI1474" i="1"/>
  <c r="CI1473" i="1"/>
  <c r="CJ1473" i="1" s="1"/>
  <c r="CJ1472" i="1"/>
  <c r="CI1472" i="1"/>
  <c r="BX1472" i="1"/>
  <c r="BY1472" i="1" s="1"/>
  <c r="BZ1472" i="1" s="1"/>
  <c r="CJ1471" i="1"/>
  <c r="CI1471" i="1"/>
  <c r="CJ1470" i="1"/>
  <c r="CI1470" i="1"/>
  <c r="CJ1469" i="1"/>
  <c r="CI1469" i="1"/>
  <c r="CJ1468" i="1"/>
  <c r="CI1468" i="1"/>
  <c r="BX1468" i="1" s="1"/>
  <c r="BY1468" i="1" s="1"/>
  <c r="BZ1468" i="1" s="1"/>
  <c r="CI1467" i="1"/>
  <c r="CJ1467" i="1" s="1"/>
  <c r="CI1466" i="1"/>
  <c r="CJ1466" i="1" s="1"/>
  <c r="CI1465" i="1"/>
  <c r="CJ1465" i="1" s="1"/>
  <c r="CJ1464" i="1"/>
  <c r="CI1464" i="1"/>
  <c r="CI1463" i="1"/>
  <c r="CJ1463" i="1" s="1"/>
  <c r="CI1462" i="1"/>
  <c r="CJ1462" i="1" s="1"/>
  <c r="CI1461" i="1"/>
  <c r="CJ1461" i="1" s="1"/>
  <c r="CI1460" i="1"/>
  <c r="CJ1460" i="1" s="1"/>
  <c r="CI1459" i="1"/>
  <c r="CJ1459" i="1" s="1"/>
  <c r="CI1458" i="1"/>
  <c r="CJ1458" i="1" s="1"/>
  <c r="CI1457" i="1"/>
  <c r="CJ1457" i="1" s="1"/>
  <c r="CJ1456" i="1"/>
  <c r="CI1456" i="1"/>
  <c r="CI1455" i="1"/>
  <c r="CJ1455" i="1" s="1"/>
  <c r="CI1454" i="1"/>
  <c r="CJ1454" i="1" s="1"/>
  <c r="CI1453" i="1"/>
  <c r="CJ1453" i="1" s="1"/>
  <c r="CI1452" i="1"/>
  <c r="CJ1452" i="1" s="1"/>
  <c r="CI1451" i="1"/>
  <c r="CJ1451" i="1" s="1"/>
  <c r="CI1450" i="1"/>
  <c r="CJ1450" i="1" s="1"/>
  <c r="CI1449" i="1"/>
  <c r="CJ1449" i="1" s="1"/>
  <c r="CI1448" i="1"/>
  <c r="CJ1448" i="1" s="1"/>
  <c r="CI1447" i="1"/>
  <c r="CJ1447" i="1" s="1"/>
  <c r="CI1446" i="1"/>
  <c r="CJ1446" i="1" s="1"/>
  <c r="CI1445" i="1"/>
  <c r="CJ1445" i="1" s="1"/>
  <c r="CJ1444" i="1"/>
  <c r="CI1444" i="1"/>
  <c r="CI1443" i="1"/>
  <c r="CJ1443" i="1" s="1"/>
  <c r="CJ1442" i="1"/>
  <c r="CI1442" i="1"/>
  <c r="CI1441" i="1"/>
  <c r="CJ1441" i="1" s="1"/>
  <c r="CI1440" i="1"/>
  <c r="CJ1440" i="1" s="1"/>
  <c r="CI1439" i="1"/>
  <c r="CJ1439" i="1" s="1"/>
  <c r="CJ1438" i="1"/>
  <c r="CI1438" i="1"/>
  <c r="CI1437" i="1"/>
  <c r="CJ1437" i="1" s="1"/>
  <c r="CI1436" i="1"/>
  <c r="BX1436" i="1" s="1"/>
  <c r="BY1436" i="1" s="1"/>
  <c r="BZ1436" i="1" s="1"/>
  <c r="CJ1435" i="1"/>
  <c r="CI1435" i="1"/>
  <c r="BX1435" i="1"/>
  <c r="BY1435" i="1" s="1"/>
  <c r="BZ1435" i="1" s="1"/>
  <c r="CI1434" i="1"/>
  <c r="CJ1434" i="1" s="1"/>
  <c r="CJ1433" i="1"/>
  <c r="CI1433" i="1"/>
  <c r="BX1433" i="1" s="1"/>
  <c r="BY1433" i="1" s="1"/>
  <c r="BZ1433" i="1" s="1"/>
  <c r="CI1432" i="1"/>
  <c r="CJ1432" i="1" s="1"/>
  <c r="CI1431" i="1"/>
  <c r="CJ1431" i="1" s="1"/>
  <c r="CJ1430" i="1"/>
  <c r="CI1430" i="1"/>
  <c r="CJ1429" i="1"/>
  <c r="CI1429" i="1"/>
  <c r="CI1428" i="1"/>
  <c r="CJ1427" i="1"/>
  <c r="CI1427" i="1"/>
  <c r="BX1427" i="1"/>
  <c r="BY1427" i="1" s="1"/>
  <c r="BZ1427" i="1" s="1"/>
  <c r="CJ1426" i="1"/>
  <c r="CI1426" i="1"/>
  <c r="BX1426" i="1"/>
  <c r="BY1426" i="1" s="1"/>
  <c r="BZ1426" i="1" s="1"/>
  <c r="CJ1425" i="1"/>
  <c r="CI1425" i="1"/>
  <c r="CJ1424" i="1"/>
  <c r="CI1424" i="1"/>
  <c r="BX1424" i="1" s="1"/>
  <c r="CI1423" i="1"/>
  <c r="CJ1423" i="1" s="1"/>
  <c r="BX1423" i="1"/>
  <c r="CJ1422" i="1"/>
  <c r="CI1422" i="1"/>
  <c r="CJ1421" i="1"/>
  <c r="CI1421" i="1"/>
  <c r="BX1421" i="1"/>
  <c r="CI1420" i="1"/>
  <c r="CJ1420" i="1" s="1"/>
  <c r="BX1420" i="1"/>
  <c r="CJ1419" i="1"/>
  <c r="CI1419" i="1"/>
  <c r="CI1418" i="1"/>
  <c r="CJ1418" i="1" s="1"/>
  <c r="CJ1417" i="1"/>
  <c r="CI1417" i="1"/>
  <c r="CI1416" i="1"/>
  <c r="CJ1416" i="1" s="1"/>
  <c r="CI1415" i="1"/>
  <c r="CJ1415" i="1" s="1"/>
  <c r="CI1414" i="1"/>
  <c r="CJ1414" i="1" s="1"/>
  <c r="CJ1413" i="1"/>
  <c r="CI1413" i="1"/>
  <c r="CI1412" i="1"/>
  <c r="CJ1412" i="1" s="1"/>
  <c r="CJ1411" i="1"/>
  <c r="CI1411" i="1"/>
  <c r="CI1410" i="1"/>
  <c r="CJ1410" i="1" s="1"/>
  <c r="CI1409" i="1"/>
  <c r="CJ1409" i="1" s="1"/>
  <c r="CI1408" i="1"/>
  <c r="CJ1408" i="1" s="1"/>
  <c r="CI1407" i="1"/>
  <c r="CJ1407" i="1" s="1"/>
  <c r="CJ1406" i="1"/>
  <c r="CI1406" i="1"/>
  <c r="CI1405" i="1"/>
  <c r="CJ1405" i="1" s="1"/>
  <c r="CI1404" i="1"/>
  <c r="CJ1404" i="1" s="1"/>
  <c r="CI1403" i="1"/>
  <c r="CI1402" i="1"/>
  <c r="CJ1402" i="1" s="1"/>
  <c r="BX1402" i="1"/>
  <c r="BY1402" i="1" s="1"/>
  <c r="BZ1402" i="1" s="1"/>
  <c r="CJ1401" i="1"/>
  <c r="CI1401" i="1"/>
  <c r="BX1401" i="1"/>
  <c r="BY1401" i="1" s="1"/>
  <c r="BZ1401" i="1" s="1"/>
  <c r="CJ1400" i="1"/>
  <c r="CI1400" i="1"/>
  <c r="BX1400" i="1"/>
  <c r="BY1400" i="1" s="1"/>
  <c r="BZ1400" i="1" s="1"/>
  <c r="CI1399" i="1"/>
  <c r="BX1399" i="1" s="1"/>
  <c r="BY1399" i="1"/>
  <c r="BZ1399" i="1" s="1"/>
  <c r="CI1398" i="1"/>
  <c r="CJ1398" i="1" s="1"/>
  <c r="BX1398" i="1"/>
  <c r="BY1398" i="1" s="1"/>
  <c r="BZ1398" i="1" s="1"/>
  <c r="CI1397" i="1"/>
  <c r="CJ1397" i="1" s="1"/>
  <c r="CJ1396" i="1"/>
  <c r="CI1396" i="1"/>
  <c r="CJ1395" i="1"/>
  <c r="CI1395" i="1"/>
  <c r="CI1394" i="1"/>
  <c r="CJ1394" i="1" s="1"/>
  <c r="CI1393" i="1"/>
  <c r="CI1392" i="1"/>
  <c r="CI1391" i="1"/>
  <c r="CI1390" i="1"/>
  <c r="CJ1389" i="1"/>
  <c r="CI1389" i="1"/>
  <c r="BX1389" i="1" s="1"/>
  <c r="BY1389" i="1" s="1"/>
  <c r="BZ1389" i="1" s="1"/>
  <c r="CJ1388" i="1"/>
  <c r="CI1388" i="1"/>
  <c r="CI1387" i="1"/>
  <c r="CJ1387" i="1" s="1"/>
  <c r="CJ1386" i="1"/>
  <c r="CI1386" i="1"/>
  <c r="BX1386" i="1"/>
  <c r="BY1386" i="1" s="1"/>
  <c r="BZ1386" i="1" s="1"/>
  <c r="CI1385" i="1"/>
  <c r="CI1384" i="1"/>
  <c r="CJ1384" i="1" s="1"/>
  <c r="BX1384" i="1"/>
  <c r="BY1384" i="1" s="1"/>
  <c r="BZ1384" i="1" s="1"/>
  <c r="CI1383" i="1"/>
  <c r="BX1383" i="1" s="1"/>
  <c r="BY1383" i="1" s="1"/>
  <c r="BZ1383" i="1" s="1"/>
  <c r="CJ1382" i="1"/>
  <c r="CI1382" i="1"/>
  <c r="BZ1382" i="1"/>
  <c r="BX1382" i="1"/>
  <c r="BY1382" i="1" s="1"/>
  <c r="CI1381" i="1"/>
  <c r="CJ1381" i="1" s="1"/>
  <c r="CJ1380" i="1"/>
  <c r="CI1380" i="1"/>
  <c r="CJ1379" i="1"/>
  <c r="CI1379" i="1"/>
  <c r="BX1379" i="1"/>
  <c r="CJ1378" i="1"/>
  <c r="CI1378" i="1"/>
  <c r="BY1378" i="1"/>
  <c r="BZ1378" i="1" s="1"/>
  <c r="BX1378" i="1"/>
  <c r="CJ1377" i="1"/>
  <c r="CI1377" i="1"/>
  <c r="BX1377" i="1"/>
  <c r="BY1377" i="1" s="1"/>
  <c r="BZ1377" i="1" s="1"/>
  <c r="CI1376" i="1"/>
  <c r="CJ1375" i="1"/>
  <c r="CI1375" i="1"/>
  <c r="BX1375" i="1"/>
  <c r="BY1375" i="1" s="1"/>
  <c r="BZ1375" i="1" s="1"/>
  <c r="CI1374" i="1"/>
  <c r="CJ1374" i="1" s="1"/>
  <c r="BX1374" i="1"/>
  <c r="BY1374" i="1" s="1"/>
  <c r="BZ1374" i="1" s="1"/>
  <c r="CJ1373" i="1"/>
  <c r="CI1373" i="1"/>
  <c r="CJ1372" i="1"/>
  <c r="CI1372" i="1"/>
  <c r="BX1373" i="1" s="1"/>
  <c r="BY1373" i="1" s="1"/>
  <c r="BZ1373" i="1" s="1"/>
  <c r="CJ1371" i="1"/>
  <c r="CI1371" i="1"/>
  <c r="CI1370" i="1"/>
  <c r="CI1369" i="1"/>
  <c r="CJ1369" i="1" s="1"/>
  <c r="BX1369" i="1"/>
  <c r="BY1369" i="1" s="1"/>
  <c r="BZ1369" i="1" s="1"/>
  <c r="CJ1368" i="1"/>
  <c r="CI1368" i="1"/>
  <c r="CI1367" i="1"/>
  <c r="CJ1366" i="1"/>
  <c r="CI1366" i="1"/>
  <c r="BX1366" i="1"/>
  <c r="BY1366" i="1" s="1"/>
  <c r="BZ1366" i="1" s="1"/>
  <c r="CJ1365" i="1"/>
  <c r="CI1365" i="1"/>
  <c r="BX1365" i="1"/>
  <c r="BY1365" i="1" s="1"/>
  <c r="BZ1365" i="1" s="1"/>
  <c r="CJ1364" i="1"/>
  <c r="CI1364" i="1"/>
  <c r="CI1363" i="1"/>
  <c r="CJ1363" i="1" s="1"/>
  <c r="BX1363" i="1"/>
  <c r="CI1362" i="1"/>
  <c r="CJ1361" i="1"/>
  <c r="CI1361" i="1"/>
  <c r="BY1361" i="1"/>
  <c r="BZ1361" i="1" s="1"/>
  <c r="BX1361" i="1"/>
  <c r="CI1360" i="1"/>
  <c r="CJ1360" i="1" s="1"/>
  <c r="BX1360" i="1"/>
  <c r="BY1360" i="1" s="1"/>
  <c r="BZ1360" i="1" s="1"/>
  <c r="CJ1359" i="1"/>
  <c r="CI1359" i="1"/>
  <c r="CI1358" i="1"/>
  <c r="CI1357" i="1"/>
  <c r="CJ1357" i="1" s="1"/>
  <c r="CI1356" i="1"/>
  <c r="CJ1356" i="1" s="1"/>
  <c r="CJ1355" i="1"/>
  <c r="CI1355" i="1"/>
  <c r="CI1354" i="1"/>
  <c r="CJ1354" i="1" s="1"/>
  <c r="CI1353" i="1"/>
  <c r="CJ1353" i="1" s="1"/>
  <c r="CI1352" i="1"/>
  <c r="CJ1352" i="1" s="1"/>
  <c r="CI1351" i="1"/>
  <c r="CJ1351" i="1" s="1"/>
  <c r="CJ1350" i="1"/>
  <c r="CI1350" i="1"/>
  <c r="CI1349" i="1"/>
  <c r="CJ1349" i="1" s="1"/>
  <c r="CJ1348" i="1"/>
  <c r="CI1348" i="1"/>
  <c r="CI1347" i="1"/>
  <c r="CJ1347" i="1" s="1"/>
  <c r="BX1347" i="1"/>
  <c r="CJ1346" i="1"/>
  <c r="CI1346" i="1"/>
  <c r="BX1346" i="1"/>
  <c r="BY1346" i="1" s="1"/>
  <c r="BZ1346" i="1" s="1"/>
  <c r="CI1345" i="1"/>
  <c r="CI1344" i="1"/>
  <c r="CJ1344" i="1" s="1"/>
  <c r="BZ1344" i="1"/>
  <c r="BX1344" i="1"/>
  <c r="BY1344" i="1" s="1"/>
  <c r="CI1343" i="1"/>
  <c r="CJ1343" i="1" s="1"/>
  <c r="CI1342" i="1"/>
  <c r="CJ1341" i="1"/>
  <c r="CI1341" i="1"/>
  <c r="CI1340" i="1"/>
  <c r="CI1339" i="1"/>
  <c r="CJ1339" i="1" s="1"/>
  <c r="CI1338" i="1"/>
  <c r="CI1337" i="1"/>
  <c r="CJ1337" i="1" s="1"/>
  <c r="CJ1336" i="1"/>
  <c r="CI1336" i="1"/>
  <c r="CI1335" i="1"/>
  <c r="CI1334" i="1"/>
  <c r="CJ1334" i="1" s="1"/>
  <c r="CJ1333" i="1"/>
  <c r="CI1333" i="1"/>
  <c r="CI1332" i="1"/>
  <c r="CJ1332" i="1" s="1"/>
  <c r="BX1332" i="1"/>
  <c r="CJ1331" i="1"/>
  <c r="CI1331" i="1"/>
  <c r="BZ1331" i="1"/>
  <c r="BY1331" i="1"/>
  <c r="BX1331" i="1"/>
  <c r="CI1330" i="1"/>
  <c r="BX1330" i="1" s="1"/>
  <c r="BZ1330" i="1"/>
  <c r="BY1330" i="1"/>
  <c r="CI1329" i="1"/>
  <c r="CJ1329" i="1" s="1"/>
  <c r="CI1328" i="1"/>
  <c r="CJ1328" i="1" s="1"/>
  <c r="CJ1327" i="1"/>
  <c r="CI1327" i="1"/>
  <c r="CI1326" i="1"/>
  <c r="CJ1326" i="1" s="1"/>
  <c r="CI1325" i="1"/>
  <c r="CJ1325" i="1" s="1"/>
  <c r="CJ1324" i="1"/>
  <c r="CI1324" i="1"/>
  <c r="BX1324" i="1"/>
  <c r="BY1324" i="1" s="1"/>
  <c r="BZ1324" i="1" s="1"/>
  <c r="CJ1323" i="1"/>
  <c r="CI1323" i="1"/>
  <c r="CI1322" i="1"/>
  <c r="BX1323" i="1" s="1"/>
  <c r="CI1321" i="1"/>
  <c r="CJ1320" i="1"/>
  <c r="CI1320" i="1"/>
  <c r="CI1319" i="1"/>
  <c r="CJ1318" i="1"/>
  <c r="CI1318" i="1"/>
  <c r="CJ1317" i="1"/>
  <c r="CI1317" i="1"/>
  <c r="BX1317" i="1"/>
  <c r="BY1317" i="1" s="1"/>
  <c r="BZ1317" i="1" s="1"/>
  <c r="CJ1316" i="1"/>
  <c r="CI1316" i="1"/>
  <c r="CI1315" i="1"/>
  <c r="CI1314" i="1"/>
  <c r="CJ1314" i="1" s="1"/>
  <c r="CJ1313" i="1"/>
  <c r="CI1313" i="1"/>
  <c r="BX1313" i="1" s="1"/>
  <c r="BY1313" i="1" s="1"/>
  <c r="BZ1313" i="1" s="1"/>
  <c r="CJ1312" i="1"/>
  <c r="CI1312" i="1"/>
  <c r="BX1312" i="1" s="1"/>
  <c r="CI1311" i="1"/>
  <c r="BX1311" i="1" s="1"/>
  <c r="CJ1310" i="1"/>
  <c r="CI1310" i="1"/>
  <c r="CJ1309" i="1"/>
  <c r="CI1309" i="1"/>
  <c r="CJ1308" i="1"/>
  <c r="CI1308" i="1"/>
  <c r="CJ1307" i="1"/>
  <c r="CI1307" i="1"/>
  <c r="BX1307" i="1"/>
  <c r="CI1306" i="1"/>
  <c r="CJ1306" i="1" s="1"/>
  <c r="CI1305" i="1"/>
  <c r="CJ1304" i="1"/>
  <c r="CI1304" i="1"/>
  <c r="CI1303" i="1"/>
  <c r="CJ1303" i="1" s="1"/>
  <c r="CI1302" i="1"/>
  <c r="CJ1302" i="1" s="1"/>
  <c r="BZ1302" i="1"/>
  <c r="BX1302" i="1"/>
  <c r="BY1302" i="1" s="1"/>
  <c r="CI1301" i="1"/>
  <c r="CJ1301" i="1" s="1"/>
  <c r="BZ1301" i="1"/>
  <c r="BX1301" i="1"/>
  <c r="BY1301" i="1" s="1"/>
  <c r="CI1300" i="1"/>
  <c r="CJ1300" i="1" s="1"/>
  <c r="BX1300" i="1"/>
  <c r="BY1300" i="1" s="1"/>
  <c r="BZ1300" i="1" s="1"/>
  <c r="CI1299" i="1"/>
  <c r="CJ1299" i="1" s="1"/>
  <c r="CI1298" i="1"/>
  <c r="CI1297" i="1"/>
  <c r="CI1296" i="1"/>
  <c r="CJ1295" i="1"/>
  <c r="CI1295" i="1"/>
  <c r="BX1295" i="1" s="1"/>
  <c r="BY1295" i="1" s="1"/>
  <c r="BZ1295" i="1" s="1"/>
  <c r="CJ1294" i="1"/>
  <c r="CI1294" i="1"/>
  <c r="CI1293" i="1"/>
  <c r="CI1292" i="1"/>
  <c r="CJ1292" i="1" s="1"/>
  <c r="CI1291" i="1"/>
  <c r="CJ1291" i="1" s="1"/>
  <c r="CJ1290" i="1"/>
  <c r="CI1290" i="1"/>
  <c r="CI1289" i="1"/>
  <c r="CJ1289" i="1" s="1"/>
  <c r="CJ1288" i="1"/>
  <c r="CI1288" i="1"/>
  <c r="CI1287" i="1"/>
  <c r="CJ1287" i="1" s="1"/>
  <c r="CI1286" i="1"/>
  <c r="CJ1286" i="1" s="1"/>
  <c r="CI1285" i="1"/>
  <c r="CJ1285" i="1" s="1"/>
  <c r="CI1284" i="1"/>
  <c r="CJ1284" i="1" s="1"/>
  <c r="CI1283" i="1"/>
  <c r="CJ1283" i="1" s="1"/>
  <c r="CI1282" i="1"/>
  <c r="BX1282" i="1" s="1"/>
  <c r="BY1282" i="1"/>
  <c r="BZ1282" i="1" s="1"/>
  <c r="CJ1281" i="1"/>
  <c r="CI1281" i="1"/>
  <c r="CJ1280" i="1"/>
  <c r="CI1280" i="1"/>
  <c r="BX1280" i="1"/>
  <c r="BY1280" i="1" s="1"/>
  <c r="BZ1280" i="1" s="1"/>
  <c r="CJ1279" i="1"/>
  <c r="CI1279" i="1"/>
  <c r="CI1278" i="1"/>
  <c r="CI1277" i="1"/>
  <c r="CJ1277" i="1" s="1"/>
  <c r="CJ1276" i="1"/>
  <c r="CI1276" i="1"/>
  <c r="CJ1275" i="1"/>
  <c r="CI1275" i="1"/>
  <c r="CJ1274" i="1"/>
  <c r="CI1274" i="1"/>
  <c r="BX1274" i="1"/>
  <c r="BY1274" i="1" s="1"/>
  <c r="BZ1274" i="1" s="1"/>
  <c r="CI1273" i="1"/>
  <c r="CJ1273" i="1" s="1"/>
  <c r="CI1272" i="1"/>
  <c r="CJ1272" i="1" s="1"/>
  <c r="CI1271" i="1"/>
  <c r="CI1270" i="1"/>
  <c r="CI1269" i="1"/>
  <c r="CJ1269" i="1" s="1"/>
  <c r="CJ1268" i="1"/>
  <c r="CI1268" i="1"/>
  <c r="CI1267" i="1"/>
  <c r="CJ1267" i="1" s="1"/>
  <c r="CJ1266" i="1"/>
  <c r="CI1266" i="1"/>
  <c r="CI1265" i="1"/>
  <c r="CJ1265" i="1" s="1"/>
  <c r="CJ1264" i="1"/>
  <c r="CI1264" i="1"/>
  <c r="CI1263" i="1"/>
  <c r="CJ1263" i="1" s="1"/>
  <c r="CJ1262" i="1"/>
  <c r="CI1262" i="1"/>
  <c r="BX1262" i="1"/>
  <c r="BY1262" i="1" s="1"/>
  <c r="BZ1262" i="1" s="1"/>
  <c r="CI1261" i="1"/>
  <c r="CJ1260" i="1"/>
  <c r="CI1260" i="1"/>
  <c r="BX1260" i="1"/>
  <c r="BY1260" i="1" s="1"/>
  <c r="BZ1260" i="1" s="1"/>
  <c r="CI1259" i="1"/>
  <c r="CJ1259" i="1" s="1"/>
  <c r="BY1259" i="1"/>
  <c r="BZ1259" i="1" s="1"/>
  <c r="BX1259" i="1"/>
  <c r="CJ1258" i="1"/>
  <c r="CI1258" i="1"/>
  <c r="CI1257" i="1"/>
  <c r="BX1258" i="1" s="1"/>
  <c r="BY1258" i="1" s="1"/>
  <c r="BZ1258" i="1" s="1"/>
  <c r="CJ1256" i="1"/>
  <c r="CI1256" i="1"/>
  <c r="BX1256" i="1"/>
  <c r="BY1256" i="1" s="1"/>
  <c r="BZ1256" i="1" s="1"/>
  <c r="CJ1255" i="1"/>
  <c r="CI1255" i="1"/>
  <c r="BY1255" i="1"/>
  <c r="BZ1255" i="1" s="1"/>
  <c r="BX1255" i="1"/>
  <c r="CI1254" i="1"/>
  <c r="CI1253" i="1"/>
  <c r="CI1252" i="1"/>
  <c r="BX1252" i="1" s="1"/>
  <c r="BZ1252" i="1"/>
  <c r="BY1252" i="1"/>
  <c r="CJ1251" i="1"/>
  <c r="CI1251" i="1"/>
  <c r="BZ1251" i="1"/>
  <c r="BX1251" i="1"/>
  <c r="BY1251" i="1" s="1"/>
  <c r="CI1250" i="1"/>
  <c r="CJ1250" i="1" s="1"/>
  <c r="CJ1249" i="1"/>
  <c r="CI1249" i="1"/>
  <c r="BY1249" i="1"/>
  <c r="BZ1249" i="1" s="1"/>
  <c r="BX1249" i="1"/>
  <c r="CJ1248" i="1"/>
  <c r="CI1248" i="1"/>
  <c r="CI1247" i="1"/>
  <c r="CI1246" i="1"/>
  <c r="CI1245" i="1"/>
  <c r="CJ1245" i="1" s="1"/>
  <c r="CJ1244" i="1"/>
  <c r="CI1244" i="1"/>
  <c r="CI1243" i="1"/>
  <c r="CI1242" i="1"/>
  <c r="CJ1242" i="1" s="1"/>
  <c r="BZ1242" i="1"/>
  <c r="BX1242" i="1"/>
  <c r="BY1242" i="1" s="1"/>
  <c r="CJ1241" i="1"/>
  <c r="CI1241" i="1"/>
  <c r="CI1240" i="1"/>
  <c r="CJ1240" i="1" s="1"/>
  <c r="CI1239" i="1"/>
  <c r="CJ1239" i="1" s="1"/>
  <c r="CI1238" i="1"/>
  <c r="CI1237" i="1"/>
  <c r="CI1236" i="1"/>
  <c r="CJ1236" i="1" s="1"/>
  <c r="CJ1235" i="1"/>
  <c r="CI1235" i="1"/>
  <c r="BY1235" i="1"/>
  <c r="BZ1235" i="1" s="1"/>
  <c r="BX1235" i="1"/>
  <c r="CI1234" i="1"/>
  <c r="CJ1234" i="1" s="1"/>
  <c r="CJ1233" i="1"/>
  <c r="CI1233" i="1"/>
  <c r="CJ1232" i="1"/>
  <c r="CI1232" i="1"/>
  <c r="BX1232" i="1" s="1"/>
  <c r="BY1232" i="1" s="1"/>
  <c r="BZ1232" i="1" s="1"/>
  <c r="CJ1231" i="1"/>
  <c r="CI1231" i="1"/>
  <c r="BZ1231" i="1"/>
  <c r="BY1231" i="1"/>
  <c r="BX1231" i="1"/>
  <c r="CI1230" i="1"/>
  <c r="CJ1230" i="1" s="1"/>
  <c r="CI1229" i="1"/>
  <c r="CJ1228" i="1"/>
  <c r="CI1228" i="1"/>
  <c r="BZ1228" i="1"/>
  <c r="BY1228" i="1"/>
  <c r="BX1228" i="1"/>
  <c r="CI1227" i="1"/>
  <c r="BX1227" i="1" s="1"/>
  <c r="BZ1227" i="1"/>
  <c r="BY1227" i="1"/>
  <c r="CI1226" i="1"/>
  <c r="CJ1226" i="1" s="1"/>
  <c r="BX1226" i="1"/>
  <c r="BY1226" i="1" s="1"/>
  <c r="BZ1226" i="1" s="1"/>
  <c r="CJ1225" i="1"/>
  <c r="CI1225" i="1"/>
  <c r="BX1225" i="1"/>
  <c r="BY1225" i="1" s="1"/>
  <c r="BZ1225" i="1" s="1"/>
  <c r="CJ1224" i="1"/>
  <c r="CI1224" i="1"/>
  <c r="CI1223" i="1"/>
  <c r="CJ1222" i="1"/>
  <c r="CI1222" i="1"/>
  <c r="BX1222" i="1"/>
  <c r="BY1222" i="1" s="1"/>
  <c r="BZ1222" i="1" s="1"/>
  <c r="CJ1221" i="1"/>
  <c r="CI1221" i="1"/>
  <c r="BX1221" i="1"/>
  <c r="BY1221" i="1" s="1"/>
  <c r="BZ1221" i="1" s="1"/>
  <c r="CI1220" i="1"/>
  <c r="CI1219" i="1"/>
  <c r="CJ1218" i="1"/>
  <c r="CI1218" i="1"/>
  <c r="BX1218" i="1"/>
  <c r="BY1218" i="1" s="1"/>
  <c r="BZ1218" i="1" s="1"/>
  <c r="CJ1217" i="1"/>
  <c r="CI1217" i="1"/>
  <c r="BY1217" i="1"/>
  <c r="BZ1217" i="1" s="1"/>
  <c r="BX1217" i="1"/>
  <c r="CI1216" i="1"/>
  <c r="CJ1216" i="1" s="1"/>
  <c r="CI1215" i="1"/>
  <c r="CJ1215" i="1" s="1"/>
  <c r="BX1215" i="1"/>
  <c r="BY1215" i="1" s="1"/>
  <c r="BZ1215" i="1" s="1"/>
  <c r="CJ1214" i="1"/>
  <c r="CI1214" i="1"/>
  <c r="BX1214" i="1"/>
  <c r="BY1214" i="1" s="1"/>
  <c r="BZ1214" i="1" s="1"/>
  <c r="CI1213" i="1"/>
  <c r="CJ1213" i="1" s="1"/>
  <c r="CJ1212" i="1"/>
  <c r="CI1212" i="1"/>
  <c r="CI1211" i="1"/>
  <c r="BX1211" i="1" s="1"/>
  <c r="BY1211" i="1" s="1"/>
  <c r="BZ1211" i="1" s="1"/>
  <c r="CJ1210" i="1"/>
  <c r="CI1210" i="1"/>
  <c r="BZ1210" i="1"/>
  <c r="BX1210" i="1"/>
  <c r="BY1210" i="1" s="1"/>
  <c r="CI1209" i="1"/>
  <c r="CJ1209" i="1" s="1"/>
  <c r="CJ1208" i="1"/>
  <c r="CI1208" i="1"/>
  <c r="CI1207" i="1"/>
  <c r="CJ1207" i="1" s="1"/>
  <c r="CI1206" i="1"/>
  <c r="CJ1206" i="1" s="1"/>
  <c r="BX1206" i="1"/>
  <c r="CI1205" i="1"/>
  <c r="BX1205" i="1" s="1"/>
  <c r="BY1205" i="1"/>
  <c r="BZ1205" i="1" s="1"/>
  <c r="CI1204" i="1"/>
  <c r="CJ1204" i="1" s="1"/>
  <c r="CI1203" i="1"/>
  <c r="CJ1203" i="1" s="1"/>
  <c r="CJ1202" i="1"/>
  <c r="CI1202" i="1"/>
  <c r="BY1202" i="1"/>
  <c r="BZ1202" i="1" s="1"/>
  <c r="BX1202" i="1"/>
  <c r="CI1201" i="1"/>
  <c r="CI1200" i="1"/>
  <c r="CI1199" i="1"/>
  <c r="CJ1199" i="1" s="1"/>
  <c r="CI1198" i="1"/>
  <c r="CJ1198" i="1" s="1"/>
  <c r="CI1197" i="1"/>
  <c r="CJ1197" i="1" s="1"/>
  <c r="CI1196" i="1"/>
  <c r="CI1195" i="1"/>
  <c r="CI1194" i="1"/>
  <c r="CJ1194" i="1" s="1"/>
  <c r="BX1194" i="1"/>
  <c r="BY1194" i="1" s="1"/>
  <c r="BZ1194" i="1" s="1"/>
  <c r="CJ1193" i="1"/>
  <c r="CI1193" i="1"/>
  <c r="CI1192" i="1"/>
  <c r="CI1191" i="1"/>
  <c r="CI1190" i="1"/>
  <c r="CJ1190" i="1" s="1"/>
  <c r="CI1189" i="1"/>
  <c r="CJ1189" i="1" s="1"/>
  <c r="CJ1188" i="1"/>
  <c r="CI1188" i="1"/>
  <c r="CI1187" i="1"/>
  <c r="CJ1187" i="1" s="1"/>
  <c r="CJ1186" i="1"/>
  <c r="CI1186" i="1"/>
  <c r="CI1185" i="1"/>
  <c r="CJ1185" i="1" s="1"/>
  <c r="BX1185" i="1"/>
  <c r="CJ1184" i="1"/>
  <c r="CI1184" i="1"/>
  <c r="BX1184" i="1"/>
  <c r="BY1184" i="1" s="1"/>
  <c r="BZ1184" i="1" s="1"/>
  <c r="CI1183" i="1"/>
  <c r="BX1183" i="1" s="1"/>
  <c r="BY1183" i="1" s="1"/>
  <c r="BZ1183" i="1" s="1"/>
  <c r="CI1182" i="1"/>
  <c r="CJ1181" i="1"/>
  <c r="CI1181" i="1"/>
  <c r="BX1181" i="1" s="1"/>
  <c r="BY1181" i="1" s="1"/>
  <c r="BZ1181" i="1" s="1"/>
  <c r="CJ1180" i="1"/>
  <c r="CI1180" i="1"/>
  <c r="BY1180" i="1"/>
  <c r="BZ1180" i="1" s="1"/>
  <c r="BX1180" i="1"/>
  <c r="CI1179" i="1"/>
  <c r="CI1178" i="1"/>
  <c r="CJ1177" i="1"/>
  <c r="CI1177" i="1"/>
  <c r="CI1176" i="1"/>
  <c r="CI1175" i="1"/>
  <c r="CI1174" i="1"/>
  <c r="CJ1174" i="1" s="1"/>
  <c r="BY1174" i="1"/>
  <c r="BZ1174" i="1" s="1"/>
  <c r="BX1174" i="1"/>
  <c r="CJ1173" i="1"/>
  <c r="CI1173" i="1"/>
  <c r="BY1173" i="1"/>
  <c r="BZ1173" i="1" s="1"/>
  <c r="BX1173" i="1"/>
  <c r="CI1172" i="1"/>
  <c r="CJ1172" i="1" s="1"/>
  <c r="CJ1171" i="1"/>
  <c r="CI1171" i="1"/>
  <c r="CJ1170" i="1"/>
  <c r="CI1170" i="1"/>
  <c r="BX1170" i="1" s="1"/>
  <c r="CI1169" i="1"/>
  <c r="CJ1169" i="1" s="1"/>
  <c r="CJ1168" i="1"/>
  <c r="CI1168" i="1"/>
  <c r="CI1167" i="1"/>
  <c r="CI1166" i="1"/>
  <c r="CJ1165" i="1"/>
  <c r="CI1165" i="1"/>
  <c r="BX1165" i="1" s="1"/>
  <c r="BY1165" i="1" s="1"/>
  <c r="BZ1165" i="1" s="1"/>
  <c r="CJ1164" i="1"/>
  <c r="CI1164" i="1"/>
  <c r="CI1163" i="1"/>
  <c r="CI1162" i="1"/>
  <c r="CJ1162" i="1" s="1"/>
  <c r="CI1161" i="1"/>
  <c r="CJ1161" i="1" s="1"/>
  <c r="CJ1160" i="1"/>
  <c r="CI1160" i="1"/>
  <c r="CI1159" i="1"/>
  <c r="CJ1159" i="1" s="1"/>
  <c r="CI1158" i="1"/>
  <c r="CJ1158" i="1" s="1"/>
  <c r="CJ1157" i="1"/>
  <c r="CI1157" i="1"/>
  <c r="BX1157" i="1"/>
  <c r="BY1157" i="1" s="1"/>
  <c r="BZ1157" i="1" s="1"/>
  <c r="CJ1156" i="1"/>
  <c r="CI1156" i="1"/>
  <c r="BZ1156" i="1"/>
  <c r="BY1156" i="1"/>
  <c r="BX1156" i="1"/>
  <c r="CI1155" i="1"/>
  <c r="CJ1154" i="1"/>
  <c r="CI1154" i="1"/>
  <c r="CI1153" i="1"/>
  <c r="CJ1153" i="1" s="1"/>
  <c r="CI1152" i="1"/>
  <c r="CI1151" i="1"/>
  <c r="CJ1150" i="1"/>
  <c r="CI1150" i="1"/>
  <c r="BX1150" i="1" s="1"/>
  <c r="BY1150" i="1" s="1"/>
  <c r="BZ1150" i="1" s="1"/>
  <c r="CJ1149" i="1"/>
  <c r="CI1149" i="1"/>
  <c r="BX1149" i="1"/>
  <c r="BY1149" i="1" s="1"/>
  <c r="BZ1149" i="1" s="1"/>
  <c r="CJ1148" i="1"/>
  <c r="CI1148" i="1"/>
  <c r="CI1147" i="1"/>
  <c r="CJ1146" i="1"/>
  <c r="CI1146" i="1"/>
  <c r="CJ1145" i="1"/>
  <c r="CI1145" i="1"/>
  <c r="CI1144" i="1"/>
  <c r="CJ1144" i="1" s="1"/>
  <c r="CJ1143" i="1"/>
  <c r="CI1143" i="1"/>
  <c r="BX1143" i="1"/>
  <c r="BY1143" i="1" s="1"/>
  <c r="BZ1143" i="1" s="1"/>
  <c r="CJ1142" i="1"/>
  <c r="CI1142" i="1"/>
  <c r="BX1142" i="1"/>
  <c r="BY1142" i="1" s="1"/>
  <c r="BZ1142" i="1" s="1"/>
  <c r="CI1141" i="1"/>
  <c r="CJ1141" i="1" s="1"/>
  <c r="CJ1140" i="1"/>
  <c r="CI1140" i="1"/>
  <c r="BX1140" i="1" s="1"/>
  <c r="CI1139" i="1"/>
  <c r="CJ1139" i="1" s="1"/>
  <c r="BX1139" i="1"/>
  <c r="BY1139" i="1" s="1"/>
  <c r="BZ1139" i="1" s="1"/>
  <c r="CI1138" i="1"/>
  <c r="CJ1138" i="1" s="1"/>
  <c r="CI1137" i="1"/>
  <c r="CI1136" i="1"/>
  <c r="CI1135" i="1"/>
  <c r="CJ1135" i="1" s="1"/>
  <c r="CJ1134" i="1"/>
  <c r="CI1134" i="1"/>
  <c r="BX1134" i="1" s="1"/>
  <c r="BY1134" i="1" s="1"/>
  <c r="BZ1134" i="1" s="1"/>
  <c r="CJ1133" i="1"/>
  <c r="CI1133" i="1"/>
  <c r="CJ1132" i="1"/>
  <c r="CI1132" i="1"/>
  <c r="BX1132" i="1"/>
  <c r="BY1132" i="1" s="1"/>
  <c r="BZ1132" i="1" s="1"/>
  <c r="CI1131" i="1"/>
  <c r="CJ1130" i="1"/>
  <c r="CI1130" i="1"/>
  <c r="CI1129" i="1"/>
  <c r="CJ1128" i="1"/>
  <c r="CI1128" i="1"/>
  <c r="CI1127" i="1"/>
  <c r="CJ1126" i="1"/>
  <c r="CI1126" i="1"/>
  <c r="CI1125" i="1"/>
  <c r="CI1124" i="1"/>
  <c r="BX1124" i="1" s="1"/>
  <c r="BY1124" i="1" s="1"/>
  <c r="BZ1124" i="1" s="1"/>
  <c r="CJ1123" i="1"/>
  <c r="CI1123" i="1"/>
  <c r="BX1123" i="1"/>
  <c r="BY1123" i="1" s="1"/>
  <c r="BZ1123" i="1" s="1"/>
  <c r="CI1122" i="1"/>
  <c r="CJ1122" i="1" s="1"/>
  <c r="CI1121" i="1"/>
  <c r="CJ1120" i="1"/>
  <c r="CI1120" i="1"/>
  <c r="BX1120" i="1" s="1"/>
  <c r="BY1120" i="1" s="1"/>
  <c r="BZ1120" i="1" s="1"/>
  <c r="CJ1119" i="1"/>
  <c r="CI1119" i="1"/>
  <c r="CI1118" i="1"/>
  <c r="CJ1118" i="1" s="1"/>
  <c r="BX1118" i="1"/>
  <c r="CI1117" i="1"/>
  <c r="CI1116" i="1"/>
  <c r="CJ1116" i="1" s="1"/>
  <c r="BX1116" i="1"/>
  <c r="BY1116" i="1" s="1"/>
  <c r="BZ1116" i="1" s="1"/>
  <c r="CJ1115" i="1"/>
  <c r="CI1115" i="1"/>
  <c r="BX1115" i="1"/>
  <c r="BY1115" i="1" s="1"/>
  <c r="BZ1115" i="1" s="1"/>
  <c r="CJ1114" i="1"/>
  <c r="CI1114" i="1"/>
  <c r="BY1114" i="1"/>
  <c r="BZ1114" i="1" s="1"/>
  <c r="BX1114" i="1"/>
  <c r="CI1113" i="1"/>
  <c r="CI1112" i="1"/>
  <c r="CJ1112" i="1" s="1"/>
  <c r="BX1112" i="1"/>
  <c r="BY1112" i="1" s="1"/>
  <c r="BZ1112" i="1" s="1"/>
  <c r="CI1111" i="1"/>
  <c r="CJ1111" i="1" s="1"/>
  <c r="CJ1110" i="1"/>
  <c r="CI1110" i="1"/>
  <c r="BX1110" i="1" s="1"/>
  <c r="CJ1109" i="1"/>
  <c r="CI1109" i="1"/>
  <c r="CI1108" i="1"/>
  <c r="CI1107" i="1"/>
  <c r="CJ1107" i="1" s="1"/>
  <c r="BX1107" i="1"/>
  <c r="BY1107" i="1" s="1"/>
  <c r="BZ1107" i="1" s="1"/>
  <c r="CJ1106" i="1"/>
  <c r="CI1106" i="1"/>
  <c r="BX1106" i="1" s="1"/>
  <c r="BY1106" i="1" s="1"/>
  <c r="BZ1106" i="1" s="1"/>
  <c r="CJ1105" i="1"/>
  <c r="CI1105" i="1"/>
  <c r="BX1105" i="1" s="1"/>
  <c r="BY1105" i="1" s="1"/>
  <c r="BZ1105" i="1" s="1"/>
  <c r="CI1104" i="1"/>
  <c r="CJ1103" i="1"/>
  <c r="CI1103" i="1"/>
  <c r="CI1102" i="1"/>
  <c r="BX1102" i="1" s="1"/>
  <c r="BY1102" i="1"/>
  <c r="BZ1102" i="1" s="1"/>
  <c r="CI1101" i="1"/>
  <c r="CI1100" i="1"/>
  <c r="CI1099" i="1"/>
  <c r="CJ1098" i="1"/>
  <c r="CI1098" i="1"/>
  <c r="BX1098" i="1"/>
  <c r="BY1098" i="1" s="1"/>
  <c r="BZ1098" i="1" s="1"/>
  <c r="CJ1097" i="1"/>
  <c r="CI1097" i="1"/>
  <c r="CJ1096" i="1"/>
  <c r="CI1096" i="1"/>
  <c r="CJ1095" i="1"/>
  <c r="CI1095" i="1"/>
  <c r="CJ1094" i="1"/>
  <c r="CI1094" i="1"/>
  <c r="CI1093" i="1"/>
  <c r="CI1092" i="1"/>
  <c r="CJ1092" i="1" s="1"/>
  <c r="BX1092" i="1"/>
  <c r="BY1092" i="1" s="1"/>
  <c r="BZ1092" i="1" s="1"/>
  <c r="CJ1091" i="1"/>
  <c r="CI1091" i="1"/>
  <c r="CI1090" i="1"/>
  <c r="CJ1090" i="1" s="1"/>
  <c r="CJ1089" i="1"/>
  <c r="CI1089" i="1"/>
  <c r="BX1089" i="1"/>
  <c r="BY1089" i="1" s="1"/>
  <c r="BZ1089" i="1" s="1"/>
  <c r="CJ1088" i="1"/>
  <c r="CI1088" i="1"/>
  <c r="BX1088" i="1"/>
  <c r="BY1088" i="1" s="1"/>
  <c r="BZ1088" i="1" s="1"/>
  <c r="CJ1087" i="1"/>
  <c r="CI1087" i="1"/>
  <c r="CI1086" i="1"/>
  <c r="CI1085" i="1"/>
  <c r="CI1084" i="1"/>
  <c r="CI1083" i="1"/>
  <c r="CI1082" i="1"/>
  <c r="BX1082" i="1" s="1"/>
  <c r="BY1082" i="1" s="1"/>
  <c r="BZ1082" i="1" s="1"/>
  <c r="CJ1081" i="1"/>
  <c r="CI1081" i="1"/>
  <c r="BX1081" i="1" s="1"/>
  <c r="BY1081" i="1" s="1"/>
  <c r="BZ1081" i="1" s="1"/>
  <c r="CJ1080" i="1"/>
  <c r="CI1080" i="1"/>
  <c r="BX1080" i="1"/>
  <c r="BY1080" i="1" s="1"/>
  <c r="BZ1080" i="1" s="1"/>
  <c r="CJ1079" i="1"/>
  <c r="CI1079" i="1"/>
  <c r="CI1078" i="1"/>
  <c r="CJ1077" i="1"/>
  <c r="CI1077" i="1"/>
  <c r="BZ1077" i="1"/>
  <c r="BX1077" i="1"/>
  <c r="BY1077" i="1" s="1"/>
  <c r="CJ1076" i="1"/>
  <c r="CI1076" i="1"/>
  <c r="CI1075" i="1"/>
  <c r="CJ1074" i="1"/>
  <c r="CI1074" i="1"/>
  <c r="BX1074" i="1"/>
  <c r="BY1074" i="1" s="1"/>
  <c r="BZ1074" i="1" s="1"/>
  <c r="CJ1073" i="1"/>
  <c r="CI1073" i="1"/>
  <c r="BY1073" i="1"/>
  <c r="BZ1073" i="1" s="1"/>
  <c r="BX1073" i="1"/>
  <c r="CI1072" i="1"/>
  <c r="CJ1072" i="1" s="1"/>
  <c r="CI1071" i="1"/>
  <c r="CI1070" i="1"/>
  <c r="CJ1070" i="1" s="1"/>
  <c r="CI1069" i="1"/>
  <c r="CJ1068" i="1"/>
  <c r="CI1068" i="1"/>
  <c r="BX1068" i="1" s="1"/>
  <c r="BY1068" i="1" s="1"/>
  <c r="BZ1068" i="1" s="1"/>
  <c r="CI1067" i="1"/>
  <c r="CI1066" i="1"/>
  <c r="CI1065" i="1"/>
  <c r="CJ1064" i="1"/>
  <c r="CI1064" i="1"/>
  <c r="BX1064" i="1"/>
  <c r="BY1064" i="1" s="1"/>
  <c r="BZ1064" i="1" s="1"/>
  <c r="CJ1063" i="1"/>
  <c r="CI1063" i="1"/>
  <c r="BX1063" i="1"/>
  <c r="BY1063" i="1" s="1"/>
  <c r="BZ1063" i="1" s="1"/>
  <c r="CJ1062" i="1"/>
  <c r="CI1062" i="1"/>
  <c r="BZ1062" i="1"/>
  <c r="BY1062" i="1"/>
  <c r="BX1062" i="1"/>
  <c r="CI1061" i="1"/>
  <c r="CJ1061" i="1" s="1"/>
  <c r="CJ1060" i="1"/>
  <c r="CI1060" i="1"/>
  <c r="BX1060" i="1" s="1"/>
  <c r="BY1060" i="1" s="1"/>
  <c r="BZ1060" i="1" s="1"/>
  <c r="CJ1059" i="1"/>
  <c r="CI1059" i="1"/>
  <c r="BY1059" i="1"/>
  <c r="BZ1059" i="1" s="1"/>
  <c r="BX1059" i="1"/>
  <c r="CJ1058" i="1"/>
  <c r="CI1058" i="1"/>
  <c r="BX1058" i="1" s="1"/>
  <c r="BZ1058" i="1"/>
  <c r="BY1058" i="1"/>
  <c r="CJ1057" i="1"/>
  <c r="CI1057" i="1"/>
  <c r="BX1057" i="1"/>
  <c r="BY1057" i="1" s="1"/>
  <c r="BZ1057" i="1" s="1"/>
  <c r="CJ1056" i="1"/>
  <c r="CI1056" i="1"/>
  <c r="BZ1056" i="1"/>
  <c r="BY1056" i="1"/>
  <c r="BX1056" i="1"/>
  <c r="CJ1055" i="1"/>
  <c r="CI1055" i="1"/>
  <c r="CI1054" i="1"/>
  <c r="CJ1054" i="1" s="1"/>
  <c r="CI1053" i="1"/>
  <c r="BX1053" i="1" s="1"/>
  <c r="BY1053" i="1" s="1"/>
  <c r="BZ1053" i="1" s="1"/>
  <c r="CJ1052" i="1"/>
  <c r="CI1052" i="1"/>
  <c r="CI1051" i="1"/>
  <c r="CJ1051" i="1" s="1"/>
  <c r="CI1050" i="1"/>
  <c r="CJ1050" i="1" s="1"/>
  <c r="CJ1049" i="1"/>
  <c r="CI1049" i="1"/>
  <c r="CI1048" i="1"/>
  <c r="CJ1048" i="1" s="1"/>
  <c r="CI1047" i="1"/>
  <c r="CI1046" i="1"/>
  <c r="CJ1045" i="1"/>
  <c r="CI1045" i="1"/>
  <c r="BX1045" i="1"/>
  <c r="BY1045" i="1" s="1"/>
  <c r="BZ1045" i="1" s="1"/>
  <c r="CJ1044" i="1"/>
  <c r="CI1044" i="1"/>
  <c r="BY1044" i="1"/>
  <c r="BZ1044" i="1" s="1"/>
  <c r="BX1044" i="1"/>
  <c r="CJ1043" i="1"/>
  <c r="CI1043" i="1"/>
  <c r="CI1042" i="1"/>
  <c r="CJ1041" i="1"/>
  <c r="CI1041" i="1"/>
  <c r="CI1040" i="1"/>
  <c r="CJ1039" i="1"/>
  <c r="CI1039" i="1"/>
  <c r="CJ1038" i="1"/>
  <c r="CI1038" i="1"/>
  <c r="BX1039" i="1" s="1"/>
  <c r="BY1039" i="1" s="1"/>
  <c r="BZ1039" i="1" s="1"/>
  <c r="CI1037" i="1"/>
  <c r="CI1036" i="1"/>
  <c r="CJ1036" i="1" s="1"/>
  <c r="CI1035" i="1"/>
  <c r="CJ1034" i="1"/>
  <c r="CI1034" i="1"/>
  <c r="CI1033" i="1"/>
  <c r="CJ1032" i="1"/>
  <c r="CI1032" i="1"/>
  <c r="BY1032" i="1"/>
  <c r="BZ1032" i="1" s="1"/>
  <c r="BX1032" i="1"/>
  <c r="CJ1031" i="1"/>
  <c r="CI1031" i="1"/>
  <c r="CI1030" i="1"/>
  <c r="CJ1030" i="1" s="1"/>
  <c r="CJ1029" i="1"/>
  <c r="CI1029" i="1"/>
  <c r="BX1029" i="1" s="1"/>
  <c r="BY1029" i="1" s="1"/>
  <c r="BZ1029" i="1" s="1"/>
  <c r="CJ1028" i="1"/>
  <c r="CI1028" i="1"/>
  <c r="CI1027" i="1"/>
  <c r="CJ1026" i="1"/>
  <c r="CI1026" i="1"/>
  <c r="BZ1026" i="1"/>
  <c r="BX1026" i="1"/>
  <c r="BY1026" i="1" s="1"/>
  <c r="CJ1025" i="1"/>
  <c r="CI1025" i="1"/>
  <c r="BY1025" i="1"/>
  <c r="BZ1025" i="1" s="1"/>
  <c r="BX1025" i="1"/>
  <c r="CJ1024" i="1"/>
  <c r="CI1024" i="1"/>
  <c r="BY1024" i="1"/>
  <c r="BZ1024" i="1" s="1"/>
  <c r="BX1024" i="1"/>
  <c r="CI1023" i="1"/>
  <c r="CJ1023" i="1" s="1"/>
  <c r="CI1022" i="1"/>
  <c r="CJ1021" i="1"/>
  <c r="CI1021" i="1"/>
  <c r="BX1021" i="1" s="1"/>
  <c r="BY1021" i="1" s="1"/>
  <c r="BZ1021" i="1" s="1"/>
  <c r="CI1020" i="1"/>
  <c r="CI1019" i="1"/>
  <c r="CI1018" i="1"/>
  <c r="CJ1018" i="1" s="1"/>
  <c r="CI1017" i="1"/>
  <c r="CJ1017" i="1" s="1"/>
  <c r="BY1017" i="1"/>
  <c r="BZ1017" i="1" s="1"/>
  <c r="BX1017" i="1"/>
  <c r="CI1016" i="1"/>
  <c r="CI1015" i="1"/>
  <c r="CI1014" i="1"/>
  <c r="CJ1014" i="1" s="1"/>
  <c r="CI1013" i="1"/>
  <c r="CJ1012" i="1"/>
  <c r="CI1012" i="1"/>
  <c r="BX1012" i="1" s="1"/>
  <c r="BY1012" i="1" s="1"/>
  <c r="BZ1012" i="1" s="1"/>
  <c r="CJ1011" i="1"/>
  <c r="CI1011" i="1"/>
  <c r="BY1011" i="1"/>
  <c r="BZ1011" i="1" s="1"/>
  <c r="BX1011" i="1"/>
  <c r="CJ1010" i="1"/>
  <c r="CI1010" i="1"/>
  <c r="CJ1009" i="1"/>
  <c r="CI1009" i="1"/>
  <c r="BX1009" i="1" s="1"/>
  <c r="BY1009" i="1" s="1"/>
  <c r="BZ1009" i="1" s="1"/>
  <c r="CJ1008" i="1"/>
  <c r="CI1008" i="1"/>
  <c r="BX1008" i="1"/>
  <c r="BY1008" i="1" s="1"/>
  <c r="BZ1008" i="1" s="1"/>
  <c r="CJ1007" i="1"/>
  <c r="CI1007" i="1"/>
  <c r="CJ1006" i="1"/>
  <c r="CI1006" i="1"/>
  <c r="CI1005" i="1"/>
  <c r="CJ1004" i="1"/>
  <c r="CI1004" i="1"/>
  <c r="BX1004" i="1"/>
  <c r="BY1004" i="1" s="1"/>
  <c r="BZ1004" i="1" s="1"/>
  <c r="CI1003" i="1"/>
  <c r="CJ1003" i="1" s="1"/>
  <c r="CJ1002" i="1"/>
  <c r="CI1002" i="1"/>
  <c r="BX1002" i="1" s="1"/>
  <c r="BY1002" i="1" s="1"/>
  <c r="BZ1002" i="1"/>
  <c r="CJ1001" i="1"/>
  <c r="CI1001" i="1"/>
  <c r="CI1000" i="1"/>
  <c r="CJ1000" i="1" s="1"/>
  <c r="CJ999" i="1"/>
  <c r="CI999" i="1"/>
  <c r="CI998" i="1"/>
  <c r="CI997" i="1"/>
  <c r="CJ997" i="1" s="1"/>
  <c r="CJ996" i="1"/>
  <c r="CI996" i="1"/>
  <c r="BY996" i="1"/>
  <c r="BZ996" i="1" s="1"/>
  <c r="BX996" i="1"/>
  <c r="CJ995" i="1"/>
  <c r="CI995" i="1"/>
  <c r="BY995" i="1"/>
  <c r="BZ995" i="1" s="1"/>
  <c r="BX995" i="1"/>
  <c r="CI994" i="1"/>
  <c r="CJ993" i="1"/>
  <c r="CI993" i="1"/>
  <c r="BZ993" i="1"/>
  <c r="BX993" i="1"/>
  <c r="BY993" i="1" s="1"/>
  <c r="CI992" i="1"/>
  <c r="CJ992" i="1" s="1"/>
  <c r="CJ991" i="1"/>
  <c r="CI991" i="1"/>
  <c r="BX992" i="1" s="1"/>
  <c r="BY992" i="1" s="1"/>
  <c r="BZ992" i="1" s="1"/>
  <c r="CJ990" i="1"/>
  <c r="CI990" i="1"/>
  <c r="BX990" i="1" s="1"/>
  <c r="BY990" i="1" s="1"/>
  <c r="BZ990" i="1" s="1"/>
  <c r="CJ989" i="1"/>
  <c r="CI989" i="1"/>
  <c r="CI988" i="1"/>
  <c r="CJ988" i="1" s="1"/>
  <c r="CI987" i="1"/>
  <c r="CJ987" i="1" s="1"/>
  <c r="BZ987" i="1"/>
  <c r="BY987" i="1"/>
  <c r="BX987" i="1"/>
  <c r="CJ986" i="1"/>
  <c r="CI986" i="1"/>
  <c r="BX986" i="1"/>
  <c r="BY986" i="1" s="1"/>
  <c r="BZ986" i="1" s="1"/>
  <c r="CI985" i="1"/>
  <c r="CJ985" i="1" s="1"/>
  <c r="CI984" i="1"/>
  <c r="BX984" i="1"/>
  <c r="CI983" i="1"/>
  <c r="CJ983" i="1" s="1"/>
  <c r="CI982" i="1"/>
  <c r="CJ982" i="1" s="1"/>
  <c r="CI981" i="1"/>
  <c r="CJ981" i="1" s="1"/>
  <c r="CI980" i="1"/>
  <c r="BX980" i="1"/>
  <c r="BY980" i="1" s="1"/>
  <c r="BZ980" i="1" s="1"/>
  <c r="CJ979" i="1"/>
  <c r="CI979" i="1"/>
  <c r="BX979" i="1" s="1"/>
  <c r="BY979" i="1" s="1"/>
  <c r="BZ979" i="1" s="1"/>
  <c r="CI978" i="1"/>
  <c r="CI977" i="1"/>
  <c r="CJ976" i="1"/>
  <c r="CI976" i="1"/>
  <c r="BX976" i="1" s="1"/>
  <c r="BY976" i="1" s="1"/>
  <c r="BZ976" i="1" s="1"/>
  <c r="CJ975" i="1"/>
  <c r="CI975" i="1"/>
  <c r="BX975" i="1" s="1"/>
  <c r="BY975" i="1" s="1"/>
  <c r="BZ975" i="1" s="1"/>
  <c r="CJ974" i="1"/>
  <c r="CI974" i="1"/>
  <c r="CJ973" i="1"/>
  <c r="CI973" i="1"/>
  <c r="CJ972" i="1"/>
  <c r="CI972" i="1"/>
  <c r="CJ971" i="1"/>
  <c r="CI971" i="1"/>
  <c r="BZ971" i="1"/>
  <c r="BX971" i="1"/>
  <c r="BY971" i="1" s="1"/>
  <c r="CI970" i="1"/>
  <c r="CJ970" i="1" s="1"/>
  <c r="CI969" i="1"/>
  <c r="CI968" i="1"/>
  <c r="CI967" i="1"/>
  <c r="CJ967" i="1" s="1"/>
  <c r="CI966" i="1"/>
  <c r="CI965" i="1"/>
  <c r="CJ965" i="1" s="1"/>
  <c r="BX965" i="1"/>
  <c r="BY965" i="1" s="1"/>
  <c r="BZ965" i="1" s="1"/>
  <c r="CJ964" i="1"/>
  <c r="CI964" i="1"/>
  <c r="CI963" i="1"/>
  <c r="CJ963" i="1" s="1"/>
  <c r="CJ962" i="1"/>
  <c r="CI962" i="1"/>
  <c r="BX962" i="1" s="1"/>
  <c r="BY962" i="1"/>
  <c r="BZ962" i="1" s="1"/>
  <c r="CJ961" i="1"/>
  <c r="CI961" i="1"/>
  <c r="BY961" i="1"/>
  <c r="BZ961" i="1" s="1"/>
  <c r="BX961" i="1"/>
  <c r="CI960" i="1"/>
  <c r="CI959" i="1"/>
  <c r="BX959" i="1" s="1"/>
  <c r="BY959" i="1" s="1"/>
  <c r="BZ959" i="1" s="1"/>
  <c r="CJ958" i="1"/>
  <c r="CI958" i="1"/>
  <c r="BZ958" i="1"/>
  <c r="BY958" i="1"/>
  <c r="BX958" i="1"/>
  <c r="CJ957" i="1"/>
  <c r="CI957" i="1"/>
  <c r="BY957" i="1"/>
  <c r="BZ957" i="1" s="1"/>
  <c r="BX957" i="1"/>
  <c r="CI956" i="1"/>
  <c r="CJ956" i="1" s="1"/>
  <c r="CJ955" i="1"/>
  <c r="CI955" i="1"/>
  <c r="CJ954" i="1"/>
  <c r="CI954" i="1"/>
  <c r="CJ953" i="1"/>
  <c r="CI953" i="1"/>
  <c r="BX953" i="1"/>
  <c r="BY953" i="1" s="1"/>
  <c r="BZ953" i="1" s="1"/>
  <c r="CJ952" i="1"/>
  <c r="CI952" i="1"/>
  <c r="BX952" i="1"/>
  <c r="BY952" i="1" s="1"/>
  <c r="BZ952" i="1" s="1"/>
  <c r="CJ951" i="1"/>
  <c r="CI951" i="1"/>
  <c r="CI950" i="1"/>
  <c r="CJ949" i="1"/>
  <c r="CI949" i="1"/>
  <c r="BZ949" i="1"/>
  <c r="BX949" i="1"/>
  <c r="BY949" i="1" s="1"/>
  <c r="CI948" i="1"/>
  <c r="CJ948" i="1" s="1"/>
  <c r="BX948" i="1"/>
  <c r="BY948" i="1" s="1"/>
  <c r="BZ948" i="1" s="1"/>
  <c r="CJ947" i="1"/>
  <c r="CI947" i="1"/>
  <c r="BX947" i="1" s="1"/>
  <c r="BY947" i="1" s="1"/>
  <c r="BZ947" i="1" s="1"/>
  <c r="CI946" i="1"/>
  <c r="CJ946" i="1" s="1"/>
  <c r="CJ945" i="1"/>
  <c r="CI945" i="1"/>
  <c r="CI944" i="1"/>
  <c r="CJ944" i="1" s="1"/>
  <c r="CI943" i="1"/>
  <c r="CJ943" i="1" s="1"/>
  <c r="CI942" i="1"/>
  <c r="CJ941" i="1"/>
  <c r="CI941" i="1"/>
  <c r="BY941" i="1"/>
  <c r="BZ941" i="1" s="1"/>
  <c r="BX941" i="1"/>
  <c r="CJ940" i="1"/>
  <c r="CI940" i="1"/>
  <c r="CI939" i="1"/>
  <c r="CJ938" i="1"/>
  <c r="CI938" i="1"/>
  <c r="CI937" i="1"/>
  <c r="CJ936" i="1"/>
  <c r="CI936" i="1"/>
  <c r="CJ935" i="1"/>
  <c r="CI935" i="1"/>
  <c r="BX936" i="1" s="1"/>
  <c r="BY936" i="1" s="1"/>
  <c r="BZ936" i="1" s="1"/>
  <c r="CJ934" i="1"/>
  <c r="CI934" i="1"/>
  <c r="CI933" i="1"/>
  <c r="CJ933" i="1" s="1"/>
  <c r="CJ932" i="1"/>
  <c r="CI932" i="1"/>
  <c r="CI931" i="1"/>
  <c r="CJ931" i="1" s="1"/>
  <c r="CJ930" i="1"/>
  <c r="CI930" i="1"/>
  <c r="CJ929" i="1"/>
  <c r="CI929" i="1"/>
  <c r="CJ928" i="1"/>
  <c r="CI928" i="1"/>
  <c r="BX928" i="1"/>
  <c r="BY928" i="1" s="1"/>
  <c r="BZ928" i="1" s="1"/>
  <c r="CJ927" i="1"/>
  <c r="CI927" i="1"/>
  <c r="BX927" i="1" s="1"/>
  <c r="BY927" i="1" s="1"/>
  <c r="BZ927" i="1" s="1"/>
  <c r="CJ926" i="1"/>
  <c r="CI926" i="1"/>
  <c r="CI925" i="1"/>
  <c r="BY925" i="1"/>
  <c r="BZ925" i="1" s="1"/>
  <c r="BX925" i="1"/>
  <c r="CJ924" i="1"/>
  <c r="CI924" i="1"/>
  <c r="BX924" i="1" s="1"/>
  <c r="BY924" i="1" s="1"/>
  <c r="BZ924" i="1" s="1"/>
  <c r="CJ923" i="1"/>
  <c r="CI923" i="1"/>
  <c r="CJ922" i="1"/>
  <c r="CI922" i="1"/>
  <c r="BX922" i="1" s="1"/>
  <c r="BY922" i="1"/>
  <c r="BZ922" i="1" s="1"/>
  <c r="CI921" i="1"/>
  <c r="CI920" i="1"/>
  <c r="CJ920" i="1" s="1"/>
  <c r="BX920" i="1"/>
  <c r="BY920" i="1" s="1"/>
  <c r="BZ920" i="1" s="1"/>
  <c r="CI919" i="1"/>
  <c r="CJ919" i="1" s="1"/>
  <c r="CI918" i="1"/>
  <c r="CJ917" i="1"/>
  <c r="CI917" i="1"/>
  <c r="CI916" i="1"/>
  <c r="CJ915" i="1"/>
  <c r="CI915" i="1"/>
  <c r="CI914" i="1"/>
  <c r="CI913" i="1"/>
  <c r="CJ912" i="1"/>
  <c r="CI912" i="1"/>
  <c r="BX912" i="1"/>
  <c r="BY912" i="1" s="1"/>
  <c r="BZ912" i="1" s="1"/>
  <c r="CJ911" i="1"/>
  <c r="CI911" i="1"/>
  <c r="CI910" i="1"/>
  <c r="CJ909" i="1"/>
  <c r="CI909" i="1"/>
  <c r="CI908" i="1"/>
  <c r="CI907" i="1"/>
  <c r="CI906" i="1"/>
  <c r="CJ906" i="1" s="1"/>
  <c r="CI905" i="1"/>
  <c r="CI904" i="1"/>
  <c r="CJ904" i="1" s="1"/>
  <c r="BX904" i="1"/>
  <c r="BY904" i="1" s="1"/>
  <c r="BZ904" i="1" s="1"/>
  <c r="CJ903" i="1"/>
  <c r="CI903" i="1"/>
  <c r="BX903" i="1"/>
  <c r="BY903" i="1" s="1"/>
  <c r="BZ903" i="1" s="1"/>
  <c r="CJ902" i="1"/>
  <c r="CI902" i="1"/>
  <c r="BX902" i="1"/>
  <c r="BY902" i="1" s="1"/>
  <c r="BZ902" i="1" s="1"/>
  <c r="CI901" i="1"/>
  <c r="CJ900" i="1"/>
  <c r="CI900" i="1"/>
  <c r="CJ899" i="1"/>
  <c r="CI899" i="1"/>
  <c r="BX899" i="1"/>
  <c r="BY899" i="1" s="1"/>
  <c r="BZ899" i="1" s="1"/>
  <c r="CJ898" i="1"/>
  <c r="CI898" i="1"/>
  <c r="BX898" i="1" s="1"/>
  <c r="BY898" i="1" s="1"/>
  <c r="BZ898" i="1" s="1"/>
  <c r="CJ897" i="1"/>
  <c r="CI897" i="1"/>
  <c r="CI896" i="1"/>
  <c r="CJ895" i="1"/>
  <c r="CI895" i="1"/>
  <c r="CJ894" i="1"/>
  <c r="CI894" i="1"/>
  <c r="CJ893" i="1"/>
  <c r="CI893" i="1"/>
  <c r="CI892" i="1"/>
  <c r="BX893" i="1" s="1"/>
  <c r="CJ891" i="1"/>
  <c r="CI891" i="1"/>
  <c r="BX891" i="1" s="1"/>
  <c r="CJ890" i="1"/>
  <c r="CI890" i="1"/>
  <c r="CJ889" i="1"/>
  <c r="CI889" i="1"/>
  <c r="CJ888" i="1"/>
  <c r="CI888" i="1"/>
  <c r="CJ887" i="1"/>
  <c r="CI887" i="1"/>
  <c r="BX887" i="1" s="1"/>
  <c r="CJ886" i="1"/>
  <c r="CI886" i="1"/>
  <c r="CI885" i="1"/>
  <c r="CJ885" i="1" s="1"/>
  <c r="CI884" i="1"/>
  <c r="CI883" i="1"/>
  <c r="CJ883" i="1" s="1"/>
  <c r="CJ882" i="1"/>
  <c r="CI882" i="1"/>
  <c r="CJ881" i="1"/>
  <c r="CI881" i="1"/>
  <c r="BX881" i="1" s="1"/>
  <c r="BY881" i="1" s="1"/>
  <c r="BZ881" i="1"/>
  <c r="CJ880" i="1"/>
  <c r="CI880" i="1"/>
  <c r="BX880" i="1"/>
  <c r="BY880" i="1" s="1"/>
  <c r="BZ880" i="1" s="1"/>
  <c r="CJ879" i="1"/>
  <c r="CI879" i="1"/>
  <c r="BY879" i="1"/>
  <c r="BZ879" i="1" s="1"/>
  <c r="BX879" i="1"/>
  <c r="CJ878" i="1"/>
  <c r="CI878" i="1"/>
  <c r="CI877" i="1"/>
  <c r="CI876" i="1"/>
  <c r="BX876" i="1" s="1"/>
  <c r="BY876" i="1"/>
  <c r="BZ876" i="1" s="1"/>
  <c r="CJ875" i="1"/>
  <c r="CI875" i="1"/>
  <c r="CI874" i="1"/>
  <c r="CJ873" i="1"/>
  <c r="CI873" i="1"/>
  <c r="CJ872" i="1"/>
  <c r="CI872" i="1"/>
  <c r="CI871" i="1"/>
  <c r="BX872" i="1" s="1"/>
  <c r="BY872" i="1" s="1"/>
  <c r="BZ872" i="1" s="1"/>
  <c r="CJ870" i="1"/>
  <c r="CI870" i="1"/>
  <c r="BX870" i="1" s="1"/>
  <c r="BY870" i="1" s="1"/>
  <c r="BZ870" i="1" s="1"/>
  <c r="CI869" i="1"/>
  <c r="CJ869" i="1" s="1"/>
  <c r="CI868" i="1"/>
  <c r="CI867" i="1"/>
  <c r="CJ867" i="1" s="1"/>
  <c r="BX867" i="1"/>
  <c r="BY867" i="1" s="1"/>
  <c r="BZ867" i="1" s="1"/>
  <c r="CJ866" i="1"/>
  <c r="CI866" i="1"/>
  <c r="CI865" i="1"/>
  <c r="CJ864" i="1"/>
  <c r="CI864" i="1"/>
  <c r="CI863" i="1"/>
  <c r="CI862" i="1"/>
  <c r="CI861" i="1"/>
  <c r="CJ861" i="1" s="1"/>
  <c r="BX861" i="1"/>
  <c r="BY861" i="1" s="1"/>
  <c r="BZ861" i="1" s="1"/>
  <c r="CJ860" i="1"/>
  <c r="CI860" i="1"/>
  <c r="CJ859" i="1"/>
  <c r="CI859" i="1"/>
  <c r="BX859" i="1" s="1"/>
  <c r="BY859" i="1" s="1"/>
  <c r="BZ859" i="1" s="1"/>
  <c r="CI858" i="1"/>
  <c r="CJ858" i="1" s="1"/>
  <c r="BZ858" i="1"/>
  <c r="BY858" i="1"/>
  <c r="BX858" i="1"/>
  <c r="CJ857" i="1"/>
  <c r="CI857" i="1"/>
  <c r="BZ857" i="1"/>
  <c r="BY857" i="1"/>
  <c r="BX857" i="1"/>
  <c r="CI856" i="1"/>
  <c r="CJ856" i="1" s="1"/>
  <c r="CI855" i="1"/>
  <c r="CI854" i="1"/>
  <c r="CI853" i="1"/>
  <c r="CJ853" i="1" s="1"/>
  <c r="CI852" i="1"/>
  <c r="CJ851" i="1"/>
  <c r="CI851" i="1"/>
  <c r="BX851" i="1" s="1"/>
  <c r="BY851" i="1" s="1"/>
  <c r="BZ851" i="1"/>
  <c r="CJ850" i="1"/>
  <c r="CI850" i="1"/>
  <c r="CI849" i="1"/>
  <c r="CJ849" i="1" s="1"/>
  <c r="CJ848" i="1"/>
  <c r="CI848" i="1"/>
  <c r="CI847" i="1"/>
  <c r="CI846" i="1"/>
  <c r="BX846" i="1" s="1"/>
  <c r="BY846" i="1"/>
  <c r="BZ846" i="1" s="1"/>
  <c r="CI845" i="1"/>
  <c r="CJ844" i="1"/>
  <c r="CI844" i="1"/>
  <c r="CJ843" i="1"/>
  <c r="CI843" i="1"/>
  <c r="BX844" i="1" s="1"/>
  <c r="BY844" i="1" s="1"/>
  <c r="BZ844" i="1" s="1"/>
  <c r="CJ842" i="1"/>
  <c r="CI842" i="1"/>
  <c r="CI841" i="1"/>
  <c r="BX841" i="1" s="1"/>
  <c r="BY841" i="1" s="1"/>
  <c r="BZ841" i="1" s="1"/>
  <c r="CI840" i="1"/>
  <c r="BX840" i="1" s="1"/>
  <c r="BY840" i="1"/>
  <c r="BZ840" i="1" s="1"/>
  <c r="CJ839" i="1"/>
  <c r="CI839" i="1"/>
  <c r="CI838" i="1"/>
  <c r="BX838" i="1" s="1"/>
  <c r="BY838" i="1"/>
  <c r="BZ838" i="1" s="1"/>
  <c r="CJ837" i="1"/>
  <c r="CI837" i="1"/>
  <c r="CI836" i="1"/>
  <c r="CJ835" i="1"/>
  <c r="CI835" i="1"/>
  <c r="CI834" i="1"/>
  <c r="CJ834" i="1" s="1"/>
  <c r="CI833" i="1"/>
  <c r="CJ832" i="1"/>
  <c r="CI832" i="1"/>
  <c r="BX832" i="1" s="1"/>
  <c r="BY832" i="1"/>
  <c r="BZ832" i="1" s="1"/>
  <c r="CI831" i="1"/>
  <c r="CJ831" i="1" s="1"/>
  <c r="BZ831" i="1"/>
  <c r="CI830" i="1"/>
  <c r="BX831" i="1" s="1"/>
  <c r="BY831" i="1" s="1"/>
  <c r="CJ829" i="1"/>
  <c r="CI829" i="1"/>
  <c r="BX829" i="1" s="1"/>
  <c r="BY829" i="1" s="1"/>
  <c r="BZ829" i="1" s="1"/>
  <c r="CJ828" i="1"/>
  <c r="CI828" i="1"/>
  <c r="BX828" i="1"/>
  <c r="BY828" i="1" s="1"/>
  <c r="BZ828" i="1" s="1"/>
  <c r="CI827" i="1"/>
  <c r="CI826" i="1"/>
  <c r="CI825" i="1"/>
  <c r="CJ825" i="1" s="1"/>
  <c r="CI824" i="1"/>
  <c r="CJ824" i="1" s="1"/>
  <c r="CJ823" i="1"/>
  <c r="CI823" i="1"/>
  <c r="BY823" i="1"/>
  <c r="BZ823" i="1" s="1"/>
  <c r="BX823" i="1"/>
  <c r="CJ822" i="1"/>
  <c r="CI822" i="1"/>
  <c r="CI821" i="1"/>
  <c r="CJ821" i="1" s="1"/>
  <c r="CJ820" i="1"/>
  <c r="CI820" i="1"/>
  <c r="BY820" i="1"/>
  <c r="BZ820" i="1" s="1"/>
  <c r="BX820" i="1"/>
  <c r="CJ819" i="1"/>
  <c r="CI819" i="1"/>
  <c r="CI818" i="1"/>
  <c r="CJ818" i="1" s="1"/>
  <c r="CJ817" i="1"/>
  <c r="CI817" i="1"/>
  <c r="CI816" i="1"/>
  <c r="CJ816" i="1" s="1"/>
  <c r="BX816" i="1"/>
  <c r="BY816" i="1" s="1"/>
  <c r="BZ816" i="1" s="1"/>
  <c r="CJ815" i="1"/>
  <c r="CI815" i="1"/>
  <c r="CJ814" i="1"/>
  <c r="CI814" i="1"/>
  <c r="CI813" i="1"/>
  <c r="CJ813" i="1" s="1"/>
  <c r="CJ812" i="1"/>
  <c r="CI812" i="1"/>
  <c r="CJ811" i="1"/>
  <c r="CI811" i="1"/>
  <c r="CI810" i="1"/>
  <c r="CJ810" i="1" s="1"/>
  <c r="CJ809" i="1"/>
  <c r="CI809" i="1"/>
  <c r="CI808" i="1"/>
  <c r="CJ807" i="1"/>
  <c r="CI807" i="1"/>
  <c r="BX807" i="1" s="1"/>
  <c r="BZ807" i="1"/>
  <c r="BY807" i="1"/>
  <c r="CJ806" i="1"/>
  <c r="CI806" i="1"/>
  <c r="CI805" i="1"/>
  <c r="BX805" i="1" s="1"/>
  <c r="BY805" i="1"/>
  <c r="BZ805" i="1" s="1"/>
  <c r="CJ804" i="1"/>
  <c r="CI804" i="1"/>
  <c r="CI803" i="1"/>
  <c r="CJ802" i="1"/>
  <c r="CI802" i="1"/>
  <c r="BX802" i="1"/>
  <c r="BY802" i="1" s="1"/>
  <c r="BZ802" i="1" s="1"/>
  <c r="CI801" i="1"/>
  <c r="CI800" i="1"/>
  <c r="CJ800" i="1" s="1"/>
  <c r="CJ799" i="1"/>
  <c r="CI799" i="1"/>
  <c r="CI798" i="1"/>
  <c r="CI797" i="1"/>
  <c r="CI796" i="1"/>
  <c r="BX796" i="1" s="1"/>
  <c r="BY796" i="1"/>
  <c r="BZ796" i="1" s="1"/>
  <c r="CI795" i="1"/>
  <c r="CI794" i="1"/>
  <c r="CJ794" i="1" s="1"/>
  <c r="CI793" i="1"/>
  <c r="BX793" i="1" s="1"/>
  <c r="BY793" i="1" s="1"/>
  <c r="BZ793" i="1" s="1"/>
  <c r="CJ792" i="1"/>
  <c r="CI792" i="1"/>
  <c r="CI791" i="1"/>
  <c r="CI790" i="1"/>
  <c r="BX790" i="1" s="1"/>
  <c r="BY790" i="1"/>
  <c r="BZ790" i="1" s="1"/>
  <c r="CJ789" i="1"/>
  <c r="CI789" i="1"/>
  <c r="BX789" i="1"/>
  <c r="BY789" i="1" s="1"/>
  <c r="BZ789" i="1" s="1"/>
  <c r="CJ788" i="1"/>
  <c r="CI788" i="1"/>
  <c r="CJ787" i="1"/>
  <c r="CI787" i="1"/>
  <c r="CI786" i="1"/>
  <c r="CJ786" i="1" s="1"/>
  <c r="BX786" i="1"/>
  <c r="BY786" i="1" s="1"/>
  <c r="BZ786" i="1" s="1"/>
  <c r="CJ785" i="1"/>
  <c r="CI785" i="1"/>
  <c r="BX785" i="1"/>
  <c r="CJ784" i="1"/>
  <c r="CI784" i="1"/>
  <c r="CJ783" i="1"/>
  <c r="CI783" i="1"/>
  <c r="BX783" i="1" s="1"/>
  <c r="BY783" i="1" s="1"/>
  <c r="BZ783" i="1" s="1"/>
  <c r="CJ782" i="1"/>
  <c r="CI782" i="1"/>
  <c r="CI781" i="1"/>
  <c r="CJ781" i="1" s="1"/>
  <c r="BX781" i="1"/>
  <c r="BY781" i="1" s="1"/>
  <c r="BZ781" i="1" s="1"/>
  <c r="CJ780" i="1"/>
  <c r="CI780" i="1"/>
  <c r="CI779" i="1"/>
  <c r="BX780" i="1" s="1"/>
  <c r="BY780" i="1" s="1"/>
  <c r="BZ780" i="1" s="1"/>
  <c r="BX779" i="1"/>
  <c r="BY779" i="1" s="1"/>
  <c r="BZ779" i="1" s="1"/>
  <c r="CJ778" i="1"/>
  <c r="CI778" i="1"/>
  <c r="CJ777" i="1"/>
  <c r="CI777" i="1"/>
  <c r="BX777" i="1"/>
  <c r="BY777" i="1" s="1"/>
  <c r="BZ777" i="1" s="1"/>
  <c r="CJ776" i="1"/>
  <c r="CI776" i="1"/>
  <c r="CI775" i="1"/>
  <c r="CJ774" i="1"/>
  <c r="CI774" i="1"/>
  <c r="CJ773" i="1"/>
  <c r="CI773" i="1"/>
  <c r="BX774" i="1" s="1"/>
  <c r="BY774" i="1" s="1"/>
  <c r="BZ774" i="1" s="1"/>
  <c r="CJ772" i="1"/>
  <c r="CI772" i="1"/>
  <c r="BX772" i="1"/>
  <c r="BY772" i="1" s="1"/>
  <c r="BZ772" i="1" s="1"/>
  <c r="CI771" i="1"/>
  <c r="CJ771" i="1" s="1"/>
  <c r="CI770" i="1"/>
  <c r="BX771" i="1" s="1"/>
  <c r="BY771" i="1" s="1"/>
  <c r="BZ771" i="1" s="1"/>
  <c r="CI769" i="1"/>
  <c r="CJ769" i="1" s="1"/>
  <c r="CI768" i="1"/>
  <c r="CJ768" i="1" s="1"/>
  <c r="CI767" i="1"/>
  <c r="CJ767" i="1" s="1"/>
  <c r="CI766" i="1"/>
  <c r="CJ765" i="1"/>
  <c r="CI765" i="1"/>
  <c r="CI764" i="1"/>
  <c r="BX765" i="1" s="1"/>
  <c r="BY765" i="1" s="1"/>
  <c r="BZ765" i="1" s="1"/>
  <c r="CI763" i="1"/>
  <c r="CI762" i="1"/>
  <c r="CJ761" i="1"/>
  <c r="CI761" i="1"/>
  <c r="CI760" i="1"/>
  <c r="BX761" i="1" s="1"/>
  <c r="BY761" i="1" s="1"/>
  <c r="BZ761" i="1" s="1"/>
  <c r="BX760" i="1"/>
  <c r="BY760" i="1" s="1"/>
  <c r="BZ760" i="1" s="1"/>
  <c r="CI759" i="1"/>
  <c r="CJ759" i="1" s="1"/>
  <c r="CI758" i="1"/>
  <c r="CJ758" i="1" s="1"/>
  <c r="BX758" i="1"/>
  <c r="BY758" i="1" s="1"/>
  <c r="BZ758" i="1" s="1"/>
  <c r="CJ757" i="1"/>
  <c r="CI757" i="1"/>
  <c r="BX757" i="1" s="1"/>
  <c r="BY757" i="1"/>
  <c r="BZ757" i="1" s="1"/>
  <c r="CJ756" i="1"/>
  <c r="CI756" i="1"/>
  <c r="CI755" i="1"/>
  <c r="CJ755" i="1" s="1"/>
  <c r="CI754" i="1"/>
  <c r="CJ754" i="1" s="1"/>
  <c r="CI753" i="1"/>
  <c r="CI752" i="1"/>
  <c r="CJ752" i="1" s="1"/>
  <c r="BX752" i="1"/>
  <c r="BY752" i="1" s="1"/>
  <c r="BZ752" i="1" s="1"/>
  <c r="CI751" i="1"/>
  <c r="CJ750" i="1"/>
  <c r="CI750" i="1"/>
  <c r="CI749" i="1"/>
  <c r="CJ748" i="1"/>
  <c r="CI748" i="1"/>
  <c r="BZ748" i="1"/>
  <c r="BX748" i="1"/>
  <c r="BY748" i="1" s="1"/>
  <c r="CJ747" i="1"/>
  <c r="CI747" i="1"/>
  <c r="BX747" i="1"/>
  <c r="BY747" i="1" s="1"/>
  <c r="BZ747" i="1" s="1"/>
  <c r="CI746" i="1"/>
  <c r="CJ746" i="1" s="1"/>
  <c r="CI745" i="1"/>
  <c r="CJ745" i="1" s="1"/>
  <c r="BX745" i="1"/>
  <c r="BY745" i="1" s="1"/>
  <c r="BZ745" i="1" s="1"/>
  <c r="CJ744" i="1"/>
  <c r="CI744" i="1"/>
  <c r="CI743" i="1"/>
  <c r="CI742" i="1"/>
  <c r="CJ742" i="1" s="1"/>
  <c r="BX742" i="1"/>
  <c r="BY742" i="1" s="1"/>
  <c r="BZ742" i="1" s="1"/>
  <c r="CJ741" i="1"/>
  <c r="CI741" i="1"/>
  <c r="CI740" i="1"/>
  <c r="CJ740" i="1" s="1"/>
  <c r="BX740" i="1"/>
  <c r="BY740" i="1" s="1"/>
  <c r="BZ740" i="1" s="1"/>
  <c r="CJ739" i="1"/>
  <c r="CI739" i="1"/>
  <c r="CI738" i="1"/>
  <c r="CJ738" i="1" s="1"/>
  <c r="BX738" i="1"/>
  <c r="BY738" i="1" s="1"/>
  <c r="BZ738" i="1" s="1"/>
  <c r="CI737" i="1"/>
  <c r="BX737" i="1" s="1"/>
  <c r="BY737" i="1"/>
  <c r="BZ737" i="1" s="1"/>
  <c r="CI736" i="1"/>
  <c r="CJ736" i="1" s="1"/>
  <c r="CI735" i="1"/>
  <c r="CJ734" i="1"/>
  <c r="CI734" i="1"/>
  <c r="BY734" i="1"/>
  <c r="BZ734" i="1" s="1"/>
  <c r="BX734" i="1"/>
  <c r="CI733" i="1"/>
  <c r="CJ733" i="1" s="1"/>
  <c r="CI732" i="1"/>
  <c r="CI731" i="1"/>
  <c r="CJ731" i="1" s="1"/>
  <c r="CI730" i="1"/>
  <c r="CJ729" i="1"/>
  <c r="CI729" i="1"/>
  <c r="BX729" i="1"/>
  <c r="BY729" i="1" s="1"/>
  <c r="BZ729" i="1" s="1"/>
  <c r="CI728" i="1"/>
  <c r="CI727" i="1"/>
  <c r="CJ727" i="1" s="1"/>
  <c r="CI726" i="1"/>
  <c r="BX727" i="1" s="1"/>
  <c r="BY727" i="1" s="1"/>
  <c r="BZ727" i="1" s="1"/>
  <c r="CJ725" i="1"/>
  <c r="CI725" i="1"/>
  <c r="BX725" i="1" s="1"/>
  <c r="BY725" i="1"/>
  <c r="BZ725" i="1" s="1"/>
  <c r="CJ724" i="1"/>
  <c r="CI724" i="1"/>
  <c r="CJ723" i="1"/>
  <c r="CI723" i="1"/>
  <c r="CI722" i="1"/>
  <c r="BX722" i="1" s="1"/>
  <c r="BY722" i="1" s="1"/>
  <c r="BZ722" i="1"/>
  <c r="CJ721" i="1"/>
  <c r="CI721" i="1"/>
  <c r="BX721" i="1"/>
  <c r="BY721" i="1" s="1"/>
  <c r="BZ721" i="1" s="1"/>
  <c r="CJ720" i="1"/>
  <c r="CI720" i="1"/>
  <c r="CJ719" i="1"/>
  <c r="CI719" i="1"/>
  <c r="BX719" i="1" s="1"/>
  <c r="BY719" i="1"/>
  <c r="BZ719" i="1" s="1"/>
  <c r="CJ718" i="1"/>
  <c r="CI718" i="1"/>
  <c r="BX718" i="1"/>
  <c r="BY718" i="1" s="1"/>
  <c r="BZ718" i="1" s="1"/>
  <c r="CJ717" i="1"/>
  <c r="CI717" i="1"/>
  <c r="BY717" i="1"/>
  <c r="BZ717" i="1" s="1"/>
  <c r="BX717" i="1"/>
  <c r="CJ716" i="1"/>
  <c r="CI716" i="1"/>
  <c r="BX716" i="1"/>
  <c r="BY716" i="1" s="1"/>
  <c r="BZ716" i="1" s="1"/>
  <c r="CJ715" i="1"/>
  <c r="CI715" i="1"/>
  <c r="CJ714" i="1"/>
  <c r="CI714" i="1"/>
  <c r="BY714" i="1"/>
  <c r="BZ714" i="1" s="1"/>
  <c r="BX714" i="1"/>
  <c r="CJ713" i="1"/>
  <c r="CI713" i="1"/>
  <c r="CI712" i="1"/>
  <c r="BX713" i="1" s="1"/>
  <c r="BY713" i="1" s="1"/>
  <c r="BZ713" i="1" s="1"/>
  <c r="BX712" i="1"/>
  <c r="BY712" i="1" s="1"/>
  <c r="BZ712" i="1" s="1"/>
  <c r="CJ711" i="1"/>
  <c r="CI711" i="1"/>
  <c r="BX711" i="1" s="1"/>
  <c r="BY711" i="1"/>
  <c r="BZ711" i="1" s="1"/>
  <c r="CJ710" i="1"/>
  <c r="CI710" i="1"/>
  <c r="CJ709" i="1"/>
  <c r="CI709" i="1"/>
  <c r="CI708" i="1"/>
  <c r="CJ708" i="1" s="1"/>
  <c r="CI707" i="1"/>
  <c r="CJ707" i="1" s="1"/>
  <c r="BX707" i="1"/>
  <c r="BY707" i="1" s="1"/>
  <c r="BZ707" i="1" s="1"/>
  <c r="CI706" i="1"/>
  <c r="CJ706" i="1" s="1"/>
  <c r="CI705" i="1"/>
  <c r="CJ705" i="1" s="1"/>
  <c r="CJ704" i="1"/>
  <c r="CI704" i="1"/>
  <c r="BX704" i="1"/>
  <c r="BY704" i="1" s="1"/>
  <c r="BZ704" i="1" s="1"/>
  <c r="CI703" i="1"/>
  <c r="CJ703" i="1" s="1"/>
  <c r="CI702" i="1"/>
  <c r="CJ702" i="1" s="1"/>
  <c r="CI701" i="1"/>
  <c r="CI700" i="1"/>
  <c r="CJ700" i="1" s="1"/>
  <c r="BX700" i="1"/>
  <c r="BY700" i="1" s="1"/>
  <c r="BZ700" i="1" s="1"/>
  <c r="CJ699" i="1"/>
  <c r="CI699" i="1"/>
  <c r="BX699" i="1"/>
  <c r="BY699" i="1" s="1"/>
  <c r="BZ699" i="1" s="1"/>
  <c r="CI698" i="1"/>
  <c r="CJ698" i="1" s="1"/>
  <c r="CJ697" i="1"/>
  <c r="CI697" i="1"/>
  <c r="BX698" i="1" s="1"/>
  <c r="BY698" i="1" s="1"/>
  <c r="BZ698" i="1" s="1"/>
  <c r="CI696" i="1"/>
  <c r="CJ695" i="1"/>
  <c r="CI695" i="1"/>
  <c r="CI694" i="1"/>
  <c r="CJ694" i="1" s="1"/>
  <c r="CI693" i="1"/>
  <c r="CJ693" i="1" s="1"/>
  <c r="CI692" i="1"/>
  <c r="CJ692" i="1" s="1"/>
  <c r="CI691" i="1"/>
  <c r="CJ691" i="1" s="1"/>
  <c r="CI690" i="1"/>
  <c r="CJ690" i="1" s="1"/>
  <c r="CI689" i="1"/>
  <c r="CJ689" i="1" s="1"/>
  <c r="CI688" i="1"/>
  <c r="CJ688" i="1" s="1"/>
  <c r="CJ687" i="1"/>
  <c r="CI687" i="1"/>
  <c r="CI686" i="1"/>
  <c r="CJ686" i="1" s="1"/>
  <c r="CI685" i="1"/>
  <c r="CJ685" i="1" s="1"/>
  <c r="CJ684" i="1"/>
  <c r="CI684" i="1"/>
  <c r="CI683" i="1"/>
  <c r="CJ683" i="1" s="1"/>
  <c r="CI682" i="1"/>
  <c r="CJ682" i="1" s="1"/>
  <c r="CJ681" i="1"/>
  <c r="CI681" i="1"/>
  <c r="CJ680" i="1"/>
  <c r="CI680" i="1"/>
  <c r="CJ679" i="1"/>
  <c r="CI679" i="1"/>
  <c r="CJ678" i="1"/>
  <c r="CI678" i="1"/>
  <c r="BY678" i="1"/>
  <c r="BZ678" i="1" s="1"/>
  <c r="CJ677" i="1"/>
  <c r="CI677" i="1"/>
  <c r="BX678" i="1" s="1"/>
  <c r="CI676" i="1"/>
  <c r="CJ676" i="1" s="1"/>
  <c r="CI675" i="1"/>
  <c r="CJ675" i="1" s="1"/>
  <c r="CJ674" i="1"/>
  <c r="CI674" i="1"/>
  <c r="BX674" i="1" s="1"/>
  <c r="BY674" i="1"/>
  <c r="BZ674" i="1" s="1"/>
  <c r="CJ673" i="1"/>
  <c r="CI673" i="1"/>
  <c r="CI672" i="1"/>
  <c r="CJ672" i="1" s="1"/>
  <c r="CI671" i="1"/>
  <c r="CJ671" i="1" s="1"/>
  <c r="CJ670" i="1"/>
  <c r="CI670" i="1"/>
  <c r="BX670" i="1"/>
  <c r="BY670" i="1" s="1"/>
  <c r="BZ670" i="1" s="1"/>
  <c r="CJ669" i="1"/>
  <c r="CI669" i="1"/>
  <c r="CJ668" i="1"/>
  <c r="CI668" i="1"/>
  <c r="CI667" i="1"/>
  <c r="CJ667" i="1" s="1"/>
  <c r="CI666" i="1"/>
  <c r="CJ666" i="1" s="1"/>
  <c r="CJ665" i="1"/>
  <c r="CI665" i="1"/>
  <c r="BX665" i="1"/>
  <c r="BY665" i="1" s="1"/>
  <c r="BZ665" i="1" s="1"/>
  <c r="CJ664" i="1"/>
  <c r="CI664" i="1"/>
  <c r="BX664" i="1"/>
  <c r="BY664" i="1" s="1"/>
  <c r="BZ664" i="1" s="1"/>
  <c r="CI663" i="1"/>
  <c r="BX663" i="1" s="1"/>
  <c r="BY663" i="1" s="1"/>
  <c r="BZ663" i="1" s="1"/>
  <c r="CJ662" i="1"/>
  <c r="CI662" i="1"/>
  <c r="BX662" i="1" s="1"/>
  <c r="BZ662" i="1"/>
  <c r="BY662" i="1"/>
  <c r="CJ661" i="1"/>
  <c r="CI661" i="1"/>
  <c r="BX661" i="1"/>
  <c r="BY661" i="1" s="1"/>
  <c r="BZ661" i="1" s="1"/>
  <c r="CJ660" i="1"/>
  <c r="CI660" i="1"/>
  <c r="BY660" i="1"/>
  <c r="BZ660" i="1" s="1"/>
  <c r="BX660" i="1"/>
  <c r="CJ659" i="1"/>
  <c r="CI659" i="1"/>
  <c r="CJ658" i="1"/>
  <c r="CI658" i="1"/>
  <c r="BX658" i="1"/>
  <c r="BY658" i="1" s="1"/>
  <c r="BZ658" i="1" s="1"/>
  <c r="CJ657" i="1"/>
  <c r="CI657" i="1"/>
  <c r="BY657" i="1"/>
  <c r="BZ657" i="1" s="1"/>
  <c r="BX657" i="1"/>
  <c r="CJ656" i="1"/>
  <c r="CI656" i="1"/>
  <c r="BX656" i="1"/>
  <c r="BY656" i="1" s="1"/>
  <c r="BZ656" i="1" s="1"/>
  <c r="CJ655" i="1"/>
  <c r="CI655" i="1"/>
  <c r="CI654" i="1"/>
  <c r="CJ653" i="1"/>
  <c r="CI653" i="1"/>
  <c r="CJ652" i="1"/>
  <c r="CI652" i="1"/>
  <c r="BX652" i="1"/>
  <c r="BY652" i="1" s="1"/>
  <c r="BZ652" i="1" s="1"/>
  <c r="CJ651" i="1"/>
  <c r="CI651" i="1"/>
  <c r="BY651" i="1"/>
  <c r="BZ651" i="1" s="1"/>
  <c r="BX651" i="1"/>
  <c r="CI650" i="1"/>
  <c r="CJ650" i="1" s="1"/>
  <c r="CI649" i="1"/>
  <c r="CI648" i="1"/>
  <c r="CI647" i="1"/>
  <c r="CI646" i="1"/>
  <c r="CJ646" i="1" s="1"/>
  <c r="CI645" i="1"/>
  <c r="CJ645" i="1" s="1"/>
  <c r="BY645" i="1"/>
  <c r="BZ645" i="1" s="1"/>
  <c r="BX645" i="1"/>
  <c r="CJ644" i="1"/>
  <c r="CI644" i="1"/>
  <c r="CI643" i="1"/>
  <c r="CJ643" i="1" s="1"/>
  <c r="CJ642" i="1"/>
  <c r="CI642" i="1"/>
  <c r="BX642" i="1" s="1"/>
  <c r="BY642" i="1"/>
  <c r="BZ642" i="1" s="1"/>
  <c r="CJ641" i="1"/>
  <c r="CI641" i="1"/>
  <c r="CI640" i="1"/>
  <c r="CJ640" i="1" s="1"/>
  <c r="BZ640" i="1"/>
  <c r="BX640" i="1"/>
  <c r="BY640" i="1" s="1"/>
  <c r="CJ639" i="1"/>
  <c r="CI639" i="1"/>
  <c r="BX639" i="1" s="1"/>
  <c r="BY639" i="1" s="1"/>
  <c r="BZ639" i="1" s="1"/>
  <c r="CJ638" i="1"/>
  <c r="CI638" i="1"/>
  <c r="CJ637" i="1"/>
  <c r="CI637" i="1"/>
  <c r="CI636" i="1"/>
  <c r="CI635" i="1"/>
  <c r="CJ634" i="1"/>
  <c r="CI634" i="1"/>
  <c r="BZ634" i="1"/>
  <c r="BY634" i="1"/>
  <c r="CI633" i="1"/>
  <c r="BX634" i="1" s="1"/>
  <c r="CI632" i="1"/>
  <c r="CJ631" i="1"/>
  <c r="CI631" i="1"/>
  <c r="BX631" i="1"/>
  <c r="CJ630" i="1"/>
  <c r="CI630" i="1"/>
  <c r="CI629" i="1"/>
  <c r="CJ629" i="1" s="1"/>
  <c r="CI628" i="1"/>
  <c r="CJ628" i="1" s="1"/>
  <c r="CI627" i="1"/>
  <c r="CJ626" i="1"/>
  <c r="CI626" i="1"/>
  <c r="BX626" i="1" s="1"/>
  <c r="BY626" i="1"/>
  <c r="BZ626" i="1" s="1"/>
  <c r="CJ625" i="1"/>
  <c r="CI625" i="1"/>
  <c r="BX625" i="1"/>
  <c r="BY625" i="1" s="1"/>
  <c r="BZ625" i="1" s="1"/>
  <c r="CJ624" i="1"/>
  <c r="CI624" i="1"/>
  <c r="BX624" i="1" s="1"/>
  <c r="BZ624" i="1"/>
  <c r="BY624" i="1"/>
  <c r="CJ623" i="1"/>
  <c r="CI623" i="1"/>
  <c r="CI622" i="1"/>
  <c r="CJ621" i="1"/>
  <c r="CI621" i="1"/>
  <c r="CJ620" i="1"/>
  <c r="CI620" i="1"/>
  <c r="BZ620" i="1"/>
  <c r="BX620" i="1"/>
  <c r="BY620" i="1" s="1"/>
  <c r="CI619" i="1"/>
  <c r="CJ619" i="1" s="1"/>
  <c r="CI618" i="1"/>
  <c r="BX618" i="1" s="1"/>
  <c r="BY618" i="1"/>
  <c r="BZ618" i="1" s="1"/>
  <c r="CJ617" i="1"/>
  <c r="CI617" i="1"/>
  <c r="BX617" i="1" s="1"/>
  <c r="BY617" i="1"/>
  <c r="BZ617" i="1" s="1"/>
  <c r="CJ616" i="1"/>
  <c r="CI616" i="1"/>
  <c r="BZ616" i="1"/>
  <c r="BX616" i="1"/>
  <c r="BY616" i="1" s="1"/>
  <c r="CJ615" i="1"/>
  <c r="CI615" i="1"/>
  <c r="CI614" i="1"/>
  <c r="CJ613" i="1"/>
  <c r="CI613" i="1"/>
  <c r="CJ612" i="1"/>
  <c r="CI612" i="1"/>
  <c r="CJ611" i="1"/>
  <c r="CI611" i="1"/>
  <c r="CI610" i="1"/>
  <c r="CJ610" i="1" s="1"/>
  <c r="CI609" i="1"/>
  <c r="CJ609" i="1" s="1"/>
  <c r="BY609" i="1"/>
  <c r="BZ609" i="1" s="1"/>
  <c r="BX609" i="1"/>
  <c r="CJ608" i="1"/>
  <c r="CI608" i="1"/>
  <c r="BX608" i="1"/>
  <c r="BY608" i="1" s="1"/>
  <c r="BZ608" i="1" s="1"/>
  <c r="CJ607" i="1"/>
  <c r="CI607" i="1"/>
  <c r="BX607" i="1"/>
  <c r="BY607" i="1" s="1"/>
  <c r="BZ607" i="1" s="1"/>
  <c r="CI606" i="1"/>
  <c r="CJ605" i="1"/>
  <c r="CI605" i="1"/>
  <c r="BX605" i="1"/>
  <c r="CJ604" i="1"/>
  <c r="CI604" i="1"/>
  <c r="CI603" i="1"/>
  <c r="CI602" i="1"/>
  <c r="CJ602" i="1" s="1"/>
  <c r="CI601" i="1"/>
  <c r="CJ601" i="1" s="1"/>
  <c r="BX601" i="1"/>
  <c r="BY601" i="1" s="1"/>
  <c r="BZ601" i="1" s="1"/>
  <c r="CI600" i="1"/>
  <c r="CJ600" i="1" s="1"/>
  <c r="BX600" i="1"/>
  <c r="BY600" i="1" s="1"/>
  <c r="BZ600" i="1" s="1"/>
  <c r="CJ599" i="1"/>
  <c r="CI599" i="1"/>
  <c r="BX599" i="1"/>
  <c r="BY599" i="1" s="1"/>
  <c r="BZ599" i="1" s="1"/>
  <c r="CI598" i="1"/>
  <c r="CJ598" i="1" s="1"/>
  <c r="BX598" i="1"/>
  <c r="BY598" i="1" s="1"/>
  <c r="BZ598" i="1" s="1"/>
  <c r="CJ597" i="1"/>
  <c r="CI597" i="1"/>
  <c r="BX597" i="1"/>
  <c r="CJ596" i="1"/>
  <c r="CI596" i="1"/>
  <c r="BX596" i="1"/>
  <c r="CJ595" i="1"/>
  <c r="CI595" i="1"/>
  <c r="BX595" i="1"/>
  <c r="BY595" i="1" s="1"/>
  <c r="BZ595" i="1" s="1"/>
  <c r="CJ594" i="1"/>
  <c r="CI594" i="1"/>
  <c r="CI593" i="1"/>
  <c r="CJ592" i="1"/>
  <c r="CI592" i="1"/>
  <c r="CI591" i="1"/>
  <c r="BX592" i="1" s="1"/>
  <c r="BY592" i="1" s="1"/>
  <c r="BZ592" i="1" s="1"/>
  <c r="BX591" i="1"/>
  <c r="BY591" i="1" s="1"/>
  <c r="BZ591" i="1" s="1"/>
  <c r="CI590" i="1"/>
  <c r="CI589" i="1"/>
  <c r="CJ589" i="1" s="1"/>
  <c r="BX589" i="1"/>
  <c r="CI588" i="1"/>
  <c r="CJ587" i="1"/>
  <c r="CI587" i="1"/>
  <c r="CI586" i="1"/>
  <c r="CJ586" i="1" s="1"/>
  <c r="CJ585" i="1"/>
  <c r="CI585" i="1"/>
  <c r="BX585" i="1"/>
  <c r="BY585" i="1" s="1"/>
  <c r="BZ585" i="1" s="1"/>
  <c r="CJ584" i="1"/>
  <c r="CI584" i="1"/>
  <c r="CJ583" i="1"/>
  <c r="CI583" i="1"/>
  <c r="BX583" i="1" s="1"/>
  <c r="CJ582" i="1"/>
  <c r="CI582" i="1"/>
  <c r="BY582" i="1"/>
  <c r="BZ582" i="1" s="1"/>
  <c r="CJ581" i="1"/>
  <c r="CI581" i="1"/>
  <c r="BX582" i="1" s="1"/>
  <c r="BX581" i="1"/>
  <c r="BY581" i="1" s="1"/>
  <c r="BZ581" i="1" s="1"/>
  <c r="CJ580" i="1"/>
  <c r="CI580" i="1"/>
  <c r="CJ579" i="1"/>
  <c r="CI579" i="1"/>
  <c r="CI578" i="1"/>
  <c r="CI577" i="1"/>
  <c r="CJ577" i="1" s="1"/>
  <c r="CI576" i="1"/>
  <c r="CI575" i="1"/>
  <c r="CJ575" i="1" s="1"/>
  <c r="CI574" i="1"/>
  <c r="CI573" i="1"/>
  <c r="CJ573" i="1" s="1"/>
  <c r="BX573" i="1"/>
  <c r="BY573" i="1" s="1"/>
  <c r="BZ573" i="1" s="1"/>
  <c r="CJ572" i="1"/>
  <c r="CI572" i="1"/>
  <c r="BX572" i="1"/>
  <c r="BY572" i="1" s="1"/>
  <c r="BZ572" i="1" s="1"/>
  <c r="CI571" i="1"/>
  <c r="CJ571" i="1" s="1"/>
  <c r="BX571" i="1"/>
  <c r="BY571" i="1" s="1"/>
  <c r="BZ571" i="1" s="1"/>
  <c r="CJ570" i="1"/>
  <c r="CI570" i="1"/>
  <c r="CI569" i="1"/>
  <c r="CJ569" i="1" s="1"/>
  <c r="BX569" i="1"/>
  <c r="CJ568" i="1"/>
  <c r="CI568" i="1"/>
  <c r="CI567" i="1"/>
  <c r="BX568" i="1" s="1"/>
  <c r="BY568" i="1" s="1"/>
  <c r="BZ568" i="1" s="1"/>
  <c r="CI566" i="1"/>
  <c r="BX566" i="1" s="1"/>
  <c r="BY566" i="1" s="1"/>
  <c r="BZ566" i="1" s="1"/>
  <c r="CJ565" i="1"/>
  <c r="CI565" i="1"/>
  <c r="BX565" i="1"/>
  <c r="BY565" i="1" s="1"/>
  <c r="BZ565" i="1" s="1"/>
  <c r="CI564" i="1"/>
  <c r="CJ564" i="1" s="1"/>
  <c r="BX564" i="1"/>
  <c r="BY564" i="1" s="1"/>
  <c r="BZ564" i="1" s="1"/>
  <c r="CJ563" i="1"/>
  <c r="CI563" i="1"/>
  <c r="BX563" i="1"/>
  <c r="BY563" i="1" s="1"/>
  <c r="BZ563" i="1" s="1"/>
  <c r="CI562" i="1"/>
  <c r="CJ562" i="1" s="1"/>
  <c r="BY562" i="1"/>
  <c r="BZ562" i="1" s="1"/>
  <c r="CJ561" i="1"/>
  <c r="CI561" i="1"/>
  <c r="BX562" i="1" s="1"/>
  <c r="CI560" i="1"/>
  <c r="CI559" i="1"/>
  <c r="CJ559" i="1" s="1"/>
  <c r="BX559" i="1"/>
  <c r="BY559" i="1" s="1"/>
  <c r="BZ559" i="1" s="1"/>
  <c r="CJ558" i="1"/>
  <c r="CI558" i="1"/>
  <c r="BZ558" i="1"/>
  <c r="BX558" i="1"/>
  <c r="BY558" i="1" s="1"/>
  <c r="CI557" i="1"/>
  <c r="CJ556" i="1"/>
  <c r="CI556" i="1"/>
  <c r="CI555" i="1"/>
  <c r="CJ554" i="1"/>
  <c r="CI554" i="1"/>
  <c r="BZ554" i="1"/>
  <c r="BX554" i="1"/>
  <c r="BY554" i="1" s="1"/>
  <c r="CJ553" i="1"/>
  <c r="CI553" i="1"/>
  <c r="CJ552" i="1"/>
  <c r="CI552" i="1"/>
  <c r="CI551" i="1"/>
  <c r="CJ551" i="1" s="1"/>
  <c r="CI550" i="1"/>
  <c r="CJ550" i="1" s="1"/>
  <c r="CJ549" i="1"/>
  <c r="CI549" i="1"/>
  <c r="CI548" i="1"/>
  <c r="CI547" i="1"/>
  <c r="CJ547" i="1" s="1"/>
  <c r="BX547" i="1"/>
  <c r="BY547" i="1" s="1"/>
  <c r="BZ547" i="1" s="1"/>
  <c r="CI546" i="1"/>
  <c r="CJ545" i="1"/>
  <c r="CI545" i="1"/>
  <c r="BX545" i="1"/>
  <c r="BY545" i="1" s="1"/>
  <c r="BZ545" i="1" s="1"/>
  <c r="CI544" i="1"/>
  <c r="CJ544" i="1" s="1"/>
  <c r="CJ543" i="1"/>
  <c r="CI543" i="1"/>
  <c r="BX543" i="1" s="1"/>
  <c r="CJ542" i="1"/>
  <c r="CI542" i="1"/>
  <c r="CI541" i="1"/>
  <c r="BX542" i="1" s="1"/>
  <c r="BY542" i="1" s="1"/>
  <c r="BZ542" i="1" s="1"/>
  <c r="CI540" i="1"/>
  <c r="CI539" i="1"/>
  <c r="CJ538" i="1"/>
  <c r="CI538" i="1"/>
  <c r="CI537" i="1"/>
  <c r="CJ536" i="1"/>
  <c r="CI536" i="1"/>
  <c r="BX536" i="1" s="1"/>
  <c r="BY536" i="1"/>
  <c r="BZ536" i="1" s="1"/>
  <c r="CJ535" i="1"/>
  <c r="CI535" i="1"/>
  <c r="CJ534" i="1"/>
  <c r="CI534" i="1"/>
  <c r="BX534" i="1" s="1"/>
  <c r="BY534" i="1"/>
  <c r="BZ534" i="1" s="1"/>
  <c r="CJ533" i="1"/>
  <c r="CI533" i="1"/>
  <c r="BY533" i="1"/>
  <c r="BZ533" i="1" s="1"/>
  <c r="CJ532" i="1"/>
  <c r="CI532" i="1"/>
  <c r="BX533" i="1" s="1"/>
  <c r="BZ532" i="1"/>
  <c r="BX532" i="1"/>
  <c r="BY532" i="1" s="1"/>
  <c r="CJ531" i="1"/>
  <c r="CI531" i="1"/>
  <c r="BZ531" i="1"/>
  <c r="BX531" i="1"/>
  <c r="BY531" i="1" s="1"/>
  <c r="CI530" i="1"/>
  <c r="CJ530" i="1" s="1"/>
  <c r="CI529" i="1"/>
  <c r="CJ528" i="1"/>
  <c r="CI528" i="1"/>
  <c r="CJ527" i="1"/>
  <c r="CI527" i="1"/>
  <c r="CI526" i="1"/>
  <c r="CJ526" i="1" s="1"/>
  <c r="CI525" i="1"/>
  <c r="BX525" i="1" s="1"/>
  <c r="BY525" i="1"/>
  <c r="BZ525" i="1" s="1"/>
  <c r="CJ524" i="1"/>
  <c r="CI524" i="1"/>
  <c r="BX524" i="1"/>
  <c r="BY524" i="1" s="1"/>
  <c r="BZ524" i="1" s="1"/>
  <c r="CJ523" i="1"/>
  <c r="CI523" i="1"/>
  <c r="BX523" i="1"/>
  <c r="BY523" i="1" s="1"/>
  <c r="BZ523" i="1" s="1"/>
  <c r="CJ522" i="1"/>
  <c r="CI522" i="1"/>
  <c r="CI521" i="1"/>
  <c r="CI520" i="1"/>
  <c r="CJ520" i="1" s="1"/>
  <c r="BZ520" i="1"/>
  <c r="BX520" i="1"/>
  <c r="BY520" i="1" s="1"/>
  <c r="CI519" i="1"/>
  <c r="CJ519" i="1" s="1"/>
  <c r="CJ518" i="1"/>
  <c r="CI518" i="1"/>
  <c r="BX518" i="1"/>
  <c r="BY518" i="1" s="1"/>
  <c r="BZ518" i="1" s="1"/>
  <c r="CJ517" i="1"/>
  <c r="CI517" i="1"/>
  <c r="CI516" i="1"/>
  <c r="BX516" i="1"/>
  <c r="BY516" i="1" s="1"/>
  <c r="BZ516" i="1" s="1"/>
  <c r="CI515" i="1"/>
  <c r="CJ515" i="1" s="1"/>
  <c r="BX515" i="1"/>
  <c r="BY515" i="1" s="1"/>
  <c r="BZ515" i="1" s="1"/>
  <c r="CI514" i="1"/>
  <c r="CJ514" i="1" s="1"/>
  <c r="CJ513" i="1"/>
  <c r="CI513" i="1"/>
  <c r="CJ512" i="1"/>
  <c r="CI512" i="1"/>
  <c r="CI511" i="1"/>
  <c r="CJ511" i="1" s="1"/>
  <c r="CI510" i="1"/>
  <c r="CJ510" i="1" s="1"/>
  <c r="CI509" i="1"/>
  <c r="CJ509" i="1" s="1"/>
  <c r="CI508" i="1"/>
  <c r="CJ508" i="1" s="1"/>
  <c r="CJ507" i="1"/>
  <c r="CI507" i="1"/>
  <c r="CJ506" i="1"/>
  <c r="CI506" i="1"/>
  <c r="BX506" i="1"/>
  <c r="BY506" i="1" s="1"/>
  <c r="BZ506" i="1" s="1"/>
  <c r="CJ505" i="1"/>
  <c r="CI505" i="1"/>
  <c r="CI504" i="1"/>
  <c r="CJ503" i="1"/>
  <c r="CI503" i="1"/>
  <c r="CJ502" i="1"/>
  <c r="CI502" i="1"/>
  <c r="CI501" i="1"/>
  <c r="CJ501" i="1" s="1"/>
  <c r="CJ500" i="1"/>
  <c r="CI500" i="1"/>
  <c r="CI499" i="1"/>
  <c r="CJ499" i="1" s="1"/>
  <c r="CI498" i="1"/>
  <c r="CI497" i="1"/>
  <c r="CI496" i="1"/>
  <c r="CJ495" i="1"/>
  <c r="CI495" i="1"/>
  <c r="CJ494" i="1"/>
  <c r="CI494" i="1"/>
  <c r="CJ493" i="1"/>
  <c r="CI493" i="1"/>
  <c r="CJ492" i="1"/>
  <c r="CI492" i="1"/>
  <c r="CI491" i="1"/>
  <c r="CJ491" i="1" s="1"/>
  <c r="CJ490" i="1"/>
  <c r="CI490" i="1"/>
  <c r="CJ489" i="1"/>
  <c r="CI489" i="1"/>
  <c r="CJ488" i="1"/>
  <c r="CI488" i="1"/>
  <c r="CJ487" i="1"/>
  <c r="CI487" i="1"/>
  <c r="CJ486" i="1"/>
  <c r="CI486" i="1"/>
  <c r="CI485" i="1"/>
  <c r="CJ485" i="1" s="1"/>
  <c r="CJ484" i="1"/>
  <c r="CI484" i="1"/>
  <c r="CJ483" i="1"/>
  <c r="CI483" i="1"/>
  <c r="CJ482" i="1"/>
  <c r="CI482" i="1"/>
  <c r="CJ481" i="1"/>
  <c r="CI481" i="1"/>
  <c r="CJ480" i="1"/>
  <c r="CI480" i="1"/>
  <c r="CI479" i="1"/>
  <c r="CJ479" i="1" s="1"/>
  <c r="BX479" i="1"/>
  <c r="CI478" i="1"/>
  <c r="CI477" i="1"/>
  <c r="CJ477" i="1" s="1"/>
  <c r="CI476" i="1"/>
  <c r="BX476" i="1" s="1"/>
  <c r="BY476" i="1"/>
  <c r="BZ476" i="1" s="1"/>
  <c r="CJ475" i="1"/>
  <c r="CI475" i="1"/>
  <c r="CI474" i="1"/>
  <c r="CJ473" i="1"/>
  <c r="CI473" i="1"/>
  <c r="BX473" i="1" s="1"/>
  <c r="BZ473" i="1"/>
  <c r="BY473" i="1"/>
  <c r="CJ472" i="1"/>
  <c r="CI472" i="1"/>
  <c r="BX472" i="1"/>
  <c r="BY472" i="1" s="1"/>
  <c r="BZ472" i="1" s="1"/>
  <c r="CJ471" i="1"/>
  <c r="CI471" i="1"/>
  <c r="BX471" i="1" s="1"/>
  <c r="BY471" i="1"/>
  <c r="BZ471" i="1" s="1"/>
  <c r="CJ470" i="1"/>
  <c r="CI470" i="1"/>
  <c r="CI469" i="1"/>
  <c r="BX469" i="1"/>
  <c r="BY469" i="1" s="1"/>
  <c r="BZ469" i="1" s="1"/>
  <c r="CI468" i="1"/>
  <c r="BX468" i="1" s="1"/>
  <c r="BY468" i="1" s="1"/>
  <c r="BZ468" i="1" s="1"/>
  <c r="CI467" i="1"/>
  <c r="CJ467" i="1" s="1"/>
  <c r="CJ466" i="1"/>
  <c r="CI466" i="1"/>
  <c r="BX467" i="1" s="1"/>
  <c r="BY467" i="1" s="1"/>
  <c r="BZ467" i="1" s="1"/>
  <c r="BX466" i="1"/>
  <c r="BY466" i="1" s="1"/>
  <c r="BZ466" i="1" s="1"/>
  <c r="CJ465" i="1"/>
  <c r="CI465" i="1"/>
  <c r="CI464" i="1"/>
  <c r="CJ464" i="1" s="1"/>
  <c r="CI463" i="1"/>
  <c r="CJ462" i="1"/>
  <c r="CI462" i="1"/>
  <c r="CI461" i="1"/>
  <c r="CI460" i="1"/>
  <c r="CJ459" i="1"/>
  <c r="CI459" i="1"/>
  <c r="BX459" i="1"/>
  <c r="CI458" i="1"/>
  <c r="CI457" i="1"/>
  <c r="CI456" i="1"/>
  <c r="CJ455" i="1"/>
  <c r="CI455" i="1"/>
  <c r="CI454" i="1"/>
  <c r="CI453" i="1"/>
  <c r="CJ453" i="1" s="1"/>
  <c r="CJ452" i="1"/>
  <c r="CI452" i="1"/>
  <c r="BX452" i="1"/>
  <c r="BY452" i="1" s="1"/>
  <c r="BZ452" i="1" s="1"/>
  <c r="CI451" i="1"/>
  <c r="CJ451" i="1" s="1"/>
  <c r="BX451" i="1"/>
  <c r="BY451" i="1" s="1"/>
  <c r="BZ451" i="1" s="1"/>
  <c r="CJ450" i="1"/>
  <c r="CI450" i="1"/>
  <c r="CI449" i="1"/>
  <c r="CJ448" i="1"/>
  <c r="CI448" i="1"/>
  <c r="CI447" i="1"/>
  <c r="CJ446" i="1"/>
  <c r="CI446" i="1"/>
  <c r="BZ446" i="1"/>
  <c r="CJ445" i="1"/>
  <c r="CI445" i="1"/>
  <c r="BX446" i="1" s="1"/>
  <c r="BY446" i="1" s="1"/>
  <c r="CI444" i="1"/>
  <c r="CJ444" i="1" s="1"/>
  <c r="BX444" i="1"/>
  <c r="BY444" i="1" s="1"/>
  <c r="BZ444" i="1" s="1"/>
  <c r="CI443" i="1"/>
  <c r="CJ443" i="1" s="1"/>
  <c r="CI442" i="1"/>
  <c r="BX443" i="1" s="1"/>
  <c r="BY443" i="1" s="1"/>
  <c r="BZ443" i="1" s="1"/>
  <c r="CJ441" i="1"/>
  <c r="CI441" i="1"/>
  <c r="BX441" i="1" s="1"/>
  <c r="BY441" i="1" s="1"/>
  <c r="BZ441" i="1" s="1"/>
  <c r="CI440" i="1"/>
  <c r="CJ440" i="1" s="1"/>
  <c r="CI439" i="1"/>
  <c r="CJ439" i="1" s="1"/>
  <c r="CI438" i="1"/>
  <c r="CI437" i="1"/>
  <c r="BX437" i="1" s="1"/>
  <c r="CJ436" i="1"/>
  <c r="CI436" i="1"/>
  <c r="BX436" i="1" s="1"/>
  <c r="BZ436" i="1"/>
  <c r="BY436" i="1"/>
  <c r="CJ435" i="1"/>
  <c r="CI435" i="1"/>
  <c r="BZ435" i="1"/>
  <c r="BX435" i="1"/>
  <c r="BY435" i="1" s="1"/>
  <c r="CJ434" i="1"/>
  <c r="CI434" i="1"/>
  <c r="BX434" i="1" s="1"/>
  <c r="BY434" i="1" s="1"/>
  <c r="BZ434" i="1" s="1"/>
  <c r="CJ433" i="1"/>
  <c r="CI433" i="1"/>
  <c r="BZ433" i="1"/>
  <c r="BX433" i="1"/>
  <c r="BY433" i="1" s="1"/>
  <c r="CJ432" i="1"/>
  <c r="CI432" i="1"/>
  <c r="CI431" i="1"/>
  <c r="CJ430" i="1"/>
  <c r="CI430" i="1"/>
  <c r="CI429" i="1"/>
  <c r="BX429" i="1"/>
  <c r="CJ428" i="1"/>
  <c r="CI428" i="1"/>
  <c r="CI427" i="1"/>
  <c r="CJ426" i="1"/>
  <c r="CI426" i="1"/>
  <c r="CJ425" i="1"/>
  <c r="CI425" i="1"/>
  <c r="CI424" i="1"/>
  <c r="CJ423" i="1"/>
  <c r="CI423" i="1"/>
  <c r="CI422" i="1"/>
  <c r="BX423" i="1" s="1"/>
  <c r="BY423" i="1" s="1"/>
  <c r="BZ423" i="1" s="1"/>
  <c r="BX422" i="1"/>
  <c r="BY422" i="1" s="1"/>
  <c r="BZ422" i="1" s="1"/>
  <c r="CJ421" i="1"/>
  <c r="CI421" i="1"/>
  <c r="BX421" i="1"/>
  <c r="BY421" i="1" s="1"/>
  <c r="BZ421" i="1" s="1"/>
  <c r="CI420" i="1"/>
  <c r="CJ420" i="1" s="1"/>
  <c r="BY420" i="1"/>
  <c r="BZ420" i="1" s="1"/>
  <c r="BX420" i="1"/>
  <c r="CJ419" i="1"/>
  <c r="CI419" i="1"/>
  <c r="BX419" i="1"/>
  <c r="BY419" i="1" s="1"/>
  <c r="BZ419" i="1" s="1"/>
  <c r="CI418" i="1"/>
  <c r="CJ417" i="1"/>
  <c r="CI417" i="1"/>
  <c r="BY417" i="1"/>
  <c r="BZ417" i="1" s="1"/>
  <c r="BX417" i="1"/>
  <c r="CI416" i="1"/>
  <c r="CJ416" i="1" s="1"/>
  <c r="CI415" i="1"/>
  <c r="CJ415" i="1" s="1"/>
  <c r="BX415" i="1"/>
  <c r="CJ414" i="1"/>
  <c r="CI414" i="1"/>
  <c r="BX414" i="1"/>
  <c r="CI413" i="1"/>
  <c r="BX413" i="1" s="1"/>
  <c r="BY413" i="1"/>
  <c r="BZ413" i="1" s="1"/>
  <c r="CJ412" i="1"/>
  <c r="CI412" i="1"/>
  <c r="BY412" i="1"/>
  <c r="BZ412" i="1" s="1"/>
  <c r="BX412" i="1"/>
  <c r="CJ411" i="1"/>
  <c r="CI411" i="1"/>
  <c r="CJ410" i="1"/>
  <c r="CI410" i="1"/>
  <c r="BX410" i="1"/>
  <c r="CJ409" i="1"/>
  <c r="CI409" i="1"/>
  <c r="BX409" i="1"/>
  <c r="CI408" i="1"/>
  <c r="CJ408" i="1" s="1"/>
  <c r="BX408" i="1"/>
  <c r="BY408" i="1" s="1"/>
  <c r="BZ408" i="1" s="1"/>
  <c r="CJ407" i="1"/>
  <c r="CI407" i="1"/>
  <c r="BX407" i="1"/>
  <c r="BY407" i="1" s="1"/>
  <c r="BZ407" i="1" s="1"/>
  <c r="CI406" i="1"/>
  <c r="CJ406" i="1" s="1"/>
  <c r="CI405" i="1"/>
  <c r="CJ405" i="1" s="1"/>
  <c r="CJ404" i="1"/>
  <c r="CI404" i="1"/>
  <c r="CI403" i="1"/>
  <c r="CJ402" i="1"/>
  <c r="CI402" i="1"/>
  <c r="BY402" i="1"/>
  <c r="BZ402" i="1" s="1"/>
  <c r="BX402" i="1"/>
  <c r="CJ401" i="1"/>
  <c r="CI401" i="1"/>
  <c r="CJ400" i="1"/>
  <c r="CI400" i="1"/>
  <c r="BX400" i="1" s="1"/>
  <c r="CJ399" i="1"/>
  <c r="CI399" i="1"/>
  <c r="CI398" i="1"/>
  <c r="CJ398" i="1" s="1"/>
  <c r="BX398" i="1"/>
  <c r="BY398" i="1" s="1"/>
  <c r="BZ398" i="1" s="1"/>
  <c r="CJ397" i="1"/>
  <c r="CI397" i="1"/>
  <c r="CJ396" i="1"/>
  <c r="CI396" i="1"/>
  <c r="BX396" i="1"/>
  <c r="CI395" i="1"/>
  <c r="CJ394" i="1"/>
  <c r="CI394" i="1"/>
  <c r="BZ394" i="1"/>
  <c r="BX394" i="1"/>
  <c r="BY394" i="1" s="1"/>
  <c r="CI393" i="1"/>
  <c r="BX393" i="1" s="1"/>
  <c r="BY393" i="1"/>
  <c r="BZ393" i="1" s="1"/>
  <c r="CJ392" i="1"/>
  <c r="CI392" i="1"/>
  <c r="CI391" i="1"/>
  <c r="CJ390" i="1"/>
  <c r="CI390" i="1"/>
  <c r="CI389" i="1"/>
  <c r="BX389" i="1" s="1"/>
  <c r="BY389" i="1" s="1"/>
  <c r="BZ389" i="1" s="1"/>
  <c r="CI388" i="1"/>
  <c r="CJ388" i="1" s="1"/>
  <c r="BX388" i="1"/>
  <c r="BY388" i="1" s="1"/>
  <c r="BZ388" i="1" s="1"/>
  <c r="CI387" i="1"/>
  <c r="CJ387" i="1" s="1"/>
  <c r="CI386" i="1"/>
  <c r="CJ386" i="1" s="1"/>
  <c r="CJ385" i="1"/>
  <c r="CI385" i="1"/>
  <c r="CJ384" i="1"/>
  <c r="CI384" i="1"/>
  <c r="CI383" i="1"/>
  <c r="CJ383" i="1" s="1"/>
  <c r="CI382" i="1"/>
  <c r="CJ382" i="1" s="1"/>
  <c r="CI381" i="1"/>
  <c r="CJ381" i="1" s="1"/>
  <c r="BX381" i="1"/>
  <c r="BY381" i="1" s="1"/>
  <c r="BZ381" i="1" s="1"/>
  <c r="CI380" i="1"/>
  <c r="CI379" i="1"/>
  <c r="CJ378" i="1"/>
  <c r="CI378" i="1"/>
  <c r="BX378" i="1" s="1"/>
  <c r="BZ378" i="1"/>
  <c r="BY378" i="1"/>
  <c r="CJ377" i="1"/>
  <c r="CI377" i="1"/>
  <c r="BX377" i="1"/>
  <c r="BY377" i="1" s="1"/>
  <c r="BZ377" i="1" s="1"/>
  <c r="CI376" i="1"/>
  <c r="BX376" i="1" s="1"/>
  <c r="BY376" i="1" s="1"/>
  <c r="BZ376" i="1" s="1"/>
  <c r="CJ375" i="1"/>
  <c r="CI375" i="1"/>
  <c r="BX375" i="1"/>
  <c r="BY375" i="1" s="1"/>
  <c r="BZ375" i="1" s="1"/>
  <c r="CJ374" i="1"/>
  <c r="CI374" i="1"/>
  <c r="BX374" i="1"/>
  <c r="BY374" i="1" s="1"/>
  <c r="BZ374" i="1" s="1"/>
  <c r="CI373" i="1"/>
  <c r="CJ373" i="1" s="1"/>
  <c r="BX373" i="1"/>
  <c r="BY373" i="1" s="1"/>
  <c r="BZ373" i="1" s="1"/>
  <c r="CI372" i="1"/>
  <c r="CJ372" i="1" s="1"/>
  <c r="CI371" i="1"/>
  <c r="CJ371" i="1" s="1"/>
  <c r="CJ370" i="1"/>
  <c r="CI370" i="1"/>
  <c r="BX370" i="1" s="1"/>
  <c r="BY370" i="1" s="1"/>
  <c r="BZ370" i="1" s="1"/>
  <c r="CI369" i="1"/>
  <c r="CJ369" i="1" s="1"/>
  <c r="BX369" i="1"/>
  <c r="CI368" i="1"/>
  <c r="CJ367" i="1"/>
  <c r="CI367" i="1"/>
  <c r="CI366" i="1"/>
  <c r="CJ365" i="1"/>
  <c r="CI365" i="1"/>
  <c r="BX365" i="1" s="1"/>
  <c r="BY365" i="1" s="1"/>
  <c r="BZ365" i="1"/>
  <c r="CJ364" i="1"/>
  <c r="CI364" i="1"/>
  <c r="CI363" i="1"/>
  <c r="CJ362" i="1"/>
  <c r="CI362" i="1"/>
  <c r="BZ362" i="1"/>
  <c r="BX362" i="1"/>
  <c r="BY362" i="1" s="1"/>
  <c r="CJ361" i="1"/>
  <c r="CI361" i="1"/>
  <c r="BX361" i="1"/>
  <c r="BY361" i="1" s="1"/>
  <c r="BZ361" i="1" s="1"/>
  <c r="CI360" i="1"/>
  <c r="CJ360" i="1" s="1"/>
  <c r="CJ359" i="1"/>
  <c r="CI359" i="1"/>
  <c r="CI358" i="1"/>
  <c r="CJ357" i="1"/>
  <c r="CI357" i="1"/>
  <c r="CI356" i="1"/>
  <c r="CJ355" i="1"/>
  <c r="CI355" i="1"/>
  <c r="CI354" i="1"/>
  <c r="CJ353" i="1"/>
  <c r="CI353" i="1"/>
  <c r="CI352" i="1"/>
  <c r="BX352" i="1" s="1"/>
  <c r="BY352" i="1" s="1"/>
  <c r="BZ352" i="1" s="1"/>
  <c r="CJ351" i="1"/>
  <c r="CI351" i="1"/>
  <c r="BX351" i="1"/>
  <c r="BY351" i="1" s="1"/>
  <c r="BZ351" i="1" s="1"/>
  <c r="CJ350" i="1"/>
  <c r="CI350" i="1"/>
  <c r="CI349" i="1"/>
  <c r="CJ349" i="1" s="1"/>
  <c r="CJ348" i="1"/>
  <c r="CI348" i="1"/>
  <c r="BX348" i="1" s="1"/>
  <c r="BY348" i="1"/>
  <c r="BZ348" i="1" s="1"/>
  <c r="CJ347" i="1"/>
  <c r="CI347" i="1"/>
  <c r="CI346" i="1"/>
  <c r="CJ346" i="1" s="1"/>
  <c r="BX346" i="1"/>
  <c r="BY346" i="1" s="1"/>
  <c r="BZ346" i="1" s="1"/>
  <c r="CI345" i="1"/>
  <c r="CJ345" i="1" s="1"/>
  <c r="BX345" i="1"/>
  <c r="BY345" i="1" s="1"/>
  <c r="BZ345" i="1" s="1"/>
  <c r="CI344" i="1"/>
  <c r="CJ344" i="1" s="1"/>
  <c r="BZ344" i="1"/>
  <c r="BX344" i="1"/>
  <c r="BY344" i="1" s="1"/>
  <c r="CJ343" i="1"/>
  <c r="CI343" i="1"/>
  <c r="CI342" i="1"/>
  <c r="CI341" i="1"/>
  <c r="CJ340" i="1"/>
  <c r="CI340" i="1"/>
  <c r="BX340" i="1" s="1"/>
  <c r="CJ339" i="1"/>
  <c r="CI339" i="1"/>
  <c r="CJ338" i="1"/>
  <c r="CI338" i="1"/>
  <c r="BX338" i="1"/>
  <c r="BY338" i="1" s="1"/>
  <c r="BZ338" i="1" s="1"/>
  <c r="CI337" i="1"/>
  <c r="CJ336" i="1"/>
  <c r="CI336" i="1"/>
  <c r="BX336" i="1"/>
  <c r="BY336" i="1" s="1"/>
  <c r="BZ336" i="1" s="1"/>
  <c r="CJ335" i="1"/>
  <c r="CI335" i="1"/>
  <c r="CI334" i="1"/>
  <c r="CJ334" i="1" s="1"/>
  <c r="CI333" i="1"/>
  <c r="CJ333" i="1" s="1"/>
  <c r="CI332" i="1"/>
  <c r="CJ332" i="1" s="1"/>
  <c r="CI331" i="1"/>
  <c r="CJ331" i="1" s="1"/>
  <c r="CI330" i="1"/>
  <c r="CJ329" i="1"/>
  <c r="CI329" i="1"/>
  <c r="CI328" i="1"/>
  <c r="BX328" i="1" s="1"/>
  <c r="BY328" i="1" s="1"/>
  <c r="BZ328" i="1" s="1"/>
  <c r="CI327" i="1"/>
  <c r="CJ326" i="1"/>
  <c r="CI326" i="1"/>
  <c r="CI325" i="1"/>
  <c r="CJ325" i="1" s="1"/>
  <c r="BX325" i="1"/>
  <c r="BY325" i="1" s="1"/>
  <c r="BZ325" i="1" s="1"/>
  <c r="CI324" i="1"/>
  <c r="CJ323" i="1"/>
  <c r="CI323" i="1"/>
  <c r="BX323" i="1" s="1"/>
  <c r="BY323" i="1" s="1"/>
  <c r="BZ323" i="1"/>
  <c r="CI322" i="1"/>
  <c r="CJ322" i="1" s="1"/>
  <c r="BY322" i="1"/>
  <c r="BZ322" i="1" s="1"/>
  <c r="BX322" i="1"/>
  <c r="CI321" i="1"/>
  <c r="CJ321" i="1" s="1"/>
  <c r="BY321" i="1"/>
  <c r="BZ321" i="1" s="1"/>
  <c r="BX321" i="1"/>
  <c r="CJ320" i="1"/>
  <c r="CI320" i="1"/>
  <c r="CI319" i="1"/>
  <c r="CJ319" i="1" s="1"/>
  <c r="CI318" i="1"/>
  <c r="CJ318" i="1" s="1"/>
  <c r="CJ317" i="1"/>
  <c r="CI317" i="1"/>
  <c r="CI316" i="1"/>
  <c r="CJ316" i="1" s="1"/>
  <c r="CI315" i="1"/>
  <c r="CI314" i="1"/>
  <c r="BX314" i="1" s="1"/>
  <c r="BZ314" i="1"/>
  <c r="BY314" i="1"/>
  <c r="CI313" i="1"/>
  <c r="CI312" i="1"/>
  <c r="CI311" i="1"/>
  <c r="BX311" i="1" s="1"/>
  <c r="BY311" i="1"/>
  <c r="BZ311" i="1" s="1"/>
  <c r="CJ310" i="1"/>
  <c r="CI310" i="1"/>
  <c r="BX310" i="1"/>
  <c r="BY310" i="1" s="1"/>
  <c r="BZ310" i="1" s="1"/>
  <c r="CI309" i="1"/>
  <c r="CJ308" i="1"/>
  <c r="CI308" i="1"/>
  <c r="BX308" i="1" s="1"/>
  <c r="BY308" i="1" s="1"/>
  <c r="BZ308" i="1" s="1"/>
  <c r="CI307" i="1"/>
  <c r="CJ307" i="1" s="1"/>
  <c r="CI306" i="1"/>
  <c r="CJ306" i="1" s="1"/>
  <c r="CI305" i="1"/>
  <c r="CJ304" i="1"/>
  <c r="CI304" i="1"/>
  <c r="CI303" i="1"/>
  <c r="BX304" i="1" s="1"/>
  <c r="BY304" i="1" s="1"/>
  <c r="BZ304" i="1" s="1"/>
  <c r="CI302" i="1"/>
  <c r="CJ302" i="1" s="1"/>
  <c r="BY302" i="1"/>
  <c r="BZ302" i="1" s="1"/>
  <c r="BX302" i="1"/>
  <c r="CJ301" i="1"/>
  <c r="CI301" i="1"/>
  <c r="BX301" i="1"/>
  <c r="BY301" i="1" s="1"/>
  <c r="BZ301" i="1" s="1"/>
  <c r="CJ300" i="1"/>
  <c r="CI300" i="1"/>
  <c r="BX300" i="1"/>
  <c r="BY300" i="1" s="1"/>
  <c r="BZ300" i="1" s="1"/>
  <c r="CI299" i="1"/>
  <c r="CJ298" i="1"/>
  <c r="CI298" i="1"/>
  <c r="CJ297" i="1"/>
  <c r="CI297" i="1"/>
  <c r="BX297" i="1" s="1"/>
  <c r="BY297" i="1" s="1"/>
  <c r="BZ297" i="1" s="1"/>
  <c r="CJ296" i="1"/>
  <c r="CI296" i="1"/>
  <c r="CI295" i="1"/>
  <c r="CJ294" i="1"/>
  <c r="CI294" i="1"/>
  <c r="CJ293" i="1"/>
  <c r="CI293" i="1"/>
  <c r="BX293" i="1"/>
  <c r="BY293" i="1" s="1"/>
  <c r="BZ293" i="1" s="1"/>
  <c r="CJ292" i="1"/>
  <c r="CI292" i="1"/>
  <c r="BY292" i="1"/>
  <c r="BZ292" i="1" s="1"/>
  <c r="BX292" i="1"/>
  <c r="CJ291" i="1"/>
  <c r="CI291" i="1"/>
  <c r="BX291" i="1"/>
  <c r="CJ290" i="1"/>
  <c r="CI290" i="1"/>
  <c r="CI289" i="1"/>
  <c r="CJ289" i="1" s="1"/>
  <c r="CJ288" i="1"/>
  <c r="CI288" i="1"/>
  <c r="CI287" i="1"/>
  <c r="CJ287" i="1" s="1"/>
  <c r="BZ287" i="1"/>
  <c r="BX287" i="1"/>
  <c r="BY287" i="1" s="1"/>
  <c r="CI286" i="1"/>
  <c r="CJ286" i="1" s="1"/>
  <c r="CJ285" i="1"/>
  <c r="CI285" i="1"/>
  <c r="BX285" i="1" s="1"/>
  <c r="CJ284" i="1"/>
  <c r="CI284" i="1"/>
  <c r="CJ283" i="1"/>
  <c r="CI283" i="1"/>
  <c r="BY283" i="1"/>
  <c r="BZ283" i="1" s="1"/>
  <c r="BX283" i="1"/>
  <c r="CI282" i="1"/>
  <c r="CJ282" i="1" s="1"/>
  <c r="BX282" i="1"/>
  <c r="BY282" i="1" s="1"/>
  <c r="BZ282" i="1" s="1"/>
  <c r="CI281" i="1"/>
  <c r="CI280" i="1"/>
  <c r="CJ280" i="1" s="1"/>
  <c r="BY280" i="1"/>
  <c r="BZ280" i="1" s="1"/>
  <c r="BX280" i="1"/>
  <c r="CI279" i="1"/>
  <c r="CJ279" i="1" s="1"/>
  <c r="CJ278" i="1"/>
  <c r="CI278" i="1"/>
  <c r="BX278" i="1"/>
  <c r="BY278" i="1" s="1"/>
  <c r="BZ278" i="1" s="1"/>
  <c r="CI277" i="1"/>
  <c r="CJ277" i="1" s="1"/>
  <c r="CI276" i="1"/>
  <c r="CJ276" i="1" s="1"/>
  <c r="CJ275" i="1"/>
  <c r="CI275" i="1"/>
  <c r="BX275" i="1"/>
  <c r="BY275" i="1" s="1"/>
  <c r="BZ275" i="1" s="1"/>
  <c r="CI274" i="1"/>
  <c r="CJ274" i="1" s="1"/>
  <c r="BX274" i="1"/>
  <c r="BY274" i="1" s="1"/>
  <c r="BZ274" i="1" s="1"/>
  <c r="CJ273" i="1"/>
  <c r="CI273" i="1"/>
  <c r="CI272" i="1"/>
  <c r="CJ272" i="1" s="1"/>
  <c r="CI271" i="1"/>
  <c r="CI270" i="1"/>
  <c r="CI269" i="1"/>
  <c r="CJ269" i="1" s="1"/>
  <c r="CI268" i="1"/>
  <c r="CI267" i="1"/>
  <c r="CJ266" i="1"/>
  <c r="CI266" i="1"/>
  <c r="CI265" i="1"/>
  <c r="CJ265" i="1" s="1"/>
  <c r="CI264" i="1"/>
  <c r="CJ264" i="1" s="1"/>
  <c r="BX264" i="1"/>
  <c r="BY264" i="1" s="1"/>
  <c r="BZ264" i="1" s="1"/>
  <c r="CJ263" i="1"/>
  <c r="CI263" i="1"/>
  <c r="BX263" i="1"/>
  <c r="BY263" i="1" s="1"/>
  <c r="BZ263" i="1" s="1"/>
  <c r="CI262" i="1"/>
  <c r="CJ261" i="1"/>
  <c r="CI261" i="1"/>
  <c r="BZ261" i="1"/>
  <c r="BX261" i="1"/>
  <c r="BY261" i="1" s="1"/>
  <c r="CJ260" i="1"/>
  <c r="CI260" i="1"/>
  <c r="CI259" i="1"/>
  <c r="CJ259" i="1" s="1"/>
  <c r="BX259" i="1"/>
  <c r="BY259" i="1" s="1"/>
  <c r="BZ259" i="1" s="1"/>
  <c r="CI258" i="1"/>
  <c r="CJ258" i="1" s="1"/>
  <c r="BX258" i="1"/>
  <c r="CI257" i="1"/>
  <c r="CJ256" i="1"/>
  <c r="CI256" i="1"/>
  <c r="BY256" i="1"/>
  <c r="BZ256" i="1" s="1"/>
  <c r="BX256" i="1"/>
  <c r="CJ255" i="1"/>
  <c r="CI255" i="1"/>
  <c r="BX255" i="1"/>
  <c r="BY255" i="1" s="1"/>
  <c r="BZ255" i="1" s="1"/>
  <c r="CJ254" i="1"/>
  <c r="CI254" i="1"/>
  <c r="BX254" i="1"/>
  <c r="CJ253" i="1"/>
  <c r="CI253" i="1"/>
  <c r="BY253" i="1"/>
  <c r="BZ253" i="1" s="1"/>
  <c r="BX253" i="1"/>
  <c r="CJ252" i="1"/>
  <c r="CI252" i="1"/>
  <c r="CI251" i="1"/>
  <c r="CJ251" i="1" s="1"/>
  <c r="CI250" i="1"/>
  <c r="CI249" i="1"/>
  <c r="CJ249" i="1" s="1"/>
  <c r="CI248" i="1"/>
  <c r="CJ248" i="1" s="1"/>
  <c r="BY248" i="1"/>
  <c r="BZ248" i="1" s="1"/>
  <c r="BX248" i="1"/>
  <c r="CJ247" i="1"/>
  <c r="CI247" i="1"/>
  <c r="CI246" i="1"/>
  <c r="CI245" i="1"/>
  <c r="CJ245" i="1" s="1"/>
  <c r="BX245" i="1"/>
  <c r="BY245" i="1" s="1"/>
  <c r="BZ245" i="1" s="1"/>
  <c r="CI244" i="1"/>
  <c r="CJ243" i="1"/>
  <c r="CI243" i="1"/>
  <c r="CJ242" i="1"/>
  <c r="CI242" i="1"/>
  <c r="BY242" i="1"/>
  <c r="BZ242" i="1" s="1"/>
  <c r="BX242" i="1"/>
  <c r="CJ241" i="1"/>
  <c r="CI241" i="1"/>
  <c r="BX241" i="1" s="1"/>
  <c r="BY241" i="1" s="1"/>
  <c r="BZ241" i="1" s="1"/>
  <c r="CJ240" i="1"/>
  <c r="CI240" i="1"/>
  <c r="CI239" i="1"/>
  <c r="CI238" i="1"/>
  <c r="CI237" i="1"/>
  <c r="CJ237" i="1" s="1"/>
  <c r="CJ236" i="1"/>
  <c r="CI236" i="1"/>
  <c r="CJ235" i="1"/>
  <c r="CI235" i="1"/>
  <c r="BX235" i="1"/>
  <c r="BY235" i="1" s="1"/>
  <c r="BZ235" i="1" s="1"/>
  <c r="CJ234" i="1"/>
  <c r="CI234" i="1"/>
  <c r="BY234" i="1"/>
  <c r="BZ234" i="1" s="1"/>
  <c r="BX234" i="1"/>
  <c r="CJ233" i="1"/>
  <c r="CI233" i="1"/>
  <c r="BX233" i="1"/>
  <c r="BY233" i="1" s="1"/>
  <c r="BZ233" i="1" s="1"/>
  <c r="CI232" i="1"/>
  <c r="CI231" i="1"/>
  <c r="CI230" i="1"/>
  <c r="CJ230" i="1" s="1"/>
  <c r="CI229" i="1"/>
  <c r="CJ229" i="1" s="1"/>
  <c r="CJ228" i="1"/>
  <c r="CI228" i="1"/>
  <c r="BX228" i="1"/>
  <c r="BY228" i="1" s="1"/>
  <c r="BZ228" i="1" s="1"/>
  <c r="CJ227" i="1"/>
  <c r="CI227" i="1"/>
  <c r="CJ226" i="1"/>
  <c r="CI226" i="1"/>
  <c r="BX226" i="1" s="1"/>
  <c r="BY226" i="1"/>
  <c r="BZ226" i="1" s="1"/>
  <c r="CI225" i="1"/>
  <c r="CJ224" i="1"/>
  <c r="CI224" i="1"/>
  <c r="CI223" i="1"/>
  <c r="CJ223" i="1" s="1"/>
  <c r="BX223" i="1"/>
  <c r="BY223" i="1" s="1"/>
  <c r="BZ223" i="1" s="1"/>
  <c r="CI222" i="1"/>
  <c r="CI221" i="1"/>
  <c r="BX221" i="1" s="1"/>
  <c r="BY221" i="1" s="1"/>
  <c r="BZ221" i="1" s="1"/>
  <c r="CI220" i="1"/>
  <c r="CJ220" i="1" s="1"/>
  <c r="BX220" i="1"/>
  <c r="BY220" i="1" s="1"/>
  <c r="BZ220" i="1" s="1"/>
  <c r="CJ219" i="1"/>
  <c r="CI219" i="1"/>
  <c r="BX219" i="1"/>
  <c r="BY219" i="1" s="1"/>
  <c r="BZ219" i="1" s="1"/>
  <c r="CJ218" i="1"/>
  <c r="CI218" i="1"/>
  <c r="CI217" i="1"/>
  <c r="CJ217" i="1" s="1"/>
  <c r="CJ216" i="1"/>
  <c r="CI216" i="1"/>
  <c r="BX216" i="1"/>
  <c r="BY216" i="1" s="1"/>
  <c r="BZ216" i="1" s="1"/>
  <c r="CI215" i="1"/>
  <c r="CI214" i="1"/>
  <c r="CJ214" i="1" s="1"/>
  <c r="CJ213" i="1"/>
  <c r="CI213" i="1"/>
  <c r="CI212" i="1"/>
  <c r="CI211" i="1"/>
  <c r="CJ211" i="1" s="1"/>
  <c r="CI210" i="1"/>
  <c r="BX210" i="1" s="1"/>
  <c r="BY210" i="1" s="1"/>
  <c r="BZ210" i="1" s="1"/>
  <c r="CJ209" i="1"/>
  <c r="CI209" i="1"/>
  <c r="CI208" i="1"/>
  <c r="CJ207" i="1"/>
  <c r="CI207" i="1"/>
  <c r="BX207" i="1" s="1"/>
  <c r="BY207" i="1" s="1"/>
  <c r="BZ207" i="1" s="1"/>
  <c r="CJ206" i="1"/>
  <c r="CI206" i="1"/>
  <c r="CI205" i="1"/>
  <c r="CJ205" i="1" s="1"/>
  <c r="CJ204" i="1"/>
  <c r="CI204" i="1"/>
  <c r="BX204" i="1" s="1"/>
  <c r="BY204" i="1" s="1"/>
  <c r="BZ204" i="1" s="1"/>
  <c r="CJ203" i="1"/>
  <c r="CI203" i="1"/>
  <c r="CI202" i="1"/>
  <c r="CJ202" i="1" s="1"/>
  <c r="CJ201" i="1"/>
  <c r="CI201" i="1"/>
  <c r="BX201" i="1"/>
  <c r="BY201" i="1" s="1"/>
  <c r="BZ201" i="1" s="1"/>
  <c r="CJ200" i="1"/>
  <c r="CI200" i="1"/>
  <c r="BY200" i="1"/>
  <c r="BZ200" i="1" s="1"/>
  <c r="BX200" i="1"/>
  <c r="CJ199" i="1"/>
  <c r="CI199" i="1"/>
  <c r="CI198" i="1"/>
  <c r="CJ198" i="1" s="1"/>
  <c r="CJ197" i="1"/>
  <c r="CI197" i="1"/>
  <c r="BX197" i="1" s="1"/>
  <c r="BY197" i="1" s="1"/>
  <c r="BZ197" i="1" s="1"/>
  <c r="CJ196" i="1"/>
  <c r="CI196" i="1"/>
  <c r="CI195" i="1"/>
  <c r="CI194" i="1"/>
  <c r="CJ194" i="1" s="1"/>
  <c r="CJ193" i="1"/>
  <c r="CI193" i="1"/>
  <c r="CI192" i="1"/>
  <c r="CJ191" i="1"/>
  <c r="CI191" i="1"/>
  <c r="CI190" i="1"/>
  <c r="CJ190" i="1" s="1"/>
  <c r="CJ189" i="1"/>
  <c r="CI189" i="1"/>
  <c r="BX189" i="1"/>
  <c r="BY189" i="1" s="1"/>
  <c r="BZ189" i="1" s="1"/>
  <c r="CJ188" i="1"/>
  <c r="CI188" i="1"/>
  <c r="BX188" i="1" s="1"/>
  <c r="CJ187" i="1"/>
  <c r="CI187" i="1"/>
  <c r="CJ186" i="1"/>
  <c r="CI186" i="1"/>
  <c r="CJ185" i="1"/>
  <c r="CI185" i="1"/>
  <c r="BZ185" i="1"/>
  <c r="BY185" i="1"/>
  <c r="BX185" i="1"/>
  <c r="CJ184" i="1"/>
  <c r="CI184" i="1"/>
  <c r="CJ183" i="1"/>
  <c r="CI183" i="1"/>
  <c r="BX184" i="1" s="1"/>
  <c r="CI182" i="1"/>
  <c r="CJ182" i="1" s="1"/>
  <c r="CI181" i="1"/>
  <c r="BX181" i="1" s="1"/>
  <c r="BY181" i="1" s="1"/>
  <c r="BZ181" i="1" s="1"/>
  <c r="CI180" i="1"/>
  <c r="CJ180" i="1" s="1"/>
  <c r="CI179" i="1"/>
  <c r="CJ179" i="1" s="1"/>
  <c r="BX179" i="1"/>
  <c r="BY179" i="1" s="1"/>
  <c r="BZ179" i="1" s="1"/>
  <c r="CI178" i="1"/>
  <c r="CJ178" i="1" s="1"/>
  <c r="BX178" i="1"/>
  <c r="CJ177" i="1"/>
  <c r="CI177" i="1"/>
  <c r="CI176" i="1"/>
  <c r="BX176" i="1" s="1"/>
  <c r="BY176" i="1" s="1"/>
  <c r="BZ176" i="1"/>
  <c r="CJ175" i="1"/>
  <c r="CI175" i="1"/>
  <c r="BY175" i="1"/>
  <c r="BZ175" i="1" s="1"/>
  <c r="BX175" i="1"/>
  <c r="CJ174" i="1"/>
  <c r="CI174" i="1"/>
  <c r="BY174" i="1"/>
  <c r="BZ174" i="1" s="1"/>
  <c r="BX174" i="1"/>
  <c r="CJ173" i="1"/>
  <c r="CI173" i="1"/>
  <c r="CJ172" i="1"/>
  <c r="CI172" i="1"/>
  <c r="CJ171" i="1"/>
  <c r="CI171" i="1"/>
  <c r="BX171" i="1"/>
  <c r="BY171" i="1" s="1"/>
  <c r="BZ171" i="1" s="1"/>
  <c r="CJ170" i="1"/>
  <c r="CI170" i="1"/>
  <c r="CJ169" i="1"/>
  <c r="CI169" i="1"/>
  <c r="BZ169" i="1"/>
  <c r="BX169" i="1"/>
  <c r="BY169" i="1" s="1"/>
  <c r="CJ168" i="1"/>
  <c r="CI168" i="1"/>
  <c r="BY168" i="1"/>
  <c r="BZ168" i="1" s="1"/>
  <c r="BX168" i="1"/>
  <c r="CJ167" i="1"/>
  <c r="CI167" i="1"/>
  <c r="CI166" i="1"/>
  <c r="CI165" i="1"/>
  <c r="CJ165" i="1" s="1"/>
  <c r="BX165" i="1"/>
  <c r="BY165" i="1" s="1"/>
  <c r="BZ165" i="1" s="1"/>
  <c r="CI164" i="1"/>
  <c r="CJ164" i="1" s="1"/>
  <c r="CI163" i="1"/>
  <c r="BX164" i="1" s="1"/>
  <c r="BY164" i="1" s="1"/>
  <c r="BZ164" i="1" s="1"/>
  <c r="CJ162" i="1"/>
  <c r="CI162" i="1"/>
  <c r="CJ161" i="1"/>
  <c r="CI161" i="1"/>
  <c r="CI160" i="1"/>
  <c r="BX160" i="1" s="1"/>
  <c r="BY160" i="1" s="1"/>
  <c r="BZ160" i="1" s="1"/>
  <c r="CI159" i="1"/>
  <c r="CI158" i="1"/>
  <c r="CJ158" i="1" s="1"/>
  <c r="CJ157" i="1"/>
  <c r="CI157" i="1"/>
  <c r="BX157" i="1"/>
  <c r="BY157" i="1" s="1"/>
  <c r="BZ157" i="1" s="1"/>
  <c r="CJ156" i="1"/>
  <c r="CI156" i="1"/>
  <c r="BX156" i="1"/>
  <c r="BY156" i="1" s="1"/>
  <c r="BZ156" i="1" s="1"/>
  <c r="CI155" i="1"/>
  <c r="CJ154" i="1"/>
  <c r="CI154" i="1"/>
  <c r="CJ153" i="1"/>
  <c r="CI153" i="1"/>
  <c r="CI152" i="1"/>
  <c r="CI151" i="1"/>
  <c r="CJ151" i="1" s="1"/>
  <c r="CJ150" i="1"/>
  <c r="CI150" i="1"/>
  <c r="BX150" i="1"/>
  <c r="BY150" i="1" s="1"/>
  <c r="BZ150" i="1" s="1"/>
  <c r="CI149" i="1"/>
  <c r="BX149" i="1" s="1"/>
  <c r="BY149" i="1" s="1"/>
  <c r="BZ149" i="1" s="1"/>
  <c r="CJ148" i="1"/>
  <c r="CI148" i="1"/>
  <c r="BX148" i="1"/>
  <c r="BY148" i="1" s="1"/>
  <c r="BZ148" i="1" s="1"/>
  <c r="CJ147" i="1"/>
  <c r="CI147" i="1"/>
  <c r="BX147" i="1"/>
  <c r="BY147" i="1" s="1"/>
  <c r="BZ147" i="1" s="1"/>
  <c r="CJ146" i="1"/>
  <c r="CI146" i="1"/>
  <c r="CI145" i="1"/>
  <c r="CJ145" i="1" s="1"/>
  <c r="CJ144" i="1"/>
  <c r="CI144" i="1"/>
  <c r="BX144" i="1"/>
  <c r="BY144" i="1" s="1"/>
  <c r="BZ144" i="1" s="1"/>
  <c r="CJ143" i="1"/>
  <c r="CI143" i="1"/>
  <c r="CI142" i="1"/>
  <c r="CJ142" i="1" s="1"/>
  <c r="BY142" i="1"/>
  <c r="BZ142" i="1" s="1"/>
  <c r="BX142" i="1"/>
  <c r="CJ141" i="1"/>
  <c r="CI141" i="1"/>
  <c r="BZ141" i="1"/>
  <c r="BX141" i="1"/>
  <c r="BY141" i="1" s="1"/>
  <c r="CJ140" i="1"/>
  <c r="CI140" i="1"/>
  <c r="BX140" i="1"/>
  <c r="BY140" i="1" s="1"/>
  <c r="BZ140" i="1" s="1"/>
  <c r="CI139" i="1"/>
  <c r="BX139" i="1" s="1"/>
  <c r="BY139" i="1"/>
  <c r="BZ139" i="1" s="1"/>
  <c r="CI138" i="1"/>
  <c r="CJ137" i="1"/>
  <c r="CI137" i="1"/>
  <c r="CI136" i="1"/>
  <c r="CJ136" i="1" s="1"/>
  <c r="CI135" i="1"/>
  <c r="CI134" i="1"/>
  <c r="CI133" i="1"/>
  <c r="BX133" i="1" s="1"/>
  <c r="BY133" i="1" s="1"/>
  <c r="BZ133" i="1" s="1"/>
  <c r="CJ132" i="1"/>
  <c r="CI132" i="1"/>
  <c r="BY132" i="1"/>
  <c r="BZ132" i="1" s="1"/>
  <c r="BX132" i="1"/>
  <c r="CJ131" i="1"/>
  <c r="CI131" i="1"/>
  <c r="CI130" i="1"/>
  <c r="CJ130" i="1" s="1"/>
  <c r="CJ129" i="1"/>
  <c r="CI129" i="1"/>
  <c r="CI128" i="1"/>
  <c r="BX128" i="1" s="1"/>
  <c r="BY128" i="1" s="1"/>
  <c r="BZ128" i="1" s="1"/>
  <c r="CI127" i="1"/>
  <c r="CJ127" i="1" s="1"/>
  <c r="BX127" i="1"/>
  <c r="BY127" i="1" s="1"/>
  <c r="BZ127" i="1" s="1"/>
  <c r="CI126" i="1"/>
  <c r="CJ126" i="1" s="1"/>
  <c r="BX126" i="1"/>
  <c r="BY126" i="1" s="1"/>
  <c r="BZ126" i="1" s="1"/>
  <c r="CJ125" i="1"/>
  <c r="CI125" i="1"/>
  <c r="BX125" i="1"/>
  <c r="BY125" i="1" s="1"/>
  <c r="BZ125" i="1" s="1"/>
  <c r="CI124" i="1"/>
  <c r="CJ124" i="1" s="1"/>
  <c r="CJ123" i="1"/>
  <c r="CI123" i="1"/>
  <c r="BX123" i="1" s="1"/>
  <c r="BY123" i="1" s="1"/>
  <c r="BZ123" i="1"/>
  <c r="CJ122" i="1"/>
  <c r="CI122" i="1"/>
  <c r="CI121" i="1"/>
  <c r="CJ120" i="1"/>
  <c r="CI120" i="1"/>
  <c r="BX120" i="1" s="1"/>
  <c r="BY120" i="1"/>
  <c r="BZ120" i="1" s="1"/>
  <c r="CJ119" i="1"/>
  <c r="CI119" i="1"/>
  <c r="CI118" i="1"/>
  <c r="CI117" i="1"/>
  <c r="CJ117" i="1" s="1"/>
  <c r="BX117" i="1"/>
  <c r="BY117" i="1" s="1"/>
  <c r="BZ117" i="1" s="1"/>
  <c r="CJ116" i="1"/>
  <c r="CI116" i="1"/>
  <c r="BX116" i="1"/>
  <c r="BY116" i="1" s="1"/>
  <c r="BZ116" i="1" s="1"/>
  <c r="CI115" i="1"/>
  <c r="CJ115" i="1" s="1"/>
  <c r="CJ114" i="1"/>
  <c r="CI114" i="1"/>
  <c r="BX115" i="1" s="1"/>
  <c r="BY115" i="1" s="1"/>
  <c r="BZ115" i="1" s="1"/>
  <c r="CJ113" i="1"/>
  <c r="CI113" i="1"/>
  <c r="CI112" i="1"/>
  <c r="CJ112" i="1" s="1"/>
  <c r="CJ111" i="1"/>
  <c r="CI111" i="1"/>
  <c r="BZ111" i="1"/>
  <c r="BX111" i="1"/>
  <c r="BY111" i="1" s="1"/>
  <c r="CJ110" i="1"/>
  <c r="CI110" i="1"/>
  <c r="BX110" i="1"/>
  <c r="BY110" i="1" s="1"/>
  <c r="BZ110" i="1" s="1"/>
  <c r="CJ109" i="1"/>
  <c r="CI109" i="1"/>
  <c r="CI108" i="1"/>
  <c r="CJ108" i="1" s="1"/>
  <c r="BX108" i="1"/>
  <c r="BY108" i="1" s="1"/>
  <c r="BZ108" i="1" s="1"/>
  <c r="CI107" i="1"/>
  <c r="CJ107" i="1" s="1"/>
  <c r="CI106" i="1"/>
  <c r="CJ106" i="1" s="1"/>
  <c r="BY106" i="1"/>
  <c r="BZ106" i="1" s="1"/>
  <c r="BX106" i="1"/>
  <c r="CJ105" i="1"/>
  <c r="CI105" i="1"/>
  <c r="CI104" i="1"/>
  <c r="CJ104" i="1" s="1"/>
  <c r="BX104" i="1"/>
  <c r="BY104" i="1" s="1"/>
  <c r="BZ104" i="1" s="1"/>
  <c r="CJ103" i="1"/>
  <c r="CI103" i="1"/>
  <c r="BY103" i="1"/>
  <c r="BZ103" i="1" s="1"/>
  <c r="BX103" i="1"/>
  <c r="CI102" i="1"/>
  <c r="CJ102" i="1" s="1"/>
  <c r="CI101" i="1"/>
  <c r="CJ101" i="1" s="1"/>
  <c r="CJ100" i="1"/>
  <c r="CI100" i="1"/>
  <c r="CJ99" i="1"/>
  <c r="CI99" i="1"/>
  <c r="BZ99" i="1"/>
  <c r="BX99" i="1"/>
  <c r="BY99" i="1" s="1"/>
  <c r="CJ98" i="1"/>
  <c r="CI98" i="1"/>
  <c r="BX98" i="1"/>
  <c r="BY98" i="1" s="1"/>
  <c r="BZ98" i="1" s="1"/>
  <c r="CJ97" i="1"/>
  <c r="CI97" i="1"/>
  <c r="BY97" i="1"/>
  <c r="BZ97" i="1" s="1"/>
  <c r="BX97" i="1"/>
  <c r="CI96" i="1"/>
  <c r="CJ95" i="1"/>
  <c r="CI95" i="1"/>
  <c r="CI94" i="1"/>
  <c r="CJ94" i="1" s="1"/>
  <c r="CI93" i="1"/>
  <c r="CJ93" i="1" s="1"/>
  <c r="CJ92" i="1"/>
  <c r="CI92" i="1"/>
  <c r="BY92" i="1"/>
  <c r="BZ92" i="1" s="1"/>
  <c r="BX92" i="1"/>
  <c r="CJ91" i="1"/>
  <c r="CI91" i="1"/>
  <c r="CI90" i="1"/>
  <c r="CJ89" i="1"/>
  <c r="CI89" i="1"/>
  <c r="BY89" i="1"/>
  <c r="BZ89" i="1" s="1"/>
  <c r="BX89" i="1"/>
  <c r="CI88" i="1"/>
  <c r="CJ88" i="1" s="1"/>
  <c r="CI87" i="1"/>
  <c r="CI86" i="1"/>
  <c r="BX86" i="1" s="1"/>
  <c r="BY86" i="1" s="1"/>
  <c r="BZ86" i="1" s="1"/>
  <c r="CJ85" i="1"/>
  <c r="CI85" i="1"/>
  <c r="CI84" i="1"/>
  <c r="CJ83" i="1"/>
  <c r="CI83" i="1"/>
  <c r="CI82" i="1"/>
  <c r="CJ82" i="1" s="1"/>
  <c r="CJ81" i="1"/>
  <c r="CI81" i="1"/>
  <c r="CI80" i="1"/>
  <c r="BX81" i="1" s="1"/>
  <c r="BY81" i="1" s="1"/>
  <c r="BZ81" i="1" s="1"/>
  <c r="CJ79" i="1"/>
  <c r="CI79" i="1"/>
  <c r="CJ78" i="1"/>
  <c r="CI78" i="1"/>
  <c r="BX78" i="1" s="1"/>
  <c r="CI77" i="1"/>
  <c r="CJ77" i="1" s="1"/>
  <c r="BX77" i="1"/>
  <c r="CJ76" i="1"/>
  <c r="CI76" i="1"/>
  <c r="CJ75" i="1"/>
  <c r="CI75" i="1"/>
  <c r="CI74" i="1"/>
  <c r="BX74" i="1" s="1"/>
  <c r="BY74" i="1"/>
  <c r="BZ74" i="1" s="1"/>
  <c r="CI73" i="1"/>
  <c r="CJ73" i="1" s="1"/>
  <c r="CJ72" i="1"/>
  <c r="CI72" i="1"/>
  <c r="CI71" i="1"/>
  <c r="CJ70" i="1"/>
  <c r="CI70" i="1"/>
  <c r="CI69" i="1"/>
  <c r="BX70" i="1" s="1"/>
  <c r="BY70" i="1" s="1"/>
  <c r="BZ70" i="1" s="1"/>
  <c r="CI68" i="1"/>
  <c r="CJ67" i="1"/>
  <c r="CI67" i="1"/>
  <c r="CI66" i="1"/>
  <c r="CJ66" i="1" s="1"/>
  <c r="CJ65" i="1"/>
  <c r="CI65" i="1"/>
  <c r="CI64" i="1"/>
  <c r="CJ64" i="1" s="1"/>
  <c r="BX64" i="1"/>
  <c r="BY64" i="1" s="1"/>
  <c r="BZ64" i="1" s="1"/>
  <c r="CJ63" i="1"/>
  <c r="CI63" i="1"/>
  <c r="BX63" i="1"/>
  <c r="BY63" i="1" s="1"/>
  <c r="BZ63" i="1" s="1"/>
  <c r="CJ62" i="1"/>
  <c r="CI62" i="1"/>
  <c r="CJ61" i="1"/>
  <c r="CI61" i="1"/>
  <c r="CI60" i="1"/>
  <c r="BX61" i="1" s="1"/>
  <c r="BY61" i="1" s="1"/>
  <c r="BZ61" i="1" s="1"/>
  <c r="CJ59" i="1"/>
  <c r="CI59" i="1"/>
  <c r="BX59" i="1"/>
  <c r="BY59" i="1" s="1"/>
  <c r="BZ59" i="1" s="1"/>
  <c r="CJ58" i="1"/>
  <c r="CI58" i="1"/>
  <c r="CI57" i="1"/>
  <c r="BX57" i="1" s="1"/>
  <c r="BY57" i="1" s="1"/>
  <c r="BZ57" i="1" s="1"/>
  <c r="CJ56" i="1"/>
  <c r="CI56" i="1"/>
  <c r="BX56" i="1"/>
  <c r="BY56" i="1" s="1"/>
  <c r="BZ56" i="1" s="1"/>
  <c r="CI55" i="1"/>
  <c r="BX55" i="1" s="1"/>
  <c r="BY55" i="1"/>
  <c r="BZ55" i="1" s="1"/>
  <c r="CJ54" i="1"/>
  <c r="CI54" i="1"/>
  <c r="CJ53" i="1"/>
  <c r="CI53" i="1"/>
  <c r="CI52" i="1"/>
  <c r="CI51" i="1"/>
  <c r="BX51" i="1" s="1"/>
  <c r="BY51" i="1" s="1"/>
  <c r="BZ51" i="1" s="1"/>
  <c r="CI50" i="1"/>
  <c r="CJ50" i="1" s="1"/>
  <c r="CI49" i="1"/>
  <c r="BX49" i="1" s="1"/>
  <c r="BY49" i="1" s="1"/>
  <c r="BZ49" i="1" s="1"/>
  <c r="CJ48" i="1"/>
  <c r="CI48" i="1"/>
  <c r="BX48" i="1"/>
  <c r="BY48" i="1" s="1"/>
  <c r="BZ48" i="1" s="1"/>
  <c r="CJ47" i="1"/>
  <c r="CI47" i="1"/>
  <c r="BY47" i="1"/>
  <c r="BZ47" i="1" s="1"/>
  <c r="BX47" i="1"/>
  <c r="CJ46" i="1"/>
  <c r="CI46" i="1"/>
  <c r="CI45" i="1"/>
  <c r="CJ45" i="1" s="1"/>
  <c r="BX45" i="1"/>
  <c r="BY45" i="1" s="1"/>
  <c r="BZ45" i="1" s="1"/>
  <c r="CI44" i="1"/>
  <c r="CJ44" i="1" s="1"/>
  <c r="CJ43" i="1"/>
  <c r="CI43" i="1"/>
  <c r="BY43" i="1"/>
  <c r="BZ43" i="1" s="1"/>
  <c r="BX43" i="1"/>
  <c r="CI42" i="1"/>
  <c r="CJ42" i="1" s="1"/>
  <c r="CI41" i="1"/>
  <c r="CJ41" i="1" s="1"/>
  <c r="CJ40" i="1"/>
  <c r="CI40" i="1"/>
  <c r="CI39" i="1"/>
  <c r="CJ39" i="1" s="1"/>
  <c r="CJ38" i="1"/>
  <c r="CI38" i="1"/>
  <c r="CJ37" i="1"/>
  <c r="CI37" i="1"/>
  <c r="CI36" i="1"/>
  <c r="CJ36" i="1" s="1"/>
  <c r="BX36" i="1"/>
  <c r="BY36" i="1" s="1"/>
  <c r="BZ36" i="1" s="1"/>
  <c r="CI35" i="1"/>
  <c r="CJ35" i="1" s="1"/>
  <c r="CJ34" i="1"/>
  <c r="CI34" i="1"/>
  <c r="CI33" i="1"/>
  <c r="CJ33" i="1" s="1"/>
  <c r="CJ32" i="1"/>
  <c r="CI32" i="1"/>
  <c r="CI31" i="1"/>
  <c r="CJ31" i="1" s="1"/>
  <c r="BX31" i="1"/>
  <c r="BY31" i="1" s="1"/>
  <c r="BZ31" i="1" s="1"/>
  <c r="CJ30" i="1"/>
  <c r="CI30" i="1"/>
  <c r="BX30" i="1"/>
  <c r="BY30" i="1" s="1"/>
  <c r="BZ30" i="1" s="1"/>
  <c r="CJ29" i="1"/>
  <c r="CI29" i="1"/>
  <c r="BX29" i="1"/>
  <c r="CJ28" i="1"/>
  <c r="CI28" i="1"/>
  <c r="CI27" i="1"/>
  <c r="CJ27" i="1" s="1"/>
  <c r="CI26" i="1"/>
  <c r="CJ26" i="1" s="1"/>
  <c r="CJ25" i="1"/>
  <c r="CI25" i="1"/>
  <c r="BX25" i="1"/>
  <c r="BY25" i="1" s="1"/>
  <c r="BZ25" i="1" s="1"/>
  <c r="CJ24" i="1"/>
  <c r="CI24" i="1"/>
  <c r="CJ23" i="1"/>
  <c r="CI23" i="1"/>
  <c r="CI22" i="1"/>
  <c r="BX23" i="1" s="1"/>
  <c r="BY23" i="1" s="1"/>
  <c r="BZ23" i="1" s="1"/>
  <c r="CI21" i="1"/>
  <c r="BX21" i="1" s="1"/>
  <c r="BY21" i="1" s="1"/>
  <c r="BZ21" i="1"/>
  <c r="CJ20" i="1"/>
  <c r="CI20" i="1"/>
  <c r="CJ19" i="1"/>
  <c r="CI19" i="1"/>
  <c r="CI18" i="1"/>
  <c r="CI17" i="1"/>
  <c r="CJ17" i="1" s="1"/>
  <c r="CI16" i="1"/>
  <c r="CJ16" i="1" s="1"/>
  <c r="CI15" i="1"/>
  <c r="BX15" i="1" s="1"/>
  <c r="BY15" i="1" s="1"/>
  <c r="BZ15" i="1" s="1"/>
  <c r="CI14" i="1"/>
  <c r="CJ14" i="1" s="1"/>
  <c r="CI13" i="1"/>
  <c r="CJ13" i="1" s="1"/>
  <c r="CI12" i="1"/>
  <c r="CJ12" i="1" s="1"/>
  <c r="BY12" i="1"/>
  <c r="BZ12" i="1" s="1"/>
  <c r="BX12" i="1"/>
  <c r="CJ11" i="1"/>
  <c r="CI11" i="1"/>
  <c r="CI10" i="1"/>
  <c r="CJ10" i="1" s="1"/>
  <c r="CJ9" i="1"/>
  <c r="CI9" i="1"/>
  <c r="CI8" i="1"/>
  <c r="CJ8" i="1" s="1"/>
  <c r="BX8" i="1"/>
  <c r="BY8" i="1" s="1"/>
  <c r="BZ8" i="1" s="1"/>
  <c r="CI7" i="1"/>
  <c r="CJ6" i="1"/>
  <c r="CI6" i="1"/>
  <c r="BX6" i="1" s="1"/>
  <c r="BY6" i="1" s="1"/>
  <c r="BZ6" i="1" s="1"/>
  <c r="CI5" i="1"/>
  <c r="CJ5" i="1" s="1"/>
  <c r="BZ5" i="1"/>
  <c r="BX5" i="1"/>
  <c r="BY5" i="1" s="1"/>
  <c r="CJ4" i="1"/>
  <c r="CI4" i="1"/>
  <c r="CJ3" i="1"/>
  <c r="CI3" i="1"/>
  <c r="BX4" i="1" s="1"/>
  <c r="BY4" i="1" s="1"/>
  <c r="BZ4" i="1" s="1"/>
  <c r="BX44" i="1" l="1"/>
  <c r="BY44" i="1" s="1"/>
  <c r="BZ44" i="1" s="1"/>
  <c r="CJ68" i="1"/>
  <c r="BX68" i="1"/>
  <c r="BY68" i="1" s="1"/>
  <c r="BZ68" i="1" s="1"/>
  <c r="BX94" i="1"/>
  <c r="BY94" i="1" s="1"/>
  <c r="BZ94" i="1" s="1"/>
  <c r="BX105" i="1"/>
  <c r="BY105" i="1" s="1"/>
  <c r="BZ105" i="1" s="1"/>
  <c r="BX130" i="1"/>
  <c r="BY130" i="1" s="1"/>
  <c r="BZ130" i="1" s="1"/>
  <c r="CJ152" i="1"/>
  <c r="BX152" i="1"/>
  <c r="BY152" i="1" s="1"/>
  <c r="BZ152" i="1" s="1"/>
  <c r="BX180" i="1"/>
  <c r="BY180" i="1" s="1"/>
  <c r="BZ180" i="1" s="1"/>
  <c r="BX196" i="1"/>
  <c r="BY196" i="1" s="1"/>
  <c r="BZ196" i="1" s="1"/>
  <c r="BX229" i="1"/>
  <c r="BY229" i="1" s="1"/>
  <c r="BZ229" i="1" s="1"/>
  <c r="CJ262" i="1"/>
  <c r="BX262" i="1"/>
  <c r="BY262" i="1" s="1"/>
  <c r="BZ262" i="1" s="1"/>
  <c r="CJ330" i="1"/>
  <c r="BX331" i="1"/>
  <c r="BY331" i="1" s="1"/>
  <c r="BZ331" i="1" s="1"/>
  <c r="BX330" i="1"/>
  <c r="CJ341" i="1"/>
  <c r="BX341" i="1"/>
  <c r="BY341" i="1" s="1"/>
  <c r="BZ341" i="1" s="1"/>
  <c r="CJ363" i="1"/>
  <c r="BX363" i="1"/>
  <c r="BY363" i="1" s="1"/>
  <c r="BZ363" i="1" s="1"/>
  <c r="BX364" i="1"/>
  <c r="BY364" i="1" s="1"/>
  <c r="BZ364" i="1" s="1"/>
  <c r="BX448" i="1"/>
  <c r="BX447" i="1"/>
  <c r="BY447" i="1" s="1"/>
  <c r="BZ447" i="1" s="1"/>
  <c r="CJ447" i="1"/>
  <c r="BX615" i="1"/>
  <c r="CJ614" i="1"/>
  <c r="CJ267" i="1"/>
  <c r="BX267" i="1"/>
  <c r="CJ342" i="1"/>
  <c r="BX342" i="1"/>
  <c r="BY342" i="1" s="1"/>
  <c r="BZ342" i="1" s="1"/>
  <c r="BX353" i="1"/>
  <c r="BY353" i="1" s="1"/>
  <c r="BZ353" i="1" s="1"/>
  <c r="CJ352" i="1"/>
  <c r="BX358" i="1"/>
  <c r="BX359" i="1"/>
  <c r="BY359" i="1" s="1"/>
  <c r="BZ359" i="1" s="1"/>
  <c r="CJ358" i="1"/>
  <c r="BX424" i="1"/>
  <c r="BY424" i="1" s="1"/>
  <c r="BZ424" i="1" s="1"/>
  <c r="CJ424" i="1"/>
  <c r="BX425" i="1"/>
  <c r="CJ454" i="1"/>
  <c r="BX454" i="1"/>
  <c r="BY454" i="1" s="1"/>
  <c r="BZ454" i="1" s="1"/>
  <c r="BX455" i="1"/>
  <c r="BY455" i="1" s="1"/>
  <c r="BZ455" i="1" s="1"/>
  <c r="BX604" i="1"/>
  <c r="CJ603" i="1"/>
  <c r="BX603" i="1"/>
  <c r="BY603" i="1" s="1"/>
  <c r="BZ603" i="1" s="1"/>
  <c r="BX10" i="1"/>
  <c r="BY10" i="1" s="1"/>
  <c r="BZ10" i="1" s="1"/>
  <c r="BX41" i="1"/>
  <c r="BY41" i="1" s="1"/>
  <c r="BZ41" i="1" s="1"/>
  <c r="CJ51" i="1"/>
  <c r="BX66" i="1"/>
  <c r="BY66" i="1" s="1"/>
  <c r="BZ66" i="1" s="1"/>
  <c r="CJ69" i="1"/>
  <c r="BX83" i="1"/>
  <c r="BY83" i="1" s="1"/>
  <c r="BZ83" i="1" s="1"/>
  <c r="CJ86" i="1"/>
  <c r="CJ90" i="1"/>
  <c r="BX90" i="1"/>
  <c r="BY90" i="1" s="1"/>
  <c r="BZ90" i="1" s="1"/>
  <c r="CJ121" i="1"/>
  <c r="BX122" i="1"/>
  <c r="BY122" i="1" s="1"/>
  <c r="BZ122" i="1" s="1"/>
  <c r="CJ133" i="1"/>
  <c r="BX146" i="1"/>
  <c r="BY146" i="1" s="1"/>
  <c r="BZ146" i="1" s="1"/>
  <c r="CJ160" i="1"/>
  <c r="BX214" i="1"/>
  <c r="BY214" i="1" s="1"/>
  <c r="BZ214" i="1" s="1"/>
  <c r="CJ221" i="1"/>
  <c r="CJ250" i="1"/>
  <c r="BX250" i="1"/>
  <c r="CJ309" i="1"/>
  <c r="BX309" i="1"/>
  <c r="BX343" i="1"/>
  <c r="BY343" i="1" s="1"/>
  <c r="BZ343" i="1" s="1"/>
  <c r="CJ431" i="1"/>
  <c r="BX432" i="1"/>
  <c r="BY432" i="1" s="1"/>
  <c r="BZ432" i="1" s="1"/>
  <c r="BX14" i="1"/>
  <c r="BY14" i="1" s="1"/>
  <c r="BZ14" i="1" s="1"/>
  <c r="CJ21" i="1"/>
  <c r="CJ55" i="1"/>
  <c r="CJ74" i="1"/>
  <c r="BX80" i="1"/>
  <c r="BX91" i="1"/>
  <c r="BY91" i="1" s="1"/>
  <c r="BZ91" i="1" s="1"/>
  <c r="CJ149" i="1"/>
  <c r="BX161" i="1"/>
  <c r="BY161" i="1" s="1"/>
  <c r="BZ161" i="1" s="1"/>
  <c r="CJ176" i="1"/>
  <c r="CJ222" i="1"/>
  <c r="BX222" i="1"/>
  <c r="BY222" i="1" s="1"/>
  <c r="BZ222" i="1" s="1"/>
  <c r="BX251" i="1"/>
  <c r="BY251" i="1" s="1"/>
  <c r="BZ251" i="1" s="1"/>
  <c r="CJ268" i="1"/>
  <c r="BX268" i="1"/>
  <c r="BY268" i="1" s="1"/>
  <c r="BZ268" i="1" s="1"/>
  <c r="BX303" i="1"/>
  <c r="BY303" i="1" s="1"/>
  <c r="BZ303" i="1" s="1"/>
  <c r="CJ315" i="1"/>
  <c r="BX315" i="1"/>
  <c r="BX332" i="1"/>
  <c r="BY332" i="1" s="1"/>
  <c r="BZ332" i="1" s="1"/>
  <c r="CJ337" i="1"/>
  <c r="BX337" i="1"/>
  <c r="BX449" i="1"/>
  <c r="BY449" i="1" s="1"/>
  <c r="BZ449" i="1" s="1"/>
  <c r="CJ449" i="1"/>
  <c r="BX450" i="1"/>
  <c r="BY450" i="1" s="1"/>
  <c r="BZ450" i="1" s="1"/>
  <c r="BX18" i="1"/>
  <c r="BY18" i="1" s="1"/>
  <c r="BZ18" i="1" s="1"/>
  <c r="BX52" i="1"/>
  <c r="BY52" i="1" s="1"/>
  <c r="BZ52" i="1" s="1"/>
  <c r="BX134" i="1"/>
  <c r="BY134" i="1" s="1"/>
  <c r="BZ134" i="1" s="1"/>
  <c r="BX238" i="1"/>
  <c r="BY238" i="1" s="1"/>
  <c r="BZ238" i="1" s="1"/>
  <c r="CJ238" i="1"/>
  <c r="CJ246" i="1"/>
  <c r="BX246" i="1"/>
  <c r="BY246" i="1" s="1"/>
  <c r="BZ246" i="1" s="1"/>
  <c r="BX390" i="1"/>
  <c r="CJ389" i="1"/>
  <c r="CJ456" i="1"/>
  <c r="BX456" i="1"/>
  <c r="BY456" i="1" s="1"/>
  <c r="BZ456" i="1" s="1"/>
  <c r="CJ18" i="1"/>
  <c r="CJ22" i="1"/>
  <c r="CJ52" i="1"/>
  <c r="BX67" i="1"/>
  <c r="BY67" i="1" s="1"/>
  <c r="BZ67" i="1" s="1"/>
  <c r="BX75" i="1"/>
  <c r="BY75" i="1" s="1"/>
  <c r="BZ75" i="1" s="1"/>
  <c r="CJ80" i="1"/>
  <c r="CJ87" i="1"/>
  <c r="BX87" i="1"/>
  <c r="BY87" i="1" s="1"/>
  <c r="BZ87" i="1" s="1"/>
  <c r="CJ134" i="1"/>
  <c r="BX158" i="1"/>
  <c r="BY158" i="1" s="1"/>
  <c r="BZ158" i="1" s="1"/>
  <c r="BX162" i="1"/>
  <c r="BY162" i="1" s="1"/>
  <c r="BZ162" i="1" s="1"/>
  <c r="CJ181" i="1"/>
  <c r="BX194" i="1"/>
  <c r="BY194" i="1" s="1"/>
  <c r="BZ194" i="1" s="1"/>
  <c r="BX199" i="1"/>
  <c r="BY199" i="1" s="1"/>
  <c r="BZ199" i="1" s="1"/>
  <c r="BX202" i="1"/>
  <c r="BY202" i="1" s="1"/>
  <c r="BZ202" i="1" s="1"/>
  <c r="CJ210" i="1"/>
  <c r="BX227" i="1"/>
  <c r="BY227" i="1" s="1"/>
  <c r="BZ227" i="1" s="1"/>
  <c r="CJ303" i="1"/>
  <c r="BX333" i="1"/>
  <c r="BY333" i="1" s="1"/>
  <c r="BZ333" i="1" s="1"/>
  <c r="BX19" i="1"/>
  <c r="BY19" i="1" s="1"/>
  <c r="BZ19" i="1" s="1"/>
  <c r="BX39" i="1"/>
  <c r="BY39" i="1" s="1"/>
  <c r="BZ39" i="1" s="1"/>
  <c r="BX53" i="1"/>
  <c r="BY53" i="1" s="1"/>
  <c r="BZ53" i="1" s="1"/>
  <c r="BX118" i="1"/>
  <c r="BY118" i="1" s="1"/>
  <c r="BZ118" i="1" s="1"/>
  <c r="CJ135" i="1"/>
  <c r="BX135" i="1"/>
  <c r="BY135" i="1" s="1"/>
  <c r="BZ135" i="1" s="1"/>
  <c r="CJ166" i="1"/>
  <c r="BX166" i="1"/>
  <c r="BY166" i="1" s="1"/>
  <c r="BZ166" i="1" s="1"/>
  <c r="BX182" i="1"/>
  <c r="BY182" i="1" s="1"/>
  <c r="BZ182" i="1" s="1"/>
  <c r="BX190" i="1"/>
  <c r="BY190" i="1" s="1"/>
  <c r="BZ190" i="1" s="1"/>
  <c r="BX211" i="1"/>
  <c r="BY211" i="1" s="1"/>
  <c r="BZ211" i="1" s="1"/>
  <c r="BX215" i="1"/>
  <c r="BY215" i="1" s="1"/>
  <c r="BZ215" i="1" s="1"/>
  <c r="BX231" i="1"/>
  <c r="BY231" i="1" s="1"/>
  <c r="BZ231" i="1" s="1"/>
  <c r="BX247" i="1"/>
  <c r="BY247" i="1" s="1"/>
  <c r="BZ247" i="1" s="1"/>
  <c r="CJ270" i="1"/>
  <c r="BX270" i="1"/>
  <c r="BY270" i="1" s="1"/>
  <c r="BZ270" i="1" s="1"/>
  <c r="CJ7" i="1"/>
  <c r="BX7" i="1"/>
  <c r="BY7" i="1" s="1"/>
  <c r="BZ7" i="1" s="1"/>
  <c r="BX11" i="1"/>
  <c r="BY11" i="1" s="1"/>
  <c r="BZ11" i="1" s="1"/>
  <c r="BX26" i="1"/>
  <c r="BY26" i="1" s="1"/>
  <c r="BZ26" i="1" s="1"/>
  <c r="BX60" i="1"/>
  <c r="BY60" i="1" s="1"/>
  <c r="BZ60" i="1" s="1"/>
  <c r="CJ118" i="1"/>
  <c r="BX136" i="1"/>
  <c r="BY136" i="1" s="1"/>
  <c r="BZ136" i="1" s="1"/>
  <c r="CJ139" i="1"/>
  <c r="BX143" i="1"/>
  <c r="BY143" i="1" s="1"/>
  <c r="BZ143" i="1" s="1"/>
  <c r="BX151" i="1"/>
  <c r="BY151" i="1" s="1"/>
  <c r="BZ151" i="1" s="1"/>
  <c r="BX167" i="1"/>
  <c r="BY167" i="1" s="1"/>
  <c r="BZ167" i="1" s="1"/>
  <c r="BX170" i="1"/>
  <c r="BY170" i="1" s="1"/>
  <c r="BZ170" i="1" s="1"/>
  <c r="BX186" i="1"/>
  <c r="BY186" i="1" s="1"/>
  <c r="BZ186" i="1" s="1"/>
  <c r="CJ215" i="1"/>
  <c r="CJ231" i="1"/>
  <c r="BX239" i="1"/>
  <c r="BY239" i="1" s="1"/>
  <c r="BZ239" i="1" s="1"/>
  <c r="BX240" i="1"/>
  <c r="BY240" i="1" s="1"/>
  <c r="BZ240" i="1" s="1"/>
  <c r="CJ239" i="1"/>
  <c r="BX265" i="1"/>
  <c r="BY265" i="1" s="1"/>
  <c r="BZ265" i="1" s="1"/>
  <c r="BX276" i="1"/>
  <c r="CJ327" i="1"/>
  <c r="BX327" i="1"/>
  <c r="BX334" i="1"/>
  <c r="BY334" i="1" s="1"/>
  <c r="BZ334" i="1" s="1"/>
  <c r="CJ71" i="1"/>
  <c r="BX71" i="1"/>
  <c r="BY71" i="1" s="1"/>
  <c r="BZ71" i="1" s="1"/>
  <c r="BX305" i="1"/>
  <c r="BY305" i="1" s="1"/>
  <c r="BZ305" i="1" s="1"/>
  <c r="CJ305" i="1"/>
  <c r="CJ438" i="1"/>
  <c r="BX439" i="1"/>
  <c r="BY439" i="1" s="1"/>
  <c r="BZ439" i="1" s="1"/>
  <c r="BX438" i="1"/>
  <c r="BY438" i="1" s="1"/>
  <c r="BZ438" i="1" s="1"/>
  <c r="CJ529" i="1"/>
  <c r="BX529" i="1"/>
  <c r="BY529" i="1" s="1"/>
  <c r="BZ529" i="1" s="1"/>
  <c r="CJ15" i="1"/>
  <c r="BX40" i="1"/>
  <c r="BY40" i="1" s="1"/>
  <c r="BZ40" i="1" s="1"/>
  <c r="CJ49" i="1"/>
  <c r="CJ60" i="1"/>
  <c r="BX112" i="1"/>
  <c r="BY112" i="1" s="1"/>
  <c r="BZ112" i="1" s="1"/>
  <c r="CJ128" i="1"/>
  <c r="CJ163" i="1"/>
  <c r="CJ232" i="1"/>
  <c r="BX232" i="1"/>
  <c r="BY232" i="1" s="1"/>
  <c r="BZ232" i="1" s="1"/>
  <c r="BX244" i="1"/>
  <c r="BY244" i="1" s="1"/>
  <c r="BZ244" i="1" s="1"/>
  <c r="CJ244" i="1"/>
  <c r="BX272" i="1"/>
  <c r="BX295" i="1"/>
  <c r="BY295" i="1" s="1"/>
  <c r="BZ295" i="1" s="1"/>
  <c r="CJ295" i="1"/>
  <c r="BX306" i="1"/>
  <c r="BY306" i="1" s="1"/>
  <c r="BZ306" i="1" s="1"/>
  <c r="CJ312" i="1"/>
  <c r="BX312" i="1"/>
  <c r="BY312" i="1" s="1"/>
  <c r="BZ312" i="1" s="1"/>
  <c r="CJ328" i="1"/>
  <c r="BX335" i="1"/>
  <c r="BY335" i="1" s="1"/>
  <c r="BZ335" i="1" s="1"/>
  <c r="CJ195" i="1"/>
  <c r="BX195" i="1"/>
  <c r="BY195" i="1" s="1"/>
  <c r="BZ195" i="1" s="1"/>
  <c r="BX356" i="1"/>
  <c r="BY356" i="1" s="1"/>
  <c r="BZ356" i="1" s="1"/>
  <c r="CJ356" i="1"/>
  <c r="BX357" i="1"/>
  <c r="CJ498" i="1"/>
  <c r="BX498" i="1"/>
  <c r="CJ540" i="1"/>
  <c r="BX540" i="1"/>
  <c r="CJ648" i="1"/>
  <c r="BX648" i="1"/>
  <c r="BY648" i="1" s="1"/>
  <c r="BZ648" i="1" s="1"/>
  <c r="BX17" i="1"/>
  <c r="BY17" i="1" s="1"/>
  <c r="BZ17" i="1" s="1"/>
  <c r="BX37" i="1"/>
  <c r="BY37" i="1" s="1"/>
  <c r="BZ37" i="1" s="1"/>
  <c r="CJ57" i="1"/>
  <c r="BX73" i="1"/>
  <c r="BX82" i="1"/>
  <c r="BY82" i="1" s="1"/>
  <c r="BZ82" i="1" s="1"/>
  <c r="BX101" i="1"/>
  <c r="BY101" i="1" s="1"/>
  <c r="BZ101" i="1" s="1"/>
  <c r="BX113" i="1"/>
  <c r="BY113" i="1" s="1"/>
  <c r="BZ113" i="1" s="1"/>
  <c r="BX191" i="1"/>
  <c r="BY191" i="1" s="1"/>
  <c r="BZ191" i="1" s="1"/>
  <c r="BX205" i="1"/>
  <c r="BY205" i="1" s="1"/>
  <c r="BZ205" i="1" s="1"/>
  <c r="CJ208" i="1"/>
  <c r="BX209" i="1"/>
  <c r="BY209" i="1" s="1"/>
  <c r="BZ209" i="1" s="1"/>
  <c r="BX212" i="1"/>
  <c r="BY212" i="1" s="1"/>
  <c r="BZ212" i="1" s="1"/>
  <c r="CJ212" i="1"/>
  <c r="BX217" i="1"/>
  <c r="BY217" i="1" s="1"/>
  <c r="BZ217" i="1" s="1"/>
  <c r="BX249" i="1"/>
  <c r="BY249" i="1" s="1"/>
  <c r="BZ249" i="1" s="1"/>
  <c r="BX403" i="1"/>
  <c r="BY403" i="1" s="1"/>
  <c r="BZ403" i="1" s="1"/>
  <c r="BX404" i="1"/>
  <c r="CJ403" i="1"/>
  <c r="BX460" i="1"/>
  <c r="BY460" i="1" s="1"/>
  <c r="BZ460" i="1" s="1"/>
  <c r="CJ460" i="1"/>
  <c r="BX499" i="1"/>
  <c r="BX797" i="1"/>
  <c r="BY797" i="1" s="1"/>
  <c r="BZ797" i="1" s="1"/>
  <c r="CJ797" i="1"/>
  <c r="CJ159" i="1"/>
  <c r="BX159" i="1"/>
  <c r="BY159" i="1" s="1"/>
  <c r="BZ159" i="1" s="1"/>
  <c r="BX298" i="1"/>
  <c r="BY298" i="1" s="1"/>
  <c r="BZ298" i="1" s="1"/>
  <c r="BX320" i="1"/>
  <c r="BY320" i="1" s="1"/>
  <c r="BZ320" i="1" s="1"/>
  <c r="BX347" i="1"/>
  <c r="BX367" i="1"/>
  <c r="BY367" i="1" s="1"/>
  <c r="BZ367" i="1" s="1"/>
  <c r="BX462" i="1"/>
  <c r="BY462" i="1" s="1"/>
  <c r="BZ462" i="1" s="1"/>
  <c r="BX514" i="1"/>
  <c r="BY514" i="1" s="1"/>
  <c r="BZ514" i="1" s="1"/>
  <c r="BX513" i="1"/>
  <c r="BY513" i="1" s="1"/>
  <c r="BZ513" i="1" s="1"/>
  <c r="BX647" i="1"/>
  <c r="CJ647" i="1"/>
  <c r="BX875" i="1"/>
  <c r="BY875" i="1" s="1"/>
  <c r="BZ875" i="1" s="1"/>
  <c r="CJ874" i="1"/>
  <c r="BX874" i="1"/>
  <c r="BY874" i="1" s="1"/>
  <c r="BZ874" i="1" s="1"/>
  <c r="CJ939" i="1"/>
  <c r="BX939" i="1"/>
  <c r="BY939" i="1" s="1"/>
  <c r="BZ939" i="1" s="1"/>
  <c r="BX940" i="1"/>
  <c r="BY940" i="1" s="1"/>
  <c r="BZ940" i="1" s="1"/>
  <c r="BX266" i="1"/>
  <c r="BY266" i="1" s="1"/>
  <c r="BZ266" i="1" s="1"/>
  <c r="BX281" i="1"/>
  <c r="BY281" i="1" s="1"/>
  <c r="BZ281" i="1" s="1"/>
  <c r="CJ281" i="1"/>
  <c r="BX288" i="1"/>
  <c r="BY288" i="1" s="1"/>
  <c r="BZ288" i="1" s="1"/>
  <c r="CJ391" i="1"/>
  <c r="BX391" i="1"/>
  <c r="BX405" i="1"/>
  <c r="CJ418" i="1"/>
  <c r="BX418" i="1"/>
  <c r="BY418" i="1" s="1"/>
  <c r="BZ418" i="1" s="1"/>
  <c r="CJ548" i="1"/>
  <c r="BX549" i="1"/>
  <c r="BY549" i="1" s="1"/>
  <c r="BZ549" i="1" s="1"/>
  <c r="BX548" i="1"/>
  <c r="BY548" i="1" s="1"/>
  <c r="BZ548" i="1" s="1"/>
  <c r="BX560" i="1"/>
  <c r="BY560" i="1" s="1"/>
  <c r="BZ560" i="1" s="1"/>
  <c r="CJ560" i="1"/>
  <c r="BX578" i="1"/>
  <c r="BY578" i="1" s="1"/>
  <c r="BZ578" i="1" s="1"/>
  <c r="CJ578" i="1"/>
  <c r="BX733" i="1"/>
  <c r="BY733" i="1" s="1"/>
  <c r="BZ733" i="1" s="1"/>
  <c r="CJ732" i="1"/>
  <c r="BX732" i="1"/>
  <c r="BY732" i="1" s="1"/>
  <c r="BZ732" i="1" s="1"/>
  <c r="CJ836" i="1"/>
  <c r="BX836" i="1"/>
  <c r="BY836" i="1" s="1"/>
  <c r="BZ836" i="1" s="1"/>
  <c r="BX913" i="1"/>
  <c r="BY913" i="1" s="1"/>
  <c r="BZ913" i="1" s="1"/>
  <c r="CJ913" i="1"/>
  <c r="BX969" i="1"/>
  <c r="BY969" i="1" s="1"/>
  <c r="BZ969" i="1" s="1"/>
  <c r="BX970" i="1"/>
  <c r="BY970" i="1" s="1"/>
  <c r="BZ970" i="1" s="1"/>
  <c r="CJ969" i="1"/>
  <c r="CJ379" i="1"/>
  <c r="BX379" i="1"/>
  <c r="BY379" i="1" s="1"/>
  <c r="BZ379" i="1" s="1"/>
  <c r="BX427" i="1"/>
  <c r="BY427" i="1" s="1"/>
  <c r="BZ427" i="1" s="1"/>
  <c r="CJ427" i="1"/>
  <c r="BX457" i="1"/>
  <c r="BY457" i="1" s="1"/>
  <c r="BZ457" i="1" s="1"/>
  <c r="CJ457" i="1"/>
  <c r="BX538" i="1"/>
  <c r="BY538" i="1" s="1"/>
  <c r="BZ538" i="1" s="1"/>
  <c r="CJ537" i="1"/>
  <c r="BX555" i="1"/>
  <c r="BY555" i="1" s="1"/>
  <c r="BZ555" i="1" s="1"/>
  <c r="CJ555" i="1"/>
  <c r="CJ649" i="1"/>
  <c r="BX649" i="1"/>
  <c r="BY649" i="1" s="1"/>
  <c r="BZ649" i="1" s="1"/>
  <c r="BX650" i="1"/>
  <c r="BY650" i="1" s="1"/>
  <c r="BZ650" i="1" s="1"/>
  <c r="CJ257" i="1"/>
  <c r="BX257" i="1"/>
  <c r="BY257" i="1" s="1"/>
  <c r="BZ257" i="1" s="1"/>
  <c r="BX286" i="1"/>
  <c r="BY286" i="1" s="1"/>
  <c r="BZ286" i="1" s="1"/>
  <c r="BX289" i="1"/>
  <c r="BY289" i="1" s="1"/>
  <c r="BZ289" i="1" s="1"/>
  <c r="CJ299" i="1"/>
  <c r="BX299" i="1"/>
  <c r="BY299" i="1" s="1"/>
  <c r="BZ299" i="1" s="1"/>
  <c r="BX368" i="1"/>
  <c r="BY368" i="1" s="1"/>
  <c r="BZ368" i="1" s="1"/>
  <c r="CJ368" i="1"/>
  <c r="CJ376" i="1"/>
  <c r="CJ380" i="1"/>
  <c r="BX380" i="1"/>
  <c r="CJ422" i="1"/>
  <c r="BX428" i="1"/>
  <c r="BY428" i="1" s="1"/>
  <c r="BZ428" i="1" s="1"/>
  <c r="BX440" i="1"/>
  <c r="BY440" i="1" s="1"/>
  <c r="BZ440" i="1" s="1"/>
  <c r="BX445" i="1"/>
  <c r="BY445" i="1" s="1"/>
  <c r="BZ445" i="1" s="1"/>
  <c r="CJ458" i="1"/>
  <c r="BX458" i="1"/>
  <c r="BY458" i="1" s="1"/>
  <c r="BZ458" i="1" s="1"/>
  <c r="BX463" i="1"/>
  <c r="BY463" i="1" s="1"/>
  <c r="BZ463" i="1" s="1"/>
  <c r="CJ468" i="1"/>
  <c r="BX477" i="1"/>
  <c r="BY477" i="1" s="1"/>
  <c r="BZ477" i="1" s="1"/>
  <c r="BX556" i="1"/>
  <c r="BY556" i="1" s="1"/>
  <c r="BZ556" i="1" s="1"/>
  <c r="CJ566" i="1"/>
  <c r="BX643" i="1"/>
  <c r="BY643" i="1" s="1"/>
  <c r="BZ643" i="1" s="1"/>
  <c r="CJ791" i="1"/>
  <c r="BX792" i="1"/>
  <c r="BY792" i="1" s="1"/>
  <c r="BZ792" i="1" s="1"/>
  <c r="BX791" i="1"/>
  <c r="BY791" i="1" s="1"/>
  <c r="BZ791" i="1" s="1"/>
  <c r="CJ632" i="1"/>
  <c r="BX633" i="1"/>
  <c r="BY633" i="1" s="1"/>
  <c r="BZ633" i="1" s="1"/>
  <c r="BX632" i="1"/>
  <c r="BY632" i="1" s="1"/>
  <c r="BZ632" i="1" s="1"/>
  <c r="BX753" i="1"/>
  <c r="BY753" i="1" s="1"/>
  <c r="BZ753" i="1" s="1"/>
  <c r="CJ753" i="1"/>
  <c r="BX775" i="1"/>
  <c r="BY775" i="1" s="1"/>
  <c r="BZ775" i="1" s="1"/>
  <c r="CJ775" i="1"/>
  <c r="BX864" i="1"/>
  <c r="BY864" i="1" s="1"/>
  <c r="BZ864" i="1" s="1"/>
  <c r="CJ863" i="1"/>
  <c r="CJ877" i="1"/>
  <c r="BX877" i="1"/>
  <c r="BY877" i="1" s="1"/>
  <c r="BZ877" i="1" s="1"/>
  <c r="BX155" i="1"/>
  <c r="BY155" i="1" s="1"/>
  <c r="BZ155" i="1" s="1"/>
  <c r="BX313" i="1"/>
  <c r="BY313" i="1" s="1"/>
  <c r="BZ313" i="1" s="1"/>
  <c r="BX324" i="1"/>
  <c r="BY324" i="1" s="1"/>
  <c r="BZ324" i="1" s="1"/>
  <c r="BX496" i="1"/>
  <c r="BY496" i="1" s="1"/>
  <c r="BZ496" i="1" s="1"/>
  <c r="CJ496" i="1"/>
  <c r="BX896" i="1"/>
  <c r="BY896" i="1" s="1"/>
  <c r="BZ896" i="1" s="1"/>
  <c r="BX897" i="1"/>
  <c r="BY897" i="1" s="1"/>
  <c r="BZ897" i="1" s="1"/>
  <c r="CJ896" i="1"/>
  <c r="BX1164" i="1"/>
  <c r="CJ1163" i="1"/>
  <c r="CJ84" i="1"/>
  <c r="BX84" i="1"/>
  <c r="BY84" i="1" s="1"/>
  <c r="BZ84" i="1" s="1"/>
  <c r="BX131" i="1"/>
  <c r="BY131" i="1" s="1"/>
  <c r="BZ131" i="1" s="1"/>
  <c r="CJ155" i="1"/>
  <c r="BX173" i="1"/>
  <c r="BY173" i="1" s="1"/>
  <c r="BZ173" i="1" s="1"/>
  <c r="CJ192" i="1"/>
  <c r="BX192" i="1"/>
  <c r="BY192" i="1" s="1"/>
  <c r="BZ192" i="1" s="1"/>
  <c r="BX206" i="1"/>
  <c r="BY206" i="1" s="1"/>
  <c r="BZ206" i="1" s="1"/>
  <c r="BX236" i="1"/>
  <c r="BY236" i="1" s="1"/>
  <c r="BZ236" i="1" s="1"/>
  <c r="CJ271" i="1"/>
  <c r="BX271" i="1"/>
  <c r="BY271" i="1" s="1"/>
  <c r="BZ271" i="1" s="1"/>
  <c r="CJ313" i="1"/>
  <c r="BX319" i="1"/>
  <c r="BY319" i="1" s="1"/>
  <c r="BZ319" i="1" s="1"/>
  <c r="CJ324" i="1"/>
  <c r="CJ393" i="1"/>
  <c r="CJ469" i="1"/>
  <c r="BX470" i="1"/>
  <c r="CJ497" i="1"/>
  <c r="BX497" i="1"/>
  <c r="BY497" i="1" s="1"/>
  <c r="BZ497" i="1" s="1"/>
  <c r="BX504" i="1"/>
  <c r="BY504" i="1" s="1"/>
  <c r="BZ504" i="1" s="1"/>
  <c r="CJ504" i="1"/>
  <c r="CJ516" i="1"/>
  <c r="BX517" i="1"/>
  <c r="BY517" i="1" s="1"/>
  <c r="BZ517" i="1" s="1"/>
  <c r="CJ525" i="1"/>
  <c r="CJ574" i="1"/>
  <c r="BX574" i="1"/>
  <c r="BY574" i="1" s="1"/>
  <c r="BZ574" i="1" s="1"/>
  <c r="CJ627" i="1"/>
  <c r="BX627" i="1"/>
  <c r="BY627" i="1" s="1"/>
  <c r="BZ627" i="1" s="1"/>
  <c r="BX701" i="1"/>
  <c r="BY701" i="1" s="1"/>
  <c r="BZ701" i="1" s="1"/>
  <c r="CJ701" i="1"/>
  <c r="CJ735" i="1"/>
  <c r="BX735" i="1"/>
  <c r="BY735" i="1" s="1"/>
  <c r="BZ735" i="1" s="1"/>
  <c r="BX826" i="1"/>
  <c r="BY826" i="1" s="1"/>
  <c r="BZ826" i="1" s="1"/>
  <c r="CJ826" i="1"/>
  <c r="BX852" i="1"/>
  <c r="BY852" i="1" s="1"/>
  <c r="BZ852" i="1" s="1"/>
  <c r="CJ852" i="1"/>
  <c r="BX1046" i="1"/>
  <c r="BY1046" i="1" s="1"/>
  <c r="BZ1046" i="1" s="1"/>
  <c r="CJ1046" i="1"/>
  <c r="BX834" i="1"/>
  <c r="BY834" i="1" s="1"/>
  <c r="BZ834" i="1" s="1"/>
  <c r="CJ833" i="1"/>
  <c r="BX884" i="1"/>
  <c r="CJ884" i="1"/>
  <c r="CJ1033" i="1"/>
  <c r="BX1034" i="1"/>
  <c r="BY1034" i="1" s="1"/>
  <c r="BZ1034" i="1" s="1"/>
  <c r="BX354" i="1"/>
  <c r="BY354" i="1" s="1"/>
  <c r="BZ354" i="1" s="1"/>
  <c r="CJ354" i="1"/>
  <c r="CJ366" i="1"/>
  <c r="BX366" i="1"/>
  <c r="BY366" i="1" s="1"/>
  <c r="BZ366" i="1" s="1"/>
  <c r="CJ429" i="1"/>
  <c r="BX430" i="1"/>
  <c r="CJ461" i="1"/>
  <c r="BX461" i="1"/>
  <c r="BY461" i="1" s="1"/>
  <c r="BZ461" i="1" s="1"/>
  <c r="CJ576" i="1"/>
  <c r="BX577" i="1"/>
  <c r="BY577" i="1" s="1"/>
  <c r="BZ577" i="1" s="1"/>
  <c r="BX576" i="1"/>
  <c r="BY576" i="1" s="1"/>
  <c r="BZ576" i="1" s="1"/>
  <c r="BX744" i="1"/>
  <c r="BY744" i="1" s="1"/>
  <c r="BZ744" i="1" s="1"/>
  <c r="CJ743" i="1"/>
  <c r="BX743" i="1"/>
  <c r="BY743" i="1" s="1"/>
  <c r="BZ743" i="1" s="1"/>
  <c r="CJ763" i="1"/>
  <c r="BX763" i="1"/>
  <c r="BY763" i="1" s="1"/>
  <c r="BZ763" i="1" s="1"/>
  <c r="CJ803" i="1"/>
  <c r="BX804" i="1"/>
  <c r="BY804" i="1" s="1"/>
  <c r="BZ804" i="1" s="1"/>
  <c r="BX803" i="1"/>
  <c r="BY803" i="1" s="1"/>
  <c r="BZ803" i="1" s="1"/>
  <c r="CJ847" i="1"/>
  <c r="BX847" i="1"/>
  <c r="BY847" i="1" s="1"/>
  <c r="BZ847" i="1" s="1"/>
  <c r="BX24" i="1"/>
  <c r="BY24" i="1" s="1"/>
  <c r="BZ24" i="1" s="1"/>
  <c r="CJ96" i="1"/>
  <c r="BX96" i="1"/>
  <c r="BY96" i="1" s="1"/>
  <c r="BZ96" i="1" s="1"/>
  <c r="CJ138" i="1"/>
  <c r="BX138" i="1"/>
  <c r="BY138" i="1" s="1"/>
  <c r="BZ138" i="1" s="1"/>
  <c r="CJ225" i="1"/>
  <c r="BX225" i="1"/>
  <c r="BY225" i="1" s="1"/>
  <c r="BZ225" i="1" s="1"/>
  <c r="BX294" i="1"/>
  <c r="BY294" i="1" s="1"/>
  <c r="BZ294" i="1" s="1"/>
  <c r="CJ311" i="1"/>
  <c r="CJ314" i="1"/>
  <c r="BX326" i="1"/>
  <c r="BY326" i="1" s="1"/>
  <c r="BZ326" i="1" s="1"/>
  <c r="BX355" i="1"/>
  <c r="BY355" i="1" s="1"/>
  <c r="BZ355" i="1" s="1"/>
  <c r="BX372" i="1"/>
  <c r="BY372" i="1" s="1"/>
  <c r="BZ372" i="1" s="1"/>
  <c r="CJ437" i="1"/>
  <c r="CJ474" i="1"/>
  <c r="BX474" i="1"/>
  <c r="BY474" i="1" s="1"/>
  <c r="BZ474" i="1" s="1"/>
  <c r="CJ588" i="1"/>
  <c r="BX588" i="1"/>
  <c r="CJ635" i="1"/>
  <c r="BX635" i="1"/>
  <c r="BY635" i="1" s="1"/>
  <c r="BZ635" i="1" s="1"/>
  <c r="BX697" i="1"/>
  <c r="BY697" i="1" s="1"/>
  <c r="BZ697" i="1" s="1"/>
  <c r="CJ696" i="1"/>
  <c r="CJ749" i="1"/>
  <c r="BX749" i="1"/>
  <c r="BY749" i="1" s="1"/>
  <c r="BZ749" i="1" s="1"/>
  <c r="CJ855" i="1"/>
  <c r="BX855" i="1"/>
  <c r="BY855" i="1" s="1"/>
  <c r="BZ855" i="1" s="1"/>
  <c r="BX856" i="1"/>
  <c r="BY856" i="1" s="1"/>
  <c r="BZ856" i="1" s="1"/>
  <c r="BX865" i="1"/>
  <c r="BY865" i="1" s="1"/>
  <c r="BZ865" i="1" s="1"/>
  <c r="CJ865" i="1"/>
  <c r="BX985" i="1"/>
  <c r="BY985" i="1" s="1"/>
  <c r="BZ985" i="1" s="1"/>
  <c r="CJ984" i="1"/>
  <c r="BX1005" i="1"/>
  <c r="BY1005" i="1" s="1"/>
  <c r="BZ1005" i="1" s="1"/>
  <c r="CJ1005" i="1"/>
  <c r="BX521" i="1"/>
  <c r="BY521" i="1" s="1"/>
  <c r="BZ521" i="1" s="1"/>
  <c r="CJ622" i="1"/>
  <c r="BX622" i="1"/>
  <c r="BY622" i="1" s="1"/>
  <c r="BZ622" i="1" s="1"/>
  <c r="CJ722" i="1"/>
  <c r="CJ726" i="1"/>
  <c r="CJ730" i="1"/>
  <c r="BX730" i="1"/>
  <c r="BY730" i="1" s="1"/>
  <c r="BZ730" i="1" s="1"/>
  <c r="CJ764" i="1"/>
  <c r="BX787" i="1"/>
  <c r="BY787" i="1" s="1"/>
  <c r="BZ787" i="1" s="1"/>
  <c r="CJ793" i="1"/>
  <c r="BX798" i="1"/>
  <c r="BY798" i="1" s="1"/>
  <c r="BZ798" i="1" s="1"/>
  <c r="BX799" i="1"/>
  <c r="BY799" i="1" s="1"/>
  <c r="BZ799" i="1" s="1"/>
  <c r="CJ805" i="1"/>
  <c r="CJ838" i="1"/>
  <c r="CJ841" i="1"/>
  <c r="BX850" i="1"/>
  <c r="BY850" i="1" s="1"/>
  <c r="BZ850" i="1" s="1"/>
  <c r="BX866" i="1"/>
  <c r="BY866" i="1" s="1"/>
  <c r="BZ866" i="1" s="1"/>
  <c r="CJ876" i="1"/>
  <c r="BX914" i="1"/>
  <c r="BY914" i="1" s="1"/>
  <c r="BZ914" i="1" s="1"/>
  <c r="BX915" i="1"/>
  <c r="BY915" i="1" s="1"/>
  <c r="BZ915" i="1" s="1"/>
  <c r="CJ914" i="1"/>
  <c r="BX938" i="1"/>
  <c r="BY938" i="1" s="1"/>
  <c r="BZ938" i="1" s="1"/>
  <c r="CJ937" i="1"/>
  <c r="BX937" i="1"/>
  <c r="BY937" i="1" s="1"/>
  <c r="BZ937" i="1" s="1"/>
  <c r="BX966" i="1"/>
  <c r="BY966" i="1" s="1"/>
  <c r="BZ966" i="1" s="1"/>
  <c r="CJ966" i="1"/>
  <c r="CJ977" i="1"/>
  <c r="BX977" i="1"/>
  <c r="BY977" i="1" s="1"/>
  <c r="BZ977" i="1" s="1"/>
  <c r="CJ1042" i="1"/>
  <c r="BX1042" i="1"/>
  <c r="BY1042" i="1" s="1"/>
  <c r="BZ1042" i="1" s="1"/>
  <c r="CJ442" i="1"/>
  <c r="CJ463" i="1"/>
  <c r="CJ521" i="1"/>
  <c r="CJ541" i="1"/>
  <c r="CJ557" i="1"/>
  <c r="BX557" i="1"/>
  <c r="BY557" i="1" s="1"/>
  <c r="BZ557" i="1" s="1"/>
  <c r="CJ567" i="1"/>
  <c r="BX580" i="1"/>
  <c r="BY580" i="1" s="1"/>
  <c r="BZ580" i="1" s="1"/>
  <c r="BX579" i="1"/>
  <c r="BX587" i="1"/>
  <c r="BY587" i="1" s="1"/>
  <c r="BZ587" i="1" s="1"/>
  <c r="CJ591" i="1"/>
  <c r="BX606" i="1"/>
  <c r="BY606" i="1" s="1"/>
  <c r="BZ606" i="1" s="1"/>
  <c r="CJ606" i="1"/>
  <c r="CJ618" i="1"/>
  <c r="BX709" i="1"/>
  <c r="BY709" i="1" s="1"/>
  <c r="BZ709" i="1" s="1"/>
  <c r="CJ712" i="1"/>
  <c r="CJ760" i="1"/>
  <c r="BX769" i="1"/>
  <c r="BY769" i="1" s="1"/>
  <c r="BZ769" i="1" s="1"/>
  <c r="CJ779" i="1"/>
  <c r="CJ790" i="1"/>
  <c r="CJ798" i="1"/>
  <c r="BX825" i="1"/>
  <c r="BX839" i="1"/>
  <c r="BY839" i="1" s="1"/>
  <c r="BZ839" i="1" s="1"/>
  <c r="BX854" i="1"/>
  <c r="BY854" i="1" s="1"/>
  <c r="BZ854" i="1" s="1"/>
  <c r="CJ910" i="1"/>
  <c r="BX910" i="1"/>
  <c r="BY910" i="1" s="1"/>
  <c r="BZ910" i="1" s="1"/>
  <c r="BX911" i="1"/>
  <c r="BY911" i="1" s="1"/>
  <c r="BZ911" i="1" s="1"/>
  <c r="BX942" i="1"/>
  <c r="BY942" i="1" s="1"/>
  <c r="BZ942" i="1" s="1"/>
  <c r="CJ942" i="1"/>
  <c r="BX967" i="1"/>
  <c r="CJ1019" i="1"/>
  <c r="BX1019" i="1"/>
  <c r="BY1019" i="1" s="1"/>
  <c r="BZ1019" i="1" s="1"/>
  <c r="CJ1069" i="1"/>
  <c r="BX1069" i="1"/>
  <c r="BY1069" i="1" s="1"/>
  <c r="BZ1069" i="1" s="1"/>
  <c r="BX522" i="1"/>
  <c r="BY522" i="1" s="1"/>
  <c r="BZ522" i="1" s="1"/>
  <c r="BX654" i="1"/>
  <c r="BY654" i="1" s="1"/>
  <c r="BZ654" i="1" s="1"/>
  <c r="CJ654" i="1"/>
  <c r="BX739" i="1"/>
  <c r="BY739" i="1" s="1"/>
  <c r="BZ739" i="1" s="1"/>
  <c r="BX776" i="1"/>
  <c r="BY776" i="1" s="1"/>
  <c r="BZ776" i="1" s="1"/>
  <c r="CJ846" i="1"/>
  <c r="CJ854" i="1"/>
  <c r="CJ892" i="1"/>
  <c r="BX943" i="1"/>
  <c r="CJ1035" i="1"/>
  <c r="BX1035" i="1"/>
  <c r="BY1035" i="1" s="1"/>
  <c r="BZ1035" i="1" s="1"/>
  <c r="BX1036" i="1"/>
  <c r="BY1036" i="1" s="1"/>
  <c r="BZ1036" i="1" s="1"/>
  <c r="BX1121" i="1"/>
  <c r="BY1121" i="1" s="1"/>
  <c r="BZ1121" i="1" s="1"/>
  <c r="CJ1121" i="1"/>
  <c r="BX1129" i="1"/>
  <c r="BY1129" i="1" s="1"/>
  <c r="BZ1129" i="1" s="1"/>
  <c r="BX1130" i="1"/>
  <c r="BY1130" i="1" s="1"/>
  <c r="BZ1130" i="1" s="1"/>
  <c r="CJ1129" i="1"/>
  <c r="BX399" i="1"/>
  <c r="CJ413" i="1"/>
  <c r="CJ476" i="1"/>
  <c r="BX535" i="1"/>
  <c r="BY535" i="1" s="1"/>
  <c r="BZ535" i="1" s="1"/>
  <c r="BX546" i="1"/>
  <c r="CJ546" i="1"/>
  <c r="BX655" i="1"/>
  <c r="BY655" i="1" s="1"/>
  <c r="BZ655" i="1" s="1"/>
  <c r="CJ663" i="1"/>
  <c r="BX686" i="1"/>
  <c r="BY686" i="1" s="1"/>
  <c r="BZ686" i="1" s="1"/>
  <c r="BX706" i="1"/>
  <c r="BY706" i="1" s="1"/>
  <c r="BZ706" i="1" s="1"/>
  <c r="BX723" i="1"/>
  <c r="BY723" i="1" s="1"/>
  <c r="BZ723" i="1" s="1"/>
  <c r="BX770" i="1"/>
  <c r="BY770" i="1" s="1"/>
  <c r="BZ770" i="1" s="1"/>
  <c r="CJ795" i="1"/>
  <c r="BX795" i="1"/>
  <c r="BY795" i="1" s="1"/>
  <c r="BZ795" i="1" s="1"/>
  <c r="BX822" i="1"/>
  <c r="BY822" i="1" s="1"/>
  <c r="BZ822" i="1" s="1"/>
  <c r="BX862" i="1"/>
  <c r="BY862" i="1" s="1"/>
  <c r="BZ862" i="1" s="1"/>
  <c r="CJ862" i="1"/>
  <c r="BX871" i="1"/>
  <c r="BY871" i="1" s="1"/>
  <c r="BZ871" i="1" s="1"/>
  <c r="BX901" i="1"/>
  <c r="BY901" i="1" s="1"/>
  <c r="BZ901" i="1" s="1"/>
  <c r="CJ901" i="1"/>
  <c r="BX917" i="1"/>
  <c r="BY917" i="1" s="1"/>
  <c r="BZ917" i="1" s="1"/>
  <c r="CJ916" i="1"/>
  <c r="BX916" i="1"/>
  <c r="BY916" i="1" s="1"/>
  <c r="BZ916" i="1" s="1"/>
  <c r="CJ395" i="1"/>
  <c r="BX395" i="1"/>
  <c r="BX465" i="1"/>
  <c r="BY465" i="1" s="1"/>
  <c r="BZ465" i="1" s="1"/>
  <c r="BX508" i="1"/>
  <c r="BY508" i="1" s="1"/>
  <c r="BZ508" i="1" s="1"/>
  <c r="BX702" i="1"/>
  <c r="BY702" i="1" s="1"/>
  <c r="BZ702" i="1" s="1"/>
  <c r="BX724" i="1"/>
  <c r="BY724" i="1" s="1"/>
  <c r="BZ724" i="1" s="1"/>
  <c r="CJ728" i="1"/>
  <c r="BX728" i="1"/>
  <c r="BY728" i="1" s="1"/>
  <c r="BZ728" i="1" s="1"/>
  <c r="BX754" i="1"/>
  <c r="BY754" i="1" s="1"/>
  <c r="BZ754" i="1" s="1"/>
  <c r="BX830" i="1"/>
  <c r="BY830" i="1" s="1"/>
  <c r="BZ830" i="1" s="1"/>
  <c r="BX923" i="1"/>
  <c r="BY923" i="1" s="1"/>
  <c r="BZ923" i="1" s="1"/>
  <c r="CJ1013" i="1"/>
  <c r="BX1013" i="1"/>
  <c r="BY1013" i="1" s="1"/>
  <c r="BZ1013" i="1" s="1"/>
  <c r="CJ762" i="1"/>
  <c r="BX762" i="1"/>
  <c r="BY762" i="1" s="1"/>
  <c r="BZ762" i="1" s="1"/>
  <c r="CJ950" i="1"/>
  <c r="BX950" i="1"/>
  <c r="BY950" i="1" s="1"/>
  <c r="BZ950" i="1" s="1"/>
  <c r="BX951" i="1"/>
  <c r="BY951" i="1" s="1"/>
  <c r="BZ951" i="1" s="1"/>
  <c r="BX981" i="1"/>
  <c r="BY981" i="1" s="1"/>
  <c r="BZ981" i="1" s="1"/>
  <c r="CJ980" i="1"/>
  <c r="BX1022" i="1"/>
  <c r="BY1022" i="1" s="1"/>
  <c r="BZ1022" i="1" s="1"/>
  <c r="CJ1022" i="1"/>
  <c r="CJ1243" i="1"/>
  <c r="BX1243" i="1"/>
  <c r="BY1243" i="1" s="1"/>
  <c r="BZ1243" i="1" s="1"/>
  <c r="BX636" i="1"/>
  <c r="BY636" i="1" s="1"/>
  <c r="BZ636" i="1" s="1"/>
  <c r="CJ766" i="1"/>
  <c r="BX766" i="1"/>
  <c r="BY766" i="1" s="1"/>
  <c r="BZ766" i="1" s="1"/>
  <c r="CJ770" i="1"/>
  <c r="CJ796" i="1"/>
  <c r="BX837" i="1"/>
  <c r="BY837" i="1" s="1"/>
  <c r="BZ837" i="1" s="1"/>
  <c r="CJ871" i="1"/>
  <c r="BX909" i="1"/>
  <c r="BY909" i="1" s="1"/>
  <c r="BZ909" i="1" s="1"/>
  <c r="CJ908" i="1"/>
  <c r="CJ959" i="1"/>
  <c r="BX1085" i="1"/>
  <c r="BY1085" i="1" s="1"/>
  <c r="BZ1085" i="1" s="1"/>
  <c r="CJ1085" i="1"/>
  <c r="BX570" i="1"/>
  <c r="CJ593" i="1"/>
  <c r="BX593" i="1"/>
  <c r="BY593" i="1" s="1"/>
  <c r="BZ593" i="1" s="1"/>
  <c r="CJ636" i="1"/>
  <c r="BX641" i="1"/>
  <c r="BY641" i="1" s="1"/>
  <c r="BZ641" i="1" s="1"/>
  <c r="BX767" i="1"/>
  <c r="BY767" i="1" s="1"/>
  <c r="BZ767" i="1" s="1"/>
  <c r="BX808" i="1"/>
  <c r="BY808" i="1" s="1"/>
  <c r="BZ808" i="1" s="1"/>
  <c r="CJ808" i="1"/>
  <c r="BX827" i="1"/>
  <c r="BY827" i="1" s="1"/>
  <c r="BZ827" i="1" s="1"/>
  <c r="CJ840" i="1"/>
  <c r="BX849" i="1"/>
  <c r="BY849" i="1" s="1"/>
  <c r="BZ849" i="1" s="1"/>
  <c r="BX868" i="1"/>
  <c r="BY868" i="1" s="1"/>
  <c r="BZ868" i="1" s="1"/>
  <c r="BX869" i="1"/>
  <c r="BY869" i="1" s="1"/>
  <c r="BZ869" i="1" s="1"/>
  <c r="CJ918" i="1"/>
  <c r="BX918" i="1"/>
  <c r="BY918" i="1" s="1"/>
  <c r="BZ918" i="1" s="1"/>
  <c r="CJ478" i="1"/>
  <c r="BX478" i="1"/>
  <c r="BX527" i="1"/>
  <c r="BY527" i="1" s="1"/>
  <c r="BZ527" i="1" s="1"/>
  <c r="BX541" i="1"/>
  <c r="BY541" i="1" s="1"/>
  <c r="BZ541" i="1" s="1"/>
  <c r="BX552" i="1"/>
  <c r="BY552" i="1" s="1"/>
  <c r="BZ552" i="1" s="1"/>
  <c r="CJ590" i="1"/>
  <c r="BX590" i="1"/>
  <c r="BY590" i="1" s="1"/>
  <c r="BZ590" i="1" s="1"/>
  <c r="BX621" i="1"/>
  <c r="BY621" i="1" s="1"/>
  <c r="BZ621" i="1" s="1"/>
  <c r="CJ633" i="1"/>
  <c r="BX637" i="1"/>
  <c r="BX708" i="1"/>
  <c r="BY708" i="1" s="1"/>
  <c r="BZ708" i="1" s="1"/>
  <c r="CJ737" i="1"/>
  <c r="CJ751" i="1"/>
  <c r="BX751" i="1"/>
  <c r="BY751" i="1" s="1"/>
  <c r="BZ751" i="1" s="1"/>
  <c r="BX782" i="1"/>
  <c r="BY782" i="1" s="1"/>
  <c r="BZ782" i="1" s="1"/>
  <c r="BX801" i="1"/>
  <c r="BY801" i="1" s="1"/>
  <c r="BZ801" i="1" s="1"/>
  <c r="CJ801" i="1"/>
  <c r="BX809" i="1"/>
  <c r="BY809" i="1" s="1"/>
  <c r="BZ809" i="1" s="1"/>
  <c r="CJ827" i="1"/>
  <c r="CJ830" i="1"/>
  <c r="BX860" i="1"/>
  <c r="BY860" i="1" s="1"/>
  <c r="BZ860" i="1" s="1"/>
  <c r="CJ868" i="1"/>
  <c r="CJ1053" i="1"/>
  <c r="BX1015" i="1"/>
  <c r="BY1015" i="1" s="1"/>
  <c r="BZ1015" i="1" s="1"/>
  <c r="CJ1015" i="1"/>
  <c r="CJ1071" i="1"/>
  <c r="BX1072" i="1"/>
  <c r="BY1072" i="1" s="1"/>
  <c r="BZ1072" i="1" s="1"/>
  <c r="BX1071" i="1"/>
  <c r="BY1071" i="1" s="1"/>
  <c r="BZ1071" i="1" s="1"/>
  <c r="BX1229" i="1"/>
  <c r="BY1229" i="1" s="1"/>
  <c r="BZ1229" i="1" s="1"/>
  <c r="CJ1229" i="1"/>
  <c r="CJ1027" i="1"/>
  <c r="BX1027" i="1"/>
  <c r="BY1027" i="1" s="1"/>
  <c r="BZ1027" i="1" s="1"/>
  <c r="CJ1108" i="1"/>
  <c r="BX1108" i="1"/>
  <c r="BY1108" i="1" s="1"/>
  <c r="BZ1108" i="1" s="1"/>
  <c r="BX1109" i="1"/>
  <c r="BY1109" i="1" s="1"/>
  <c r="BZ1109" i="1" s="1"/>
  <c r="BX1178" i="1"/>
  <c r="BY1178" i="1" s="1"/>
  <c r="BZ1178" i="1" s="1"/>
  <c r="CJ1178" i="1"/>
  <c r="BX1040" i="1"/>
  <c r="BY1040" i="1" s="1"/>
  <c r="BZ1040" i="1" s="1"/>
  <c r="BX1041" i="1"/>
  <c r="BY1041" i="1" s="1"/>
  <c r="BZ1041" i="1" s="1"/>
  <c r="CJ1040" i="1"/>
  <c r="CJ1082" i="1"/>
  <c r="BX1151" i="1"/>
  <c r="BY1151" i="1" s="1"/>
  <c r="BZ1151" i="1" s="1"/>
  <c r="CJ1151" i="1"/>
  <c r="BX1127" i="1"/>
  <c r="BY1127" i="1" s="1"/>
  <c r="BZ1127" i="1" s="1"/>
  <c r="CJ1127" i="1"/>
  <c r="CJ1166" i="1"/>
  <c r="BX1166" i="1"/>
  <c r="BY1166" i="1" s="1"/>
  <c r="BZ1166" i="1" s="1"/>
  <c r="CJ905" i="1"/>
  <c r="BX905" i="1"/>
  <c r="BY905" i="1" s="1"/>
  <c r="BZ905" i="1" s="1"/>
  <c r="CJ1066" i="1"/>
  <c r="BX1066" i="1"/>
  <c r="BY1066" i="1" s="1"/>
  <c r="BZ1066" i="1" s="1"/>
  <c r="CJ1195" i="1"/>
  <c r="BX1195" i="1"/>
  <c r="BY1195" i="1" s="1"/>
  <c r="BZ1195" i="1" s="1"/>
  <c r="CJ539" i="1"/>
  <c r="BX539" i="1"/>
  <c r="BX835" i="1"/>
  <c r="BY835" i="1" s="1"/>
  <c r="BZ835" i="1" s="1"/>
  <c r="BX848" i="1"/>
  <c r="BY848" i="1" s="1"/>
  <c r="BZ848" i="1" s="1"/>
  <c r="CJ978" i="1"/>
  <c r="BX978" i="1"/>
  <c r="BY978" i="1" s="1"/>
  <c r="BZ978" i="1" s="1"/>
  <c r="CJ1223" i="1"/>
  <c r="BX1224" i="1"/>
  <c r="BY1224" i="1" s="1"/>
  <c r="BZ1224" i="1" s="1"/>
  <c r="CJ907" i="1"/>
  <c r="BX907" i="1"/>
  <c r="BY907" i="1" s="1"/>
  <c r="BZ907" i="1" s="1"/>
  <c r="CJ925" i="1"/>
  <c r="BX926" i="1"/>
  <c r="BY926" i="1" s="1"/>
  <c r="BZ926" i="1" s="1"/>
  <c r="BX998" i="1"/>
  <c r="BY998" i="1" s="1"/>
  <c r="BZ998" i="1" s="1"/>
  <c r="CJ998" i="1"/>
  <c r="BX999" i="1"/>
  <c r="BX1037" i="1"/>
  <c r="BY1037" i="1" s="1"/>
  <c r="BZ1037" i="1" s="1"/>
  <c r="CJ1037" i="1"/>
  <c r="BX1075" i="1"/>
  <c r="BY1075" i="1" s="1"/>
  <c r="BZ1075" i="1" s="1"/>
  <c r="CJ1075" i="1"/>
  <c r="CJ1137" i="1"/>
  <c r="BX1137" i="1"/>
  <c r="BY1137" i="1" s="1"/>
  <c r="BZ1137" i="1" s="1"/>
  <c r="BX1138" i="1"/>
  <c r="BY1138" i="1" s="1"/>
  <c r="BZ1138" i="1" s="1"/>
  <c r="BX1175" i="1"/>
  <c r="BY1175" i="1" s="1"/>
  <c r="BZ1175" i="1" s="1"/>
  <c r="CJ1175" i="1"/>
  <c r="CJ1270" i="1"/>
  <c r="BX1270" i="1"/>
  <c r="BY1270" i="1" s="1"/>
  <c r="BZ1270" i="1" s="1"/>
  <c r="BX1294" i="1"/>
  <c r="BY1294" i="1" s="1"/>
  <c r="BZ1294" i="1" s="1"/>
  <c r="CJ1293" i="1"/>
  <c r="CJ1340" i="1"/>
  <c r="BX1340" i="1"/>
  <c r="BY1340" i="1" s="1"/>
  <c r="BZ1340" i="1" s="1"/>
  <c r="BX1341" i="1"/>
  <c r="BY1341" i="1" s="1"/>
  <c r="BZ1341" i="1" s="1"/>
  <c r="CJ1253" i="1"/>
  <c r="BX1253" i="1"/>
  <c r="BY1253" i="1" s="1"/>
  <c r="BZ1253" i="1" s="1"/>
  <c r="BX1271" i="1"/>
  <c r="BY1271" i="1" s="1"/>
  <c r="BZ1271" i="1" s="1"/>
  <c r="CJ1391" i="1"/>
  <c r="BX1391" i="1"/>
  <c r="BY1391" i="1" s="1"/>
  <c r="BZ1391" i="1" s="1"/>
  <c r="BX960" i="1"/>
  <c r="BY960" i="1" s="1"/>
  <c r="BZ960" i="1" s="1"/>
  <c r="CJ1047" i="1"/>
  <c r="BX1047" i="1"/>
  <c r="BY1047" i="1" s="1"/>
  <c r="BZ1047" i="1" s="1"/>
  <c r="BX1078" i="1"/>
  <c r="BY1078" i="1" s="1"/>
  <c r="BZ1078" i="1" s="1"/>
  <c r="CJ1078" i="1"/>
  <c r="CJ1083" i="1"/>
  <c r="BX1083" i="1"/>
  <c r="BY1083" i="1" s="1"/>
  <c r="BZ1083" i="1" s="1"/>
  <c r="BX1128" i="1"/>
  <c r="BY1128" i="1" s="1"/>
  <c r="BZ1128" i="1" s="1"/>
  <c r="CJ1147" i="1"/>
  <c r="BX1147" i="1"/>
  <c r="BY1147" i="1" s="1"/>
  <c r="BZ1147" i="1" s="1"/>
  <c r="BX1203" i="1"/>
  <c r="BY1203" i="1" s="1"/>
  <c r="BZ1203" i="1" s="1"/>
  <c r="CJ1271" i="1"/>
  <c r="BX1497" i="1"/>
  <c r="BY1497" i="1" s="1"/>
  <c r="BZ1497" i="1" s="1"/>
  <c r="BX1498" i="1"/>
  <c r="BY1498" i="1" s="1"/>
  <c r="BZ1498" i="1" s="1"/>
  <c r="CJ1497" i="1"/>
  <c r="BX1504" i="1"/>
  <c r="BY1504" i="1" s="1"/>
  <c r="BZ1504" i="1" s="1"/>
  <c r="CJ1504" i="1"/>
  <c r="CJ960" i="1"/>
  <c r="BX1006" i="1"/>
  <c r="BY1006" i="1" s="1"/>
  <c r="BZ1006" i="1" s="1"/>
  <c r="CJ1065" i="1"/>
  <c r="BX1065" i="1"/>
  <c r="BY1065" i="1" s="1"/>
  <c r="BZ1065" i="1" s="1"/>
  <c r="BX1093" i="1"/>
  <c r="BY1093" i="1" s="1"/>
  <c r="BZ1093" i="1" s="1"/>
  <c r="CJ1093" i="1"/>
  <c r="BX1113" i="1"/>
  <c r="BY1113" i="1" s="1"/>
  <c r="BZ1113" i="1" s="1"/>
  <c r="CJ1113" i="1"/>
  <c r="CJ1117" i="1"/>
  <c r="BX1117" i="1"/>
  <c r="BY1117" i="1" s="1"/>
  <c r="BZ1117" i="1" s="1"/>
  <c r="BX1154" i="1"/>
  <c r="BY1154" i="1" s="1"/>
  <c r="BZ1154" i="1" s="1"/>
  <c r="CJ1182" i="1"/>
  <c r="BX1182" i="1"/>
  <c r="BY1182" i="1" s="1"/>
  <c r="BZ1182" i="1" s="1"/>
  <c r="BX1196" i="1"/>
  <c r="BY1196" i="1" s="1"/>
  <c r="BZ1196" i="1" s="1"/>
  <c r="BX1316" i="1"/>
  <c r="CJ1315" i="1"/>
  <c r="BX1315" i="1"/>
  <c r="BX1334" i="1"/>
  <c r="BY1334" i="1" s="1"/>
  <c r="BZ1334" i="1" s="1"/>
  <c r="BX1084" i="1"/>
  <c r="BY1084" i="1" s="1"/>
  <c r="BZ1084" i="1" s="1"/>
  <c r="CJ1084" i="1"/>
  <c r="BX1094" i="1"/>
  <c r="BY1094" i="1" s="1"/>
  <c r="BZ1094" i="1" s="1"/>
  <c r="BX1095" i="1"/>
  <c r="BY1095" i="1" s="1"/>
  <c r="BZ1095" i="1" s="1"/>
  <c r="BX1238" i="1"/>
  <c r="BY1238" i="1" s="1"/>
  <c r="BZ1238" i="1" s="1"/>
  <c r="CJ1238" i="1"/>
  <c r="BX756" i="1"/>
  <c r="BY756" i="1" s="1"/>
  <c r="BZ756" i="1" s="1"/>
  <c r="BX900" i="1"/>
  <c r="BY900" i="1" s="1"/>
  <c r="BZ900" i="1" s="1"/>
  <c r="BX929" i="1"/>
  <c r="BY929" i="1" s="1"/>
  <c r="BZ929" i="1" s="1"/>
  <c r="BX956" i="1"/>
  <c r="BY956" i="1" s="1"/>
  <c r="BZ956" i="1" s="1"/>
  <c r="CJ968" i="1"/>
  <c r="BX968" i="1"/>
  <c r="BY968" i="1" s="1"/>
  <c r="BZ968" i="1" s="1"/>
  <c r="BX1090" i="1"/>
  <c r="BY1090" i="1" s="1"/>
  <c r="BZ1090" i="1" s="1"/>
  <c r="BX1144" i="1"/>
  <c r="BY1144" i="1" s="1"/>
  <c r="BZ1144" i="1" s="1"/>
  <c r="BX845" i="1"/>
  <c r="BY845" i="1" s="1"/>
  <c r="BZ845" i="1" s="1"/>
  <c r="BX1067" i="1"/>
  <c r="BY1067" i="1" s="1"/>
  <c r="BZ1067" i="1" s="1"/>
  <c r="BX1099" i="1"/>
  <c r="BY1099" i="1" s="1"/>
  <c r="BZ1099" i="1" s="1"/>
  <c r="CJ1099" i="1"/>
  <c r="CJ1104" i="1"/>
  <c r="BX1104" i="1"/>
  <c r="BY1104" i="1" s="1"/>
  <c r="BZ1104" i="1" s="1"/>
  <c r="BX1167" i="1"/>
  <c r="BY1167" i="1" s="1"/>
  <c r="BZ1167" i="1" s="1"/>
  <c r="CJ1167" i="1"/>
  <c r="BX1168" i="1"/>
  <c r="BY1168" i="1" s="1"/>
  <c r="BZ1168" i="1" s="1"/>
  <c r="CJ1192" i="1"/>
  <c r="BX1192" i="1"/>
  <c r="BY1192" i="1" s="1"/>
  <c r="BZ1192" i="1" s="1"/>
  <c r="BX1297" i="1"/>
  <c r="BY1297" i="1" s="1"/>
  <c r="BZ1297" i="1" s="1"/>
  <c r="CJ1297" i="1"/>
  <c r="BX644" i="1"/>
  <c r="BY644" i="1" s="1"/>
  <c r="BZ644" i="1" s="1"/>
  <c r="BX842" i="1"/>
  <c r="BY842" i="1" s="1"/>
  <c r="BZ842" i="1" s="1"/>
  <c r="CJ845" i="1"/>
  <c r="CJ921" i="1"/>
  <c r="BX921" i="1"/>
  <c r="BY921" i="1" s="1"/>
  <c r="BZ921" i="1" s="1"/>
  <c r="BX997" i="1"/>
  <c r="BY997" i="1" s="1"/>
  <c r="BZ997" i="1" s="1"/>
  <c r="CJ1020" i="1"/>
  <c r="BX1020" i="1"/>
  <c r="BY1020" i="1" s="1"/>
  <c r="BZ1020" i="1" s="1"/>
  <c r="CJ1067" i="1"/>
  <c r="CJ1086" i="1"/>
  <c r="BX1086" i="1"/>
  <c r="BY1086" i="1" s="1"/>
  <c r="BZ1086" i="1" s="1"/>
  <c r="BX1091" i="1"/>
  <c r="BY1091" i="1" s="1"/>
  <c r="BZ1091" i="1" s="1"/>
  <c r="BX1193" i="1"/>
  <c r="BY1193" i="1" s="1"/>
  <c r="BZ1193" i="1" s="1"/>
  <c r="CJ1211" i="1"/>
  <c r="BX1345" i="1"/>
  <c r="BY1345" i="1" s="1"/>
  <c r="BZ1345" i="1" s="1"/>
  <c r="CJ1345" i="1"/>
  <c r="BX878" i="1"/>
  <c r="BY878" i="1" s="1"/>
  <c r="BZ878" i="1" s="1"/>
  <c r="CJ1016" i="1"/>
  <c r="BX1016" i="1"/>
  <c r="BY1016" i="1" s="1"/>
  <c r="BZ1016" i="1" s="1"/>
  <c r="CJ1100" i="1"/>
  <c r="BX1100" i="1"/>
  <c r="BY1100" i="1" s="1"/>
  <c r="BZ1100" i="1" s="1"/>
  <c r="CJ1125" i="1"/>
  <c r="BX1125" i="1"/>
  <c r="BY1125" i="1" s="1"/>
  <c r="BZ1125" i="1" s="1"/>
  <c r="BX1145" i="1"/>
  <c r="BY1145" i="1" s="1"/>
  <c r="BZ1145" i="1" s="1"/>
  <c r="BX1146" i="1"/>
  <c r="BY1146" i="1" s="1"/>
  <c r="BZ1146" i="1" s="1"/>
  <c r="BX1339" i="1"/>
  <c r="BY1339" i="1" s="1"/>
  <c r="BZ1339" i="1" s="1"/>
  <c r="CJ1338" i="1"/>
  <c r="CJ994" i="1"/>
  <c r="BX994" i="1"/>
  <c r="BY994" i="1" s="1"/>
  <c r="BZ994" i="1" s="1"/>
  <c r="CJ1131" i="1"/>
  <c r="BX1131" i="1"/>
  <c r="BY1131" i="1" s="1"/>
  <c r="BZ1131" i="1" s="1"/>
  <c r="BX1505" i="1"/>
  <c r="BY1505" i="1" s="1"/>
  <c r="BZ1505" i="1" s="1"/>
  <c r="BX1122" i="1"/>
  <c r="BY1122" i="1" s="1"/>
  <c r="BZ1122" i="1" s="1"/>
  <c r="CJ1136" i="1"/>
  <c r="BX1136" i="1"/>
  <c r="BY1136" i="1" s="1"/>
  <c r="BZ1136" i="1" s="1"/>
  <c r="BX1219" i="1"/>
  <c r="BY1219" i="1" s="1"/>
  <c r="BZ1219" i="1" s="1"/>
  <c r="CJ1219" i="1"/>
  <c r="CJ1305" i="1"/>
  <c r="BX1305" i="1"/>
  <c r="BY1305" i="1" s="1"/>
  <c r="BZ1305" i="1" s="1"/>
  <c r="BX1428" i="1"/>
  <c r="CJ1428" i="1"/>
  <c r="BX1490" i="1"/>
  <c r="BY1490" i="1" s="1"/>
  <c r="BZ1490" i="1" s="1"/>
  <c r="CJ1490" i="1"/>
  <c r="CJ1511" i="1"/>
  <c r="BX1511" i="1"/>
  <c r="BY1511" i="1" s="1"/>
  <c r="BZ1511" i="1" s="1"/>
  <c r="CJ1102" i="1"/>
  <c r="CJ1124" i="1"/>
  <c r="CJ1155" i="1"/>
  <c r="BX1155" i="1"/>
  <c r="BY1155" i="1" s="1"/>
  <c r="BZ1155" i="1" s="1"/>
  <c r="BX1204" i="1"/>
  <c r="BY1204" i="1" s="1"/>
  <c r="BZ1204" i="1" s="1"/>
  <c r="BX1212" i="1"/>
  <c r="BY1212" i="1" s="1"/>
  <c r="BZ1212" i="1" s="1"/>
  <c r="BX1236" i="1"/>
  <c r="BY1236" i="1" s="1"/>
  <c r="BZ1236" i="1" s="1"/>
  <c r="BX1241" i="1"/>
  <c r="BY1241" i="1" s="1"/>
  <c r="BZ1241" i="1" s="1"/>
  <c r="BX1491" i="1"/>
  <c r="BY1491" i="1" s="1"/>
  <c r="BZ1491" i="1" s="1"/>
  <c r="BX1076" i="1"/>
  <c r="BY1076" i="1" s="1"/>
  <c r="BZ1076" i="1" s="1"/>
  <c r="BX1097" i="1"/>
  <c r="BY1097" i="1" s="1"/>
  <c r="BZ1097" i="1" s="1"/>
  <c r="CJ1176" i="1"/>
  <c r="BX1176" i="1"/>
  <c r="BY1176" i="1" s="1"/>
  <c r="BZ1176" i="1" s="1"/>
  <c r="BX1200" i="1"/>
  <c r="BY1200" i="1" s="1"/>
  <c r="BZ1200" i="1" s="1"/>
  <c r="CJ1200" i="1"/>
  <c r="BX1246" i="1"/>
  <c r="BY1246" i="1" s="1"/>
  <c r="BZ1246" i="1" s="1"/>
  <c r="CJ1246" i="1"/>
  <c r="BX1320" i="1"/>
  <c r="CJ1319" i="1"/>
  <c r="BX1319" i="1"/>
  <c r="CJ1335" i="1"/>
  <c r="BX1335" i="1"/>
  <c r="BY1335" i="1" s="1"/>
  <c r="BZ1335" i="1" s="1"/>
  <c r="CJ1152" i="1"/>
  <c r="BX1152" i="1"/>
  <c r="BY1152" i="1" s="1"/>
  <c r="BZ1152" i="1" s="1"/>
  <c r="BX1191" i="1"/>
  <c r="BY1191" i="1" s="1"/>
  <c r="BZ1191" i="1" s="1"/>
  <c r="CJ1191" i="1"/>
  <c r="CJ1220" i="1"/>
  <c r="BX1220" i="1"/>
  <c r="BY1220" i="1" s="1"/>
  <c r="BZ1220" i="1" s="1"/>
  <c r="BX1336" i="1"/>
  <c r="BY1336" i="1" s="1"/>
  <c r="BZ1336" i="1" s="1"/>
  <c r="BX1337" i="1"/>
  <c r="CJ1342" i="1"/>
  <c r="BX1342" i="1"/>
  <c r="BX1370" i="1"/>
  <c r="BY1370" i="1" s="1"/>
  <c r="BZ1370" i="1" s="1"/>
  <c r="CJ1370" i="1"/>
  <c r="BX1474" i="1"/>
  <c r="BY1474" i="1" s="1"/>
  <c r="BZ1474" i="1" s="1"/>
  <c r="CJ1474" i="1"/>
  <c r="BX1000" i="1"/>
  <c r="BY1000" i="1" s="1"/>
  <c r="BZ1000" i="1" s="1"/>
  <c r="BX1003" i="1"/>
  <c r="BY1003" i="1" s="1"/>
  <c r="BZ1003" i="1" s="1"/>
  <c r="BX1030" i="1"/>
  <c r="BY1030" i="1" s="1"/>
  <c r="BZ1030" i="1" s="1"/>
  <c r="BX1054" i="1"/>
  <c r="BY1054" i="1" s="1"/>
  <c r="BZ1054" i="1" s="1"/>
  <c r="BX1135" i="1"/>
  <c r="BY1135" i="1" s="1"/>
  <c r="BZ1135" i="1" s="1"/>
  <c r="CJ1201" i="1"/>
  <c r="BX1201" i="1"/>
  <c r="BY1201" i="1" s="1"/>
  <c r="BZ1201" i="1" s="1"/>
  <c r="BX1233" i="1"/>
  <c r="BY1233" i="1" s="1"/>
  <c r="BZ1233" i="1" s="1"/>
  <c r="BX1237" i="1"/>
  <c r="BY1237" i="1" s="1"/>
  <c r="BZ1237" i="1" s="1"/>
  <c r="CJ1237" i="1"/>
  <c r="CJ1247" i="1"/>
  <c r="BX1248" i="1"/>
  <c r="BY1248" i="1" s="1"/>
  <c r="BZ1248" i="1" s="1"/>
  <c r="BX1247" i="1"/>
  <c r="BY1247" i="1" s="1"/>
  <c r="BZ1247" i="1" s="1"/>
  <c r="CJ1296" i="1"/>
  <c r="BX1296" i="1"/>
  <c r="BX1308" i="1"/>
  <c r="BX1309" i="1"/>
  <c r="BY1309" i="1" s="1"/>
  <c r="BZ1309" i="1" s="1"/>
  <c r="CJ1390" i="1"/>
  <c r="BX1390" i="1"/>
  <c r="BY1390" i="1" s="1"/>
  <c r="BZ1390" i="1" s="1"/>
  <c r="BX1515" i="1"/>
  <c r="BY1515" i="1" s="1"/>
  <c r="BZ1515" i="1" s="1"/>
  <c r="CJ1515" i="1"/>
  <c r="BX1529" i="1"/>
  <c r="BY1529" i="1" s="1"/>
  <c r="BZ1529" i="1" s="1"/>
  <c r="CJ1529" i="1"/>
  <c r="CJ1367" i="1"/>
  <c r="BX1367" i="1"/>
  <c r="BY1367" i="1" s="1"/>
  <c r="BZ1367" i="1" s="1"/>
  <c r="BX1392" i="1"/>
  <c r="BY1392" i="1" s="1"/>
  <c r="BZ1392" i="1" s="1"/>
  <c r="BX1477" i="1"/>
  <c r="BY1477" i="1" s="1"/>
  <c r="BZ1477" i="1" s="1"/>
  <c r="CJ1477" i="1"/>
  <c r="CJ1101" i="1"/>
  <c r="BX1101" i="1"/>
  <c r="BY1101" i="1" s="1"/>
  <c r="BZ1101" i="1" s="1"/>
  <c r="BX1298" i="1"/>
  <c r="BY1298" i="1" s="1"/>
  <c r="BZ1298" i="1" s="1"/>
  <c r="CJ1322" i="1"/>
  <c r="BX1329" i="1"/>
  <c r="BY1329" i="1" s="1"/>
  <c r="BZ1329" i="1" s="1"/>
  <c r="BX1358" i="1"/>
  <c r="BY1358" i="1" s="1"/>
  <c r="BZ1358" i="1" s="1"/>
  <c r="BX1359" i="1"/>
  <c r="BY1359" i="1" s="1"/>
  <c r="BZ1359" i="1" s="1"/>
  <c r="CJ1358" i="1"/>
  <c r="BX1368" i="1"/>
  <c r="BY1368" i="1" s="1"/>
  <c r="BZ1368" i="1" s="1"/>
  <c r="CJ1392" i="1"/>
  <c r="BX1478" i="1"/>
  <c r="BY1478" i="1" s="1"/>
  <c r="BZ1478" i="1" s="1"/>
  <c r="BX1594" i="1"/>
  <c r="BY1594" i="1" s="1"/>
  <c r="BZ1594" i="1" s="1"/>
  <c r="CJ1594" i="1"/>
  <c r="BX1031" i="1"/>
  <c r="BY1031" i="1" s="1"/>
  <c r="BZ1031" i="1" s="1"/>
  <c r="BX1055" i="1"/>
  <c r="BY1055" i="1" s="1"/>
  <c r="BZ1055" i="1" s="1"/>
  <c r="BX1171" i="1"/>
  <c r="BY1171" i="1" s="1"/>
  <c r="BZ1171" i="1" s="1"/>
  <c r="CJ1179" i="1"/>
  <c r="BX1179" i="1"/>
  <c r="BY1179" i="1" s="1"/>
  <c r="BZ1179" i="1" s="1"/>
  <c r="BX1244" i="1"/>
  <c r="BY1244" i="1" s="1"/>
  <c r="BZ1244" i="1" s="1"/>
  <c r="BX1278" i="1"/>
  <c r="BY1278" i="1" s="1"/>
  <c r="BZ1278" i="1" s="1"/>
  <c r="CJ1278" i="1"/>
  <c r="CJ1298" i="1"/>
  <c r="BX1304" i="1"/>
  <c r="BY1304" i="1" s="1"/>
  <c r="BZ1304" i="1" s="1"/>
  <c r="BX1394" i="1"/>
  <c r="BY1394" i="1" s="1"/>
  <c r="BZ1394" i="1" s="1"/>
  <c r="CJ1393" i="1"/>
  <c r="BX1393" i="1"/>
  <c r="BY1393" i="1" s="1"/>
  <c r="BZ1393" i="1" s="1"/>
  <c r="CJ1582" i="1"/>
  <c r="BX1583" i="1"/>
  <c r="BY1583" i="1" s="1"/>
  <c r="BZ1583" i="1" s="1"/>
  <c r="CJ1533" i="1"/>
  <c r="BX1533" i="1"/>
  <c r="BY1533" i="1" s="1"/>
  <c r="BZ1533" i="1" s="1"/>
  <c r="CJ1551" i="1"/>
  <c r="BX1551" i="1"/>
  <c r="BY1551" i="1" s="1"/>
  <c r="BZ1551" i="1" s="1"/>
  <c r="CJ1574" i="1"/>
  <c r="BX1574" i="1"/>
  <c r="BY1574" i="1" s="1"/>
  <c r="BZ1574" i="1" s="1"/>
  <c r="CJ1860" i="1"/>
  <c r="BX1860" i="1"/>
  <c r="BY1860" i="1" s="1"/>
  <c r="BZ1860" i="1" s="1"/>
  <c r="CJ1788" i="1"/>
  <c r="BX1789" i="1"/>
  <c r="BY1789" i="1" s="1"/>
  <c r="BZ1789" i="1" s="1"/>
  <c r="BX1794" i="1"/>
  <c r="BY1794" i="1" s="1"/>
  <c r="BZ1794" i="1" s="1"/>
  <c r="CJ1794" i="1"/>
  <c r="CJ1808" i="1"/>
  <c r="BX1808" i="1"/>
  <c r="BY1808" i="1" s="1"/>
  <c r="BZ1808" i="1" s="1"/>
  <c r="BX1809" i="1"/>
  <c r="BY1809" i="1" s="1"/>
  <c r="BZ1809" i="1" s="1"/>
  <c r="CJ1874" i="1"/>
  <c r="BX1875" i="1"/>
  <c r="BY1875" i="1" s="1"/>
  <c r="BZ1875" i="1" s="1"/>
  <c r="BX1381" i="1"/>
  <c r="BY1381" i="1" s="1"/>
  <c r="BZ1381" i="1" s="1"/>
  <c r="BX1434" i="1"/>
  <c r="BY1434" i="1" s="1"/>
  <c r="BZ1434" i="1" s="1"/>
  <c r="BX1469" i="1"/>
  <c r="BY1469" i="1" s="1"/>
  <c r="BZ1469" i="1" s="1"/>
  <c r="BX1519" i="1"/>
  <c r="BY1519" i="1" s="1"/>
  <c r="BZ1519" i="1" s="1"/>
  <c r="CJ1519" i="1"/>
  <c r="CJ1526" i="1"/>
  <c r="BX1526" i="1"/>
  <c r="BY1526" i="1" s="1"/>
  <c r="BZ1526" i="1" s="1"/>
  <c r="CJ1645" i="1"/>
  <c r="BX1645" i="1"/>
  <c r="BY1645" i="1" s="1"/>
  <c r="BZ1645" i="1" s="1"/>
  <c r="BX1646" i="1"/>
  <c r="BY1646" i="1" s="1"/>
  <c r="BZ1646" i="1" s="1"/>
  <c r="BX1676" i="1"/>
  <c r="BY1676" i="1" s="1"/>
  <c r="BZ1676" i="1" s="1"/>
  <c r="CJ1676" i="1"/>
  <c r="CJ1679" i="1"/>
  <c r="CJ1740" i="1"/>
  <c r="BX1740" i="1"/>
  <c r="BY1740" i="1" s="1"/>
  <c r="BZ1740" i="1" s="1"/>
  <c r="BX1894" i="1"/>
  <c r="CJ1893" i="1"/>
  <c r="CJ2265" i="1"/>
  <c r="BX2265" i="1"/>
  <c r="BY2265" i="1" s="1"/>
  <c r="BZ2265" i="1" s="1"/>
  <c r="CJ1183" i="1"/>
  <c r="CJ1196" i="1"/>
  <c r="CJ1205" i="1"/>
  <c r="CJ1227" i="1"/>
  <c r="CJ1252" i="1"/>
  <c r="CJ1261" i="1"/>
  <c r="BX1261" i="1"/>
  <c r="BY1261" i="1" s="1"/>
  <c r="BZ1261" i="1" s="1"/>
  <c r="CJ1282" i="1"/>
  <c r="CJ1321" i="1"/>
  <c r="BX1321" i="1"/>
  <c r="BY1321" i="1" s="1"/>
  <c r="BZ1321" i="1" s="1"/>
  <c r="CJ1330" i="1"/>
  <c r="BX1371" i="1"/>
  <c r="CJ1383" i="1"/>
  <c r="BX1397" i="1"/>
  <c r="BY1397" i="1" s="1"/>
  <c r="BZ1397" i="1" s="1"/>
  <c r="CJ1399" i="1"/>
  <c r="CJ1436" i="1"/>
  <c r="BX1513" i="1"/>
  <c r="BY1513" i="1" s="1"/>
  <c r="BZ1513" i="1" s="1"/>
  <c r="BX1520" i="1"/>
  <c r="BY1520" i="1" s="1"/>
  <c r="BZ1520" i="1" s="1"/>
  <c r="BX1527" i="1"/>
  <c r="BY1527" i="1" s="1"/>
  <c r="BZ1527" i="1" s="1"/>
  <c r="BX1548" i="1"/>
  <c r="BX1558" i="1"/>
  <c r="BY1558" i="1" s="1"/>
  <c r="BZ1558" i="1" s="1"/>
  <c r="BX1565" i="1"/>
  <c r="BY1565" i="1" s="1"/>
  <c r="BZ1565" i="1" s="1"/>
  <c r="BX1566" i="1"/>
  <c r="BY1566" i="1" s="1"/>
  <c r="BZ1566" i="1" s="1"/>
  <c r="CJ1565" i="1"/>
  <c r="BX1677" i="1"/>
  <c r="BY1677" i="1" s="1"/>
  <c r="BZ1677" i="1" s="1"/>
  <c r="BX1711" i="1"/>
  <c r="BY1711" i="1" s="1"/>
  <c r="BZ1711" i="1" s="1"/>
  <c r="BX1717" i="1"/>
  <c r="BY1717" i="1" s="1"/>
  <c r="BZ1717" i="1" s="1"/>
  <c r="CJ1579" i="1"/>
  <c r="BX1579" i="1"/>
  <c r="CJ1650" i="1"/>
  <c r="BX1650" i="1"/>
  <c r="BY1650" i="1" s="1"/>
  <c r="BZ1650" i="1" s="1"/>
  <c r="CJ1863" i="1"/>
  <c r="BX1863" i="1"/>
  <c r="BX1864" i="1"/>
  <c r="BX1387" i="1"/>
  <c r="CJ1475" i="1"/>
  <c r="BX1475" i="1"/>
  <c r="BY1475" i="1" s="1"/>
  <c r="BZ1475" i="1" s="1"/>
  <c r="BX1482" i="1"/>
  <c r="BY1482" i="1" s="1"/>
  <c r="BZ1482" i="1" s="1"/>
  <c r="CJ1509" i="1"/>
  <c r="BX1509" i="1"/>
  <c r="BY1509" i="1" s="1"/>
  <c r="BZ1509" i="1" s="1"/>
  <c r="BX1516" i="1"/>
  <c r="BY1516" i="1" s="1"/>
  <c r="BZ1516" i="1" s="1"/>
  <c r="CJ1516" i="1"/>
  <c r="CJ1523" i="1"/>
  <c r="BX1523" i="1"/>
  <c r="BY1523" i="1" s="1"/>
  <c r="BZ1523" i="1" s="1"/>
  <c r="BX1580" i="1"/>
  <c r="BY1580" i="1" s="1"/>
  <c r="BZ1580" i="1" s="1"/>
  <c r="BX1587" i="1"/>
  <c r="BY1587" i="1" s="1"/>
  <c r="BZ1587" i="1" s="1"/>
  <c r="BX1588" i="1"/>
  <c r="BY1588" i="1" s="1"/>
  <c r="BZ1588" i="1" s="1"/>
  <c r="CJ1587" i="1"/>
  <c r="BX1606" i="1"/>
  <c r="BY1606" i="1" s="1"/>
  <c r="BZ1606" i="1" s="1"/>
  <c r="BX1651" i="1"/>
  <c r="BY1651" i="1" s="1"/>
  <c r="BZ1651" i="1" s="1"/>
  <c r="BX1712" i="1"/>
  <c r="BY1712" i="1" s="1"/>
  <c r="BZ1712" i="1" s="1"/>
  <c r="BX1713" i="1"/>
  <c r="BY1713" i="1" s="1"/>
  <c r="BZ1713" i="1" s="1"/>
  <c r="CJ1712" i="1"/>
  <c r="BX1752" i="1"/>
  <c r="BY1752" i="1" s="1"/>
  <c r="BZ1752" i="1" s="1"/>
  <c r="BX1753" i="1"/>
  <c r="BY1753" i="1" s="1"/>
  <c r="BZ1753" i="1" s="1"/>
  <c r="CJ1752" i="1"/>
  <c r="BX1403" i="1"/>
  <c r="BX1467" i="1"/>
  <c r="BY1467" i="1" s="1"/>
  <c r="BZ1467" i="1" s="1"/>
  <c r="BX1473" i="1"/>
  <c r="BY1473" i="1" s="1"/>
  <c r="BZ1473" i="1" s="1"/>
  <c r="BX1495" i="1"/>
  <c r="BY1495" i="1" s="1"/>
  <c r="BZ1495" i="1" s="1"/>
  <c r="CJ1495" i="1"/>
  <c r="CJ1502" i="1"/>
  <c r="BX1502" i="1"/>
  <c r="BY1502" i="1" s="1"/>
  <c r="BZ1502" i="1" s="1"/>
  <c r="CJ1592" i="1"/>
  <c r="BX1592" i="1"/>
  <c r="BY1592" i="1" s="1"/>
  <c r="BZ1592" i="1" s="1"/>
  <c r="BX1622" i="1"/>
  <c r="BY1622" i="1" s="1"/>
  <c r="BZ1622" i="1" s="1"/>
  <c r="BX1623" i="1"/>
  <c r="BY1623" i="1" s="1"/>
  <c r="BZ1623" i="1" s="1"/>
  <c r="BX1665" i="1"/>
  <c r="BY1665" i="1" s="1"/>
  <c r="BZ1665" i="1" s="1"/>
  <c r="CJ1669" i="1"/>
  <c r="BX1669" i="1"/>
  <c r="BY1669" i="1" s="1"/>
  <c r="BZ1669" i="1" s="1"/>
  <c r="BX1670" i="1"/>
  <c r="BY1670" i="1" s="1"/>
  <c r="BZ1670" i="1" s="1"/>
  <c r="CJ1811" i="1"/>
  <c r="BX1811" i="1"/>
  <c r="BY1811" i="1" s="1"/>
  <c r="BZ1811" i="1" s="1"/>
  <c r="BX2029" i="1"/>
  <c r="BY2029" i="1" s="1"/>
  <c r="BZ2029" i="1" s="1"/>
  <c r="BX2030" i="1"/>
  <c r="BY2030" i="1" s="1"/>
  <c r="BZ2030" i="1" s="1"/>
  <c r="CJ2029" i="1"/>
  <c r="BX1172" i="1"/>
  <c r="BY1172" i="1" s="1"/>
  <c r="BZ1172" i="1" s="1"/>
  <c r="BX1207" i="1"/>
  <c r="BY1207" i="1" s="1"/>
  <c r="BZ1207" i="1" s="1"/>
  <c r="BX1213" i="1"/>
  <c r="BY1213" i="1" s="1"/>
  <c r="BZ1213" i="1" s="1"/>
  <c r="BX1234" i="1"/>
  <c r="BY1234" i="1" s="1"/>
  <c r="BZ1234" i="1" s="1"/>
  <c r="BX1239" i="1"/>
  <c r="BY1239" i="1" s="1"/>
  <c r="BZ1239" i="1" s="1"/>
  <c r="BX1245" i="1"/>
  <c r="BY1245" i="1" s="1"/>
  <c r="BZ1245" i="1" s="1"/>
  <c r="BX1272" i="1"/>
  <c r="BY1272" i="1" s="1"/>
  <c r="BZ1272" i="1" s="1"/>
  <c r="BX1357" i="1"/>
  <c r="BY1357" i="1" s="1"/>
  <c r="BZ1357" i="1" s="1"/>
  <c r="CJ1362" i="1"/>
  <c r="BX1362" i="1"/>
  <c r="BY1362" i="1" s="1"/>
  <c r="BZ1362" i="1" s="1"/>
  <c r="CJ1403" i="1"/>
  <c r="BX1418" i="1"/>
  <c r="BY1418" i="1" s="1"/>
  <c r="BZ1418" i="1" s="1"/>
  <c r="BX1496" i="1"/>
  <c r="BY1496" i="1" s="1"/>
  <c r="BZ1496" i="1" s="1"/>
  <c r="BX1503" i="1"/>
  <c r="BY1503" i="1" s="1"/>
  <c r="BZ1503" i="1" s="1"/>
  <c r="BX1521" i="1"/>
  <c r="BY1521" i="1" s="1"/>
  <c r="BZ1521" i="1" s="1"/>
  <c r="CJ1531" i="1"/>
  <c r="BX1567" i="1"/>
  <c r="BX1572" i="1"/>
  <c r="BY1572" i="1" s="1"/>
  <c r="BZ1572" i="1" s="1"/>
  <c r="BX1573" i="1"/>
  <c r="CJ1572" i="1"/>
  <c r="BX1593" i="1"/>
  <c r="BY1593" i="1" s="1"/>
  <c r="BZ1593" i="1" s="1"/>
  <c r="BX1609" i="1"/>
  <c r="BY1609" i="1" s="1"/>
  <c r="BZ1609" i="1" s="1"/>
  <c r="BX1610" i="1"/>
  <c r="BY1610" i="1" s="1"/>
  <c r="BZ1610" i="1" s="1"/>
  <c r="CJ1609" i="1"/>
  <c r="CJ1622" i="1"/>
  <c r="BX1643" i="1"/>
  <c r="BY1643" i="1" s="1"/>
  <c r="BZ1643" i="1" s="1"/>
  <c r="CJ1701" i="1"/>
  <c r="BX1701" i="1"/>
  <c r="BY1701" i="1" s="1"/>
  <c r="BZ1701" i="1" s="1"/>
  <c r="CJ1536" i="1"/>
  <c r="BX1536" i="1"/>
  <c r="BY1536" i="1" s="1"/>
  <c r="BZ1536" i="1" s="1"/>
  <c r="CJ1635" i="1"/>
  <c r="BX1635" i="1"/>
  <c r="BY1635" i="1" s="1"/>
  <c r="BZ1635" i="1" s="1"/>
  <c r="BX1652" i="1"/>
  <c r="BY1652" i="1" s="1"/>
  <c r="BZ1652" i="1" s="1"/>
  <c r="CJ1652" i="1"/>
  <c r="BX1702" i="1"/>
  <c r="BX1703" i="1"/>
  <c r="BY1703" i="1" s="1"/>
  <c r="BZ1703" i="1" s="1"/>
  <c r="BX1745" i="1"/>
  <c r="BY1745" i="1" s="1"/>
  <c r="BZ1745" i="1" s="1"/>
  <c r="CJ1745" i="1"/>
  <c r="BX1800" i="1"/>
  <c r="BY1800" i="1" s="1"/>
  <c r="BZ1800" i="1" s="1"/>
  <c r="CJ1800" i="1"/>
  <c r="BX1483" i="1"/>
  <c r="BY1483" i="1" s="1"/>
  <c r="BZ1483" i="1" s="1"/>
  <c r="BX1492" i="1"/>
  <c r="BY1492" i="1" s="1"/>
  <c r="BZ1492" i="1" s="1"/>
  <c r="CJ1492" i="1"/>
  <c r="CJ1499" i="1"/>
  <c r="BX1499" i="1"/>
  <c r="BY1499" i="1" s="1"/>
  <c r="BZ1499" i="1" s="1"/>
  <c r="BX1537" i="1"/>
  <c r="BY1537" i="1" s="1"/>
  <c r="BZ1537" i="1" s="1"/>
  <c r="BX1637" i="1"/>
  <c r="BY1637" i="1" s="1"/>
  <c r="BZ1637" i="1" s="1"/>
  <c r="CJ1636" i="1"/>
  <c r="CJ1702" i="1"/>
  <c r="CJ1834" i="1"/>
  <c r="BX1834" i="1"/>
  <c r="BY1834" i="1" s="1"/>
  <c r="BZ1834" i="1" s="1"/>
  <c r="CJ1991" i="1"/>
  <c r="BX1991" i="1"/>
  <c r="BY1991" i="1" s="1"/>
  <c r="BZ1991" i="1" s="1"/>
  <c r="BX1254" i="1"/>
  <c r="BY1254" i="1" s="1"/>
  <c r="BZ1254" i="1" s="1"/>
  <c r="CJ1257" i="1"/>
  <c r="CJ1311" i="1"/>
  <c r="BX1385" i="1"/>
  <c r="BY1385" i="1" s="1"/>
  <c r="BZ1385" i="1" s="1"/>
  <c r="BX1395" i="1"/>
  <c r="BX1493" i="1"/>
  <c r="BY1493" i="1" s="1"/>
  <c r="BZ1493" i="1" s="1"/>
  <c r="CJ1521" i="1"/>
  <c r="CJ1528" i="1"/>
  <c r="CJ1577" i="1"/>
  <c r="BX1577" i="1"/>
  <c r="BY1577" i="1" s="1"/>
  <c r="BZ1577" i="1" s="1"/>
  <c r="BX1624" i="1"/>
  <c r="BY1624" i="1" s="1"/>
  <c r="BZ1624" i="1" s="1"/>
  <c r="CJ1653" i="1"/>
  <c r="BX1666" i="1"/>
  <c r="BY1666" i="1" s="1"/>
  <c r="BZ1666" i="1" s="1"/>
  <c r="CJ1674" i="1"/>
  <c r="BX1674" i="1"/>
  <c r="BY1674" i="1" s="1"/>
  <c r="BZ1674" i="1" s="1"/>
  <c r="BX1748" i="1"/>
  <c r="BY1748" i="1" s="1"/>
  <c r="BZ1748" i="1" s="1"/>
  <c r="CJ1747" i="1"/>
  <c r="BX1747" i="1"/>
  <c r="BY1747" i="1" s="1"/>
  <c r="BZ1747" i="1" s="1"/>
  <c r="CJ1254" i="1"/>
  <c r="CJ1376" i="1"/>
  <c r="BX1376" i="1"/>
  <c r="BY1376" i="1" s="1"/>
  <c r="BZ1376" i="1" s="1"/>
  <c r="CJ1385" i="1"/>
  <c r="BX1471" i="1"/>
  <c r="BY1471" i="1" s="1"/>
  <c r="BZ1471" i="1" s="1"/>
  <c r="CJ1507" i="1"/>
  <c r="BX1546" i="1"/>
  <c r="BY1546" i="1" s="1"/>
  <c r="BZ1546" i="1" s="1"/>
  <c r="BX1547" i="1"/>
  <c r="BY1547" i="1" s="1"/>
  <c r="BZ1547" i="1" s="1"/>
  <c r="CJ1546" i="1"/>
  <c r="BX1578" i="1"/>
  <c r="BY1578" i="1" s="1"/>
  <c r="BZ1578" i="1" s="1"/>
  <c r="BX1611" i="1"/>
  <c r="BX1620" i="1"/>
  <c r="BY1620" i="1" s="1"/>
  <c r="BZ1620" i="1" s="1"/>
  <c r="CJ1619" i="1"/>
  <c r="CJ1644" i="1"/>
  <c r="BX1649" i="1"/>
  <c r="BY1649" i="1" s="1"/>
  <c r="BZ1649" i="1" s="1"/>
  <c r="BX1658" i="1"/>
  <c r="BX1675" i="1"/>
  <c r="BY1675" i="1" s="1"/>
  <c r="BZ1675" i="1" s="1"/>
  <c r="BX1689" i="1"/>
  <c r="BY1689" i="1" s="1"/>
  <c r="BZ1689" i="1" s="1"/>
  <c r="BX1698" i="1"/>
  <c r="BY1698" i="1" s="1"/>
  <c r="BZ1698" i="1" s="1"/>
  <c r="CJ1698" i="1"/>
  <c r="BX1829" i="1"/>
  <c r="BY1829" i="1" s="1"/>
  <c r="BZ1829" i="1" s="1"/>
  <c r="CJ1828" i="1"/>
  <c r="CJ1904" i="1"/>
  <c r="BX1904" i="1"/>
  <c r="CJ1771" i="1"/>
  <c r="BX1771" i="1"/>
  <c r="BY1771" i="1" s="1"/>
  <c r="BZ1771" i="1" s="1"/>
  <c r="CJ1813" i="1"/>
  <c r="BX1813" i="1"/>
  <c r="BY1813" i="1" s="1"/>
  <c r="BZ1813" i="1" s="1"/>
  <c r="BX1890" i="1"/>
  <c r="CJ1890" i="1"/>
  <c r="CJ1949" i="1"/>
  <c r="BX1949" i="1"/>
  <c r="BY1949" i="1" s="1"/>
  <c r="BZ1949" i="1" s="1"/>
  <c r="BX1950" i="1"/>
  <c r="CJ1992" i="1"/>
  <c r="BX1993" i="1"/>
  <c r="BY1993" i="1" s="1"/>
  <c r="BZ1993" i="1" s="1"/>
  <c r="BX2165" i="1"/>
  <c r="BY2165" i="1" s="1"/>
  <c r="BZ2165" i="1" s="1"/>
  <c r="CJ2164" i="1"/>
  <c r="BX2164" i="1"/>
  <c r="BY2164" i="1" s="1"/>
  <c r="BZ2164" i="1" s="1"/>
  <c r="CJ1724" i="1"/>
  <c r="CJ1778" i="1"/>
  <c r="BX1786" i="1"/>
  <c r="BY1786" i="1" s="1"/>
  <c r="BZ1786" i="1" s="1"/>
  <c r="CJ1902" i="1"/>
  <c r="BX1902" i="1"/>
  <c r="BY1902" i="1" s="1"/>
  <c r="BZ1902" i="1" s="1"/>
  <c r="BX2036" i="1"/>
  <c r="BY2036" i="1" s="1"/>
  <c r="BZ2036" i="1" s="1"/>
  <c r="BX2037" i="1"/>
  <c r="BY2037" i="1" s="1"/>
  <c r="BZ2037" i="1" s="1"/>
  <c r="CJ2036" i="1"/>
  <c r="BX2111" i="1"/>
  <c r="BY2111" i="1" s="1"/>
  <c r="BZ2111" i="1" s="1"/>
  <c r="CJ2111" i="1"/>
  <c r="CJ2205" i="1"/>
  <c r="BX2205" i="1"/>
  <c r="BY2205" i="1" s="1"/>
  <c r="BZ2205" i="1" s="1"/>
  <c r="BX1556" i="1"/>
  <c r="CJ1632" i="1"/>
  <c r="BX1632" i="1"/>
  <c r="BY1632" i="1" s="1"/>
  <c r="BZ1632" i="1" s="1"/>
  <c r="BX1690" i="1"/>
  <c r="BX1694" i="1"/>
  <c r="BY1694" i="1" s="1"/>
  <c r="BZ1694" i="1" s="1"/>
  <c r="CJ1706" i="1"/>
  <c r="CJ1729" i="1"/>
  <c r="CJ1733" i="1"/>
  <c r="CJ1739" i="1"/>
  <c r="CJ1749" i="1"/>
  <c r="CJ1755" i="1"/>
  <c r="CJ1772" i="1"/>
  <c r="CJ1801" i="1"/>
  <c r="CJ1891" i="1"/>
  <c r="BX1891" i="1"/>
  <c r="BY1891" i="1" s="1"/>
  <c r="BZ1891" i="1" s="1"/>
  <c r="BX1898" i="1"/>
  <c r="BY1898" i="1" s="1"/>
  <c r="BZ1898" i="1" s="1"/>
  <c r="CJ1909" i="1"/>
  <c r="BX1909" i="1"/>
  <c r="BY1909" i="1" s="1"/>
  <c r="BZ1909" i="1" s="1"/>
  <c r="BX1944" i="1"/>
  <c r="BY1944" i="1" s="1"/>
  <c r="BZ1944" i="1" s="1"/>
  <c r="CJ1944" i="1"/>
  <c r="BX1975" i="1"/>
  <c r="BY1975" i="1" s="1"/>
  <c r="BZ1975" i="1" s="1"/>
  <c r="CJ1975" i="1"/>
  <c r="BX1983" i="1"/>
  <c r="BY1983" i="1" s="1"/>
  <c r="BZ1983" i="1" s="1"/>
  <c r="CJ1982" i="1"/>
  <c r="CJ2031" i="1"/>
  <c r="BX2031" i="1"/>
  <c r="CJ2075" i="1"/>
  <c r="BX2075" i="1"/>
  <c r="BY2075" i="1" s="1"/>
  <c r="BZ2075" i="1" s="1"/>
  <c r="BX2105" i="1"/>
  <c r="BY2105" i="1" s="1"/>
  <c r="BZ2105" i="1" s="1"/>
  <c r="CJ2104" i="1"/>
  <c r="CJ2197" i="1"/>
  <c r="BX2197" i="1"/>
  <c r="CJ1743" i="1"/>
  <c r="BX1743" i="1"/>
  <c r="BY1743" i="1" s="1"/>
  <c r="BZ1743" i="1" s="1"/>
  <c r="CJ1854" i="1"/>
  <c r="BX1854" i="1"/>
  <c r="BY1854" i="1" s="1"/>
  <c r="BZ1854" i="1" s="1"/>
  <c r="CJ1859" i="1"/>
  <c r="BX1859" i="1"/>
  <c r="BY1859" i="1" s="1"/>
  <c r="BZ1859" i="1" s="1"/>
  <c r="CJ1871" i="1"/>
  <c r="BX1871" i="1"/>
  <c r="BY1871" i="1" s="1"/>
  <c r="BZ1871" i="1" s="1"/>
  <c r="BX1918" i="1"/>
  <c r="BY1918" i="1" s="1"/>
  <c r="BZ1918" i="1" s="1"/>
  <c r="CJ1917" i="1"/>
  <c r="BX1924" i="1"/>
  <c r="BY1924" i="1" s="1"/>
  <c r="BZ1924" i="1" s="1"/>
  <c r="CJ1923" i="1"/>
  <c r="BX1923" i="1"/>
  <c r="BX1929" i="1"/>
  <c r="CJ1945" i="1"/>
  <c r="BX1945" i="1"/>
  <c r="BY1945" i="1" s="1"/>
  <c r="BZ1945" i="1" s="1"/>
  <c r="BX1952" i="1"/>
  <c r="CJ1951" i="1"/>
  <c r="BX1959" i="1"/>
  <c r="BY1959" i="1" s="1"/>
  <c r="BZ1959" i="1" s="1"/>
  <c r="CJ1958" i="1"/>
  <c r="BX1958" i="1"/>
  <c r="CJ2145" i="1"/>
  <c r="BX2145" i="1"/>
  <c r="BY2145" i="1" s="1"/>
  <c r="BZ2145" i="1" s="1"/>
  <c r="CJ1629" i="1"/>
  <c r="BX1629" i="1"/>
  <c r="BY1629" i="1" s="1"/>
  <c r="BZ1629" i="1" s="1"/>
  <c r="BX1744" i="1"/>
  <c r="BY1744" i="1" s="1"/>
  <c r="BZ1744" i="1" s="1"/>
  <c r="BX1793" i="1"/>
  <c r="BY1793" i="1" s="1"/>
  <c r="BZ1793" i="1" s="1"/>
  <c r="CJ1830" i="1"/>
  <c r="BX1830" i="1"/>
  <c r="BY1830" i="1" s="1"/>
  <c r="BZ1830" i="1" s="1"/>
  <c r="BX2010" i="1"/>
  <c r="BY2010" i="1" s="1"/>
  <c r="BZ2010" i="1" s="1"/>
  <c r="CJ2009" i="1"/>
  <c r="CJ1626" i="1"/>
  <c r="BX1626" i="1"/>
  <c r="BY1626" i="1" s="1"/>
  <c r="BZ1626" i="1" s="1"/>
  <c r="BX1687" i="1"/>
  <c r="BX1741" i="1"/>
  <c r="BY1741" i="1" s="1"/>
  <c r="BZ1741" i="1" s="1"/>
  <c r="BX1787" i="1"/>
  <c r="BY1787" i="1" s="1"/>
  <c r="BZ1787" i="1" s="1"/>
  <c r="CJ1960" i="1"/>
  <c r="BX1960" i="1"/>
  <c r="BY1960" i="1" s="1"/>
  <c r="BZ1960" i="1" s="1"/>
  <c r="BX1961" i="1"/>
  <c r="BY1961" i="1" s="1"/>
  <c r="BZ1961" i="1" s="1"/>
  <c r="CJ2147" i="1"/>
  <c r="BX2147" i="1"/>
  <c r="BY2147" i="1" s="1"/>
  <c r="BZ2147" i="1" s="1"/>
  <c r="BX2154" i="1"/>
  <c r="BY2154" i="1" s="1"/>
  <c r="BZ2154" i="1" s="1"/>
  <c r="CJ1737" i="1"/>
  <c r="BX1737" i="1"/>
  <c r="BY1737" i="1" s="1"/>
  <c r="BZ1737" i="1" s="1"/>
  <c r="CJ1805" i="1"/>
  <c r="BX1805" i="1"/>
  <c r="BY1805" i="1" s="1"/>
  <c r="BZ1805" i="1" s="1"/>
  <c r="CJ1905" i="1"/>
  <c r="BX1905" i="1"/>
  <c r="BY1905" i="1" s="1"/>
  <c r="BZ1905" i="1" s="1"/>
  <c r="CJ1995" i="1"/>
  <c r="BX1995" i="1"/>
  <c r="BY1995" i="1" s="1"/>
  <c r="BZ1995" i="1" s="1"/>
  <c r="BX1996" i="1"/>
  <c r="BY1996" i="1" s="1"/>
  <c r="BZ1996" i="1" s="1"/>
  <c r="CJ2012" i="1"/>
  <c r="BX2013" i="1"/>
  <c r="BY2013" i="1" s="1"/>
  <c r="BZ2013" i="1" s="1"/>
  <c r="CJ2115" i="1"/>
  <c r="BX2115" i="1"/>
  <c r="BY2115" i="1" s="1"/>
  <c r="BZ2115" i="1" s="1"/>
  <c r="CJ1764" i="1"/>
  <c r="BX1806" i="1"/>
  <c r="BY1806" i="1" s="1"/>
  <c r="BZ1806" i="1" s="1"/>
  <c r="BX1812" i="1"/>
  <c r="BY1812" i="1" s="1"/>
  <c r="BZ1812" i="1" s="1"/>
  <c r="CJ1819" i="1"/>
  <c r="CJ1831" i="1"/>
  <c r="BX1856" i="1"/>
  <c r="BY1856" i="1" s="1"/>
  <c r="BZ1856" i="1" s="1"/>
  <c r="CJ1883" i="1"/>
  <c r="CJ1906" i="1"/>
  <c r="BX1906" i="1"/>
  <c r="BY1906" i="1" s="1"/>
  <c r="BZ1906" i="1" s="1"/>
  <c r="CJ2084" i="1"/>
  <c r="BX2084" i="1"/>
  <c r="CJ2180" i="1"/>
  <c r="BX2180" i="1"/>
  <c r="BY2180" i="1" s="1"/>
  <c r="BZ2180" i="1" s="1"/>
  <c r="BX1765" i="1"/>
  <c r="BY1765" i="1" s="1"/>
  <c r="BZ1765" i="1" s="1"/>
  <c r="BX1878" i="1"/>
  <c r="CJ1878" i="1"/>
  <c r="BX1954" i="1"/>
  <c r="BY1954" i="1" s="1"/>
  <c r="BZ1954" i="1" s="1"/>
  <c r="CJ1954" i="1"/>
  <c r="CJ1966" i="1"/>
  <c r="BX1966" i="1"/>
  <c r="BY1966" i="1" s="1"/>
  <c r="BZ1966" i="1" s="1"/>
  <c r="BX2141" i="1"/>
  <c r="BY2141" i="1" s="1"/>
  <c r="BZ2141" i="1" s="1"/>
  <c r="CJ2141" i="1"/>
  <c r="CJ1638" i="1"/>
  <c r="BX1638" i="1"/>
  <c r="BY1638" i="1" s="1"/>
  <c r="BZ1638" i="1" s="1"/>
  <c r="CJ1684" i="1"/>
  <c r="BX1684" i="1"/>
  <c r="BY1684" i="1" s="1"/>
  <c r="BZ1684" i="1" s="1"/>
  <c r="BX1693" i="1"/>
  <c r="BY1693" i="1" s="1"/>
  <c r="BZ1693" i="1" s="1"/>
  <c r="BX1715" i="1"/>
  <c r="BY1715" i="1" s="1"/>
  <c r="BZ1715" i="1" s="1"/>
  <c r="CJ1731" i="1"/>
  <c r="BX1731" i="1"/>
  <c r="BY1731" i="1" s="1"/>
  <c r="BZ1731" i="1" s="1"/>
  <c r="BX1762" i="1"/>
  <c r="BY1762" i="1" s="1"/>
  <c r="BZ1762" i="1" s="1"/>
  <c r="CJ1774" i="1"/>
  <c r="BX1774" i="1"/>
  <c r="BY1774" i="1" s="1"/>
  <c r="BZ1774" i="1" s="1"/>
  <c r="BX1817" i="1"/>
  <c r="BY1817" i="1" s="1"/>
  <c r="BZ1817" i="1" s="1"/>
  <c r="BX1820" i="1"/>
  <c r="BY1820" i="1" s="1"/>
  <c r="BZ1820" i="1" s="1"/>
  <c r="BX1879" i="1"/>
  <c r="BY1879" i="1" s="1"/>
  <c r="BZ1879" i="1" s="1"/>
  <c r="BX1955" i="1"/>
  <c r="BY1955" i="1" s="1"/>
  <c r="BZ1955" i="1" s="1"/>
  <c r="CJ1980" i="1"/>
  <c r="BX1980" i="1"/>
  <c r="BY1980" i="1" s="1"/>
  <c r="BZ1980" i="1" s="1"/>
  <c r="CJ1827" i="1"/>
  <c r="BX1827" i="1"/>
  <c r="BY1827" i="1" s="1"/>
  <c r="BZ1827" i="1" s="1"/>
  <c r="CJ1896" i="1"/>
  <c r="BX1896" i="1"/>
  <c r="BX1910" i="1"/>
  <c r="BY1910" i="1" s="1"/>
  <c r="BZ1910" i="1" s="1"/>
  <c r="CJ1931" i="1"/>
  <c r="BX1931" i="1"/>
  <c r="BY1931" i="1" s="1"/>
  <c r="BZ1931" i="1" s="1"/>
  <c r="CJ1956" i="1"/>
  <c r="BX1956" i="1"/>
  <c r="BY1956" i="1" s="1"/>
  <c r="BZ1956" i="1" s="1"/>
  <c r="BX1967" i="1"/>
  <c r="BY1967" i="1" s="1"/>
  <c r="BZ1967" i="1" s="1"/>
  <c r="BX2073" i="1"/>
  <c r="BY2073" i="1" s="1"/>
  <c r="BZ2073" i="1" s="1"/>
  <c r="CJ2073" i="1"/>
  <c r="CJ2090" i="1"/>
  <c r="BX2090" i="1"/>
  <c r="BY2090" i="1" s="1"/>
  <c r="BZ2090" i="1" s="1"/>
  <c r="BX2126" i="1"/>
  <c r="BY2126" i="1" s="1"/>
  <c r="BZ2126" i="1" s="1"/>
  <c r="CJ2271" i="1"/>
  <c r="BX2271" i="1"/>
  <c r="BY2271" i="1" s="1"/>
  <c r="BZ2271" i="1" s="1"/>
  <c r="BX1962" i="1"/>
  <c r="BY1962" i="1" s="1"/>
  <c r="BZ1962" i="1" s="1"/>
  <c r="CJ1962" i="1"/>
  <c r="CJ2020" i="1"/>
  <c r="BX2020" i="1"/>
  <c r="BY2020" i="1" s="1"/>
  <c r="BZ2020" i="1" s="1"/>
  <c r="CJ2050" i="1"/>
  <c r="BX2050" i="1"/>
  <c r="BY2050" i="1" s="1"/>
  <c r="BZ2050" i="1" s="1"/>
  <c r="CJ2183" i="1"/>
  <c r="BX2183" i="1"/>
  <c r="BX2189" i="1"/>
  <c r="BY2189" i="1" s="1"/>
  <c r="BZ2189" i="1" s="1"/>
  <c r="CJ2189" i="1"/>
  <c r="BX1978" i="1"/>
  <c r="BY1978" i="1" s="1"/>
  <c r="BZ1978" i="1" s="1"/>
  <c r="CJ1978" i="1"/>
  <c r="BX2021" i="1"/>
  <c r="BY2021" i="1" s="1"/>
  <c r="BZ2021" i="1" s="1"/>
  <c r="CJ2024" i="1"/>
  <c r="BX2092" i="1"/>
  <c r="CJ2107" i="1"/>
  <c r="CJ2127" i="1"/>
  <c r="BX2127" i="1"/>
  <c r="BY2127" i="1" s="1"/>
  <c r="BZ2127" i="1" s="1"/>
  <c r="BX2177" i="1"/>
  <c r="BY2177" i="1" s="1"/>
  <c r="BZ2177" i="1" s="1"/>
  <c r="CJ2177" i="1"/>
  <c r="CJ1851" i="1"/>
  <c r="BX1851" i="1"/>
  <c r="BY1851" i="1" s="1"/>
  <c r="BZ1851" i="1" s="1"/>
  <c r="BX1927" i="1"/>
  <c r="BY1927" i="1" s="1"/>
  <c r="BZ1927" i="1" s="1"/>
  <c r="CJ1927" i="1"/>
  <c r="CJ2026" i="1"/>
  <c r="BX2026" i="1"/>
  <c r="BY2026" i="1" s="1"/>
  <c r="BZ2026" i="1" s="1"/>
  <c r="CJ2263" i="1"/>
  <c r="BX2263" i="1"/>
  <c r="CJ2052" i="1"/>
  <c r="BX2052" i="1"/>
  <c r="BY2052" i="1" s="1"/>
  <c r="BZ2052" i="1" s="1"/>
  <c r="CJ2157" i="1"/>
  <c r="BX2157" i="1"/>
  <c r="BY2157" i="1" s="1"/>
  <c r="BZ2157" i="1" s="1"/>
  <c r="CJ2283" i="1"/>
  <c r="BX2283" i="1"/>
  <c r="BY2283" i="1" s="1"/>
  <c r="BZ2283" i="1" s="1"/>
  <c r="BX2015" i="1"/>
  <c r="BY2015" i="1" s="1"/>
  <c r="BZ2015" i="1" s="1"/>
  <c r="CJ2015" i="1"/>
  <c r="BX2093" i="1"/>
  <c r="BY2093" i="1" s="1"/>
  <c r="BZ2093" i="1" s="1"/>
  <c r="BX2094" i="1"/>
  <c r="BY2094" i="1" s="1"/>
  <c r="BZ2094" i="1" s="1"/>
  <c r="CJ2093" i="1"/>
  <c r="CJ2151" i="1"/>
  <c r="BX2151" i="1"/>
  <c r="BY2151" i="1" s="1"/>
  <c r="BZ2151" i="1" s="1"/>
  <c r="CJ2158" i="1"/>
  <c r="BX2158" i="1"/>
  <c r="BY2158" i="1" s="1"/>
  <c r="BZ2158" i="1" s="1"/>
  <c r="CJ2199" i="1"/>
  <c r="BX2199" i="1"/>
  <c r="BX2207" i="1"/>
  <c r="BY2207" i="1" s="1"/>
  <c r="BZ2207" i="1" s="1"/>
  <c r="CJ2207" i="1"/>
  <c r="BX2045" i="1"/>
  <c r="BY2045" i="1" s="1"/>
  <c r="BZ2045" i="1" s="1"/>
  <c r="CJ2044" i="1"/>
  <c r="BX2058" i="1"/>
  <c r="BY2058" i="1" s="1"/>
  <c r="BZ2058" i="1" s="1"/>
  <c r="CJ2058" i="1"/>
  <c r="CJ2100" i="1"/>
  <c r="BX2100" i="1"/>
  <c r="BY2100" i="1" s="1"/>
  <c r="BZ2100" i="1" s="1"/>
  <c r="BX2174" i="1"/>
  <c r="BY2174" i="1" s="1"/>
  <c r="BZ2174" i="1" s="1"/>
  <c r="CJ2174" i="1"/>
  <c r="CJ2201" i="1"/>
  <c r="BX2201" i="1"/>
  <c r="CJ2249" i="1"/>
  <c r="BX2249" i="1"/>
  <c r="BY2249" i="1" s="1"/>
  <c r="BZ2249" i="1" s="1"/>
  <c r="BX2181" i="1"/>
  <c r="BY2181" i="1" s="1"/>
  <c r="BZ2181" i="1" s="1"/>
  <c r="BX2240" i="1"/>
  <c r="BY2240" i="1" s="1"/>
  <c r="BZ2240" i="1" s="1"/>
  <c r="CJ2240" i="1"/>
  <c r="BX2299" i="1"/>
  <c r="BY2299" i="1" s="1"/>
  <c r="BZ2299" i="1" s="1"/>
  <c r="CJ2298" i="1"/>
  <c r="BX2178" i="1"/>
  <c r="BY2178" i="1" s="1"/>
  <c r="BZ2178" i="1" s="1"/>
  <c r="BX2220" i="1"/>
  <c r="BX2228" i="1"/>
  <c r="BY2228" i="1" s="1"/>
  <c r="BZ2228" i="1" s="1"/>
  <c r="BX1887" i="1"/>
  <c r="BY1887" i="1" s="1"/>
  <c r="BZ1887" i="1" s="1"/>
  <c r="BX1942" i="1"/>
  <c r="BY1942" i="1" s="1"/>
  <c r="BZ1942" i="1" s="1"/>
  <c r="BX1968" i="1"/>
  <c r="BY1968" i="1" s="1"/>
  <c r="BZ1968" i="1" s="1"/>
  <c r="BX2041" i="1"/>
  <c r="CJ2178" i="1"/>
  <c r="CJ2186" i="1"/>
  <c r="CJ2220" i="1"/>
  <c r="CJ2224" i="1"/>
  <c r="BX2116" i="1"/>
  <c r="BY2116" i="1" s="1"/>
  <c r="BZ2116" i="1" s="1"/>
  <c r="BX2175" i="1"/>
  <c r="BY2175" i="1" s="1"/>
  <c r="BZ2175" i="1" s="1"/>
  <c r="BX2191" i="1"/>
  <c r="BY2191" i="1" s="1"/>
  <c r="BZ2191" i="1" s="1"/>
  <c r="BX2221" i="1"/>
  <c r="BY2221" i="1" s="1"/>
  <c r="BZ2221" i="1" s="1"/>
  <c r="CJ2280" i="1"/>
  <c r="BX2280" i="1"/>
  <c r="BY2280" i="1" s="1"/>
  <c r="BZ2280" i="1" s="1"/>
  <c r="BX2048" i="1"/>
  <c r="BY2048" i="1" s="1"/>
  <c r="BZ2048" i="1" s="1"/>
  <c r="BX2113" i="1"/>
  <c r="BY2113" i="1" s="1"/>
  <c r="BZ2113" i="1" s="1"/>
  <c r="BX2143" i="1"/>
  <c r="BY2143" i="1" s="1"/>
  <c r="BZ2143" i="1" s="1"/>
  <c r="CJ2143" i="1"/>
  <c r="BX2261" i="1"/>
  <c r="CJ2277" i="1"/>
  <c r="BX2277" i="1"/>
  <c r="BY2277" i="1" s="1"/>
  <c r="BZ2277" i="1" s="1"/>
  <c r="BX2140" i="1"/>
  <c r="BY2140" i="1" s="1"/>
  <c r="BZ2140" i="1" s="1"/>
  <c r="CJ2188" i="1"/>
  <c r="BX2192" i="1"/>
  <c r="BY2192" i="1" s="1"/>
  <c r="BZ2192" i="1" s="1"/>
  <c r="BX2185" i="1"/>
  <c r="BY2185" i="1" s="1"/>
  <c r="BZ2185" i="1" s="1"/>
  <c r="BX2193" i="1"/>
  <c r="BY2193" i="1" s="1"/>
  <c r="BZ2193" i="1" s="1"/>
  <c r="BX2203" i="1"/>
  <c r="BY2203" i="1" s="1"/>
  <c r="BZ2203" i="1" s="1"/>
  <c r="CJ2203" i="1"/>
  <c r="CJ2274" i="1"/>
  <c r="BX2274" i="1"/>
  <c r="BY2274" i="1" s="1"/>
  <c r="BZ2274" i="1" s="1"/>
  <c r="BX2297" i="1"/>
  <c r="BY2297" i="1" s="1"/>
  <c r="BZ2297" i="1" s="1"/>
  <c r="BX2294" i="1"/>
  <c r="BY2294" i="1" s="1"/>
  <c r="BZ2294" i="1" s="1"/>
</calcChain>
</file>

<file path=xl/sharedStrings.xml><?xml version="1.0" encoding="utf-8"?>
<sst xmlns="http://schemas.openxmlformats.org/spreadsheetml/2006/main" count="9853" uniqueCount="1223">
  <si>
    <t>State</t>
  </si>
  <si>
    <t>Council</t>
  </si>
  <si>
    <t>site_id</t>
  </si>
  <si>
    <t>latitude</t>
  </si>
  <si>
    <t>longitude</t>
  </si>
  <si>
    <t>Legs</t>
  </si>
  <si>
    <t>description</t>
  </si>
  <si>
    <t>layout_1</t>
  </si>
  <si>
    <t>layout_1_enter</t>
  </si>
  <si>
    <t>layout_2</t>
  </si>
  <si>
    <t>layout_2_enter</t>
  </si>
  <si>
    <t>layout_3</t>
  </si>
  <si>
    <t>layout_3_enter</t>
  </si>
  <si>
    <t>layout_4</t>
  </si>
  <si>
    <t>layout_4_enter</t>
  </si>
  <si>
    <t>layout_5</t>
  </si>
  <si>
    <t>layout_5_enter</t>
  </si>
  <si>
    <t>layout_6</t>
  </si>
  <si>
    <t>layout_6_enter</t>
  </si>
  <si>
    <t>Leg1-2</t>
  </si>
  <si>
    <t>Leg1-3</t>
  </si>
  <si>
    <t>Leg1-4</t>
  </si>
  <si>
    <t>Leg1-5</t>
  </si>
  <si>
    <t>Leg1-6</t>
  </si>
  <si>
    <t>Leg2-1</t>
  </si>
  <si>
    <t>Leg2-3</t>
  </si>
  <si>
    <t>Leg2-4</t>
  </si>
  <si>
    <t>Leg2-5</t>
  </si>
  <si>
    <t>Leg2-6</t>
  </si>
  <si>
    <t>Leg3-1</t>
  </si>
  <si>
    <t>Leg3-2</t>
  </si>
  <si>
    <t>Leg3-4</t>
  </si>
  <si>
    <t>Leg3-5</t>
  </si>
  <si>
    <t>Leg3-6</t>
  </si>
  <si>
    <t>Leg4-1</t>
  </si>
  <si>
    <t>Leg4-2</t>
  </si>
  <si>
    <t>Leg4-3</t>
  </si>
  <si>
    <t>Leg4-5</t>
  </si>
  <si>
    <t>Leg4-6</t>
  </si>
  <si>
    <t>Leg5-1</t>
  </si>
  <si>
    <t>Leg5-2</t>
  </si>
  <si>
    <t>Leg5-3</t>
  </si>
  <si>
    <t>Leg5-4</t>
  </si>
  <si>
    <t>Leg5-6</t>
  </si>
  <si>
    <t>Leg6-1</t>
  </si>
  <si>
    <t>Leg6-2</t>
  </si>
  <si>
    <t>Leg6-3</t>
  </si>
  <si>
    <t>Leg6-4</t>
  </si>
  <si>
    <t>Leg6-5</t>
  </si>
  <si>
    <t>leg1_enter</t>
  </si>
  <si>
    <t>leg1_exit</t>
  </si>
  <si>
    <t>leg1_total</t>
  </si>
  <si>
    <t>leg2_enter</t>
  </si>
  <si>
    <t>leg2_exit</t>
  </si>
  <si>
    <t>leg2_total</t>
  </si>
  <si>
    <t>leg3_enter</t>
  </si>
  <si>
    <t>leg3_exit</t>
  </si>
  <si>
    <t>leg3_total</t>
  </si>
  <si>
    <t>leg4_enter</t>
  </si>
  <si>
    <t>leg4_exit</t>
  </si>
  <si>
    <t>leg4_total</t>
  </si>
  <si>
    <t>leg5_enter</t>
  </si>
  <si>
    <t>leg5_exit</t>
  </si>
  <si>
    <t>leg5_total</t>
  </si>
  <si>
    <t>leg6_enter</t>
  </si>
  <si>
    <t>leg6_exit</t>
  </si>
  <si>
    <t>leg6_total</t>
  </si>
  <si>
    <t>bicycle</t>
  </si>
  <si>
    <t>e-bike</t>
  </si>
  <si>
    <t>walker</t>
  </si>
  <si>
    <t>runner</t>
  </si>
  <si>
    <t>dog</t>
  </si>
  <si>
    <t>micro</t>
  </si>
  <si>
    <t>other</t>
  </si>
  <si>
    <t>total</t>
  </si>
  <si>
    <t>last year</t>
  </si>
  <si>
    <t>comparison</t>
  </si>
  <si>
    <t>comparison_%</t>
  </si>
  <si>
    <t>Count_Date</t>
  </si>
  <si>
    <t>NSW</t>
  </si>
  <si>
    <t>Inner West</t>
  </si>
  <si>
    <t>No description provided</t>
  </si>
  <si>
    <t>no data</t>
  </si>
  <si>
    <t>Path towards Maliyawul St [NE], Lilyfield Rd [E], Canal Rd/Greenway(eastside) [SW], Hawthorne Canal Bridge [W]</t>
  </si>
  <si>
    <t>Parramatta</t>
  </si>
  <si>
    <t>Buckleys Rd [NE], Gideon St [SE], Old Windsor Rd [NW]</t>
  </si>
  <si>
    <t>Buckleys Rd [NE], Gideon St [SE], Sidewalk to Shared Path [SW], Old Windsor Rd [NW]</t>
  </si>
  <si>
    <t>Pennant Hills Rd (Cumberland Hwy) [NE], Adderton Rd [S], Pennant Hills Rd/Cumberland Hwy [W]</t>
  </si>
  <si>
    <t>Hawesbury Rd towards river [NE], Queens Rd [SE], Hawesbury Rd [SW]</t>
  </si>
  <si>
    <t>O'Connell St towards river [N], George St [E], O'Connell St [S], path in park [W]</t>
  </si>
  <si>
    <t>Macarther St via bridge [N], George St [SE], Harris St [S], George St [W], upstream path [NW]</t>
  </si>
  <si>
    <t>Randwick</t>
  </si>
  <si>
    <t>Footbridge [NE], Path along Alison Rd [SE], Pedestrian crossing [S], Path along Alison Rd [NW]</t>
  </si>
  <si>
    <t>Todman Ave [E], Lenthall St [SW], Todman Ave [NW]</t>
  </si>
  <si>
    <t>Byrd Ave towards McNair Ave [NE], Sturt St [E], Byrd Ave [S], Sturt St [W]</t>
  </si>
  <si>
    <t>Canberra St [N], Bundock St [E], Bundock St [W]</t>
  </si>
  <si>
    <t>Sydney</t>
  </si>
  <si>
    <t>Abercrombie St towards Shepherd St [E], Codrington St [S], Abercrombie St [W], Codrington St [N]</t>
  </si>
  <si>
    <t>Northern Beaches</t>
  </si>
  <si>
    <t>Booralie Rd [SE], Myoora Rd [SW], Booralie Rd [NW]</t>
  </si>
  <si>
    <t>Narrabeen Lagoon Multi-use Trail [NE], Pittwater Rd [S], Narrabeen Lagoon Multi-use Trail [SW], Bridge [NW]</t>
  </si>
  <si>
    <t>Narrabeen Lagoon Multi-use Trail [SE], Narrabeen Lagoon Multi-use Trail [NW]</t>
  </si>
  <si>
    <t>Morgan Rd [E], Forest Way [SE], Wyatt Ave [SW], Forest Way [N]</t>
  </si>
  <si>
    <t>Wakehurst Parkway [N], Warringah Rd [E], Wakehurst Parkway [S], Warringah Rd [W]</t>
  </si>
  <si>
    <t>The Strand [N], Link to shared path [E], The Strand [S], Howard Ave [W]</t>
  </si>
  <si>
    <t>Harbord Rd [N], Abbott Rd [E], Harbord Rd [S]</t>
  </si>
  <si>
    <t>Pittwater Rd [NE], William St [E], Pittwater Rd [S], Condamine St [SW], Shopping Center Entrance [NW]</t>
  </si>
  <si>
    <t>Rowe St [N], Oliver St [NE], Pittwater Rd [SE], Lakeside Cres [S], Pittwater Rd [NW]</t>
  </si>
  <si>
    <t>Upper Greycliffe St [NE], Greycliffe St towards Bridge Rd [E], Greycliffe St [NW]</t>
  </si>
  <si>
    <t>Waverley</t>
  </si>
  <si>
    <t>York Rd [N], Darley St [E], Avoca St [S], Darley St [W], Musgrave Ave [NW]</t>
  </si>
  <si>
    <t>VIC</t>
  </si>
  <si>
    <t>Banyule</t>
  </si>
  <si>
    <t>Main Yarra Trail [SE], Main Yarra Trail [W], Plenty River Trail [NW]</t>
  </si>
  <si>
    <t>Boroondara</t>
  </si>
  <si>
    <t>Footbridge [N], Koonung Crk Trail [SE], Main Yarra Trail [NW]</t>
  </si>
  <si>
    <t>Path to Reserve Rd [NE], Gardiners Crk Trail [SE], Gardiners Crk Trail [W]</t>
  </si>
  <si>
    <t>Greater Geelong</t>
  </si>
  <si>
    <t>Ted Wilson Trail [N], Creamery Rd [E], Ted Wilson Trail [S], Creamery Rd [W]</t>
  </si>
  <si>
    <t>Katoomba Crt [N], Church St [E], Graylea Ave [S], Ted Wilson Trail via Church St [W]</t>
  </si>
  <si>
    <t>Tom McKean Trail [NE], Church St [E], Tom McKean Trail [SW], Church St [W]</t>
  </si>
  <si>
    <t>Car park driveway to West Fyans St [SE], Barwon River Trail [S], Barwon River Trail [N]</t>
  </si>
  <si>
    <t>Swanston St [N], Carr St [E], Bellarine Rail Trail via Strong St [SE], Swanston St [S], Carr St [NW]</t>
  </si>
  <si>
    <t>Path to Barwon Tce [NE], Barwon River Trail [E], Barwon River Trail [W]</t>
  </si>
  <si>
    <t>Barwon River Trail [NE], Shannon Ave [SE], Barwon River Trail [W], Shannon Ave [NW]</t>
  </si>
  <si>
    <t>Boundary Rd [N], Bellarine Rail Trail [E], Boundary Rd [S], Bellarine Rail Trail [W]</t>
  </si>
  <si>
    <t>Moolap Station Rd [N], Bellarine Rail Trail [E], Moolap Station Rd [S], Bellarine Rail Trail [W]</t>
  </si>
  <si>
    <t>Breakwater Rd [E], Barwon Heads Rd [S], Breakwater Rd [W], Barwon Heads Rd [N]</t>
  </si>
  <si>
    <t>Path to Surf Beach Rd [E], Path  [SW], Short Path to Barwon Heads Ocean Grove Rd via boardwalk [NW]</t>
  </si>
  <si>
    <t>Hobsons Bay</t>
  </si>
  <si>
    <t>Millers Rd [N], Federation Trail [E], Millers Rd [S], Federation Trail [W]</t>
  </si>
  <si>
    <t>Point Cook Rd [NE], Skeleton Creek Trail [E], Point Cook Rd [SW], Skeleton Creek Trail [W]</t>
  </si>
  <si>
    <t>Laverton Creek Trail upstream [NE], Queen St [E], Laverton Crk Trail [SE], Queen St [W]</t>
  </si>
  <si>
    <t>Maroondah</t>
  </si>
  <si>
    <t>Colchester Rd/shared path [N], Dandenong Crk Trail [SE], Colchester Rd/shared path [S], Underpass [NW]</t>
  </si>
  <si>
    <t>Moonee Valley</t>
  </si>
  <si>
    <t>Footbridge [E], Moonee Ponds Crk Trail [SE], Access to Strathmore Secondary College [SW], Access to Bell St [NW], Moonee Ponds Crk Trail [N]</t>
  </si>
  <si>
    <t>Moonee Ponds Crk Trail [N], Moonee Ponds Crk Trail [S], Path towards Myrnong Cres [W]</t>
  </si>
  <si>
    <t>Nillumbik</t>
  </si>
  <si>
    <t>Maroondah Aqueduct Trail [E], Diamond Crk Trail [S], Diamond Crk Trail [W]</t>
  </si>
  <si>
    <t>WA</t>
  </si>
  <si>
    <t>Perth</t>
  </si>
  <si>
    <t>Barrack St [N], Riverside Dr Cycleway [SE], Riverside Dr Cycleway [W]</t>
  </si>
  <si>
    <t>Cockburn</t>
  </si>
  <si>
    <t>Hamilton Rd [N], Spearwood Ave [E], Hamilton Rd [S], Principal Shared Paths [SW], Spearwood Ave [W]</t>
  </si>
  <si>
    <t>Estelle St Bridge [N], Koonung Trail [SE], Path [S], Koonung Trail [NW]</t>
  </si>
  <si>
    <t>Ballarat</t>
  </si>
  <si>
    <t>Forest St [N], Wendouree Pde/track [E], Wendouree Pde/track [W]</t>
  </si>
  <si>
    <t>Wendouree Pde [N], Wendouree Pde [S], Carlton St [W]</t>
  </si>
  <si>
    <t>Peel St North [N], Yarrowee River Trail [E], Rowe St [SE], Peel St North [S], Rowe St [NW]</t>
  </si>
  <si>
    <t>Barkly St [NE], Canadian Crk Trail [SE], Barkly St [SW], Steinfeld St South [W], Steinfeld St North [NW]</t>
  </si>
  <si>
    <t>Humffray St North [NE], Scott Pde Path [E], Humffray St [SW], Scott Pde [W], Rowe St [NW]</t>
  </si>
  <si>
    <t>Whittlesea</t>
  </si>
  <si>
    <t>Darebin Ck Trail  [N], Hendersons Rd [E], Darebin Crk Trail [SW], Hendersons Rd [W]</t>
  </si>
  <si>
    <t>Dalton Rd/shared path [NE], Tunaley Pde/shared path [SE], Cheddar Rd/shared path [SW], Keon Pde/shared path [W]</t>
  </si>
  <si>
    <t>Plenty Rd [N], M80 Ring Rd Trail [E], Plenty Rd [SW], M80 Ring Rd Trail [W]</t>
  </si>
  <si>
    <t>Plenty Rd [N], Ormond Blv [E], Plenty Rd [S], McKimmies Rd [W]</t>
  </si>
  <si>
    <t>Wyndham</t>
  </si>
  <si>
    <t>Boardwalk Bvd [N], Skeleton Crk Trail [E], Boardwalk Bvd [S], Skeleton Crk Trail [W]</t>
  </si>
  <si>
    <t>Skeleton Crk Trail [N], Sayers Rd [E], Skeleton Crk Trail [SW], Sayers Rd [W]</t>
  </si>
  <si>
    <t>Bay Trail [NE], Bay Trail [SE], Path to Beach Walk [SW]</t>
  </si>
  <si>
    <t>Fremantle</t>
  </si>
  <si>
    <t>Hampton Rd [N], Rockingham Rd [SE], Cockburn Rd [S], Shared Path to South Beach [W]</t>
  </si>
  <si>
    <t>Carrington St [N], Rennie Cres N [E], Carrington St [S], Lefroy Rd [W]</t>
  </si>
  <si>
    <t>Carrington St [N], Forsyth St [E], Carrington St [S], Stevens St [W]</t>
  </si>
  <si>
    <t>Capital City Trail Ramp [NE], Flemington Rd [SE], Capital City Trail [SW], Moonee Ponds Crk Trail [NW], Mt Alexander Rd [N]</t>
  </si>
  <si>
    <t>Victoria Ave [N], Terrace Rd [E], Victoria Ave [S], Terrace Rd [NW]</t>
  </si>
  <si>
    <t>Riverside Dr [E], Shared Path [SW], Underpass [W]</t>
  </si>
  <si>
    <t>HB Coastal Trail [N], The Punt [E], HB Coastal Trail [S]</t>
  </si>
  <si>
    <t>HB Coastal Trail [S], Ferguson St [W], HB Coastal Trail [N]</t>
  </si>
  <si>
    <t>Bay Trail West #3 [NE], Bay Trail [SW], Bay Trail [W]</t>
  </si>
  <si>
    <t>HB Coastal Trail [E], Footbridge [S], Laverton Crk Trail [W]</t>
  </si>
  <si>
    <t>Federation Trail [N], Federation Trail [W]</t>
  </si>
  <si>
    <t>Federation Trail [NE], Federation Trail [SE], Skeleton Crk Trail [W]</t>
  </si>
  <si>
    <t>Federation Trail [E], Federation Trail [SW], Western Ring Rd [NW]</t>
  </si>
  <si>
    <t>Brimbank</t>
  </si>
  <si>
    <t>Federation Trail [NE], Federation Trail [SW]</t>
  </si>
  <si>
    <t>Heaths Rd [E], Werribee River Trail [SE], Heaths Rd [W], Werribee River Trail [NW]</t>
  </si>
  <si>
    <t>To Werribee Stn. [N], To Carpark/Barnes Pl [E], Werribee River Trail [S], Footbridge [W]</t>
  </si>
  <si>
    <t>Werribee River Trail [N], Werribee River Trail [S], Footbridge [W]</t>
  </si>
  <si>
    <t>Werribee River Trail [NE], Werribee River Trail [SE], Werribee River Trail [NW]</t>
  </si>
  <si>
    <t>Point Cook Rd [NE], Skeleton Crk Trail [E], Point Cook Rd [S], Skeleton Crk Trail [W]</t>
  </si>
  <si>
    <t>Skeleton Crk Trail [N], McIntyre Rd Path [E], Skeleton Crk Trail [SW]</t>
  </si>
  <si>
    <t>Western Ring Road Trail #6 [N], Path under Rd [NE], Western Ring Rd Path [SW]</t>
  </si>
  <si>
    <t>Maribyrnong River Trail #3 [N], Path [E], Maribyrnong River Trail [S], Maribyrnong River Trail [SW]</t>
  </si>
  <si>
    <t>Maribyrnong River Trail #4 [N], Maribyrnong River Trail [SE], Footbridge [S], Maribyrnong River Trail [W]</t>
  </si>
  <si>
    <t>Melbourne</t>
  </si>
  <si>
    <t>Maribyrnong River Trail [N], Docklands Hwy [E], Docklands Hwy [W]</t>
  </si>
  <si>
    <t>Moonee Ponds Crk Trail [N], Footscray Rd [E], Pearl River Rd [S], Footscray Rd [W]</t>
  </si>
  <si>
    <t>Southbank Prom [NE], Clarendon St [SE], Convention Centre Prom [SW], Clarendon St [N]</t>
  </si>
  <si>
    <t>Batman Ave path [N], Main Yarra Trail [SE], Main Yarra Trail/Birrarung Marr [NW]</t>
  </si>
  <si>
    <t>Morrell St Bridge [N], Capital City Trail [SE], Anderson St [S], Capital City Trail [W]</t>
  </si>
  <si>
    <t>Path towards Gosch's Paddock [N], Capital City Trail [SE], Morrell Bridge [S], Capital City Trail [W]</t>
  </si>
  <si>
    <t>Stonnington</t>
  </si>
  <si>
    <t>Main Yarra Trail [SW], Main Yarra Trail [N]</t>
  </si>
  <si>
    <t>Main Yarra Trail [SE], Main Yarra Trail [W], Main Yarra Trail [NW]</t>
  </si>
  <si>
    <t>Yarra</t>
  </si>
  <si>
    <t>Main Yarra Trail [E], Gardiners Crk Bridge [SE], Main Yarra Trail at St. Kevin's boatshed [NW]</t>
  </si>
  <si>
    <t>Main Yarra Trail through Gipps St steps [NE], Main Yarra Trail to Yarra Bend Park [E], Gipps St [W]</t>
  </si>
  <si>
    <t>Merri Creek Trail [N], Main Yarra Trail [E], Capital City Trail [W]</t>
  </si>
  <si>
    <t>Union St [E], Merri Creek Trail [SE], Koonda Lat Bridge [S], Merri Creek Trail [N]</t>
  </si>
  <si>
    <t>Upfield Path [NE], Capital City Trail [E], Capital City Trail [SW]</t>
  </si>
  <si>
    <t>Capital City Trail #13/Moonee Ponds Creek Trail #2 [NE], Moonee Ponds Crk Trail [SW], Moonee Ponds Crk Trail [N]</t>
  </si>
  <si>
    <t>Moonee Ponds Creek Trail #3 [NE], Bridge [S], Moonee Ponds Crk Trail [SW]</t>
  </si>
  <si>
    <t>Moonee Ponds Creek Trail #4 [S], Path [NW], Moonee Ponds Crk Trail [N]</t>
  </si>
  <si>
    <t>Hume</t>
  </si>
  <si>
    <t>Moonee Ponds Creek Trail #6 [E], Moonee Ponds Crk Trail [S], Moonee Ponds Crk Trail [N]</t>
  </si>
  <si>
    <t>Merri-bek</t>
  </si>
  <si>
    <t>Merri Creek Trail #3 [N], Merri Crk Trail [S], Bell St [W]</t>
  </si>
  <si>
    <t>Merri Creek Trail #4 [SW], Path [W], Merri Crk Trail [NW]</t>
  </si>
  <si>
    <t>Merri Creek Trail #5/Metro Ring Road Trail #1 [E], Ring Rd Path [W], Merri Crk Trail [N]</t>
  </si>
  <si>
    <t>Metro Ring Rd [E], Metro Ring Rd [W], Darebin Creek North [N]</t>
  </si>
  <si>
    <t>Metro Ring Rd [E], Darebin Crk South [SW], Metro Ring Rd [W]</t>
  </si>
  <si>
    <t>Port Phillip</t>
  </si>
  <si>
    <t>Sandridge Trail [NE], Bay Trail [E], Bay Trail [W]</t>
  </si>
  <si>
    <t>Bay Trail [SE], Bay Trail [S], Bay Trail [NW]</t>
  </si>
  <si>
    <t>Fitzroy St [NE], Bay Trail [S], Catani Gardens [N]</t>
  </si>
  <si>
    <t>Shakespeare Gr [NE], Bay Trail [S], Bay Trail [NW]</t>
  </si>
  <si>
    <t>Bayside (VIC)</t>
  </si>
  <si>
    <t>Bay Trail [NE], Bay Trail [SW]</t>
  </si>
  <si>
    <t>Kingston</t>
  </si>
  <si>
    <t>Mordialloc Crk Trail [E], Bridge [SE], Mordialloc Crk Trail [W]</t>
  </si>
  <si>
    <t>Sandridge Trail [NE], Path towards Cecil St [S], Sandridge Trail [SW]</t>
  </si>
  <si>
    <t>Albert Park [N], Fitzroy St [NE], Fitzroy St [SW]</t>
  </si>
  <si>
    <t>Albert Rd Path [NE], Albert Park [S], Albert Rd Path [SW], Cecil St [N]</t>
  </si>
  <si>
    <t>Whiteman St [N], Cecil St [SE]</t>
  </si>
  <si>
    <t>Main Yarra Trail [E], Main Yarra Trail [SW], Main Yarra Trail [W]</t>
  </si>
  <si>
    <t>Darebin Crk Trail [NE], Path to Banksia St [E], Darebin Crk Trail [S]</t>
  </si>
  <si>
    <t>Darebin</t>
  </si>
  <si>
    <t>Darebin Crk Trail [E], Darebin Crk Trail [S], Darebin Crk Trail [N]</t>
  </si>
  <si>
    <t>Main Yarra Trail [E], Main Yarra Trail [NW], Plenty River Trail [N]</t>
  </si>
  <si>
    <t>Plenty River Trail [SE], Bridge over river [SW], Plenty River Trail [N]</t>
  </si>
  <si>
    <t>Manningham</t>
  </si>
  <si>
    <t>Main Yarra Trail [NE], Main Yarra Trail [SW], Diamond Crk Trail [N]</t>
  </si>
  <si>
    <t>Diamond Crk Trail [N], Trail access path [NE], Diamond Crk Trail [S]</t>
  </si>
  <si>
    <t>Gastons Rd (towards Edendale) [NE], Wattletree Rd [SE], Diamond Crk Trail/Railway Pde [SW], Wattletree Rd (Bridge) [NW]</t>
  </si>
  <si>
    <t>Diamond Crk Trail/Gastons Rd [NE], Path to Main Rd (both crossing) [SE], Diamond Crk Trail/Railway Pde [SW]</t>
  </si>
  <si>
    <t>Diamond Crk Trail [N], Diamond Crk Trail [S]</t>
  </si>
  <si>
    <t>Ingrams Rd [NE], Maroondah Aqueduct Trail [SE], Ingrams Rd [S], Maroondah Aqueduct Trail [N]</t>
  </si>
  <si>
    <t>Main Yarra Trail under bridge [NE], Main Yarra Trail [E], Chandler Hwy path [S], Path over bridge [W]</t>
  </si>
  <si>
    <t>Main Yarra Trail [SE], Main Yarra Trail [W], Path [NW]</t>
  </si>
  <si>
    <t>Main Yarra Trail #12/Koonung Creek Trail #1 [E], Footbridge [S], Main Yarra Trail [NW]</t>
  </si>
  <si>
    <t>Main Yarra Trail #13 [E], Yarra Trail [SW], Yarra Trail [NW]</t>
  </si>
  <si>
    <t>Koonung Creek Trail #2 [E], Footbridge [S], Koonung Crk Trail [W]</t>
  </si>
  <si>
    <t>Whitehorse</t>
  </si>
  <si>
    <t>Koonung Crk Trail [E], Koonung Crk Trail [SW], Koonung Crk Trail [NW]</t>
  </si>
  <si>
    <t>Koonung Crk Trail [E], Koonung Crk Trail [NW], Koonung Crk Trail [N]</t>
  </si>
  <si>
    <t>Ferndale Trail [NE], Gardiners Crk Trail [S], Gardiners Crk Trail [NW]</t>
  </si>
  <si>
    <t>Footbridge to Solway St [E], Scotchmans Crk Trail [S], Gardiners Creek Trail [NW]</t>
  </si>
  <si>
    <t>Gardiners Crk Trail [E], Gardiners Crk Underpass [SE], Gardiners Crk Trail [W]</t>
  </si>
  <si>
    <t>Anniversary Trail [N], Anniversary Trail [S], Ferndale Trail [W]</t>
  </si>
  <si>
    <t>Anniversary Trail [SE], Anniversary Trail [S], Anniversary Trail [NW]</t>
  </si>
  <si>
    <t>Anniversary Trail [SE], East Camberwell Station access [S], Anniversary Trail [NW]</t>
  </si>
  <si>
    <t>Anniversary Trail [E], Anniversary Trail [SE], Anniversary Trail [W], Anniversary Trail [N]</t>
  </si>
  <si>
    <t>Outer Circle Trail [E], Childers Park [SE], Outer Circle Trail [W], Connor Street Reserve [N]</t>
  </si>
  <si>
    <t>Knox</t>
  </si>
  <si>
    <t>Dandenong Crk Trail [E], Belgrave Rail Path [SE], Dandenong Crk Trail [W]</t>
  </si>
  <si>
    <t>Eastlink Trail [NE], Bridge [SE], Path [NW]</t>
  </si>
  <si>
    <t>Eastlink Trail [NE], Eastlink Trail [SE], Dandenong Crk Trail [W]</t>
  </si>
  <si>
    <t>Monash</t>
  </si>
  <si>
    <t>Eastlink Trail [E], Blind Crk Trail [SW], Eastlink Trail [NW]</t>
  </si>
  <si>
    <t>Greater Dandenong</t>
  </si>
  <si>
    <t>Eastlink Trail [N], Dandenong Crk Trail [NE], Dandenong Crk Trail [E], Eastlink Trail [S]</t>
  </si>
  <si>
    <t>Dandenong Bypass Trail [E], Dandenong Bypass Trail [W], Cheltenham Rd Path [N]</t>
  </si>
  <si>
    <t>Path around swamp [N], Path around swamp [E], Dandenong Crk Trail [S], Dandenong Crk Trail [NW]</t>
  </si>
  <si>
    <t>Scotchman's Crk Trail [N], Scotchman's Crk Trail [S], Scotchman's Crk Trail [NW]</t>
  </si>
  <si>
    <t>Scotchman's Creek Trail #4 [E], Scotchman's Crk Trail [W], Scotchman's Crk Trail [NW]</t>
  </si>
  <si>
    <t>Yarra Ranges</t>
  </si>
  <si>
    <t>Lilydale-Warburton Rail Trail [N], Lilydale-Warburton Rail Trail [SE], Access to Hwy [NW]</t>
  </si>
  <si>
    <t>Lilydale-Warburton Rail Trail [E], Mt. Evelyn Walk [SW], Lilydale-Warburton Rail Trail [W]</t>
  </si>
  <si>
    <t>Lilydale-Warburton Rail Trail [NE], To Cafe / Wandin Yallock [S], Lilydale-Warburton Rail Trail [SW]</t>
  </si>
  <si>
    <t>Lilydale-Warburton Rail Trail [NE], Wandin Yallock Crk Path [S], Lilydale-Warburton Rail Trail [SW]</t>
  </si>
  <si>
    <t>Lilydale-Warburton Rail Trail [E], Park Rd across from shops [S], Lilydale-Warburton Rail Trail [W]</t>
  </si>
  <si>
    <t>Lilydale-Warburton Rail Trail [E], Scotchmans Crk Rd [SE], Lilydale-Warburton Rail Trail [W]</t>
  </si>
  <si>
    <t>Plenty River Trail [N], Greensborough Bypass [E], Plenty River Trail [S]</t>
  </si>
  <si>
    <t>Greensborough Bypass [NE], Greensborough Bypass [E], Greensborough Bypass [W]</t>
  </si>
  <si>
    <t>Station St [N], Station St [SE], Gardiners Crk Trail [S], Gardiners Crk Trail [W]</t>
  </si>
  <si>
    <t>SA</t>
  </si>
  <si>
    <t>Charles Sturt</t>
  </si>
  <si>
    <t>Path towards intersection [N], River Torrens Linear Park Trail [E], River Torrens Linear Park Trail [W]</t>
  </si>
  <si>
    <t>River Torrens Linear Park Path [NE], South Rd [S], River Torrens Linear Park Path [W], South Rd [N]</t>
  </si>
  <si>
    <t>River Torrens Linear Park Path [E], Holbrooks Rd [S], River Torrens Linear Park Path [W], Holbrooks Rd [N]</t>
  </si>
  <si>
    <t>River Torrens Linear Park Trail [NE], Underpass [SW], Findon Road Access Path [NW]</t>
  </si>
  <si>
    <t>Riverway [NE], River Torrens Linear Park Path [E], Footbridge [S], River Torrens Linear Park Path [SW], Riverway [W], Fairmont Ave [N]</t>
  </si>
  <si>
    <t>Path to Seaview Rd [NE], River Torrens Linear Park Path (north side) [E], Coast Park Path [N]</t>
  </si>
  <si>
    <t>West Beach Rd [E], Seaview Rd [S], Seaview Rd [N]</t>
  </si>
  <si>
    <t>Path to Burbridge Rd [E], Coast Park Path [S], Coast Park Path [N]</t>
  </si>
  <si>
    <t>River Torrens Linear Park Path (south side) [E], Seaview Rd [SE], Coast Park Path [W], Bridge [N]</t>
  </si>
  <si>
    <t>Henley Beach Rd [E], Coast Park Trail/Esplanade [S], Coast Park Trail/Esplanade [N]</t>
  </si>
  <si>
    <t>Path to Henley Square [E], Coast Park Trail [S], Coast Park Trail [N]</t>
  </si>
  <si>
    <t>Marlborough St [E], Seaview Rd [S], Coast Park Path [W], Seaview Rd  [N]</t>
  </si>
  <si>
    <t>Grange Rd [E], Seaview Rd [S], Grange Rd [W], Seaview Rd [N]</t>
  </si>
  <si>
    <t>Jetty St [E], Coast Park Trail/Esplanade [S], Pier [W], Coast Park Trail/Esplanade [N]</t>
  </si>
  <si>
    <t>The Esplanade [NE], Bower St [E], Coast Park Path [S], Coast Park Path [N]</t>
  </si>
  <si>
    <t>Trimmer Pde [E], Military Rd [S], Audrey St [W], Military Rd [N]</t>
  </si>
  <si>
    <t>West Lakes Blvd [E], Military Rd [S], Military Rd [NW]</t>
  </si>
  <si>
    <t>Carpark Entrance [N], Brebner Dr [E], Sportsmans Dr [S], Brebner Dr [W]</t>
  </si>
  <si>
    <t>Trimmer Pde [E], Lane link [S], Trimmer Pde [W], Sportsmans Dr [N]</t>
  </si>
  <si>
    <t>Adam St [E], Bridge [S], Adam St [W], Manton St [NW]</t>
  </si>
  <si>
    <t>South Rd [N], Manton St [SE], South Rd [S], Grange Rd [W]</t>
  </si>
  <si>
    <t>Henley Beach Rd [E], Seaview Rd [S], Henley Beach Rd [W], Seaview Rd [N]</t>
  </si>
  <si>
    <t>Frankston</t>
  </si>
  <si>
    <t>Bay Trail (north) [N], Bay Trail [S], Margaret Ave [W]</t>
  </si>
  <si>
    <t>Overport Rd [NE], Humphries Rd [SE], Humphries Rd [NW]</t>
  </si>
  <si>
    <t>Bay Trail [N], Bridge [E], Bay Trail [S], Allawah Ave [W]</t>
  </si>
  <si>
    <t>Lake Macquarie</t>
  </si>
  <si>
    <t>Five Islands Rd [NE], Creek Reserve Rd/shared path [S], Bridge [SW], Creek Reserve Rd [N]</t>
  </si>
  <si>
    <t>Fernleigh Track [NE], To Hudson St [SE], Fernleigh Track [SW], To Kopa St [NW]</t>
  </si>
  <si>
    <t>Macquarie Rd/shared path [N], Hillsborough Rd/shared path [E], King St/shared path [S], Medcalf St/shared path [W]</t>
  </si>
  <si>
    <t>Cary St [N], Victory Pde [SE], Cary St [S], Greenway Track [NW]</t>
  </si>
  <si>
    <t>Croudace Bay Rd/shared path [N], Regal Way/shared path [E], Croudace Bay Rd/shared path [S], Tallawalla Rd/shared path [W]</t>
  </si>
  <si>
    <t>Lake Rd [NE], Stockland Dr/shared path [SE], Lake Rd/shared path [SW], Frederick St/shared path [NW]</t>
  </si>
  <si>
    <t>Fernleigh Track [NE], Kalaroo Rd [E], Fernleigh Track [SW], Railway Cres [W]</t>
  </si>
  <si>
    <t>Warners Bay Rd [N], Wilsons Rd [SE], Warners Bay Rd [SW]</t>
  </si>
  <si>
    <t>Charlestown Rd [SE], Hillsborough Rd [W], Charlestown Rd [N]</t>
  </si>
  <si>
    <t>Fifth St [N], Winding Creek Bike Path [SE], Fifth St [S], Winding Creek Bike Path [NW]</t>
  </si>
  <si>
    <t>Harrison St [N], Myall Rd [SE], Shared path [S], Myall Rd [W]</t>
  </si>
  <si>
    <t>TC Frith Ave [N], Munibung Rd [E], Main Rd [S], TC Frith Ave [SW]</t>
  </si>
  <si>
    <t>TC Frith Ave [N], Main Rd [S], TC Frith Ave [SW]</t>
  </si>
  <si>
    <t>Pendlebury Rd [N], Munibung Rd [E], Pendlebury Rd [S], Munibung Rd [W]</t>
  </si>
  <si>
    <t>Pacific Hwy [NE], Dudley Rd [SE], Pacific Hwy [SW], Ferris St [NW]</t>
  </si>
  <si>
    <t>Warners Bay Rd [E], Bike Path along Bypass [S], shared path between the houses [SW], Warners Bay Rd [NW], Bypass entrance ramp [N]</t>
  </si>
  <si>
    <t>Fairfax Rd [N], Red Bluff Shared Path [E], Red Bluff Shared Path [W]</t>
  </si>
  <si>
    <t>Pacific Hwy Bridge [NE], 100 Chalmers St [E], Bridge St [S], Pacific Hwy [S], Path Under Bridge [NW]</t>
  </si>
  <si>
    <t>Pacific Hwy Bridge [NE], Pacific Hwy [S], Path Under Bridge [NW]</t>
  </si>
  <si>
    <t>Dora St [E], Morisset Stn Entrance [SE], Dora St [SW], Station St [NW]</t>
  </si>
  <si>
    <t>Mather Dr/shared path [N], Fishery Point Rd/shared path [NE], Grenache Way/shared path [S], Fishery Point Rd/shared path [SW]</t>
  </si>
  <si>
    <t>Toronto Rd [N], Rens St [E], Ranclaud St [SE], Toronto Rd [S], Path to train station [NW]</t>
  </si>
  <si>
    <t xml:space="preserve">           </t>
  </si>
  <si>
    <t>Pacific Hwy [N], Oakdale Rd [E], Pacific Hwy [S], Windale Bike Path [W]</t>
  </si>
  <si>
    <t>Darebin Crk Path  [NE], Darebin Crk Path [S], Gronn St [W]</t>
  </si>
  <si>
    <t>Fairway Dr [SE], Grasslands Rd [SW], Fairway Dr [NW]</t>
  </si>
  <si>
    <t>Red River Gum Ave [N], Fairway Dr [E], Red River Gum Ave [NW]</t>
  </si>
  <si>
    <t>High St Shared Path [N], High St Shared Path [S]</t>
  </si>
  <si>
    <t>St Georges Rd Path [N], Regent St [E], St Georges Path [S], Regent St [W]</t>
  </si>
  <si>
    <t>St Georges Rd Trail [N], Normanby Ave [E], St Georges Rd Trail [S], Normanby Ave [W]</t>
  </si>
  <si>
    <t>St Georges Rd Trail [N], Path [E], Path [W]</t>
  </si>
  <si>
    <t>Union St [E], Merri Crk Trail [SE], Koonda Lat Bridge [S], Merri Crk Trail [N]</t>
  </si>
  <si>
    <t>MacLachlan St [N], Walker St [E], Merri Creek Trail to Rushall Station Bridge [W]</t>
  </si>
  <si>
    <t>Frankston Foreshore Path [NE], Frankston Foreshore Path [SW]</t>
  </si>
  <si>
    <t>Path to Leawarra Pde [N], Baxter Trail [SE], Baxter Trail [NW]</t>
  </si>
  <si>
    <t>Seaford Wetlands Trail [N], Peninsula Link Trail [E], Seaford Wetlands Trail [S]</t>
  </si>
  <si>
    <t>Millers Rd [N], HB Coastal Trail/Esplanade [E], HB Coastal Trail/Esplanade [W]</t>
  </si>
  <si>
    <t>HB Coastal Trail via footbridge [E], HB Coastal Trail [SW], Laverton Crk Trail [W]</t>
  </si>
  <si>
    <t>HB Coastal Trail [E], Skeleton Crk Trail [SW], Skeleton Crk Trail [N]</t>
  </si>
  <si>
    <t>Trail towards Lan Ave [E], Skeleton Crk Trail (both side) [SE], Bridge [W], Skeleton Crk Trail (both side) [N]</t>
  </si>
  <si>
    <t>Mullum Mullum Creek Trail [NE], Eastlink Trail [SW], Eastlink Trail Underpass [W]</t>
  </si>
  <si>
    <t>Eastlink Trail [NE], Dandenong Crk Trail over bridge [SE], Trails [SW], Path towards Abbey Walk [NW]</t>
  </si>
  <si>
    <t>Dandenong Crk Trail [E], Path to Hoskin St [S], Dandenong Crk Trail [W], Bridge [NW]</t>
  </si>
  <si>
    <t>Dandenong Crk Trail [SE], Dandenong Crk Trail [NW]</t>
  </si>
  <si>
    <t>Shared Path [NE], Shared Path [SW], Larissa Ave [NW]</t>
  </si>
  <si>
    <t>Wetland Bridge [SE], Tarralla Crk Trail [SW], Tarralla Crk Trail [N]</t>
  </si>
  <si>
    <t>Mullum Mullum Crk Trail [NE], Oban Rd [SE], Mullum Mullum Crk Trail [SW], Oban Rd [W]</t>
  </si>
  <si>
    <t>Brushy Crk Trail [E], Bambra St [S], Brushy Crk Trail [NW]</t>
  </si>
  <si>
    <t>Atkinson St to Cabena Cres [N], Scotchmans Crk Trail [SE], Atkinson St [S], Scotchmans Crk Trail [NW]</t>
  </si>
  <si>
    <t>Scotchmans Crk Trail [NE], Stamford Rd [SW], Scotchmans Crk Trail [W]</t>
  </si>
  <si>
    <t>Bridge [N], Scotchmans Crk Trail [E], Scammell Cl [S], Scotchmans Crk Trail [W]</t>
  </si>
  <si>
    <t>Gardiners Crk Trail [N], Path [E], Gardiners Crk Trail [S], Zodiac St via bridge [W]</t>
  </si>
  <si>
    <t>Sumner Park Bridge [NE], Merri Crk Trail [SE], To Alister St [SW], Merri Crk Trail [NW]</t>
  </si>
  <si>
    <t>Merri Creek Trail underpass [NE], Merri Crk Trail [S], Path to Blyth St [N]</t>
  </si>
  <si>
    <t>Merri Creek Trail underpass [SE], Merri Crk Trail [SW], Merri Crk Trail [N]</t>
  </si>
  <si>
    <t>Merri Creek Trail (north) [NE], Bridge [E], Path [W]</t>
  </si>
  <si>
    <t>Merri Creek Trail at Newlands Rd (east) [NE], Merri Crk Trail [NW]</t>
  </si>
  <si>
    <t>Gardiners Crk Trail [N], Gardiners Crk Trail [S]</t>
  </si>
  <si>
    <t>Plenty Rd Shared Path [N], Metro Ring Rd Path [E], Metro Ring Rd [W]</t>
  </si>
  <si>
    <t>Metro Ring Rd Trail [E], Overpass [SW], Metro Ring Rd Trail [W]</t>
  </si>
  <si>
    <t>Galada Tamboore Trail [N], COW Public Gardens [SE], Galada Tamboore Trail [S], Overpass [NW]</t>
  </si>
  <si>
    <t>Metro Ring Rd Path [E], Underpass [SW], Metro Ring Rd Path [W]</t>
  </si>
  <si>
    <t>Path to carpark [NE], Edgars Crk Trail [S], Bridge [SW], Edgars Crk Trail [N]</t>
  </si>
  <si>
    <t>Pittard Walk [N], Pittard Walk [SE], Pittard Walk [S], Pittard Walk [W]</t>
  </si>
  <si>
    <t>Darebin Crk Trail [NE], McLeans Rd [E], Darebin Crk Trail [SW], McLeans Rd [W]</t>
  </si>
  <si>
    <t>Darebin Crk Path [NE], Darebin Crk Path [SW]</t>
  </si>
  <si>
    <t>South Morang Rail Extension Path [E], Underpass [S], Darebin Crk Trail [NW]</t>
  </si>
  <si>
    <t>South Morang Rail Trail [E], Border Dr [SE], Mill Park Reserve Path [S], South Morang Rail Trail [W], Underpass [NW]</t>
  </si>
  <si>
    <t>South Morang Rail Extension Path [E], Pindari Ave [S], South Morang Rail Extension Path [W], Pindari Ave [N]</t>
  </si>
  <si>
    <t>Underpath [N], Bridge [E], Metro Ring Rd Trail [W]</t>
  </si>
  <si>
    <t>Gardiners Crk Trail [NE], Path to Station St [E], Gardiners Crk Trail [SW]</t>
  </si>
  <si>
    <t>Middleborough Rd [N], Gardiners Crk Trail [E], Gardiners Crk Trail [S], Albion Rd [W]</t>
  </si>
  <si>
    <t>Federation Trail [NE], Underpass to Fwy [S], Federation Trail over bridge [SW], Werribee River Trail [NW]</t>
  </si>
  <si>
    <t>Tramway Track [NE], Entrance to TAFE [E], Frederick St [S]</t>
  </si>
  <si>
    <t>Cottesloe</t>
  </si>
  <si>
    <t>Curtin Ave/Shared Path [NE], Curtin Ave/Shared Path [S], Grant St [W]</t>
  </si>
  <si>
    <t>Curtin Ave/Shared Path [NE], Station/walkway over railroad [E], Curtin Ave/Shared Path [S], Grant St [W]</t>
  </si>
  <si>
    <t>Forrest St [E], Shared path [S], Path to beach [W], Shared path [N]</t>
  </si>
  <si>
    <t>Curtin Ave/Footpath [NE], Curtin Ave/Footpath [SW], Marine Pde [N]</t>
  </si>
  <si>
    <t>Ring Rd [N], Ring Rd [S], Ballarat-Skipton Rail Trail [NW]</t>
  </si>
  <si>
    <t>Winter St [E], Sutton St (dogleg) [S], Winter St [W], Path to Victoria Park [NW]</t>
  </si>
  <si>
    <t>Yarrowee River Trail [E], Bridge to Newman St [S], Yarrowee River Trail [W]</t>
  </si>
  <si>
    <t>Steve Moneghetti Track [NE], Windmill Dr [SE], Steve Moneghetti Track [SW], Windmill Dr [NW]</t>
  </si>
  <si>
    <t>Bass Coast</t>
  </si>
  <si>
    <t>South Dudley Rd [N], Bass Coast Rail Trail [SE], South Dudley Rd [S], Bass Coast Rail Trail [NW]</t>
  </si>
  <si>
    <t>Path to carpark [NE], Bass Coast Rail Trail [SE], Path to the beach [SW], Bass Coast Rail Trail [NW]</t>
  </si>
  <si>
    <t>Bass Coast Rail Trail [SE], Path to the beach [SW], Bass Coast Rail Trail [NW]</t>
  </si>
  <si>
    <t>Path to Abercom Ave over bridge [NE], Darebin Crk Trail [E], Bennett St [S], Smith St [W], Darebin Crk Trail [N]</t>
  </si>
  <si>
    <t>Normanby Ave [E], Merri Crk Trail [SE], Clara St [S], Moreland Rd [W], Merri Crk Path (westside) [NW], Merri Crk Trail (eastside) [N]</t>
  </si>
  <si>
    <t>Merri Crk Trail [N], Arthurton Rd [E], Merri Crk Trail [SW], Blyth St [W]</t>
  </si>
  <si>
    <t>Darebin Crk Path [NE], Darebin Crk Path [SW], Clough Pde [NW]</t>
  </si>
  <si>
    <t>Seaford Wetlands Trail/Eel Race Rd [E], Seabrook Way [SE], Eel Race Rd [W], Bridge [NW]</t>
  </si>
  <si>
    <t>Dandenong-Frankston Rd [NE], Peninsula Link Trail [SE], Dandenong-Frankston Rd [SW], Peninsula Link Trail [NW]</t>
  </si>
  <si>
    <t>Centenary Park Dr [SE], Peninsula Link Trail [S], Peninsula Link Trail [N]</t>
  </si>
  <si>
    <t>Peninsula Link Trail [N], Cranbourne Rd [E], Peninsula Link Trail [S], Cranbourne Rd [W]</t>
  </si>
  <si>
    <t>Peninsula Link Trail [NE], Golf Links Rd [SE], Peninsula Link Trail [SW], Golf Links Rd [NW]</t>
  </si>
  <si>
    <t>Greater Bendigo</t>
  </si>
  <si>
    <t>Bendigo Crk Trail [NE], Laurel St [SE], Bendigo Crk Trail [SW], Wade St [NW]</t>
  </si>
  <si>
    <t>Bendigo Crk Trail [N], Wesley St [E], Bendigo Crk Trail [S], Wesley St [W]</t>
  </si>
  <si>
    <t>Bendigo Crk Trail [NE], Hamelin St over bridge [SE], Bendigo Crk Trail [SW]</t>
  </si>
  <si>
    <t>Back Crk Trail [SE], Footbridge [W], Back Crk Trail [NW]</t>
  </si>
  <si>
    <t>Havlin St West [N], Havlin St E/trail [NE], Rodney St [E], Havlin St E/trail [S], Havlin St West [SW], Rodney St [W]</t>
  </si>
  <si>
    <t>O'Keefe Trail [E], O'Keefe Trail [W]</t>
  </si>
  <si>
    <t>Pratts Park Rd [N], O'Keefe Rail Trail [SE], Pratts Park Rd [S], O'Keefe Rail Trail [NW]</t>
  </si>
  <si>
    <t>Black Rock Rd [N], Barwon Heads-Torquay Rd [E], Black Rock Rd [S], 13th Beach Rd [W]</t>
  </si>
  <si>
    <t>Geelong-Portarlington Rd [NE], Bellarine Rail Trail [E], Geelong-Portarlington Rd [SW], Bellarine Rail Trail [W]</t>
  </si>
  <si>
    <t>Macedon Ranges</t>
  </si>
  <si>
    <t>Hutchisons Ln [E], Romsey-Lancefield Track [S], Hutchisons Ln [W], Romsey-Lancefield Track [N]</t>
  </si>
  <si>
    <t>Romsey-Lancefield Track [N], McNutts Ln [E], Romsey-Lancefield Track [S], Berkermans Ln [W]</t>
  </si>
  <si>
    <t>Path towards Campaspe Dr [NE], Path [SE], Path towards bowls club [SW], Path across Calder Hwy [NW]</t>
  </si>
  <si>
    <t>Path to Sankey Reserve [NE], Path to Kilmore Rd [SE], Path to Aitken St [SW], Path to Gisborne Kilmore Rd [NW]</t>
  </si>
  <si>
    <t>Path to Mollison St [SE], Path along the river [W]</t>
  </si>
  <si>
    <t>Maribyrnong</t>
  </si>
  <si>
    <t>Maribyrnong River Trail [SE], Path to park [S], Maribyrnong River Trail [NW]</t>
  </si>
  <si>
    <t>Maribyrnong River Trail [E], Path to playground [S], Maribyrnong River Trail [W]</t>
  </si>
  <si>
    <t>Gardiners Crk Trail to reserve [NE],  [SE], Gardiners Crk Trail to Warrigal Rd [SW], Gardiners Crk Trail underpass [NW]</t>
  </si>
  <si>
    <t>Gardiners Crk Trail to reserve [NE], Gardiners Crk Trail to Warrigal Rd [SW], Gardiners Crk Trail underpass [NW]</t>
  </si>
  <si>
    <t>Wodonga</t>
  </si>
  <si>
    <t>High Country Rail Trail [NE], High Country Rail Trail [SW]</t>
  </si>
  <si>
    <t>Indigo</t>
  </si>
  <si>
    <t>Barkley St [E], Murray to Mountains Rail Trail [SE], Barkley St [W], Murray to Mountains Rail Trail [NW]</t>
  </si>
  <si>
    <t>Murray-Mountains Rail Trail [NE], Mellish St [SE], Murray-Mountains Rail Trail [SW], Mellish St [NW]</t>
  </si>
  <si>
    <t>Alpine</t>
  </si>
  <si>
    <t>Murray-Mountains Rail Trail [S], Murray-Mountains Rail Trail [N]</t>
  </si>
  <si>
    <t>Darebin Crk Trail [NE], Sycamore Reserve Trail  [E], Darebin Crk Trail [SW], Sycamore Reserve Trail  [NW]</t>
  </si>
  <si>
    <t>Hendersons Rd Drain Path [NE], Findon Rd Path [E], Hendersons Rd Drain Path [W], Findon Rd Path [NW]</t>
  </si>
  <si>
    <t>Laurimar Blvd Path [N], Hazel Glen Dr Path [E], Waterway Blvd [S], Hazel Glen Dr Path [W]</t>
  </si>
  <si>
    <t>Federation Trail [E], Federation Trail [SW], Kororoit Crk Trail [N]</t>
  </si>
  <si>
    <t>Leichhardt</t>
  </si>
  <si>
    <t>Path towards Maliyawul St [NE], Lilyfield Rd [E], GreenWay (east side) [S], GreenWay (west side) [SW], Path along City West Link [NW]</t>
  </si>
  <si>
    <t>Path [NE], Path [S]</t>
  </si>
  <si>
    <t>Greenway [N], Tunnel [E], Greenway [S], Footbridge [W]</t>
  </si>
  <si>
    <t>Greenway [N], Bridge [SE], Greenway (Grosvenor Cres) [NW]</t>
  </si>
  <si>
    <t>Canterbury-Bankstown</t>
  </si>
  <si>
    <t>Wardell Rd [NE], Cooks River Cycleway [E], Path to Vera Ave [SE], Wardell Rd [SW], Lang Rd [NW]</t>
  </si>
  <si>
    <t>Cooks River Cycleway [NE], Bridge [S], Cooks River Cycleway [W], Sugar House Rd [N]</t>
  </si>
  <si>
    <t>Greenway [N], Greenway [S], Johnson Park entrance [W]</t>
  </si>
  <si>
    <t>Greenway/Hercules St [NE], Greenway/Hercules St towards roundabout [SW]</t>
  </si>
  <si>
    <t>Campbelltown</t>
  </si>
  <si>
    <t>Track along Jinwin Pl [N], Path to park [SE], Track along Jinwin Pl [SW], Codlin St [NW]</t>
  </si>
  <si>
    <t>Glen Alpine Dr [E], Rossiville Pl [SE], Glen Alpine Dr [S], Golf Course Dr [W]</t>
  </si>
  <si>
    <t>Kogarah</t>
  </si>
  <si>
    <t>Railway Pde [N], Regent St [NE], Montgomery St [SE], Railway Pde [SW]</t>
  </si>
  <si>
    <t>Railway Pde [E], Elizabeth St [SE], Railway Pde [W], Lily St [NW]</t>
  </si>
  <si>
    <t>The Promenade [N], Alice St [E], The Promenade [S]</t>
  </si>
  <si>
    <t>Todd Park Cycle Path [N], Path [SE], Todd Park Cycle Path [SW]</t>
  </si>
  <si>
    <t>McCarrs Creek Rd [NE], McCarrs Creek Rd [S], Liberator General San Martin Dr [N]</t>
  </si>
  <si>
    <t>Warringah</t>
  </si>
  <si>
    <t>Pittwater Rd [NE], Dee Why Lagoon Path [SE], Pittwater Rd [SW], Lismore Ave [NW], Path towards Dee Why Park [N]</t>
  </si>
  <si>
    <t>West Torrens</t>
  </si>
  <si>
    <t>Coast Path [SE], Coast Path [NW]</t>
  </si>
  <si>
    <t>Barossa</t>
  </si>
  <si>
    <t>Jack Bobridge Track [N], Jack Bobridge Track [S]</t>
  </si>
  <si>
    <t>Murray St [E], Murray St [W], Path to Jacobs Creek Arch [NW]</t>
  </si>
  <si>
    <t>Jack Bobridge Track/Barossa Valley Way [E], Barossa Valley Way [W], Jack Bobridge Track [NW]</t>
  </si>
  <si>
    <t>Jack Bobridge Track [SE], Path to art gallery [SW], Jack Bobridge Track [NW]</t>
  </si>
  <si>
    <t>Burnside</t>
  </si>
  <si>
    <t>Wheal Watkins Track [SE], Wheal Watkins Track [S], Allandale Ave [NW]</t>
  </si>
  <si>
    <t>Freeway Cycle Path [SE], Freeway Cycle Path [NW]</t>
  </si>
  <si>
    <t>Old Norton Summit Rd [E], Rebecca Ave [S], Magill Rd [W]</t>
  </si>
  <si>
    <t>Waterfall Gully Rd [SE], McAllan Ave [SW], Waterfall Gully Rd [NW]</t>
  </si>
  <si>
    <t>Jetty St [E], Seaview Rd [S], Jetty St [W], Seaview Rd [N]</t>
  </si>
  <si>
    <t>Grange Rd [E], Coast Park Trail/Esplanade [S], Coast Park Trail/Esplanade [N]</t>
  </si>
  <si>
    <t>Marlborough St [E], Coast Park Path [S], Coast Park Path [N]</t>
  </si>
  <si>
    <t>Ozone St [E], Seaview Rd [S], The Esplanade [W], Seaview Rd [N]</t>
  </si>
  <si>
    <t>River Torrens Linear Park Path [E], Seaview Rd [S], Coast Park Path [W], Seaview Rd [N]</t>
  </si>
  <si>
    <t>West Beach Rd [E], Coast Park Trail [S], Coast Park Trail [N]</t>
  </si>
  <si>
    <t>Mitcham</t>
  </si>
  <si>
    <t>Beagle Terrace [NE], Lynton - Belair Urban Trail [SW]</t>
  </si>
  <si>
    <t>Norwood Payneham St Peters</t>
  </si>
  <si>
    <t>River Torrens Linear Park Trail [NE], Path to Ascot Ave [E], River Torrens Linear Park Trail [SW], Bridge [NW]</t>
  </si>
  <si>
    <t>River Torrens Linear Park Trail [N], Torrens St [E], Torrens St [S], River Torrens Linear Park Trail [SW]</t>
  </si>
  <si>
    <t>Port Adelaide Enfield</t>
  </si>
  <si>
    <t>Coast Trail [N], Wandana Tce [E], Coast Trail [S], Path towards beach [W]</t>
  </si>
  <si>
    <t>Coast Trail [NE], Harrold St [SE], Coast Trail [S], Path towards beach [NW]</t>
  </si>
  <si>
    <t>Coast Trail [N], Bower Rd [E], Coast Trail [S]</t>
  </si>
  <si>
    <t>Path to Willowbrook Rd [E], River Torrens Linear Park [SE], River Torrens Linear Park [W]</t>
  </si>
  <si>
    <t>River Torrens Linear Park [N], River Torrens Linear Park [W]</t>
  </si>
  <si>
    <t>Salisbury</t>
  </si>
  <si>
    <t>Little Para Linear Trail [E], Whites Rd [SW], Little Para Linear Trail [W]</t>
  </si>
  <si>
    <t>Little Para Linear Trail [E], Trail towards Universal Rd [SE], Little Para River Linear Trail [SW], Trail towards Dignam Dr [W]</t>
  </si>
  <si>
    <t>Little Para River Linear Trail [E], Little Para River Linear Trail [SW], Little Para River Linear Trail [NW]</t>
  </si>
  <si>
    <t>Curtin Ave SUP [N], Curtin Ave SUP [S]</t>
  </si>
  <si>
    <t>Beach St [N], Queen Victoria St [NE], Queen Victoria St [S], Beach St [SW]</t>
  </si>
  <si>
    <t>SUP to Scott St [S], SUP to Ocean Dr [N]</t>
  </si>
  <si>
    <t>South Tce [N], Shared Path [E], South Beach Promenade [S], Ocean Rd [W]</t>
  </si>
  <si>
    <t>QLD</t>
  </si>
  <si>
    <t>Ipswich</t>
  </si>
  <si>
    <t>Path to Griffith Rd [N], Path [S], Path to the Park [NW]</t>
  </si>
  <si>
    <t>Path to Griffith Rd [N], Path [E], Path to car park [NW]</t>
  </si>
  <si>
    <t>Path [E], John Nugent Way [SE], Path to Spine [S], John Nugent Way [NW]</t>
  </si>
  <si>
    <t>Path to Cafe [N], Path to carpark [NE], Path [SE], Path [SW], Path to playground [NW]</t>
  </si>
  <si>
    <t>George St Bikeway [NE], Woogaroo St Bikeway [E], Woogaroo St Bikeway [NW]</t>
  </si>
  <si>
    <t>Path to Rowan Dr [NE], Path to Workshops St [SW], Path to playground [NW]</t>
  </si>
  <si>
    <t>Bike Path [E], Bike Path to Cedar Rd [W]</t>
  </si>
  <si>
    <t>King Edward Pde Path [E], King Edward Pde Path [W]</t>
  </si>
  <si>
    <t>NT</t>
  </si>
  <si>
    <t>Darwin</t>
  </si>
  <si>
    <t>Anzac Walk [N], Anzac Walk to Cenotaph [S], Atkinson Walk [NW]</t>
  </si>
  <si>
    <t>Path to Doctors Gully Rd [N], Path to Esplanade [NE], Path [SE], Path near the water bubbler and the Cenotaph [S]</t>
  </si>
  <si>
    <t>Walking Track [N], Walking Track [S], Walking Track [SW]</t>
  </si>
  <si>
    <t>Path towards carpark [NE], East Point Track [SE], Path toward the beach [SW], East Point Track  [NW]</t>
  </si>
  <si>
    <t>Casuarina Dr Shared Path [E], Casuarina Dr Shared Path [W], Trail to Nightcliff Jetty [NW]</t>
  </si>
  <si>
    <t>Rapid Crk Trail Bridge [N], Casuarina Dr shared path [SE], Path to playground [W]</t>
  </si>
  <si>
    <t>Onkaparinga</t>
  </si>
  <si>
    <t>Coast to Vines Trail [E], Field River Trail [SE], Coast to Vines Trail [W], Field River Trail [NW]</t>
  </si>
  <si>
    <t>Christie Crk Trail [E], Coast to Vines Trail [S], Christie Crk Trail [W], Coast to Vines Trail [N]</t>
  </si>
  <si>
    <t>Coast to Vines Trail [NE], Coast to Vines Trail [W], Southern Veloway [NW]</t>
  </si>
  <si>
    <t>Pedler Crk Trail [E], Pedler Rd [S], Pedler Crk Trail to Main South Rd [W], Pedler Rd [NW]</t>
  </si>
  <si>
    <t>Coast to Vines Trail [SE], Path to Coles [SW], Coast to Vines Trail [NW]</t>
  </si>
  <si>
    <t>Beach Rd [E], Esplanade/Coast Park Trail [S], Esplanade/Coast Park [N]</t>
  </si>
  <si>
    <t>Coast Park Trail/Esplanade [E], Coast Park Trail/Esplanade [W], Steps to the beach [N]</t>
  </si>
  <si>
    <t>Third Ave [E], Coast Park Trail/Esplanade [S], Path to the beach [W], Coast Park Trail/Esplanade [N]</t>
  </si>
  <si>
    <t>Coast Park Trail/Esplanade [N], Butterworth Rd [SE], Coast Park Trail/Esplanade [SW], Beach Access [NW]</t>
  </si>
  <si>
    <t>St Ninians Rd [NE], Kangarilla Rd [SE], Grants Gully Rd [NW]</t>
  </si>
  <si>
    <t>St Peters Tce [E], Hight St [SE], St Andrews Tce [S], Aldinga Rd [W], Main Rd [N]</t>
  </si>
  <si>
    <t>Sturt River linear Trail [NE], Sturt River Linear Trail [W]</t>
  </si>
  <si>
    <t>Beach Rd Shard Use Path/Beach Rd [E], Hannah Rd [S], Beach Rd Shard Use Path/Beach Rd [W]</t>
  </si>
  <si>
    <t>Waurn Ponds Trail [E], Barwon Heads Rd [S], Waurn Ponds Trail [W], Barwon Heads Rd [N]</t>
  </si>
  <si>
    <t>River Gum Walk [N], Path towards swamp [E], River Gum Walk [SW]</t>
  </si>
  <si>
    <t>Plenty River Trail [NE], Plenty River Trail Underpass [S], Path to Lower Plenty Rd [SW]</t>
  </si>
  <si>
    <t>Bridge [NE], Diamond Crk Trail [SE], Path to Diamond St [N]</t>
  </si>
  <si>
    <t>Velodrome Entrance [E], Path [W]</t>
  </si>
  <si>
    <t>Bellara Dr/shared path [E], Brushy Crk Trail [SE], Bellara Dr/shared path [W], Brushy Crk Trail via bridge [NW]</t>
  </si>
  <si>
    <t>Ringwood Secondary Collage [N], Bedford Rd [SE], Bedford Rd [NW]</t>
  </si>
  <si>
    <t>Princes Hwy [NE], Cooks River Cycleway/Holbeach Ave [SE], Princes Hwy Bridge [SW], Cooks River Cycleway/View St [W]</t>
  </si>
  <si>
    <t>Mandurah</t>
  </si>
  <si>
    <t>Mandurah Rd [N], Murdoch Dr [E], Manduarh Rd [S], Allnutt St [W]</t>
  </si>
  <si>
    <t>Galgoyl Rd [N], Allnutt St [E], Allnutt St [W]</t>
  </si>
  <si>
    <t>Mandurah Rd [N], Pinjarra Rd [E], Mandurah Rd [S], Pinjarra Rd [W]</t>
  </si>
  <si>
    <t>Sholl St [N], Pinjarra Rd [E], Leslie St [S], Pinjarra Rd [W]</t>
  </si>
  <si>
    <t>Mandurah Tce [N], Pinjarra Rd [E], Shared path [SE], Pinjarra Rd [SW]</t>
  </si>
  <si>
    <t>Mandurah Tce [NE], Peel St [E], Mandurah Tce [S], Peel St [NW]</t>
  </si>
  <si>
    <t>Anstruther Rd [N], Scott St [NE], Anstruther Rd [S], Peel St [SW]</t>
  </si>
  <si>
    <t>Dower St [N], Pinjarra Rd [E], Coolibah Av [S], Pinjarra Rd [W]</t>
  </si>
  <si>
    <t>Anstruther Rd [N], Pinjarra Rd [E], Anstruther Rd [S], Pinjarra Rd [W]</t>
  </si>
  <si>
    <t>Mandurah Rd [S], Mandurah Tce [W], Mandurah Rd [N]</t>
  </si>
  <si>
    <t>Mandurah Tce [NE], Anstruther Rd [SE], Mandurah Tce [SW], Henson St [NW]</t>
  </si>
  <si>
    <t>Mandurah Rd [NE], Coodanup Dr [SE], Mandurah Rd [SW]</t>
  </si>
  <si>
    <t>Wanjeep St [NE], Coodanup Dr [SE], Wanjeep St [SW], Coodanup Dr [NW]</t>
  </si>
  <si>
    <t>Lakes Rd [NE], Pinjarra Rd [E], Wanjeep St [SW], Pinjarra Rd [W]</t>
  </si>
  <si>
    <t>Seminole Ave [N], Gordon Rd [E], Gordon Rd [W]</t>
  </si>
  <si>
    <t>Lakes Rd [NE], Lakes Rd [SW], Murdoch Dr [NW]</t>
  </si>
  <si>
    <t>Gordon Rd [NE], Mandurah Rd [SE], Gordon Rd [SW], Madurah Rd [NW]</t>
  </si>
  <si>
    <t>Mandjoogoordap Dr [NE], Link to Education Dr [E], Mandurah Rd [SW], Mandurah Rd [NW]</t>
  </si>
  <si>
    <t>Meadow Springs Dr [SE], Oakmont Ave [SW], Meadow Springs Dr [NW]</t>
  </si>
  <si>
    <t>Mandurah Rd [NE], Meadow Springs Dr [SE], Mandurah Rd [SW]</t>
  </si>
  <si>
    <t>Mandurah Rd [N], Catalina Dr [E], Madnurah Rd [S]</t>
  </si>
  <si>
    <t>Mandurah Rd [E], Mariners Cove Dr [S], Mandurah Rd [W], Leslie St [N]</t>
  </si>
  <si>
    <t>Old Coast Rd [NE], Old Coast Rd [SW], Peelwood Pde [NW]</t>
  </si>
  <si>
    <t>Glencoe Pde [NE], Peelwood Pde [SE], Peelwood Pde [NW]</t>
  </si>
  <si>
    <t>Peelwood Pde [E], Peelwood Pde [W], Mclarty Rd [N]</t>
  </si>
  <si>
    <t>Old Coast Rd [NE], Bower Dr [SE], Old Coast Rd [SW], Casuarina Dr [NW]</t>
  </si>
  <si>
    <t>Peelwood Pde [N], Casuarina Dr [E], Peelwood Pde [S], Boardwalk Bvd [W]</t>
  </si>
  <si>
    <t>Old Coast Rd [NE], Sticks Bvd [SE], Old Coast Rd [SW]</t>
  </si>
  <si>
    <t>Old Coast Rd [NE], Mercedes Ave (Shopping Center) [SE], Old Coast Rd [SW], Mercedes Ave [NW]</t>
  </si>
  <si>
    <t>Narrabeen Lagoon Multi-use Trail [N], Narrabeen Lagoon Multi-use Trail [S]</t>
  </si>
  <si>
    <t>Stanley Ave [N], Scotchmans Crk Trail [E], Stanley Ave [S], Scotchmans Crk Trail [W]</t>
  </si>
  <si>
    <t>Moonee Ponds Crk Trail [N], Moonee Ponds Crk Trail [SW]</t>
  </si>
  <si>
    <t>Maribyrnong River Trail [NE], Maribrynong Rd [E], Rayleigh Rd Bridge [W]</t>
  </si>
  <si>
    <t>Gardiners Crk Trail (both side) [N], Gardiners Crk Trail/Burwood Hwy [E], Gardiners Crk Trail/Burwood Hwy [W]</t>
  </si>
  <si>
    <t>Childs Rd [E], Scyamore Reserve Trail [SW], Childs Rd [W]</t>
  </si>
  <si>
    <t>Dalton Rd [N], M80 Ring Rd Trail [E], Dalton Rd [S], M80 Ring Rd Trail [W]</t>
  </si>
  <si>
    <t>MacMeikan St [N], Laurel St [E], Plenty Rd [S], Wallan Rd [NW]</t>
  </si>
  <si>
    <t>McKimmies Rd [E], Darebin Crk Trail [S], McKimmies Rd [W]</t>
  </si>
  <si>
    <t>Plenty Rd [N], Plenty Rd [S], The Lakes Bvd [W]</t>
  </si>
  <si>
    <t>Plenty Rd [N], Hazel Glen Dr [E], Plenty Rd [S], Masons Rd [W]</t>
  </si>
  <si>
    <t>Path towards Carrington Rd [NE], Cooks River Path [SE], Cooks River Path Bridge [W]</t>
  </si>
  <si>
    <t>Agar St [NE], Addison Rd [SE], Illawarra Rd [SW], Addison Rd [NW]</t>
  </si>
  <si>
    <t>Bayside (NSW)</t>
  </si>
  <si>
    <t>Prime Ministers Walk [NE], Prime Ministers Walk [SW]</t>
  </si>
  <si>
    <t>Cook Park Trail/The Grand Pde [N], Cook Park Trail/The Grand Pde [S], Bay St [NW]</t>
  </si>
  <si>
    <t>Cook Park Trail [NE], Beach [SE], Cook Park Trail [SW], Path towards reserve [NW]</t>
  </si>
  <si>
    <t>Cook Park Trail [SE], Cook Park Trail [W]</t>
  </si>
  <si>
    <t>Cooks River Cycleway [NE], Cooks River Cycleway [S], Path to Princes Hwy [SW]</t>
  </si>
  <si>
    <t>Sutherland Shire</t>
  </si>
  <si>
    <t>Rawson Ave [N], Princes Hwy [NE], Princes Hwy/Rawson Ave [S]</t>
  </si>
  <si>
    <t>Captain Cook Dr [NE], Elouera Rd [S], Captain Cook Dr [W]</t>
  </si>
  <si>
    <t>Como Bridge Northbound [NE], Como Bridge Southbound [SW]</t>
  </si>
  <si>
    <t>Woolooware Bay [N], Captain Cook Dr/shared path [E], Captain Cook Dr/shared path [W]</t>
  </si>
  <si>
    <t>Fowler Rd/shared path [E], Old Illawarra Rd via crossing [W], Alfords Point Rd Cycleway [N]</t>
  </si>
  <si>
    <t>Mitchell Rd Shared Pathway [NE], Mitchell Rd Shared Pathway [SW]</t>
  </si>
  <si>
    <t>Angaston-Nuriootpa Shared Path [E], The Crescent [S], The Crescent [W]</t>
  </si>
  <si>
    <t>Jack Bobridge Track [E], Williamstown Rd [S], Jack Bobridge Track [SW], Williamstown Rd [N]</t>
  </si>
  <si>
    <t>Gloucester Ave Fire Rd [NE], Unpaved Trail [S], Gloucester Ave Fire Rd [SW], Off-track [N]</t>
  </si>
  <si>
    <t>Gloucester Ave Fire Rd [NE], Unpaved Trail [S], Gloucester Ave Fire Rd [SW], Blue Ridge Track [W], Off-track [N]</t>
  </si>
  <si>
    <t>Magpie Crk Walk [E], Magpie Crk Walk [SW]</t>
  </si>
  <si>
    <t>Train line crossing [NE], Arthur Head SUP [S], Round house [SW], Arthur Head SUP [N]</t>
  </si>
  <si>
    <t>Hampton Rd [SE], Douro Rd [W], Hampton Rd [NW]</t>
  </si>
  <si>
    <t>Henderson St [E], Turrella to Botany Bay Cycleway [NW]</t>
  </si>
  <si>
    <t>Hurstville</t>
  </si>
  <si>
    <t>Oatley Park Ave [E], Mallard Dr both ways [W], Dame Mary Gilmore Rd [N]</t>
  </si>
  <si>
    <t>Douglas Haig St [E], Burke St [S], Douglas Haig St [W]</t>
  </si>
  <si>
    <t>Mulga Rd [E], Mulga Rd [W]</t>
  </si>
  <si>
    <t>Jindabyne Cres [NE], Jindabyne Cres [SW], Gannons Park Bike Track [NW]</t>
  </si>
  <si>
    <t>Isssc St [E], Pindari Rd [S], Gannons Park Bike Track [SW], Isssc St [W]</t>
  </si>
  <si>
    <t>Olds Park access [N], Forest Rd [E], Walter St [S], Forest Rd [W]</t>
  </si>
  <si>
    <t>Olds Park access [E], Holley Rd [SE], Holley Rd [NW]</t>
  </si>
  <si>
    <t>Forest Rd [SE], Forest Rd [NW]</t>
  </si>
  <si>
    <t>Cook Ave [NE], George St [S], Pitt St [SW], Morts Rd [NW]</t>
  </si>
  <si>
    <t>Thurlow St [E], Belmore Rd [SW], Belmore Rd [N]</t>
  </si>
  <si>
    <t>Long Gully Trail [NE], Holmes Rd [SE], Long Gully Trail [SW], Holmes Rd [NW]</t>
  </si>
  <si>
    <t>Camden</t>
  </si>
  <si>
    <t>Camden Bike Track [N], Bridge [E], Camden Bike Track [S], Chellaston St [W]</t>
  </si>
  <si>
    <t>Lodges Rd shared path [NE], Lodges Rd shared path [SW]</t>
  </si>
  <si>
    <t>Oran Park Dr shared path [N], Oran Park Dr shared path [S]</t>
  </si>
  <si>
    <t>Harrington Pkwy shared path [N], Harrington Pkwy shared path [S]</t>
  </si>
  <si>
    <t>Cawdor Rd shared path [NE], Cawdor Rd shared path [SW], Path towards Equestrian park [NW]</t>
  </si>
  <si>
    <t>Cooks River Cycleway/Marsh St [NE], Cooks River Cycleway/Marsh St [SW], Innesdale Rd [NW]</t>
  </si>
  <si>
    <t>Ermington Bay Nature Path [SE], Car park entrance [S], Ermington Bay Nature Path [NW]</t>
  </si>
  <si>
    <t>Ermington Bay Nature Path [SE], Gregory St [W], Atkins Rd [N]</t>
  </si>
  <si>
    <t>Path along Silverwater Rd [N], Ermington Bay Nature Path [E], Ermington Bay Nature Path [NW]</t>
  </si>
  <si>
    <t>Silverwater Rd [N], Ermington Bay Nature Path [SE], Silverwater Rd [S]</t>
  </si>
  <si>
    <t>Park Rd [N], Ermington Bay Nature Path [E], Ermington Bay Nature Path [W]</t>
  </si>
  <si>
    <t>Pike St [N], Ermington Bay Nature Path [NE], Ermington Bay Nature Path [W]</t>
  </si>
  <si>
    <t>Ermington Bay Nature Path [E], Ermington Bay Nature Path [W], Path to Thomas St [NW]</t>
  </si>
  <si>
    <t>GreenWay via underpass [E], Hawthorn Canal Bridge [SE], Path along City West Link [NW]</t>
  </si>
  <si>
    <t>Ernest St [N], Railway Pde [E], Fernleigh Track [E], Alick St [SW], Gen St [W]</t>
  </si>
  <si>
    <t>Ernest St [N], Fernleigh Track/Railway Pde [E], Alick St [SW], Railway Pde [W]</t>
  </si>
  <si>
    <t>Freeway PSP [NE], Freeway PSP [S], Russell Rd [W]</t>
  </si>
  <si>
    <t>North Lake Rd [N], Gwilliam Dr [E], North Lake Rd [S], Forrest Rd [W]</t>
  </si>
  <si>
    <t>Towards Council St [NE], Towards May St [SW]</t>
  </si>
  <si>
    <t>Percival Rd [N], Douglas St [E], Underpass to station [S], Douglas St [W]</t>
  </si>
  <si>
    <t>Walmer St [N], Young St [E], Walmer St Bridge [S], Capital City Trail [NW]</t>
  </si>
  <si>
    <t>Nat's Track [N], Skye Rd/footpath [E], Skye Rd/footpath [W]</t>
  </si>
  <si>
    <t>Carrington St [N], Marmion St [E], Carrington St [S], Marmion St [W]</t>
  </si>
  <si>
    <t>Carrington St [N], South St [E], Carrington St [S], South St [W]</t>
  </si>
  <si>
    <t>Carrington St [N], Winterfold Rd [E], Carrington St [S]</t>
  </si>
  <si>
    <t>Riverside Rd/path [E], East St [S], Beach St/path [W]</t>
  </si>
  <si>
    <t>Path towards Mullamulla Circuit [NE], Path towards Koolinda Crec [S], Path through the park [N]</t>
  </si>
  <si>
    <t>Footbridge [E], Path to Greens Rd [SW], Lollypop Crk Trail [NW]</t>
  </si>
  <si>
    <t>Laverton Crk Trail [E], Merton St [W], Merton St [N]</t>
  </si>
  <si>
    <t>Stanmore Rd [E], Edgeware Rd [S], Enmore Rd [SW], Stanmore Rd [NW]</t>
  </si>
  <si>
    <t>Livingston Rd [N], Marrickville Rd [SE], Path towards church [S], Livingston Rd [SW], Marrickville Rd [W]</t>
  </si>
  <si>
    <t>Dower St [N], Dower St [S], Aldgate St [W]</t>
  </si>
  <si>
    <t>Anstruther Rd [N], Aldgate St [E], Anstruther Rd [S], Tuckey St [W]</t>
  </si>
  <si>
    <t>Sutton St [N], Tuckey St [E], Sutton St [S], Tuckey St [W]</t>
  </si>
  <si>
    <t>Walmer St Bridge [N], Capital City Trail via ramp [E], To Burnley/Victoria St [S], Towards Flockhart Reserve [NW]</t>
  </si>
  <si>
    <t>Doncaster Ave [N], Anzac Pde [SE], Doncaster Ave [S], Anzac Pde [NW]</t>
  </si>
  <si>
    <t>Narrabeen Lagoon Trail [SE], Narrabeen Lagoon Trail [NW]</t>
  </si>
  <si>
    <t>Whitsunday</t>
  </si>
  <si>
    <t xml:space="preserve">-20.016515	</t>
  </si>
  <si>
    <t>Santa Barbara Parade [NE], Santa Barbara Parade [SW], Herbert Street [NW]</t>
  </si>
  <si>
    <t xml:space="preserve">-19.993378	</t>
  </si>
  <si>
    <t>The Soldiers Road [N], Queens Road [SE], The Soldiers Road [S], Tollington Road [NW]</t>
  </si>
  <si>
    <t>Path towards beach [S], Broadwater Ave [SW], Ocean View Ave [N]</t>
  </si>
  <si>
    <t>Ermington Boardwalk [N], George Kendall Reserve Path south-bound [S], George Kendall Reserve Path south-bound [NW]</t>
  </si>
  <si>
    <t>East Link Trail north [N], East Link Trail east [E], East Link Trail south [SW]</t>
  </si>
  <si>
    <t>East Link Trail north-bound [N], East Link Trail south-bound [SE]</t>
  </si>
  <si>
    <t>Dandenong Creek Trail north-bound [N], Dandenong Creek Trail south east-bound [SE], Police Rd [W]</t>
  </si>
  <si>
    <t>Dandenong Creek Trail north-bound [E], McRae St  [SE], Dandenong Creek Trail south-bound [SW], McRae St [NW]</t>
  </si>
  <si>
    <t>South Gippsland Hwy [SE], South Gippsland Hwy [W], Dandenong Bypass [N]</t>
  </si>
  <si>
    <t>Hammond Rd [N], Dandenong Bypass [E], Hammond Rd [S], Dandenong Bypass [W]</t>
  </si>
  <si>
    <t>Perry Rd [N], Dandenong Bypass Trail [E], Perry Rd [S], Dandenong Bypass Trail [W]</t>
  </si>
  <si>
    <t>Springvale Rd [N], path to Coomara Rd [E], Dandenong Bypass Trail south east-bound [SE], Springvale Rd [S], Dandenong Bypass Trail north west-bound [NW]</t>
  </si>
  <si>
    <t>George St [NE], Cheltenham Rd [SE], Allan St [S], Cheltenham Rd [W]</t>
  </si>
  <si>
    <t>Path north east [NE], Path south [S], Path to laneway [W], Path north [N]</t>
  </si>
  <si>
    <t>Springvale Rd [N], Lightwood Rd [SE], Springvale Rd [S], Queens Ave [NW]</t>
  </si>
  <si>
    <t>Lightwood Rd [SE], Lightwood Rd [S], View Rd [NW]</t>
  </si>
  <si>
    <t>Chandler Rd [N], Path towards Greaves Reserve [E], Chandler Rd [S], Yarraman Rd [W]</t>
  </si>
  <si>
    <t>Brady Rd [E], Dandenong Creek Trail [S], Brady Rd [W], Dandenong Creek Trail [N]</t>
  </si>
  <si>
    <t>Hobsons Bay Coastal Trail [NE], Hobsons Bay Coastal Trail [S], Kororoit Crk Trail [W]</t>
  </si>
  <si>
    <t>Steve Bracks Promenade [E], Gravel path [S], Bay Trail W [SW], Battery Rd path [N]</t>
  </si>
  <si>
    <t>Maribyrnong St [N], Maribyrnong St [S]</t>
  </si>
  <si>
    <t>Maribyrnong River Bridge [E], River Path north [S], Path to Pipemakers Park [W], River Path south [N]</t>
  </si>
  <si>
    <t>Maribyrnong River Bridge [E], River Path South [S], Path to Pipemakers Park [W], River Path North [N]</t>
  </si>
  <si>
    <t>Maribyrnong River Trail [E], Maribyrnong River Trail [W]</t>
  </si>
  <si>
    <t>Steele Crk Trail [E], Rosehill Rd [S], Steele Crk Trail [W], Rosehill Rd [N]</t>
  </si>
  <si>
    <t>Rosehill Rd [E], Steele Crk Trail [S], Rosehill Rd [W], Steele Crk Trail [N]</t>
  </si>
  <si>
    <t>Quirk Rd [N], Kenneth Rd [E], Quirk Rd [S], Kenneth Rd [W]</t>
  </si>
  <si>
    <t>Condamine St [N], Balgowlah Rd [E], Condamine St [S], Balgowlah Rd [W]</t>
  </si>
  <si>
    <t>North Steyen Rd Bike Path [SE], Raglan St [W], North Steyen Rd Bike Path [N]</t>
  </si>
  <si>
    <t>Manly Rd [NE], Avona Cres [SE], Spit/Manly Rd [SW], Battle Blvd [SW], Battle Blvd [NW]</t>
  </si>
  <si>
    <t>Lauderdale Ave [E], North Harbour Walk path [SE], Lauderdale Ave [W]</t>
  </si>
  <si>
    <t>Marine Pde path [E], Ashburner St [SW], S Steyne Rd [NW], Marine Pde path [N]</t>
  </si>
  <si>
    <t>Bluefish Dr [E], N Head Scenic Dr [SE], Darley Rd [W]</t>
  </si>
  <si>
    <t>Dudley St [N], Sydney Rd [E], Sydney Rd [SW]</t>
  </si>
  <si>
    <t>Pittwater Rd [N], Pittwater Rd [S], Cabbage Tree Rd [W]</t>
  </si>
  <si>
    <t>Barrenjoey Rd [N], Yellow Brick Rd path [NE], Avalon Pde [SE], Barrenjoey Rd [S], Avalon Pde [NW]</t>
  </si>
  <si>
    <t>Narrabeen Pde [N], Adjacent shared path [NE], Adjacent shared path [S], Narrabeen Pde [SW]</t>
  </si>
  <si>
    <t>Barrenjoey Rd [E], Pittwater Rd [SW], Pittwater Rd [N]</t>
  </si>
  <si>
    <t>Jacksons Rd [NE], Shared path [SE], Garden St [SE], Garden St [NW], Shared path [N]</t>
  </si>
  <si>
    <t>Barrenjoey Rd [S], Path to ferry [W], Barrenjoey Rd [N]</t>
  </si>
  <si>
    <t>Marine Pde [N], Eric St [E], Marine Pde [S], Path to beach [W]</t>
  </si>
  <si>
    <t>Grant St [E], Marine Pde [S], Path to beach [W], Marine Pde [NW]</t>
  </si>
  <si>
    <t>Marine Pde [N], North St [E], Marine Pde [SW], Path to beach [W]</t>
  </si>
  <si>
    <t>Anzac Pde north [N], Anzac Pde south [S], Anzac Pde west [NW]</t>
  </si>
  <si>
    <t>Arden St [N], Clovelly Rd [E], Arden St [S], Clovelly Rd [W]</t>
  </si>
  <si>
    <t>Day Lane [N], Barker St [E], Day Lane [S], Barker St [W]</t>
  </si>
  <si>
    <t>Arden St [N], Malarbar Rd [SE], Malarbar Rd [W]</t>
  </si>
  <si>
    <t>Parks Dr [N], Grand Dr [E], Parks Dr [S], Grand Dr [SW]</t>
  </si>
  <si>
    <t>Cottrell St shared path [E], Bulban Rd shared path [SW], Ballan Rd [NW], Greaves St N [N]</t>
  </si>
  <si>
    <t>Duncans Rd [SE], K Rd [S], Duncans Rd [NW], Path toward freeway  [N]</t>
  </si>
  <si>
    <t>Sneydes Rd [E], Federation Trail [S], Sneydes Rd [W], Hoppers Lane [N]</t>
  </si>
  <si>
    <t>Palmers Rd [N], Skeleton Crk Trail [SE], Palmers Rd [S], Skeleton Crk Trail [W]</t>
  </si>
  <si>
    <t>Fairlight Walk [N], Fairlight Walk [NE], E Esplanade [SE], Path to ferry [SW], Fairlight Walk  [NW]</t>
  </si>
  <si>
    <t>Spearwood Ave [E], Shared path east side [SE], Cockburn Rd [SE], Shared path west side [S], Cockburn Rd [NW]</t>
  </si>
  <si>
    <t>Azelia Rd [SE], Towards Manning steps [W], Azelia Rd [N]</t>
  </si>
  <si>
    <t>Shared path [S], Shared path [N]</t>
  </si>
  <si>
    <t>Progress Dr  [N], Path to playground [E], Shared path [SW], Progress Dr [SW]</t>
  </si>
  <si>
    <t>Shared path  [N], Shared path [N], Shared path [S]</t>
  </si>
  <si>
    <t>Shared path east side  [S], Shared path west side  [S], Path to footpath [SW], Shared path  [N]</t>
  </si>
  <si>
    <t>Shared path east side [S], Shared path west side [S], Path to footpath [SW], Shared path [N]</t>
  </si>
  <si>
    <t>McTaggart Rd [E], Robb Rd [SE], McTaggart Rd [W], Robb Rd [NW]</t>
  </si>
  <si>
    <t>Path towards beach [E], Melors Dr [S], Path  [N]</t>
  </si>
  <si>
    <t>Estuary Rd [SE], Fernwood Rd [W], Estuary Rd [N]</t>
  </si>
  <si>
    <t>Estuary Rd [S], Illuka Rd [W], Estuary Rd [N]</t>
  </si>
  <si>
    <t>Beach pathway [N], Watersun Dr [E], Beach pathway [SW], Path to beach [W]</t>
  </si>
  <si>
    <t>Sabina Dr [N], Path through park [NE], Madora Beach Rd [E], Sabina Dr [S]</t>
  </si>
  <si>
    <t>Mandurah Rd shared path [N], Mandurah Rd shared path [S], Madora Beach Rd [W]</t>
  </si>
  <si>
    <t>Dandenong Crk Trail [NE], Eastlink Trail [S], Dandenong Crk Trail [SW], Wells Rd [NW]</t>
  </si>
  <si>
    <t>Dandenong Crk Trail [NE], Eastlink Trail [S], Gladesville Blvd [S], Dandenong Crk Trail [SW], Wells Rd [NW]</t>
  </si>
  <si>
    <t>Shared path [E], Shared path [W]</t>
  </si>
  <si>
    <t xml:space="preserve"> [NE], Shared path [SW]</t>
  </si>
  <si>
    <t>Cliff St [E], Mount St [S], Cliff St [SW], Bellevue Tce [NW]</t>
  </si>
  <si>
    <t>Mount St [E], Cliff St [S], Bellevue Tce [SW], Cliff St [NW]</t>
  </si>
  <si>
    <t>Plain St [N], Path through park [S], Plain St [S], Terrace Rd [NW]</t>
  </si>
  <si>
    <t>path to causeway [NE], Shared path [SE], Shared path [NW]</t>
  </si>
  <si>
    <t>Shared path [S], Path towards Kensington St [W], Shared path [N]</t>
  </si>
  <si>
    <t>Shared path [N], Shared path towards carpark [S], Shared path [N]</t>
  </si>
  <si>
    <t>Path through park [N], Path through park [SE], Path through Albermale St [W]</t>
  </si>
  <si>
    <t>North Rocks Rd [NE], Church St [SE], Windsor Rd [NW]</t>
  </si>
  <si>
    <t>North Rocks Rd [NE], Church St [SE], Boundary Road [S], Windsor Rd [NW]</t>
  </si>
  <si>
    <t>Path UNDER under pass [NE], Path OVER under pass [E], Path west [W]</t>
  </si>
  <si>
    <t>Louise Sauvage pathway [NE], Wing Parade [SE], Louise Sauvage pathway [SW], Wing Parade [NW]</t>
  </si>
  <si>
    <t>Station access road [NE], path toward station [NW]</t>
  </si>
  <si>
    <t>Brice St [E], Station St [SW], Brice St [W], Station entrance [N]</t>
  </si>
  <si>
    <t>underpass to station [NE], Main St [SE], Mahoney St [S], Main St [NW]</t>
  </si>
  <si>
    <t>Bridge towards Rhodes [SE], Footbridge towards Wentworth Point [NW]</t>
  </si>
  <si>
    <t>Braemar Rd [N], Reserve Trails (count both as same) [E], Parkers Rd [S], Kays Rd [W]</t>
  </si>
  <si>
    <t>Rockingham</t>
  </si>
  <si>
    <t>Foreshore Trail [E], To Carpark [SE], Foreshore Trail [SW], To Beach [NW]</t>
  </si>
  <si>
    <t>Foreshore Trail [NE], To Carpark [SE], Foreshore Trail [SW], To Beach [NW]</t>
  </si>
  <si>
    <t>Laneway to Carparking [NE], Railway Terrace Footpath [SE], Railway Terrace Footpath [NW]</t>
  </si>
  <si>
    <t>Berry St [NE], Safety Bay Rd [SE], Safety Bay Rd [NW]</t>
  </si>
  <si>
    <t>Paths to carpark and Safety Bay Rd [NE], Foreshore Shared Path [SE], Foreshore Shared Path [NW]</t>
  </si>
  <si>
    <t>To Carpark [NE], Foreshore Shared Path [SE], To Jetty or Beach [SW], Foreshore Shared Path [NW]</t>
  </si>
  <si>
    <t>Arcadia Dr [S], Driveway towards beach [W], Arcadia Dr [N]</t>
  </si>
  <si>
    <t>Footpath [E], Underpass [S], Footpath [W], F'path to R'ham Centre [N]</t>
  </si>
  <si>
    <t>Shared Path [SE], Arpenteur Dr [SW], Shared Path [NW]</t>
  </si>
  <si>
    <t>Shelton St [E], Shared path [S], Path to beach [W], Warnbro Beach Rd [N]</t>
  </si>
  <si>
    <t>Mount Nutt Rd [NE], Golf Links Rd [SE], Mount Nutt Rd [S], Marshall Rd [W], Tracey St [NW]</t>
  </si>
  <si>
    <t>Tollington Rd [SE], Argyle Park Rd [S], MacKenzie St [W], Golf Links Rd [N]</t>
  </si>
  <si>
    <t>Queens Rd [N], Hay St [SE], Powell St [SW]</t>
  </si>
  <si>
    <t>Peter Wyche Dr [NE], Henry Darwen Dr [E], Santa Barbara Pde [SW], Hay St [NW]</t>
  </si>
  <si>
    <t>Shute Harbour Rd [NE], Shute Harbour Rd [SW]</t>
  </si>
  <si>
    <t>Foreshore Shared Path [NE], To Shute Harbour Rd [S], Foreshore Shared Path [SW]</t>
  </si>
  <si>
    <t>Coconut Grove [N], Shute Harbour Rd [S], Main St [NW]</t>
  </si>
  <si>
    <t>Shute Harbour Rd [E], Erromango Dr [S], Shute Harbour Rd [W]</t>
  </si>
  <si>
    <t>Warburton Rail Trail [NE], Warburton Hwy [SE], Warburton Rail Trail [SW], Warburton Hwy [NW]</t>
  </si>
  <si>
    <t>Warburton Rail Trail [NE], Warburton Hwy [SE], Warburton Rail Trail [SW], Warburton Hwy [NW], Arrive/Leave by Car [N]</t>
  </si>
  <si>
    <t>Warburton Rail Trail [E], Carpark [SW], Warburton Rail Trail [NW]</t>
  </si>
  <si>
    <t>Hunter Rd [NE], Hunter Rd [SW], Mt Evelyn Aqueduct Trail [NW]</t>
  </si>
  <si>
    <t>Olinda Monbulk Rd [E], Everest Cr [S], Range Rd [W], Dandenong Tourist Rd [N]</t>
  </si>
  <si>
    <t>Olinda-Monbulk Rd [E], Olinda-Monbulk Rd [SW], The Georgian Rd [N]</t>
  </si>
  <si>
    <t>Pier St [N], Bay Trail [E], Pier and Beach [S], Bay Trail [W]</t>
  </si>
  <si>
    <t>To Kororoit Ck Rd [N], Bay Trail [E], Bay Trail/Maddox Rd [S]</t>
  </si>
  <si>
    <t>To Carpark (both paths) [NE], Kororoit Creek Trail [E], Kororoit Creek Trail [NW]</t>
  </si>
  <si>
    <t>MMBW Track [NE], Path to Mock St [E], MMBW Track [SW], Path to Parkland Place [NW]</t>
  </si>
  <si>
    <t>Overpass to Cottage St [N], Shared Path to Nunawading [E], Towards Glen Ebor Ave [S], Towards Cricket Club [SW], Shared Path to Blackburn Station [W]</t>
  </si>
  <si>
    <t>Lilyfield Rd [E], Lilyfield Rd [W], Trevor St [N]</t>
  </si>
  <si>
    <t>Railway Pde [NE], Railway Pde [S], Whites Ck Shared Path [S], Brenan St [W]</t>
  </si>
  <si>
    <t>Johnstons Crk Shared Path [NE], Footbridge to The Crescent [SE], Johnstons Crk Shared Path [SW]</t>
  </si>
  <si>
    <t>Livingstone Rd [N], Livingstone Rd [S], Path to Marrickville Park [W]</t>
  </si>
  <si>
    <t>Path leading north [N], Path to Cheviot Ct [SE], Path leading south [S]</t>
  </si>
  <si>
    <t>St Johns Wood [N], Norfolk Ave [E], St Johns Wood [S]</t>
  </si>
  <si>
    <t>Insignia Blvd [N], Sturt St [SE], Alfredton Rail Trail [S], Sturt St [NW]</t>
  </si>
  <si>
    <t>Gilles St Sth [N], Path to Park [E], Gilles St Sth [S], Leopold St [W]</t>
  </si>
  <si>
    <t>Morrison St [N], Sturt St [E], Russell St [SE], Sturt St [NW]</t>
  </si>
  <si>
    <t>Dowling St [N], Rail Corridor [E], Dowling St [S], Rail Corridor [W]</t>
  </si>
  <si>
    <t>Grenville St South [N], To Eastwood St [E], Anderson St W [S], Dana St [W]</t>
  </si>
  <si>
    <t>Callow St [E], Pennyweight Gully Trail [E], Larter St [S], Callow St [W], Macdonald St [NW]</t>
  </si>
  <si>
    <t>Rodier St [N], The Bunny Trail [N], Towards Aquatic Centre [E], Rodier St [S]</t>
  </si>
  <si>
    <t>Creswick Rd [N], Rail Corridor [SE], Creswick Rd [S], Rail Corridor [NW]</t>
  </si>
  <si>
    <t>Path leading north [N], Sneydes Rd [E], Federation Trail [S], Fed Trail / Sneydes Rd [W]</t>
  </si>
  <si>
    <t>High St [E], Anzac Pde [S], Anzac Pde [N]</t>
  </si>
  <si>
    <t>Alison Rd [SE], Anzac Pde [SE], Dacey Ave [W], Anzac Pde [N]</t>
  </si>
  <si>
    <t>Carrick Hill Drive [NE], To Carpark / Playground [SE], Peter Nelson Trail [SW]</t>
  </si>
  <si>
    <t>Yurebilla Trail [E], To Carpark / Playground [S], Peter Nelson Trail [SW], Carrick Hill Drive [N]</t>
  </si>
  <si>
    <t>University Way [NE], University Way [S], Flinders Rd / Uni Trail [NW]</t>
  </si>
  <si>
    <t>Pony Ridge Rd and Yurebilla Trail [N], Pony Ridge Rd (to Sheoak) [S]</t>
  </si>
  <si>
    <t>Coromandel Pde [E], To Footbridge [SE], Murrays Hill Rd [W], Horners Corner Trail [N]</t>
  </si>
  <si>
    <t>Parry St [NE], South Tce [SE], Norfolk St [SW], South Tce [NW]</t>
  </si>
  <si>
    <t>South St [E], Solomon St [S], South St [W], Solomon St [N]</t>
  </si>
  <si>
    <t>Marion</t>
  </si>
  <si>
    <t>Sturt River Shared Path [S], Sturt River Shared Path [N]</t>
  </si>
  <si>
    <t>Mike Turtur Bikeway [NE], Mike Turtur Bikeway [SW]</t>
  </si>
  <si>
    <t>Darley Rd [NE], King St [E], Alison Rd [SE], Alison Rd [NW]</t>
  </si>
  <si>
    <t>Alison Rd [SE], Doncaster Ave [S], Alison Rd [NW]</t>
  </si>
  <si>
    <t>Pickett Street [N], Railway Parade [SE], Railway Parade [NW]</t>
  </si>
  <si>
    <t>Cyril Grove [N], Railway Parade [SE], Yarraman Railway Station [S], Railway Parade [NW]</t>
  </si>
  <si>
    <t>Leonard Ave [NE], Leonard Ave [SE], Leonard Ave [S], Noble Park Railway Station [NW]</t>
  </si>
  <si>
    <t>Alfords Point Road Cycleway North [N], Sidewalk to/from the underpass [N], Sewell Ave [E], Alfords Point Road Cycleway SOUTH [S]</t>
  </si>
  <si>
    <t>Joondalup</t>
  </si>
  <si>
    <t>Path from Whitfords Ave [E], Coastal Shared Path S [S], Coastal Shared Path N [NW]</t>
  </si>
  <si>
    <t>Path to Shepherds Park [N], Robertson Rd Cycleway [E], Ramp to Barridale Dr [SE], Robertson Rd Cycleway [W]</t>
  </si>
  <si>
    <t>The Plaza Crossing [SE], West Coast Drive S [SE], West Coast Drive N [N], The Plaza Crossing [N]</t>
  </si>
  <si>
    <t>West Coast Drive N [N], West Coast Drive S [SE], Coastal Shared Path S [S], Coastal Shared Path N [N]</t>
  </si>
  <si>
    <t>Ocean Reef Crossing [NE], Shared Path East [E], Shared Path South [SW], Shared Path West [W]</t>
  </si>
  <si>
    <t>Coastal Shared Path S [S], Coastal Shared Path N [N]</t>
  </si>
  <si>
    <t>Northshore Drive [N], Whitfords Ave [E], Whitfords Ave [SW]</t>
  </si>
  <si>
    <t>Beach Road East [E], Access Road to Park [S], Beach Road West [W]</t>
  </si>
  <si>
    <t>Darebin Creek Trail [N], Main Yarra Trail [E], Path under Fwy [SW], Main Yarra Trail [W]</t>
  </si>
  <si>
    <t>Trail to Craigburn Rd [N], 'Walk the Dog' Trail [SE], 'Sidewinder' Trail [SW], 'Surf and Turf' Trail [W]</t>
  </si>
  <si>
    <t>Riverside Dr [N], Malcolm St [E], Riverside Dr [S]</t>
  </si>
  <si>
    <t>Hammond Rd [N], Dandenong Creek Trail [E], Hammond Rd [S], Dandenong Creek Trail [W]</t>
  </si>
  <si>
    <t>Gladstone Rd [N], Menzies Ave [E], Gladstone Rd [S]</t>
  </si>
  <si>
    <t>Menzies Ave [N], Heatherton Rd [E], James St [S], Heatherton Rd [W]</t>
  </si>
  <si>
    <t>Eastlink Trail North [N], Eastlink Trail to street [E], Eastlink Trail South [SW], Eastlink Trail across creek [NW]</t>
  </si>
  <si>
    <t>Bibra Lake Path [N], Bibra Drive [NE], Walliabup Way [E], Bibra Drive [SW], Bibra Lake Path [SW]</t>
  </si>
  <si>
    <t>Beach Rd [E], Shared path [SE], Shared path [W], Beach Rd [NW]</t>
  </si>
  <si>
    <t>Parkway Road [NE], Bibra Drive [SE], Bibra Lake Path [S], Bibra Lake Path [NW], Bibra Drive [N]</t>
  </si>
  <si>
    <t>Path to car park [N], Bay Trail [SE], Bay Trail [NW]</t>
  </si>
  <si>
    <t>Path towards Ely Street [E], Shared Path [SE], Shared Path to Helena Place [S], Shared Path to Bourbon St [W], Shared Path to Platagenet Cres [NW]</t>
  </si>
  <si>
    <t>Station St [SE], Nepean Hwy [S], Nepean Hwy [NW], Station St [N]</t>
  </si>
  <si>
    <t>Shared Path [SE], Southwell Cres [S], Shared Path [NW], Southwell Cres [N]</t>
  </si>
  <si>
    <t>Path under railway [NE], Djerring Trail [SE], Djerring Trail [NW]</t>
  </si>
  <si>
    <t>Path toward Carinish Rd [NE], Path over railway [SW], Djerring Trail [NW]</t>
  </si>
  <si>
    <t>Shared Path [SE], Pausin Cres [S], Hope Street [NW], Shared Path [NW]</t>
  </si>
  <si>
    <t>Principal Shared Path [SE], Footpath [SE], Pausin Cres [S], Hope Road [W], Shared Path along Hope Road [NW], Principal Shared Path [NW]</t>
  </si>
  <si>
    <t>Path across railway to Paddington Rd [N], Djerring Trail [SE], Richardson St [S], Djerring Trail [NW]</t>
  </si>
  <si>
    <t>Coleville Cres [E], Rockingham Road [S], Rockingham Road [N]</t>
  </si>
  <si>
    <t>Phoenix Road [E], Rockingham Road [S], Phoenix Road [W], Rockingham Road [N]</t>
  </si>
  <si>
    <t>Djerring Trail [SE], Path [S], Djerring Trail [NW]</t>
  </si>
  <si>
    <t>Forrest Road [E], Rockingham Road [SE], Lucius Road [SW], Rockingham Road [NW]</t>
  </si>
  <si>
    <t>Rockingham Road [SE], Hampton Road [S], Shared Path [W], Hampton Road [N]</t>
  </si>
  <si>
    <t>Shared Path [NE], Shared Path [SW], Shared Path [W]</t>
  </si>
  <si>
    <t>Orange</t>
  </si>
  <si>
    <t>Path to Hinton Park [N], Bloomfield Rd [E], Path to Gosling Creek Park [S], Bloomfield Rd [W]</t>
  </si>
  <si>
    <t>Forest Rd [NE], Shared path / Huntley Rd [E], Shared path / Forest Rd [SW], Huntley Rd [NW]</t>
  </si>
  <si>
    <t>Shared path to Namatjira Cres [E], Shared path [S], Shared path [NW]</t>
  </si>
  <si>
    <t>Shared path to Anson St [E], Shared path to velodrome [S], Shared path to Sale St [W]</t>
  </si>
  <si>
    <t>Maribyrnong River Trail [E], Shared Path to Carpark [S], Maribyrnong River Trail [NW]</t>
  </si>
  <si>
    <t>Shared Path [NE], McIntosh Street [E], Shared Path [S], McIntosh Street [W]</t>
  </si>
  <si>
    <t>Warburton Rail Trail [E], Path to Station St [S], Warburton Rail Trail [W]</t>
  </si>
  <si>
    <t>Warburton Rail Trail [E], Warburton Rail Trail [W], Path to carpark [NW]</t>
  </si>
  <si>
    <t>Warburton Rail Trail [E], Path to Kylie Lane [S], Warburton Rail Trail [W]</t>
  </si>
  <si>
    <t>Warburton Rail Trail [E], Warburton Rail Trail [W]</t>
  </si>
  <si>
    <t>Warburton Rail Trail [SE], Warburton Rail Trail [NW]</t>
  </si>
  <si>
    <t>Warburton Rail Trail [NE], Path to Mattea Ct [E], Warburton Rail Trail [SW]</t>
  </si>
  <si>
    <t>Swansea Rd footpath [N], Park Rd [E], Swansea Rd footpath [S]</t>
  </si>
  <si>
    <t>Carrum-Warburton Trail [NE], Carrum-Warburton Trail [S]</t>
  </si>
  <si>
    <t>Carrum-Warburton Trail [E], Hull Rd [E], Carrum-Warburton Trail [SW], Hull Rd [W]</t>
  </si>
  <si>
    <t>Hacketts Rd [N], Sneydes Rd [E], Hacketts Rd [S], Sneydes Rd [W], Path into park [NW]</t>
  </si>
  <si>
    <t>Main Yarra Trail under bridge to Yarra Blvd [NE], Main Yarra Trail [E], Chandler Hwy path [S], Yarra Blvd across Chandler Hwy [W], Chandler Hwy Bridge [N]</t>
  </si>
  <si>
    <t>The Cove Rd [NE], Shared Path [SW], The Cove Rd [SW], Emma St [NW]</t>
  </si>
  <si>
    <t>Shared Path [E], Young St [S], Shared Path [W], Young St [N]</t>
  </si>
  <si>
    <t>Shared Path [NE], Shared Path [SW]</t>
  </si>
  <si>
    <t>Epping Rd [E], Blaxland Rd [SE], Epping Rd [W], Langston Pl [NW]</t>
  </si>
  <si>
    <t>Marsden Rd [SE], Pennant Hills Rd [SW], Cumberland Hwy [N]</t>
  </si>
  <si>
    <t>Sturt River Shared Path [N], Oaklands Road [E], Sturt River Shared Path [S], Oaklands Road [W]</t>
  </si>
  <si>
    <t>Perlinte View [NE], Shared Path South [S], Car Park [SW], Shared Path North [NW]</t>
  </si>
  <si>
    <t>Afton St Bridge [N], Chifley Drive [SE], Chifley Drive [W]</t>
  </si>
  <si>
    <t>Cross St Shared Path [E], to ramp to bridge [SE], Cross St Shared Path [W]</t>
  </si>
  <si>
    <t>Wagga Wagga</t>
  </si>
  <si>
    <t>Wiradjuri Walking Track [N], Wiradjuri Walking Track [S]</t>
  </si>
  <si>
    <t>The Esplanade shared path [E], The Esplanade shared path [W]</t>
  </si>
  <si>
    <t>Boorooma St shared path [N], Boorooma St shared path [S], Path into reserve [W]</t>
  </si>
  <si>
    <t>Path towards Beach Road [NE], Coastal Path [S], Towards Carpark [W], Coastal Path [N]</t>
  </si>
  <si>
    <t>Shared Path Lake Albert Rd [S], Shared Path [N]</t>
  </si>
  <si>
    <t>Path to Milperra Rd [SE], Georges River Cycleway [SW], Georges River Cycleway [N]</t>
  </si>
  <si>
    <t>Path to Pine Close [N], North St [E], Marmion St [S], North St [W]</t>
  </si>
  <si>
    <t>Broome St [N], Eric St [E], Broome St [S], Eric St [W]</t>
  </si>
  <si>
    <t>Broome St [N], Salvado St [E], Broome St [S], Salvado St [W]</t>
  </si>
  <si>
    <t>Bridge over Salt Pan Creek Towards Lillian Rd [E], Path Towards Meagher St [S], Path Towards Bridge St [NW]</t>
  </si>
  <si>
    <t>Shared Path/Park Entrance [NE], Bexley Road [E], Kingsgrove Ave [S], Bexley Road [W]</t>
  </si>
  <si>
    <t>Jells Road [N], Scotchmans Creek Trail [E], Jells Road [S], Scotchmans Creek Trail [W]</t>
  </si>
  <si>
    <t>Dandenong Creek Trail [E], Dandenong Creek Trail [S], Dandenong Creek Trail [W]</t>
  </si>
  <si>
    <t>Shared path to Maluga Passive Park [N], Shared Path [S], Shared path across Woods St [W]</t>
  </si>
  <si>
    <t>William St [N], Glassop St [E], William St [S], Glassop St [W]</t>
  </si>
  <si>
    <t>Homer St [E], Morgan St [S], Homer St [SW]</t>
  </si>
  <si>
    <t>Willoughby</t>
  </si>
  <si>
    <t>Path to Darling St [NE], Shared path [S]</t>
  </si>
  <si>
    <t>Chapman Ave underpass [E], Shared Path [S], Shared Path [N]</t>
  </si>
  <si>
    <t>Shared path [E], Path to Marsden St [SE], Shared path [W]</t>
  </si>
  <si>
    <t>Shared path [N], Path towards sports fields [SE], Shared path [W]</t>
  </si>
  <si>
    <t>Share Path North [N], Dandenong-Frankston Rd [NE], Skye Rd [E], Shared Path South [S], Overton Rd [W]</t>
  </si>
  <si>
    <t>Seaford Rd East [E], Shared Path South [SE], Seaford Rd West [W], Shared Path North [NW]</t>
  </si>
  <si>
    <t>Laverton Creek Trail [E], Victoria St [S], Laverton Creek Trail [W]</t>
  </si>
  <si>
    <t>Bedford St [E], High St [S], Crabbes Ave [W], High St [N]</t>
  </si>
  <si>
    <t>Sturt St [E], Anzac Parade [SE], Sturt St [W], Anzac Parade [NW]</t>
  </si>
  <si>
    <t>Maroubra Rd [E], Anzac Parade [S], Maroubra Rd [W], Anzac Parade [N]</t>
  </si>
  <si>
    <t>Fitzgerald Ave [E], Anzac Parade [S], Fitzgerald Ave [W], Anzac [N]</t>
  </si>
  <si>
    <t>Melon St [N], SUP - East [E], SUP - West [W]</t>
  </si>
  <si>
    <t>SUP - South [S], SUP - West [W], Access to Duke St [NW]</t>
  </si>
  <si>
    <t>Hall St [N], Hudson Rd [E], Hall St [S], Hudson Rd [W]</t>
  </si>
  <si>
    <t>Rail Crossing [NE], Rail Crossing [SW]</t>
  </si>
  <si>
    <t>Path to Cyprus Ave [N], Federation Trail [E], Federation Trail [W]</t>
  </si>
  <si>
    <t>Market St shared path [NE], Market St shared path [SW]</t>
  </si>
  <si>
    <t>Victoria St [N], Esplanade [NE], Bay Trail [SE], Bay Trail [SW], Esplanade [W]</t>
  </si>
  <si>
    <t>Armstrongs Rd [E], Shared Path [S], Armstrongs Rd [SW], Shared Path [N]</t>
  </si>
  <si>
    <t>Carrum-Warburton Trail [NE], Carrum-Warburton Trail [S], Carrum-Warburton Trail [NW]</t>
  </si>
  <si>
    <t>Swansea Rd [N], Marne Rd [SE], Swansea Rd [S], Olinda Creek Trail [NW]</t>
  </si>
  <si>
    <t>Brushy Creek Trail [NE], Brushy Creek Trail [S], Shared Path [SW]</t>
  </si>
  <si>
    <t>Path to Rail Trail [N], Maroondah Highway [E], Path to bike trail [S], Maroondah Highway [W]</t>
  </si>
  <si>
    <t>Shared Path [N], Shared Path [E], Shared Path [S], Curtin Ave Crossing [W]</t>
  </si>
  <si>
    <t>Marine Parade [N], Eric St [E], Marine Parade [S]</t>
  </si>
  <si>
    <t>Broome St [N], Forrest St [E], Broome St [S], Forrest St [W]</t>
  </si>
  <si>
    <t>Marine Parade [N], Pearse St [E], Marine Parade [S]</t>
  </si>
  <si>
    <t>Curtin Ave Shared Path [NE], Salvado St [E], Curtin Ave Shared Path [SW]</t>
  </si>
  <si>
    <t>Shepherds Bush Trail [N], Shepherds Road (E) [E], Shepherds Road (W) [W]</t>
  </si>
  <si>
    <t>Shared Path [NE], Shared Path [SE], Shared Path [SW], Shared Path [NW]</t>
  </si>
  <si>
    <t>Westbourne St [NE], Pacific Highway [SE], Pacific Highway [NW]</t>
  </si>
  <si>
    <t>Herbert St [S], Westbourne St [SW], Herbert St [N]</t>
  </si>
  <si>
    <t>Range St [NE], Fullers Road [SE], Fullers Road [W], Millwood Avenue [N]</t>
  </si>
  <si>
    <t>Edinburgh Road [E], Edinburgh Road [W], Third Avenue [N]</t>
  </si>
  <si>
    <t>Woonona Road [N], Sailors Bay Road [E], Woonona Road [S], Sailors Bay Road [W]</t>
  </si>
  <si>
    <t>Flat Rock Creek shared path NE [NE], Flat Rock Creek shared path SE [S], Flat Rock Creek shared path SW [SW], Flat Rock Creek shared path NW [N]</t>
  </si>
  <si>
    <t>Smith Street [E], Lower Gibbes Street [S], Smith Street [W], Lower Gibbes Street [N]</t>
  </si>
  <si>
    <t>Mcdowalls Rd [NE], O'Keefe Rail Trail [SE], Mcdowalls Rd [SW], O'Keefe Rail Trail [NW]</t>
  </si>
  <si>
    <t>Grassy Flat Creek Trail [NE], Cousins St [E], Shared Path to Kennington Reservoir [S], Grassy Flat Creek Trail [W], Cousins St [W]</t>
  </si>
  <si>
    <t>Back Creek Trail [N], Hargreaves St [NE], Back Creek Trail [S], Hargreaves St [SW]</t>
  </si>
  <si>
    <t>Mundy St [SE], Back Creek Trail [S], Mundy St [NW], Back Creek Trail [N]</t>
  </si>
  <si>
    <t>Bendigo Creek Trail [NE], Maple St [SE], Bendigo Creek Trail [W], Maple St [NW]</t>
  </si>
  <si>
    <t>Shared Path [E], Main Yarra Trail [SE], Andrews Reserve Trail [SW], Main Yarra Trail [W], Gravel Path towards playground [NW]</t>
  </si>
  <si>
    <t>Burrendong Way [N], Shared Path (SE) [S], Burrendong Way [S], Somerset Park Shared Path [W]</t>
  </si>
  <si>
    <t>Glendale Crescent [E], Coogal Parklands shared path [S], Glendale Crescent [W], Coogal Parklands shared path [N]</t>
  </si>
  <si>
    <t>Orange Botanic Gardens shared path [SE], Orange Botanic Gardens shared path [N]</t>
  </si>
  <si>
    <t>Shared path towards playground [N], Darebin Creek Trail [E], Darebin Creek Trail [W]</t>
  </si>
  <si>
    <t>Darebin Creek Trail [NE], Shared Path [S], Darebin Creek Trail [SW]</t>
  </si>
  <si>
    <t>Darebin Creek Trail [NE], Path towards shed [E], Darebin Creek Trail [SW]</t>
  </si>
  <si>
    <t>Livingstone St [E], Donaldsons Creek Trail [S], Livingstone St [W]</t>
  </si>
  <si>
    <t>Plenty River Trail [S], Path towards Plenty River [W], Plenty River Trail [N]</t>
  </si>
  <si>
    <t>Plenty River Trail [E], Kalparrin Ave [S], Plenty River Trail [NW], Kalparrin Ave [N]</t>
  </si>
  <si>
    <t>Plenty River Trail [NE], Plenty River Trail [S], Plenty River Trail [SW]</t>
  </si>
  <si>
    <t>Shared Path [N], Shared Path [SE], Shared Path [S], Shared Path [S], Shared Path [W]</t>
  </si>
  <si>
    <t>East-West Trail [E], Shared Path towards carpark [S], East-West Trail [W]</t>
  </si>
  <si>
    <t>Kenmare St [N], East-West Trail [E], Kenmare St [S], East-West Trail [W]</t>
  </si>
  <si>
    <t>Main Road [E], Bolton St [S], Main Road [NW], Bolton St [N]</t>
  </si>
  <si>
    <t>Avoca Street [N], Bundock Street [E], Avoca Street [S], Sturt Street [W]</t>
  </si>
  <si>
    <t>Coogee Bay Road [E], Perouse Road [S], Cuthill Street [W], Belmore Road [NW]</t>
  </si>
  <si>
    <t>Darley Street [NE], Govett Street [SE], Darley Street [SW], Parkes Drive [NW]</t>
  </si>
  <si>
    <t>Arden Street [N], Malabar Road [E], Malabar Road [W]</t>
  </si>
  <si>
    <t>Bridge Crossing [S], Bridge Crossing [N]</t>
  </si>
  <si>
    <t>Sheoak Rd Trail [E], Sheoak Rd Trail [W]</t>
  </si>
  <si>
    <t>Albury</t>
  </si>
  <si>
    <t>Path to NE [NE], Path to SE [SE], Path to SW [W], Path to NW [W]</t>
  </si>
  <si>
    <t>Path to NE [NE], Path to SE [SE], Path to NW [NW]</t>
  </si>
  <si>
    <t>Path to N [N], Path to S [SW]</t>
  </si>
  <si>
    <t>Main Yarra Trail [N], Path to east [E], Main Yarra Trail [S]</t>
  </si>
  <si>
    <t>Plenty River Trail [SE], Plenty River Trail [N]</t>
  </si>
  <si>
    <t>Main Yarra Trail [E], Main Yarra Trail [W]</t>
  </si>
  <si>
    <t>Path to Wendover Place [N], Path to Wendover Place [SE], Path to Woodland Rise [S], Path to Harborne Street [W], Path to Delta Road [NW]</t>
  </si>
  <si>
    <t>Footpath [E], Plenty River Drive and Footpath [SE], Plenty River Bikepath [SW], Footpath towards Plenty River [W], Plenty River Drive, Bikepath and Footpath [N]</t>
  </si>
  <si>
    <t>Dirt track [NE], Bass Coast Rail Trail [S], To carpark [SW], Bass Coast Rail Trail [N]</t>
  </si>
  <si>
    <t>Towards township [NE], Bass Coast Rail Trail [SE], Bass Coast Rail Trail [NW]</t>
  </si>
  <si>
    <t>Path (east) [NE], Path (west) [W]</t>
  </si>
  <si>
    <t>Phillip Island Road [N], Phillip Island Road [S]</t>
  </si>
  <si>
    <t>Phillip Island Road [E], Phillip Island Road [W]</t>
  </si>
  <si>
    <t>Ramsey Boulevard [N], Ramsey Boulevard [S]</t>
  </si>
  <si>
    <t>Guy Road [E], Guy Road [W]</t>
  </si>
  <si>
    <t>Bayside</t>
  </si>
  <si>
    <t>Path to SE [S], Path to NW [NW]</t>
  </si>
  <si>
    <t>Path to carpark [S], Path to the north [N]</t>
  </si>
  <si>
    <t>Fremlins Lane [NE], Fremlins St Shared Path [SE], Fremlins Lane [SW], Path to park [NW]</t>
  </si>
  <si>
    <t>Crossing toward Banks Avenue [NE], Wentworth Avenue [E], Corish Close [S], Wentworth Avenue [NW]</t>
  </si>
  <si>
    <t>Path to north [N], Path to south [S]</t>
  </si>
  <si>
    <t>Path to east [NE], Rocky Point Road/Cooks Bridge Path [S], Rocky Point Road/Cooks Bridge Path [N]</t>
  </si>
  <si>
    <t>Path to NE [NE], Path to SW [SW]</t>
  </si>
  <si>
    <t>Belmont</t>
  </si>
  <si>
    <t>Hay Rd [NE], Fauntleroy Ave [SE], Hay Rd [SW], Fauntleroy Ave [NW]</t>
  </si>
  <si>
    <t>Riversdale Rd [NE], Shared Path [SE], Riversdale Rd [SW], Shared Path [NW]</t>
  </si>
  <si>
    <t>Path to Roberts Rd [NE], Orrong Rd [SE], Roberts Rd [SW], Orrong Rd [NW]</t>
  </si>
  <si>
    <t>Wright St [NE], Daly St [SE], Wright St [SW], Daly St [NW]</t>
  </si>
  <si>
    <t>Wright Street [NE], Surrey Road [SE], Wright Street [SW], Surrey Road [NW]</t>
  </si>
  <si>
    <t>Locock St [SE], Roebourne Pl [SW], Locock St [NW]</t>
  </si>
  <si>
    <t>Garratt Rd Footpath [SE], Garratt Rd Footpath [NW]</t>
  </si>
  <si>
    <t>Belvidere St [NE], Leake St [SE], Belvidere St [SW], Leake St [NW]</t>
  </si>
  <si>
    <t>Francisco St [NE], Kooyong Rd [SE], Francisco St [SW], Kooyong Rd [NW]</t>
  </si>
  <si>
    <t>Sydenham St [NE], Knutsford Ave [SE], Sydenham St [SW], Knutsford Ave [NW]</t>
  </si>
  <si>
    <t>Kilby Road [E], Main Yarra Trail [S], Kilby Road [W], Main Yarra Trail [N]</t>
  </si>
  <si>
    <t>Path to north [N], Path to south [S], Path to west [W]</t>
  </si>
  <si>
    <t>Glen Iris Road [N], Ferndale Trail [E], Glen Iris Road [S], Ferndale Trail [W]</t>
  </si>
  <si>
    <t>Path to east [E], Path to SW [SW], Path to west [W]</t>
  </si>
  <si>
    <t>Anniversary Trail [N], Ryburne Avenue [E], Anniversary Trail [S], Ryburne Avenue [W]</t>
  </si>
  <si>
    <t>Anniversary Trail [SE], Path across Allen Grove [SW], Path across Valerie Street [N]</t>
  </si>
  <si>
    <t>Campaspe</t>
  </si>
  <si>
    <t>Bridge Road [E], Campaspe Street [SE], Bridge Road [W], Elizabeth Street [NW]</t>
  </si>
  <si>
    <t>Rushworth Rail Trail [E], High Street [S], Rushworth Rail Trail [W], High Street [N]</t>
  </si>
  <si>
    <t>Meninya Street [NE], Sturt Street [SE], Annesley Street [SW], Heygarth Street [NW]</t>
  </si>
  <si>
    <t>Northern Highway [E], Northern Highway [S], Yakoa Natya Avenue [W], Murray Valley Highway [N]</t>
  </si>
  <si>
    <t>Croydon Avenue [N], Cooks River Bike Path [SE], Cooks River Bike Path [NW]</t>
  </si>
  <si>
    <t>Path to Flinders Road [E], Path to south [S], Path to north [N]</t>
  </si>
  <si>
    <t>Railway St [N], Eric St [E], Railway St [S], Eric St Bridge [W]</t>
  </si>
  <si>
    <t>Railway Parade [N], Napoleon St [E], Railway Parade [S]</t>
  </si>
  <si>
    <t>Geraldton</t>
  </si>
  <si>
    <t>John Wilcock Drive/Link [NE], Marine Terrace [E], John Wilcock Drive/Link [S], Marine Terrace [N]</t>
  </si>
  <si>
    <t>Phelps Street [E], Chapman Road [S], Chapman Road [NW]</t>
  </si>
  <si>
    <t>Glen Eira</t>
  </si>
  <si>
    <t>Kooyong Rd towards Glen Huntly Rd [N], Clarence St [E], Kooyong Rd [S], Clarence St [W]</t>
  </si>
  <si>
    <t>Thomas St [N], McKinnon Rd [E], Thomas St [S]</t>
  </si>
  <si>
    <t>Tucker Rd towards North Rd [N], McKinnon Rd [E], Tucker Rd [S], McKinnon Rd [W]</t>
  </si>
  <si>
    <t>Orrong Rd [N], Inkerman St [E], Orrong Rd [S], Inkerman St [W]</t>
  </si>
  <si>
    <t>Bambra Rd [N], Glen Huntly Rd [E], Bambra Rd [S], Glen Huntly Rd [W]</t>
  </si>
  <si>
    <t>Hawthorn Rd [N], Inkerman Rd [E], Hawthorn Rd [S], Inkerman Rd [W]</t>
  </si>
  <si>
    <t>Orrong Rd [N], Alma Rd [E], Orrong Rd [S], Alma Rd [W]</t>
  </si>
  <si>
    <t>Royal Ave / Bike Path [N], Oakleigh Rd / Bike Path [E], Katandra Rd / Bike Path [S], Woodville Ave [NW]</t>
  </si>
  <si>
    <t>Frankston Rail Line bike path [N], Frankston Rail Line bike path [S], Fitzroy St [W]</t>
  </si>
  <si>
    <t>Moorabool Street [N], Moorabool Street [S]</t>
  </si>
  <si>
    <t>Barwon Terrace [N], Barwon River Trail [SE], Barwon River Trail [W]</t>
  </si>
  <si>
    <t>TAS</t>
  </si>
  <si>
    <t>Kingborough</t>
  </si>
  <si>
    <t>Channel Highway [E], Beach Road [SE], Channel Highway [W], Huon Highway [NW]</t>
  </si>
  <si>
    <t>Balmoral Road [NE], Beach Road [SE], Beach Road [NW]</t>
  </si>
  <si>
    <t>Path to NE [NE], Path to South [S], Path to West [W]</t>
  </si>
  <si>
    <t>Path to north [NE], Main Yarra Trail [E], Kiwanis Lane [S], Main Yarra Trail [W]</t>
  </si>
  <si>
    <t>Shared-use path [E], Shared-use path [W]</t>
  </si>
  <si>
    <t>Reynolds Road [E], Mullum Mullum Creek Trail [SE], Mullum Mullum Creek Trail [W], Reynolds Road [W]</t>
  </si>
  <si>
    <t>Green Gully Trail [N], Reynolds Road [E], Green Gully Trail [S], Reynolds Road [W]</t>
  </si>
  <si>
    <t>Path to Park Ave [NE], Koonung Creek Trail [S], Koonung Creek Trail [N]</t>
  </si>
  <si>
    <t>Koonung Creek Trail [E], Koonung Creek Trail [W], Path to Boronia Grove Reserve [NW]</t>
  </si>
  <si>
    <t>Ruffey Creek Trail [S], Ruffey Creek Trail [N]</t>
  </si>
  <si>
    <t>Stony Creek Trail [NE], Francis Street [E], Hawkhurst Street [S], Francis Street [W], Stony Creek Trail [N]</t>
  </si>
  <si>
    <t>Path to King Street [NE], Path to Batman Park [SW]</t>
  </si>
  <si>
    <t>Path to Batman Avenue [E], William Barak Bridge [E], Path to Birrarung Marr [W]</t>
  </si>
  <si>
    <t>Path to north [N], Path to SE [SE], Path to NW [NW]</t>
  </si>
  <si>
    <t>Morell Bridge [N], Path to east [E], Crossing towards Anderson Street [S], Path to west [W]</t>
  </si>
  <si>
    <t>Main Yarra Trail [E], Path to Alexandra Avenue/Morell Bridge [SE], Main Yarra Trail [W]</t>
  </si>
  <si>
    <t>Mornington Peninsula</t>
  </si>
  <si>
    <t>Northeast going direction [NE], Southwest going direction [SW]</t>
  </si>
  <si>
    <t>Dromana Parade Northeast [NE], Victoria St. Southeast [SE], Dromana Parade Northeast [SE], Victoria St. Northwest [NW]</t>
  </si>
  <si>
    <t>Balnarring Beach Rd. [N], Balnarring Beach Rd. [S]</t>
  </si>
  <si>
    <t xml:space="preserve"> [N], Bungower Road East [E], Jones Rd South [S], Bungower Road West [W]</t>
  </si>
  <si>
    <t>Canadian Bay Rd. Southeast [SE], Canadian Bay Rd. Northwest [NW]</t>
  </si>
  <si>
    <t>Governors Road East [E], Governors Road West [W], Pettit St North [N]</t>
  </si>
  <si>
    <t>Newcastle</t>
  </si>
  <si>
    <t>Jesmond Cycle Path [SE], Path to Jesmond Bushland [W], Jesmond Cycle Path [NW]</t>
  </si>
  <si>
    <t>Turton Road Shared Path [N], Path to east [SE], Turton Road Shared Path [SW], Shared Path Parallel Monash Rd [W]</t>
  </si>
  <si>
    <t>Foreshore Path [SE], Foreshore Path [NW]</t>
  </si>
  <si>
    <t>Mitchell Street [NE], Foreshore path [SE], Foreshore path [NW]</t>
  </si>
  <si>
    <t>Chatham Street [N], Dumaresq Street [E], Chatham Street [S], Pokolbin Street [SW], Koree Road [NW]</t>
  </si>
  <si>
    <t>Laman Street [E], Bruce Street [S], Laman Street [W]</t>
  </si>
  <si>
    <t>Mackie Avenue [E], St James Road [SE], Bike Path [SW], St James Road [NW]</t>
  </si>
  <si>
    <t>John Parade [NE], Yuelarbah Track [SW], John Parade [SW], Watkins Street [N]</t>
  </si>
  <si>
    <t>Teralba Road [N], Glebe Road [E], Teralba Road [S], Glebe Road [W]</t>
  </si>
  <si>
    <t>Clyde Street [NE], Chinchen Street [SE], Clyde Street [SW], Chinchen Street [NW]</t>
  </si>
  <si>
    <t>Steel Street [N], Hunter Street [E], Steel Street [S], Hunter Street [W]</t>
  </si>
  <si>
    <t>Beaufort Street [N], Roe Street [SE], Barrack Street [S], Roe Street [W]</t>
  </si>
  <si>
    <t>Stirling Street [NE], Path to SE [S], Roe Street [W]</t>
  </si>
  <si>
    <t>Loftus Street [NE], Railway Street [SE], Thomas Street [SW], Railway Parade [W]</t>
  </si>
  <si>
    <t>Lake Street [NE], Aberdeen Street [SE], Lake Street [SW], Aberdeen Street [NW]</t>
  </si>
  <si>
    <t>Stirling Street [NE], Aberdeen Street [SE], Stirling Street [SW], Aberdeen Street [NW]</t>
  </si>
  <si>
    <t>Fitzgerald Street [NE], Aberdeen Street [SE], Fitzgerald Street [SW], Aberdeen Street [NW]</t>
  </si>
  <si>
    <t>Thomas Street [N], Aberdare Path [E], Winthrop Avenue [S], Aberdare Road [W]</t>
  </si>
  <si>
    <t>Park St [E], Moray St [S], Park St [W], Moray St [N]</t>
  </si>
  <si>
    <t>Union St [E], St Kilda Rd [S], Union St [W], St Kilda Rd [N]</t>
  </si>
  <si>
    <t>Kerferd Rd [NE], Beaconsfield Parade/SUP [SE], Beaconsfield Parade/SUP [NW]</t>
  </si>
  <si>
    <t>St. Kilda Rd [SE], Albert Rd. [S], St. Kilda Rd [N]</t>
  </si>
  <si>
    <t>City Road [NE], York St [E], Path to Reserve [SE], City Road [SW], Montague St [NW]</t>
  </si>
  <si>
    <t>Domain Rd. [SE], St. Kilda Rd. South towards Train St. [S], St. Kilda Rd. North towards CBD [N]</t>
  </si>
  <si>
    <t>Arden St [N], Arden St [S], Coogee Bay Rd [W]</t>
  </si>
  <si>
    <t>Barker Street [E], Houston Road [S], Barker Street [W], Houston Road [N]</t>
  </si>
  <si>
    <t>Arden Street [N], Dolphin Street [E], Arden Street [S], Dolphin Street [W]</t>
  </si>
  <si>
    <t>St Pauls Street [E], Perouse Road [S], St Pauls Street [W], Perouse Road [N]</t>
  </si>
  <si>
    <t>Glenferrie Road [N], Gardiners Creek Trail [E], Glenferrie Road [S], Gardiners Creek Trail [W]</t>
  </si>
  <si>
    <t>Toorak Road [E], Gardiners Creek Trail [SE], Toorak Road [W], Gardiners Creek Trail [N]</t>
  </si>
  <si>
    <t>Gardiners Creek Trail [E], Path to Great Valley Road [S], Gardiners Creek Trail [NW]</t>
  </si>
  <si>
    <t>Dunlop Street [NE], Gardiners Creek Trail [SE], Dunlop Street [SW], Gardiners Creek Trail [NW]</t>
  </si>
  <si>
    <t>Vincent</t>
  </si>
  <si>
    <t>Federation St [N], Brittania St [E], Path to PSP [S], Overpass [SW]</t>
  </si>
  <si>
    <t>Vincent St [E], Charles St [S], Vincent St [W], Charles St [N]</t>
  </si>
  <si>
    <t>Loftus St [N], Vincent St [E], Loftus St [S], Vincent St [W]</t>
  </si>
  <si>
    <t>Oxford St [N], Salisbruy St [E], Oxford St [S], Britannia Rd [W]</t>
  </si>
  <si>
    <t>Angove St [SE], Charles St [S], Scarborough Beach Rd [NW], Charles St [N]</t>
  </si>
  <si>
    <t>Scarborough Beach Rd [E], Shakespeare St [S], Scarborough Beach Rd [W], Shakespeare St [N]</t>
  </si>
  <si>
    <t>Norfolk St [N], Raglan Rd [E], Norfolk St [S], Raglan Rd [W]</t>
  </si>
  <si>
    <t>Beaufort St [NE], Barlee St [SE], Beaufort St [SW], Chelmsford Rd [W]</t>
  </si>
  <si>
    <t>Claisebrook Rd [N], Midland PSP [E], Midland PSP [SW], Claisebrook Rd [SW], Somerville St [NW]</t>
  </si>
  <si>
    <t>Banks Reserve RSP [N], Summers St [S], Carpark [W]</t>
  </si>
  <si>
    <t>Fitzgerald St [N], Fitzgerald St [S], Angove St [NW]</t>
  </si>
  <si>
    <t>Fitzgerald Street [NE], Bulwer Street [SE], Fitzgerald Street [SW], Bulwer Street [NW]</t>
  </si>
  <si>
    <t>Haynes Street [E], Sydney Street [S], Haynes Street [W], Sydney Street [N]</t>
  </si>
  <si>
    <t>William St [NE], William St [SW], Glendower St [NW], Hyde Park entrance [N]</t>
  </si>
  <si>
    <t>Oxford St [N], Vincent St [E], Oxford St [S], Vincent St [W]</t>
  </si>
  <si>
    <t>Kooringal Rd [N], Copeland St [E], Kooringal Rd [S], Copeland St [W]</t>
  </si>
  <si>
    <t>Shared Path [NE], Shared Path [SE], Shared Path [W]</t>
  </si>
  <si>
    <t>The Soldiers Road [NE], Herbert Street [SE], path to McDougal Street [SW], Richmond Road [NW]</t>
  </si>
  <si>
    <t>Horseshoe Bay Road [E], Rose Bay Road [SE], Horseshoe Bay Road [W]</t>
  </si>
  <si>
    <t>Shute Harbour Road [E], Jubilee Pocket Road [S], Shute Harbour Road [NW]</t>
  </si>
  <si>
    <t>Path to SE on bridge [SE], Path to NW on bridge [NW]</t>
  </si>
  <si>
    <t>Shute Harbour Road [NE], Abell Road [E], Shute Harbour Road [SW], Paluma Road [W]</t>
  </si>
  <si>
    <t>Shute Harbour Road [NE], Tropic Road N [SE], Shute Harbour Road [SW]</t>
  </si>
  <si>
    <t>Main Street [E], Hinschen Street [S], Faust Street [W]</t>
  </si>
  <si>
    <t>Renwick Road [E], Dudley Road [S], Renwick Road [W]</t>
  </si>
  <si>
    <t>Mowbray Road [E], Mowbray Road [W]</t>
  </si>
  <si>
    <t>Pacific Highway Shared Path [S], Pacific Highway Shared Path [N]</t>
  </si>
  <si>
    <t>Herbert Street [S], Herbert Street [N]</t>
  </si>
  <si>
    <t>Archer Street [S], Archer Street [N]</t>
  </si>
  <si>
    <t>Hampden Road [S], Hampden Road [N]</t>
  </si>
  <si>
    <t>Albert St [N], Murray St [E], Albert St [S]</t>
  </si>
  <si>
    <t>Bathurst</t>
  </si>
  <si>
    <t>Church Ln [NE], Path along Raglan Creek [S], Church Ln [SW], Path along Raglan Creek [NW]</t>
  </si>
  <si>
    <t>Havannah St [NE], Russel St [SE], Havannah St [SW], Russel St [NW]</t>
  </si>
  <si>
    <t>Eglinton Rd [SE], Bradwardine Rd [SW], Eglinton Rd [NW]</t>
  </si>
  <si>
    <t>William St [NE], Browning St [SE], Panorama Ave [SW], Browning St [NW]</t>
  </si>
  <si>
    <t>Bayside NSW</t>
  </si>
  <si>
    <t>Path to North (underpass) [N], Path to East [E], Shared Path Bridge across Canal [NW]</t>
  </si>
  <si>
    <t>Broome</t>
  </si>
  <si>
    <t>Sanctuary Rd [E], Cable Beach Rd W [SE], Road to Car Park [W], Cable Beach Rd W [NW]</t>
  </si>
  <si>
    <t>Cable Beach Rd W [N], Murray Rd [E], Cable Beach Rd W [S], Path to Beach [W]</t>
  </si>
  <si>
    <t>Path to Ibasco Cres [NE], Fairway Dr [SE], Path to Kapang Dr [W], Fairway Dr [NW]</t>
  </si>
  <si>
    <t>Byron</t>
  </si>
  <si>
    <t>Sunrise Blvd [N], Ewingsdale Rd [E], Ewingsdale Rd Bike Path [E], Ewingsdale Rd [W]</t>
  </si>
  <si>
    <t>Crossing towards Organic Cafe [E], Jonson St [S], Crossing towards Railway Park [W], Jonson St [N]</t>
  </si>
  <si>
    <t>Lighthouse Rd [SW], Lighthouse Rd [N]</t>
  </si>
  <si>
    <t>Tennyson St [N], Browning St [E], Bangalow Rd [S], Browning St [W]</t>
  </si>
  <si>
    <t>Broken Head Rd [N], Clifford St [E], Broken Head Rd [S]</t>
  </si>
  <si>
    <t>Bangalow Rd [E], Bangalow Rd [W]</t>
  </si>
  <si>
    <t>Entrance to Shops [E], Rajah Rd [S], Rajah Rd [N]</t>
  </si>
  <si>
    <t>S Beach Rd (Bridge) [NE], Brunswick Terrace [S], Mullumbimbi St [W]</t>
  </si>
  <si>
    <t>Path towards McDonalds [NE], Path towards Milby Rd [SW]</t>
  </si>
  <si>
    <t>Shared Path [NE], Shared Path [S], Entrance to Oval Path [NW]</t>
  </si>
  <si>
    <t>Path from Koshigaya Park Carpark [E], Path to Koshigaya Park Carpark [W]</t>
  </si>
  <si>
    <t>Kellicar Rd [NE], Narellan Rd [SE], Kellicar Rd [SW], Narellan Rd [NW]</t>
  </si>
  <si>
    <t>Bradbury Pk [NE], The Pkwy [SE], The Pkwy [NW]</t>
  </si>
  <si>
    <t>Prospect Creek Trail [NE], Path towards Lake Gillawarna [E], Prospect Creek Trail [SW]</t>
  </si>
  <si>
    <t>Path around Kelso Park [NE], Path to Car Park [E], Path to Cheatle St [S], Path around Kelso Park [NW]</t>
  </si>
  <si>
    <t>Brighton Ave [N], Cooks River Cycleway (to Croydon Park) [E], Brighton Ave [S], Cooks River Cycleway (to Picken Oval) [NW]</t>
  </si>
  <si>
    <t>Path across Salt Pan Creek [NE], Path along Salt Pan Creek [SE], Path around Thomas Oval [S], Path around Thomas Oval [NW]</t>
  </si>
  <si>
    <t>Garema Cct [E], Beverley Hills Walking Track [SE], Beverley Hills Walking Track [W], Beverley Hills Walking Track [NW]</t>
  </si>
  <si>
    <t>Coffs Harbour</t>
  </si>
  <si>
    <t>Gundagai St Path [SE], Gundagai St Path [NW]</t>
  </si>
  <si>
    <t>Marine Parade [N], North St [E], Marine Parade [S]</t>
  </si>
  <si>
    <t>Marmion St [N], Grant St [E], Marmion St [S], Grant St [W]</t>
  </si>
  <si>
    <t>Railway St [NE], Grant St [E], Railway St [SW], path to Grant Street Station [W]</t>
  </si>
  <si>
    <t>Curtin Ave [NE], path to train line [E], Curtin Ave [S], Forrest Ave [W], Marmion St [N]</t>
  </si>
  <si>
    <t>Mews Rd towards Marine Terrace [NE], Mews Rd Shared Path [SE], Mews Rd Shared Path [NW]</t>
  </si>
  <si>
    <t>South Terrace [N], Little Lefroy Ln [E], South Terrace [S]</t>
  </si>
  <si>
    <t>Montreal St [N], Montreal St [S], Knutsford St [W]</t>
  </si>
  <si>
    <t>Masson Mews Shared Path [NE], Masson Mews Shared Path [SW]</t>
  </si>
  <si>
    <t>Harvest Rd [NE], Stirling Highway [SE], Harvest Rd [SW], Stirling Hwy [NW]</t>
  </si>
  <si>
    <t>John St [NE], Johannah St [SE], John St [SW]</t>
  </si>
  <si>
    <t>Greater Shepparton</t>
  </si>
  <si>
    <t>Goulburn Valley Hwy [N], Yahna Gurti' Share Path [SE], Hwy Bridge [S], Yahna Gurti' Share Path [NW]</t>
  </si>
  <si>
    <t>Bridge to north [N], Bridge to south/botanic gardens [NW]</t>
  </si>
  <si>
    <t>Goulburn Valley Hwy Shared Path [S], path towards MOVE [W], Goulburn Valley Hwy Shared Path [N]</t>
  </si>
  <si>
    <t>path to north [N], path to Tom Collins Dr [S]</t>
  </si>
  <si>
    <t>Murchison-Rushworth Rail Trail [E], Murchison-Rushworth Rail Trail [W]</t>
  </si>
  <si>
    <t>Path to toilets/Gardens [N], Dookie Rail Trail [E], Path across tracks to south [S], Dookie Rail Trail [W]</t>
  </si>
  <si>
    <t>Riverview Drive Path [E], path to south [S], Riverview Drive Path [W]</t>
  </si>
  <si>
    <t>Seven Creeks Drive [N], Cormorant Blvd [E], Seven Creeks Drive [SW], Path to NW [N]</t>
  </si>
  <si>
    <t>Hobart</t>
  </si>
  <si>
    <t>Intercity Cycleway [SE], Bromby St [SW], Intercity Cycleway [NW]</t>
  </si>
  <si>
    <t>Mcvilly Dr towards Ross Bay [NE], Mcvilly Dr towards carpark [SW], Mcvilly Drive [NW], Intercity Cycleway [N]</t>
  </si>
  <si>
    <t>Path under Sunbury Road [N], Path to Apex Park [SE], Bridge over Jacksons Creek [NW]</t>
  </si>
  <si>
    <t>Blair Street [N], Meadowlink Linear Park Trail [E], Blair Street [S], Meadowlink Linear Park Trail [W]</t>
  </si>
  <si>
    <t>Broadmeadows Valley Trail [E], Moonee Ponds Creek Trail [S], Moonee Ponds Creek Trail [NW]</t>
  </si>
  <si>
    <t>Bells Avenue/Path [NE], Path to SE [E], Path to SW [SW], Toyon Road/Path [W]</t>
  </si>
  <si>
    <t>Pearcedale Parade/Path [NE], to Broadmeadows Central [E], Pearcedale Parade/Path [SW], path to Broadmeadows Town Park [W]</t>
  </si>
  <si>
    <t>Railway Crescent [NE], Railway Crescent [SE], path to Under Ground Walking Path [SW]</t>
  </si>
  <si>
    <t>Fawkner Street Bridge [NE], Moonee Ponds Creek Trail [SE], Fawkner Street [SW], Moonee Ponds Creek Trail [NW]</t>
  </si>
  <si>
    <t>Sahi Crescent to SUP [E], Path towards Roxburgh Park Station [S], Sahi Crescent [NW]</t>
  </si>
  <si>
    <t>Hothlyn Drive [N], path to Cragieburn Station [E], Hothlyn Drive [S], Benston Street Walkway [NW]</t>
  </si>
  <si>
    <t>Attwood Pipetrack [N], Kenny Street [E], Elizabeth Street [S], Kenny Street [W]</t>
  </si>
  <si>
    <t>Ruffey Creek Trail [NE], Ruffey Creek Trail [S], Ruffey Creek Trail [N]</t>
  </si>
  <si>
    <t>Eastlink Trail [N], Mullum Mullum Trail [E], Eastlink Trail [S]</t>
  </si>
  <si>
    <t>Trail to Church Rd [N], Koonung Creek Trail [SE], Koonung Creek Trail [NW]</t>
  </si>
  <si>
    <t>Towards Bursaria Rise [SE], Towards Barradine Terrace [N]</t>
  </si>
  <si>
    <t>Lawlor Reserve Shared Path [NE], Bayley Grove [S], Lawlor Reserve Shared Path [W]</t>
  </si>
  <si>
    <t>Tarralla Trail [NE], Eastfield Rd [E], Yvonne Ave [SW], Eastfield Rd [W]</t>
  </si>
  <si>
    <t>Tarralla Crk Trail [NE], Canterbury Rd to Bayswater Rd [SE], Tarralla Crk Trail [SW], Canterbury Rd [NW]</t>
  </si>
  <si>
    <t>Trail towards Brushy Creek [NE], Trail towards Hughes Park Playground [W]</t>
  </si>
  <si>
    <t>Bedford Road [SE], Trail along train line [SE], Bedford Road [W], Trail along train line [NW]</t>
  </si>
  <si>
    <t>South Wharf Promenade [E], River Esplanade [S], Webb Bridge [W]</t>
  </si>
  <si>
    <t>Moonee Ponds Ck Trail [N], Arden St [E], Moonee Ponds Ck Trail [S], Arden St [W]</t>
  </si>
  <si>
    <t>Collins Rd [N], Boundary Rd [E], Boundary Rd [W]</t>
  </si>
  <si>
    <t>Derrill Rd [N], Bungower Rd [E], Derrill Rd [S], Bungower Rd [W]</t>
  </si>
  <si>
    <t>Memorial Dr [NE], Path towards Bar Beach [SE], Memorial Dr [SW], Path towards Empire Park [NW]</t>
  </si>
  <si>
    <t>Reserve Rd [E], York Dr [S], Reserve Rd [W]</t>
  </si>
  <si>
    <t>Mitchell St/Car Park [NE], Foreshore Path [SE], Ferry [S], Foreshore Path [NW]</t>
  </si>
  <si>
    <t>Northern Grampians</t>
  </si>
  <si>
    <t>Grampians Road [N], Grampians Road [S], Shared Use Path [S], Shared Use Path [N]</t>
  </si>
  <si>
    <t>Around the Bridges Walk Path [SE], Around the Bridges Walk Path [NW]</t>
  </si>
  <si>
    <t>Port Macquarie-Hastings</t>
  </si>
  <si>
    <t>Aston St [N], Hastings River Dr [E], Hastings River Dr [W]</t>
  </si>
  <si>
    <t>Park St [NE], Hastings River Dr [SE], Hastings River Dr [NW]</t>
  </si>
  <si>
    <t>Gordon St [E], Ocean Dr [S], Oxley Hwy [W], Hastings River Dr [N]</t>
  </si>
  <si>
    <t>Widderson St [N], Oxley Hwy [NE], Widderson St [S], Oxley Hwy [SW]</t>
  </si>
  <si>
    <t>Oxley Hwy [NE], Lake Rd [SE], Oxley Hwy [SW], Sherwood Rd [NW]</t>
  </si>
  <si>
    <t>Oxley Hwy [NE], Wrights Rd [E], John Oxley Dr [S], Oxley Hwy [W]</t>
  </si>
  <si>
    <t>Ocean Dr [N], Lochinvar Pl [E], Ocean Dr [S], Greenmeadows Dr [W]</t>
  </si>
  <si>
    <t>Shearer St [NE], Koala St [S], Koala St [NW]</t>
  </si>
  <si>
    <t>Lake rd [E], Ocean Dr [S], Lake rd [W], Ocean Dr [N]</t>
  </si>
  <si>
    <t>Gordon St [NE], Lake Rd [SE], Gordon St [SW]</t>
  </si>
  <si>
    <t>Gordon St [E], Lord St [S], Gordon St [W], Lord St [N]</t>
  </si>
  <si>
    <t>William St [E], Owen St [S], William St [W], Stewart St [NW]</t>
  </si>
  <si>
    <t>Malabar Rd [SE], Bundock St [SW], Malabar Rd [NW]</t>
  </si>
  <si>
    <t>Path to National Institution of Dramatic Art [N], Day Ave to Anzac Pde [E], Houston Rd [S], Day Ave [W]</t>
  </si>
  <si>
    <t>Gardeners Rd [E], General Bridges Cres [S], Gardeners Rd [W], Houston Rd [N]</t>
  </si>
  <si>
    <t>Ryde</t>
  </si>
  <si>
    <t>Archer Creek Trail [SE], Path towards Crowley Cres [W], Archer Creek Trail [NW]</t>
  </si>
  <si>
    <t>Charity Creek [N], Path towards meadow Cres [E], Path along Parramatta River [W]</t>
  </si>
  <si>
    <t>Anderson Park Path [E], Anderson Park Path [S], Anderson Park Path towards Rothsay Ave [N]</t>
  </si>
  <si>
    <t>Bay Dr towards River [E], Path [SW], Bay Dr [N]</t>
  </si>
  <si>
    <t>Osborne Ave [NE], Waterview St [SE], Waterview St [NW]</t>
  </si>
  <si>
    <t>Shrimptons Creek Path [N], Shrimptons Creek Path [NE], Shrimptons Creek Path [SW], Shrimptons Creek Path [W]</t>
  </si>
  <si>
    <t>Pittwater Rd [N], Pittwater Rd [S], Rene St [W]</t>
  </si>
  <si>
    <t>South Gippsland</t>
  </si>
  <si>
    <t>Great Southern Rail Trail [SE], Path towards S Gippsland Hwy [SW], Great Southern Rail Trail [NW]</t>
  </si>
  <si>
    <t>Koonwarra-Inverloch Rd [NE], Great Southern Rail Trail [SE], Koonwarra-Inverloch Rd [SW], Great Southern Rail Trail [N]</t>
  </si>
  <si>
    <t>Sutherland</t>
  </si>
  <si>
    <t>Denman Ave Cycleway [E], Denman Ave Cycleway [NW]</t>
  </si>
  <si>
    <t>Warrnambool</t>
  </si>
  <si>
    <t>Daltons Road [E], Ardlie Street/Russell Creek Walking Trail [S], Daltons Road [W], Informal path through grass [N]</t>
  </si>
  <si>
    <t>Path to north [N], Moore Street [E], Path to SE [SE], Cramer Street [SW], Moore Street [W]</t>
  </si>
  <si>
    <t>Pertobe Road [S], Pertobe Road [N]</t>
  </si>
  <si>
    <t>Wollaston Road [SE], Wollaston Road [NW]</t>
  </si>
  <si>
    <t>Wellington</t>
  </si>
  <si>
    <t>Edeys Rd [E], Great Southern Rail Trail [SW], Edeys Rd [W], Great Southern Rail Trail [N]</t>
  </si>
  <si>
    <t>Valeska St [NE], Yarram-Port Albert Rd [SE], Valeska St [SW], Yarram-Port Albert Rd [N]</t>
  </si>
  <si>
    <t>Hollywood Cres [N], Laurel Street [E], Keary Street [S], Laurel Street [W]</t>
  </si>
  <si>
    <t>Pacific Hwy [N], Mowbray Rd [NE], Pacific Hwy [S], Mowbray Rd [W]</t>
  </si>
  <si>
    <t>Shared path towards Henry Lawson Cave [E], Shared path away from Henry Lawson Cave [W]</t>
  </si>
  <si>
    <t>Eastern Valley Way [N], Edinburgh Road [E], Eastern Valley Way [S], Edinburgh Road [W]</t>
  </si>
  <si>
    <t>Glover St [E], High St [S], High St [N]</t>
  </si>
  <si>
    <t>Hampden Rd [SE], Francis Rd [SW], Hampden Rd [NW]</t>
  </si>
  <si>
    <t xml:space="preserve">  SUPER SUNDAY RECREATIONAL COUNT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</si>
</sst>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0"/>
      <color theme="0"/>
      <name val="Segoe UI Semibold"/>
      <family val="2"/>
    </font>
    <font>
      <b/>
      <sz val="11"/>
      <color rgb="FF3C2E5C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C2E5C"/>
        <bgColor indexed="64"/>
      </patternFill>
    </fill>
    <fill>
      <patternFill patternType="solid">
        <fgColor rgb="FF29B6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5" fillId="3" borderId="0" xfId="0" applyFont="1" applyFill="1"/>
    <xf numFmtId="0" fontId="2" fillId="4" borderId="2" xfId="0" applyFont="1" applyFill="1" applyBorder="1"/>
    <xf numFmtId="18" fontId="2" fillId="4" borderId="2" xfId="0" applyNumberFormat="1" applyFont="1" applyFill="1" applyBorder="1"/>
    <xf numFmtId="49" fontId="0" fillId="0" borderId="0" xfId="0" applyNumberFormat="1"/>
    <xf numFmtId="164" fontId="0" fillId="0" borderId="0" xfId="0" applyNumberFormat="1"/>
    <xf numFmtId="9" fontId="0" fillId="0" borderId="0" xfId="0" applyNumberFormat="1"/>
    <xf numFmtId="14" fontId="0" fillId="0" borderId="0" xfId="0" applyNumberFormat="1"/>
    <xf numFmtId="0" fontId="3" fillId="0" borderId="0" xfId="0" applyFont="1"/>
    <xf numFmtId="19" fontId="0" fillId="0" borderId="0" xfId="0" applyNumberFormat="1"/>
    <xf numFmtId="9" fontId="0" fillId="0" borderId="0" xfId="1" applyFont="1"/>
    <xf numFmtId="0" fontId="0" fillId="2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300991</xdr:colOff>
      <xdr:row>0</xdr:row>
      <xdr:rowOff>47626</xdr:rowOff>
    </xdr:from>
    <xdr:to>
      <xdr:col>1</xdr:col>
      <xdr:colOff>1310640</xdr:colOff>
      <xdr:row>0</xdr:row>
      <xdr:rowOff>818483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90C631-8586-4C3A-82C5-8DFDC9CDC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1" y="47626"/>
          <a:ext cx="1615439" cy="780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4DB7-0A0B-44E5-AD05-6484BC9A8001}">
  <dimension ref="A1:CJ3006"/>
  <sheetViews>
    <sheetView tabSelected="1" workbookViewId="0">
      <selection activeCell="G11" sqref="G11"/>
    </sheetView>
  </sheetViews>
  <sheetFormatPr defaultRowHeight="15" x14ac:dyDescent="0.25"/>
  <cols>
    <col min="2" max="2" width="26.7109375" customWidth="1"/>
    <col min="3" max="3" width="8" customWidth="1"/>
    <col min="7" max="7" width="76" customWidth="1"/>
    <col min="10" max="10" width="17.85546875" customWidth="1"/>
    <col min="78" max="78" width="12.28515625" customWidth="1"/>
    <col min="79" max="79" width="22.28515625" customWidth="1"/>
    <col min="80" max="81" width="13.28515625" customWidth="1"/>
    <col min="82" max="82" width="13.85546875" customWidth="1"/>
    <col min="83" max="83" width="10.7109375" customWidth="1"/>
    <col min="84" max="84" width="12.5703125" customWidth="1"/>
    <col min="85" max="85" width="16.7109375" customWidth="1"/>
    <col min="87" max="87" width="0" hidden="1" customWidth="1"/>
    <col min="88" max="88" width="11.42578125" hidden="1" customWidth="1"/>
  </cols>
  <sheetData>
    <row r="1" spans="1:88" ht="73.5" customHeight="1" thickBot="1" x14ac:dyDescent="0.3">
      <c r="A1" s="11"/>
      <c r="B1" s="11"/>
      <c r="C1" s="12" t="s">
        <v>1222</v>
      </c>
      <c r="D1" s="12"/>
      <c r="E1" s="12"/>
      <c r="F1" s="12"/>
      <c r="G1" s="12"/>
      <c r="H1" s="12"/>
      <c r="I1" s="12"/>
      <c r="J1" s="1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8" ht="15.75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3">
        <v>0.25</v>
      </c>
      <c r="CC2" s="3">
        <v>0.29166666666666669</v>
      </c>
      <c r="CD2" s="3">
        <v>0.33333333333333331</v>
      </c>
      <c r="CE2" s="3">
        <v>0.375</v>
      </c>
      <c r="CF2" s="3">
        <v>0.41666666666666669</v>
      </c>
      <c r="CG2" s="3">
        <v>0.45833333333333331</v>
      </c>
      <c r="CH2" s="3">
        <v>0.5</v>
      </c>
    </row>
    <row r="3" spans="1:88" x14ac:dyDescent="0.25">
      <c r="A3" t="s">
        <v>79</v>
      </c>
      <c r="B3" t="s">
        <v>80</v>
      </c>
      <c r="C3">
        <v>3569</v>
      </c>
      <c r="D3">
        <v>-33.872199999999999</v>
      </c>
      <c r="E3">
        <v>151.15110000000001</v>
      </c>
      <c r="F3">
        <v>4</v>
      </c>
      <c r="G3" s="4" t="s">
        <v>81</v>
      </c>
      <c r="H3">
        <v>27</v>
      </c>
      <c r="I3">
        <v>207</v>
      </c>
      <c r="J3">
        <v>110</v>
      </c>
      <c r="K3">
        <v>290</v>
      </c>
      <c r="L3">
        <v>212</v>
      </c>
      <c r="M3">
        <v>32</v>
      </c>
      <c r="N3">
        <v>285</v>
      </c>
      <c r="O3">
        <v>105</v>
      </c>
      <c r="T3">
        <v>46</v>
      </c>
      <c r="U3">
        <v>175</v>
      </c>
      <c r="V3">
        <v>506</v>
      </c>
      <c r="Y3">
        <v>36</v>
      </c>
      <c r="Z3">
        <v>26</v>
      </c>
      <c r="AA3">
        <v>91</v>
      </c>
      <c r="AD3">
        <v>294</v>
      </c>
      <c r="AE3">
        <v>29</v>
      </c>
      <c r="AF3">
        <v>21</v>
      </c>
      <c r="AI3">
        <v>1020</v>
      </c>
      <c r="AJ3">
        <v>707</v>
      </c>
      <c r="AK3">
        <v>4</v>
      </c>
      <c r="AX3">
        <v>727</v>
      </c>
      <c r="AY3">
        <v>1350</v>
      </c>
      <c r="AZ3">
        <v>2077</v>
      </c>
      <c r="BA3">
        <v>153</v>
      </c>
      <c r="BB3">
        <v>782</v>
      </c>
      <c r="BC3">
        <v>935</v>
      </c>
      <c r="BD3">
        <v>344</v>
      </c>
      <c r="BE3">
        <v>205</v>
      </c>
      <c r="BF3">
        <v>549</v>
      </c>
      <c r="BG3">
        <v>1731</v>
      </c>
      <c r="BH3">
        <v>618</v>
      </c>
      <c r="BI3">
        <v>2349</v>
      </c>
      <c r="BP3">
        <v>431</v>
      </c>
      <c r="BR3">
        <v>1987</v>
      </c>
      <c r="BS3">
        <v>334</v>
      </c>
      <c r="BT3">
        <v>130</v>
      </c>
      <c r="BV3">
        <v>73</v>
      </c>
      <c r="BW3">
        <v>2955</v>
      </c>
      <c r="BX3" t="s">
        <v>82</v>
      </c>
      <c r="BY3" s="5"/>
      <c r="BZ3" s="6"/>
      <c r="CA3" s="7">
        <v>41952</v>
      </c>
      <c r="CI3">
        <f t="shared" ref="CI3:CI66" si="0">YEAR(CA3)</f>
        <v>2014</v>
      </c>
      <c r="CJ3" t="str">
        <f t="shared" ref="CJ3:CJ66" si="1">_xlfn.CONCAT(C3,"_",CI3)</f>
        <v>3569_2014</v>
      </c>
    </row>
    <row r="4" spans="1:88" x14ac:dyDescent="0.25">
      <c r="A4" t="s">
        <v>79</v>
      </c>
      <c r="B4" t="s">
        <v>80</v>
      </c>
      <c r="C4">
        <v>3569</v>
      </c>
      <c r="D4">
        <v>-33.872199999999999</v>
      </c>
      <c r="E4">
        <v>151.15110000000001</v>
      </c>
      <c r="F4">
        <v>4</v>
      </c>
      <c r="G4" s="4" t="s">
        <v>81</v>
      </c>
      <c r="H4">
        <v>27</v>
      </c>
      <c r="I4">
        <v>207</v>
      </c>
      <c r="J4">
        <v>110</v>
      </c>
      <c r="K4">
        <v>290</v>
      </c>
      <c r="L4">
        <v>212</v>
      </c>
      <c r="M4">
        <v>32</v>
      </c>
      <c r="N4">
        <v>285</v>
      </c>
      <c r="O4">
        <v>105</v>
      </c>
      <c r="T4">
        <v>15</v>
      </c>
      <c r="U4">
        <v>150</v>
      </c>
      <c r="V4">
        <v>116</v>
      </c>
      <c r="Y4">
        <v>8</v>
      </c>
      <c r="Z4">
        <v>18</v>
      </c>
      <c r="AA4">
        <v>0</v>
      </c>
      <c r="AD4">
        <v>134</v>
      </c>
      <c r="AE4">
        <v>2</v>
      </c>
      <c r="AF4">
        <v>8</v>
      </c>
      <c r="AI4">
        <v>272</v>
      </c>
      <c r="AJ4">
        <v>0</v>
      </c>
      <c r="AK4">
        <v>6</v>
      </c>
      <c r="AX4">
        <v>281</v>
      </c>
      <c r="AY4">
        <v>414</v>
      </c>
      <c r="AZ4">
        <v>695</v>
      </c>
      <c r="BA4">
        <v>26</v>
      </c>
      <c r="BB4">
        <v>17</v>
      </c>
      <c r="BC4">
        <v>43</v>
      </c>
      <c r="BD4">
        <v>144</v>
      </c>
      <c r="BE4">
        <v>174</v>
      </c>
      <c r="BF4">
        <v>318</v>
      </c>
      <c r="BG4">
        <v>278</v>
      </c>
      <c r="BH4">
        <v>124</v>
      </c>
      <c r="BI4">
        <v>402</v>
      </c>
      <c r="BP4">
        <v>228</v>
      </c>
      <c r="BR4">
        <v>327</v>
      </c>
      <c r="BS4">
        <v>96</v>
      </c>
      <c r="BT4">
        <v>52</v>
      </c>
      <c r="BV4">
        <v>26</v>
      </c>
      <c r="BW4">
        <v>729</v>
      </c>
      <c r="BX4">
        <f>IF(C4=C3,IF((CI4-1)=CI3,BW3,"no data"))</f>
        <v>2955</v>
      </c>
      <c r="BY4" s="5">
        <f t="shared" ref="BY4:BY10" si="2">(BW4-BX4)/BX4</f>
        <v>-0.75329949238578675</v>
      </c>
      <c r="BZ4" s="6">
        <f>BY4</f>
        <v>-0.75329949238578675</v>
      </c>
      <c r="CA4" s="7">
        <v>42316</v>
      </c>
      <c r="CE4">
        <v>173</v>
      </c>
      <c r="CF4">
        <v>303</v>
      </c>
      <c r="CG4">
        <v>153</v>
      </c>
      <c r="CH4">
        <v>100</v>
      </c>
      <c r="CI4">
        <f t="shared" si="0"/>
        <v>2015</v>
      </c>
      <c r="CJ4" t="str">
        <f t="shared" si="1"/>
        <v>3569_2015</v>
      </c>
    </row>
    <row r="5" spans="1:88" x14ac:dyDescent="0.25">
      <c r="A5" t="s">
        <v>79</v>
      </c>
      <c r="B5" t="s">
        <v>80</v>
      </c>
      <c r="C5">
        <v>3569</v>
      </c>
      <c r="D5">
        <v>-33.872239</v>
      </c>
      <c r="E5">
        <v>151.15109100000001</v>
      </c>
      <c r="F5">
        <v>4</v>
      </c>
      <c r="G5" t="s">
        <v>83</v>
      </c>
      <c r="H5">
        <v>27</v>
      </c>
      <c r="I5">
        <v>207</v>
      </c>
      <c r="J5">
        <v>110</v>
      </c>
      <c r="K5">
        <v>290</v>
      </c>
      <c r="L5">
        <v>212</v>
      </c>
      <c r="M5">
        <v>32</v>
      </c>
      <c r="N5">
        <v>285</v>
      </c>
      <c r="O5">
        <v>105</v>
      </c>
      <c r="T5">
        <v>5</v>
      </c>
      <c r="U5">
        <v>55</v>
      </c>
      <c r="V5">
        <v>248</v>
      </c>
      <c r="Y5">
        <v>4</v>
      </c>
      <c r="Z5">
        <v>16</v>
      </c>
      <c r="AA5">
        <v>137</v>
      </c>
      <c r="AD5">
        <v>60</v>
      </c>
      <c r="AE5">
        <v>14</v>
      </c>
      <c r="AF5">
        <v>0</v>
      </c>
      <c r="AI5">
        <v>738</v>
      </c>
      <c r="AJ5">
        <v>209</v>
      </c>
      <c r="AK5">
        <v>0</v>
      </c>
      <c r="AX5">
        <v>308</v>
      </c>
      <c r="AY5">
        <v>802</v>
      </c>
      <c r="AZ5">
        <v>1110</v>
      </c>
      <c r="BA5">
        <v>157</v>
      </c>
      <c r="BB5">
        <v>228</v>
      </c>
      <c r="BC5">
        <v>385</v>
      </c>
      <c r="BD5">
        <v>74</v>
      </c>
      <c r="BE5">
        <v>71</v>
      </c>
      <c r="BF5">
        <v>145</v>
      </c>
      <c r="BG5">
        <v>947</v>
      </c>
      <c r="BH5">
        <v>385</v>
      </c>
      <c r="BI5">
        <v>1332</v>
      </c>
      <c r="BP5">
        <v>204</v>
      </c>
      <c r="BR5">
        <v>957</v>
      </c>
      <c r="BS5">
        <v>218</v>
      </c>
      <c r="BT5">
        <v>76</v>
      </c>
      <c r="BV5">
        <v>31</v>
      </c>
      <c r="BW5">
        <v>1486</v>
      </c>
      <c r="BX5">
        <f>IF(C5=C4,IF((CI5-1)=CI4,BW4,"no data"))</f>
        <v>729</v>
      </c>
      <c r="BY5" s="5">
        <f t="shared" si="2"/>
        <v>1.0384087791495198</v>
      </c>
      <c r="BZ5" s="6">
        <f t="shared" ref="BZ5:BZ68" si="3">BY5</f>
        <v>1.0384087791495198</v>
      </c>
      <c r="CA5" s="7">
        <v>42687</v>
      </c>
      <c r="CE5">
        <v>720</v>
      </c>
      <c r="CF5">
        <v>145</v>
      </c>
      <c r="CG5">
        <v>395</v>
      </c>
      <c r="CH5">
        <v>226</v>
      </c>
      <c r="CI5">
        <f t="shared" si="0"/>
        <v>2016</v>
      </c>
      <c r="CJ5" t="str">
        <f t="shared" si="1"/>
        <v>3569_2016</v>
      </c>
    </row>
    <row r="6" spans="1:88" x14ac:dyDescent="0.25">
      <c r="A6" t="s">
        <v>79</v>
      </c>
      <c r="B6" t="s">
        <v>80</v>
      </c>
      <c r="C6">
        <v>3569</v>
      </c>
      <c r="D6">
        <v>-33.872239</v>
      </c>
      <c r="E6">
        <v>151.15109100000001</v>
      </c>
      <c r="F6">
        <v>4</v>
      </c>
      <c r="G6" t="s">
        <v>83</v>
      </c>
      <c r="H6">
        <v>27</v>
      </c>
      <c r="I6">
        <v>207</v>
      </c>
      <c r="J6">
        <v>110</v>
      </c>
      <c r="K6">
        <v>290</v>
      </c>
      <c r="L6">
        <v>212</v>
      </c>
      <c r="M6">
        <v>32</v>
      </c>
      <c r="N6">
        <v>285</v>
      </c>
      <c r="O6">
        <v>105</v>
      </c>
      <c r="T6">
        <v>5</v>
      </c>
      <c r="U6">
        <v>214</v>
      </c>
      <c r="V6">
        <v>442</v>
      </c>
      <c r="Y6">
        <v>19</v>
      </c>
      <c r="Z6">
        <v>31</v>
      </c>
      <c r="AA6">
        <v>160</v>
      </c>
      <c r="AD6">
        <v>295</v>
      </c>
      <c r="AE6">
        <v>18</v>
      </c>
      <c r="AF6">
        <v>16</v>
      </c>
      <c r="AI6">
        <v>1279</v>
      </c>
      <c r="AJ6">
        <v>447</v>
      </c>
      <c r="AK6">
        <v>3</v>
      </c>
      <c r="AX6">
        <v>661</v>
      </c>
      <c r="AY6">
        <v>1593</v>
      </c>
      <c r="AZ6">
        <v>2254</v>
      </c>
      <c r="BA6">
        <v>210</v>
      </c>
      <c r="BB6">
        <v>470</v>
      </c>
      <c r="BC6">
        <v>680</v>
      </c>
      <c r="BD6">
        <v>329</v>
      </c>
      <c r="BE6">
        <v>248</v>
      </c>
      <c r="BF6">
        <v>577</v>
      </c>
      <c r="BG6">
        <v>1729</v>
      </c>
      <c r="BH6">
        <v>618</v>
      </c>
      <c r="BI6">
        <v>2347</v>
      </c>
      <c r="BP6">
        <v>428</v>
      </c>
      <c r="BR6">
        <v>1897</v>
      </c>
      <c r="BS6">
        <v>374</v>
      </c>
      <c r="BT6">
        <v>167</v>
      </c>
      <c r="BV6">
        <v>63</v>
      </c>
      <c r="BW6">
        <v>2929</v>
      </c>
      <c r="BX6">
        <f>IF(C6=C5,IF((CI6-1)=CI5,BW5,"no data"))</f>
        <v>1486</v>
      </c>
      <c r="BY6" s="5">
        <f t="shared" si="2"/>
        <v>0.97106325706594887</v>
      </c>
      <c r="BZ6" s="6">
        <f t="shared" si="3"/>
        <v>0.97106325706594887</v>
      </c>
      <c r="CA6" s="7">
        <v>43051</v>
      </c>
      <c r="CE6">
        <v>845</v>
      </c>
      <c r="CF6">
        <v>918</v>
      </c>
      <c r="CG6">
        <v>738</v>
      </c>
      <c r="CH6">
        <v>428</v>
      </c>
      <c r="CI6">
        <f t="shared" si="0"/>
        <v>2017</v>
      </c>
      <c r="CJ6" t="str">
        <f t="shared" si="1"/>
        <v>3569_2017</v>
      </c>
    </row>
    <row r="7" spans="1:88" x14ac:dyDescent="0.25">
      <c r="A7" t="s">
        <v>79</v>
      </c>
      <c r="B7" t="s">
        <v>80</v>
      </c>
      <c r="C7">
        <v>3569</v>
      </c>
      <c r="D7">
        <v>-33.872239</v>
      </c>
      <c r="E7">
        <v>151.15109100000001</v>
      </c>
      <c r="F7">
        <v>4</v>
      </c>
      <c r="G7" t="s">
        <v>83</v>
      </c>
      <c r="H7">
        <v>27</v>
      </c>
      <c r="I7">
        <v>207</v>
      </c>
      <c r="J7">
        <v>110</v>
      </c>
      <c r="K7">
        <v>290</v>
      </c>
      <c r="L7">
        <v>212</v>
      </c>
      <c r="M7">
        <v>32</v>
      </c>
      <c r="N7">
        <v>285</v>
      </c>
      <c r="O7">
        <v>105</v>
      </c>
      <c r="T7">
        <v>68</v>
      </c>
      <c r="U7">
        <v>30</v>
      </c>
      <c r="V7">
        <v>605</v>
      </c>
      <c r="Y7">
        <v>86</v>
      </c>
      <c r="Z7">
        <v>25</v>
      </c>
      <c r="AA7">
        <v>117</v>
      </c>
      <c r="AD7">
        <v>37</v>
      </c>
      <c r="AE7">
        <v>29</v>
      </c>
      <c r="AF7">
        <v>14</v>
      </c>
      <c r="AI7">
        <v>2153</v>
      </c>
      <c r="AJ7">
        <v>111</v>
      </c>
      <c r="AK7">
        <v>18</v>
      </c>
      <c r="AX7">
        <v>703</v>
      </c>
      <c r="AY7">
        <v>2276</v>
      </c>
      <c r="AZ7">
        <v>2979</v>
      </c>
      <c r="BA7">
        <v>228</v>
      </c>
      <c r="BB7">
        <v>208</v>
      </c>
      <c r="BC7">
        <v>436</v>
      </c>
      <c r="BD7">
        <v>80</v>
      </c>
      <c r="BE7">
        <v>73</v>
      </c>
      <c r="BF7">
        <v>153</v>
      </c>
      <c r="BG7">
        <v>2282</v>
      </c>
      <c r="BH7">
        <v>736</v>
      </c>
      <c r="BI7">
        <v>3018</v>
      </c>
      <c r="BP7">
        <v>343</v>
      </c>
      <c r="BR7">
        <v>2493</v>
      </c>
      <c r="BS7">
        <v>263</v>
      </c>
      <c r="BT7">
        <v>131</v>
      </c>
      <c r="BV7">
        <v>63</v>
      </c>
      <c r="BW7">
        <v>3293</v>
      </c>
      <c r="BX7">
        <f>IF(C7=C6,IF((CI7-1)=CI6,BW6,"no data"))</f>
        <v>2929</v>
      </c>
      <c r="BY7" s="5">
        <f t="shared" si="2"/>
        <v>0.12427449641515875</v>
      </c>
      <c r="BZ7" s="6">
        <f t="shared" si="3"/>
        <v>0.12427449641515875</v>
      </c>
      <c r="CA7" s="7">
        <v>43415</v>
      </c>
      <c r="CE7">
        <v>957</v>
      </c>
      <c r="CF7">
        <v>940</v>
      </c>
      <c r="CG7">
        <v>727</v>
      </c>
      <c r="CH7">
        <v>669</v>
      </c>
      <c r="CI7">
        <f t="shared" si="0"/>
        <v>2018</v>
      </c>
      <c r="CJ7" t="str">
        <f t="shared" si="1"/>
        <v>3569_2018</v>
      </c>
    </row>
    <row r="8" spans="1:88" x14ac:dyDescent="0.25">
      <c r="A8" t="s">
        <v>79</v>
      </c>
      <c r="B8" t="s">
        <v>80</v>
      </c>
      <c r="C8">
        <v>3569</v>
      </c>
      <c r="D8">
        <v>-33.872199999999999</v>
      </c>
      <c r="E8">
        <v>151.15110000000001</v>
      </c>
      <c r="F8">
        <v>4</v>
      </c>
      <c r="G8" s="4" t="s">
        <v>81</v>
      </c>
      <c r="H8">
        <v>27</v>
      </c>
      <c r="I8">
        <v>207</v>
      </c>
      <c r="J8">
        <v>110</v>
      </c>
      <c r="K8">
        <v>290</v>
      </c>
      <c r="L8">
        <v>212</v>
      </c>
      <c r="M8">
        <v>32</v>
      </c>
      <c r="N8">
        <v>285</v>
      </c>
      <c r="O8">
        <v>105</v>
      </c>
      <c r="T8">
        <v>64</v>
      </c>
      <c r="U8">
        <v>32</v>
      </c>
      <c r="V8">
        <v>136</v>
      </c>
      <c r="Y8">
        <v>62</v>
      </c>
      <c r="Z8">
        <v>37</v>
      </c>
      <c r="AA8">
        <v>99</v>
      </c>
      <c r="AD8">
        <v>28</v>
      </c>
      <c r="AE8">
        <v>26</v>
      </c>
      <c r="AF8">
        <v>33</v>
      </c>
      <c r="AI8">
        <v>238</v>
      </c>
      <c r="AJ8">
        <v>80</v>
      </c>
      <c r="AK8">
        <v>19</v>
      </c>
      <c r="AX8">
        <v>232</v>
      </c>
      <c r="AY8">
        <v>328</v>
      </c>
      <c r="AZ8">
        <v>560</v>
      </c>
      <c r="BA8">
        <v>198</v>
      </c>
      <c r="BB8">
        <v>170</v>
      </c>
      <c r="BC8">
        <v>368</v>
      </c>
      <c r="BD8">
        <v>87</v>
      </c>
      <c r="BE8">
        <v>88</v>
      </c>
      <c r="BF8">
        <v>175</v>
      </c>
      <c r="BG8">
        <v>337</v>
      </c>
      <c r="BH8">
        <v>268</v>
      </c>
      <c r="BI8">
        <v>605</v>
      </c>
      <c r="BP8">
        <v>395</v>
      </c>
      <c r="BR8">
        <v>289</v>
      </c>
      <c r="BS8">
        <v>82</v>
      </c>
      <c r="BT8">
        <v>34</v>
      </c>
      <c r="BV8">
        <v>54</v>
      </c>
      <c r="BW8">
        <v>854</v>
      </c>
      <c r="BX8">
        <f>IF(C8=C7,IF((CI8-1)=CI7,BW7,"no data"))</f>
        <v>3293</v>
      </c>
      <c r="BY8" s="5">
        <f t="shared" si="2"/>
        <v>-0.74066201032493162</v>
      </c>
      <c r="BZ8" s="6">
        <f t="shared" si="3"/>
        <v>-0.74066201032493162</v>
      </c>
      <c r="CA8" s="7">
        <v>43779</v>
      </c>
      <c r="CE8">
        <v>331</v>
      </c>
      <c r="CF8">
        <v>183</v>
      </c>
      <c r="CG8">
        <v>163</v>
      </c>
      <c r="CH8">
        <v>177</v>
      </c>
      <c r="CI8">
        <f t="shared" si="0"/>
        <v>2019</v>
      </c>
      <c r="CJ8" t="str">
        <f t="shared" si="1"/>
        <v>3569_2019</v>
      </c>
    </row>
    <row r="9" spans="1:88" x14ac:dyDescent="0.25">
      <c r="A9" t="s">
        <v>79</v>
      </c>
      <c r="B9" t="s">
        <v>84</v>
      </c>
      <c r="C9">
        <v>3607</v>
      </c>
      <c r="D9">
        <v>-33.776485000000001</v>
      </c>
      <c r="E9">
        <v>150.963695</v>
      </c>
      <c r="F9">
        <v>3</v>
      </c>
      <c r="G9" t="s">
        <v>85</v>
      </c>
      <c r="H9">
        <v>41</v>
      </c>
      <c r="I9">
        <v>221</v>
      </c>
      <c r="J9">
        <v>135</v>
      </c>
      <c r="K9">
        <v>315</v>
      </c>
      <c r="L9">
        <v>319</v>
      </c>
      <c r="M9">
        <v>139</v>
      </c>
      <c r="T9">
        <v>2</v>
      </c>
      <c r="U9">
        <v>5</v>
      </c>
      <c r="Y9">
        <v>1</v>
      </c>
      <c r="Z9">
        <v>20</v>
      </c>
      <c r="AD9">
        <v>6</v>
      </c>
      <c r="AE9">
        <v>20</v>
      </c>
      <c r="AX9">
        <v>7</v>
      </c>
      <c r="AY9">
        <v>7</v>
      </c>
      <c r="AZ9">
        <v>14</v>
      </c>
      <c r="BA9">
        <v>21</v>
      </c>
      <c r="BB9">
        <v>22</v>
      </c>
      <c r="BC9">
        <v>43</v>
      </c>
      <c r="BD9">
        <v>26</v>
      </c>
      <c r="BE9">
        <v>25</v>
      </c>
      <c r="BF9">
        <v>51</v>
      </c>
      <c r="BP9">
        <v>39</v>
      </c>
      <c r="BR9">
        <v>9</v>
      </c>
      <c r="BS9">
        <v>0</v>
      </c>
      <c r="BT9">
        <v>4</v>
      </c>
      <c r="BV9">
        <v>2</v>
      </c>
      <c r="BW9">
        <v>54</v>
      </c>
      <c r="BX9" t="s">
        <v>82</v>
      </c>
      <c r="BY9" s="5"/>
      <c r="BZ9" s="6"/>
      <c r="CA9" s="7">
        <v>43051</v>
      </c>
      <c r="CE9">
        <v>27</v>
      </c>
      <c r="CF9">
        <v>13</v>
      </c>
      <c r="CG9">
        <v>11</v>
      </c>
      <c r="CH9">
        <v>3</v>
      </c>
      <c r="CI9">
        <f t="shared" si="0"/>
        <v>2017</v>
      </c>
      <c r="CJ9" t="str">
        <f t="shared" si="1"/>
        <v>3607_2017</v>
      </c>
    </row>
    <row r="10" spans="1:88" x14ac:dyDescent="0.25">
      <c r="A10" t="s">
        <v>79</v>
      </c>
      <c r="B10" t="s">
        <v>84</v>
      </c>
      <c r="C10">
        <v>3607</v>
      </c>
      <c r="D10">
        <v>-33.776485000000001</v>
      </c>
      <c r="E10">
        <v>150.963695</v>
      </c>
      <c r="F10">
        <v>3</v>
      </c>
      <c r="G10" t="s">
        <v>85</v>
      </c>
      <c r="H10">
        <v>41</v>
      </c>
      <c r="I10">
        <v>221</v>
      </c>
      <c r="J10">
        <v>135</v>
      </c>
      <c r="K10">
        <v>315</v>
      </c>
      <c r="L10">
        <v>319</v>
      </c>
      <c r="M10">
        <v>139</v>
      </c>
      <c r="T10">
        <v>3</v>
      </c>
      <c r="U10">
        <v>6</v>
      </c>
      <c r="Y10">
        <v>0</v>
      </c>
      <c r="Z10">
        <v>19</v>
      </c>
      <c r="AD10">
        <v>8</v>
      </c>
      <c r="AE10">
        <v>27</v>
      </c>
      <c r="AX10">
        <v>9</v>
      </c>
      <c r="AY10">
        <v>8</v>
      </c>
      <c r="AZ10">
        <v>17</v>
      </c>
      <c r="BA10">
        <v>19</v>
      </c>
      <c r="BB10">
        <v>30</v>
      </c>
      <c r="BC10">
        <v>49</v>
      </c>
      <c r="BD10">
        <v>35</v>
      </c>
      <c r="BE10">
        <v>25</v>
      </c>
      <c r="BF10">
        <v>60</v>
      </c>
      <c r="BP10">
        <v>36</v>
      </c>
      <c r="BR10">
        <v>14</v>
      </c>
      <c r="BS10">
        <v>4</v>
      </c>
      <c r="BT10">
        <v>8</v>
      </c>
      <c r="BV10">
        <v>1</v>
      </c>
      <c r="BW10">
        <v>63</v>
      </c>
      <c r="BX10">
        <f>IF(C10=C9,IF((CI10-1)=CI9,BW9,"no data"))</f>
        <v>54</v>
      </c>
      <c r="BY10" s="5">
        <f t="shared" si="2"/>
        <v>0.16666666666666666</v>
      </c>
      <c r="BZ10" s="6">
        <f t="shared" si="3"/>
        <v>0.16666666666666666</v>
      </c>
      <c r="CA10" s="7">
        <v>43415</v>
      </c>
      <c r="CE10">
        <v>33</v>
      </c>
      <c r="CF10">
        <v>20</v>
      </c>
      <c r="CG10">
        <v>8</v>
      </c>
      <c r="CH10">
        <v>2</v>
      </c>
      <c r="CI10">
        <f t="shared" si="0"/>
        <v>2018</v>
      </c>
      <c r="CJ10" t="str">
        <f t="shared" si="1"/>
        <v>3607_2018</v>
      </c>
    </row>
    <row r="11" spans="1:88" x14ac:dyDescent="0.25">
      <c r="A11" t="s">
        <v>79</v>
      </c>
      <c r="B11" t="s">
        <v>84</v>
      </c>
      <c r="C11">
        <v>3607</v>
      </c>
      <c r="D11">
        <v>-33.776499999999999</v>
      </c>
      <c r="E11">
        <v>150.96369999999999</v>
      </c>
      <c r="F11">
        <v>3</v>
      </c>
      <c r="G11" t="s">
        <v>85</v>
      </c>
      <c r="H11">
        <v>41</v>
      </c>
      <c r="I11">
        <v>221</v>
      </c>
      <c r="J11">
        <v>135</v>
      </c>
      <c r="K11">
        <v>315</v>
      </c>
      <c r="L11">
        <v>319</v>
      </c>
      <c r="M11">
        <v>139</v>
      </c>
      <c r="T11">
        <v>2</v>
      </c>
      <c r="U11">
        <v>5</v>
      </c>
      <c r="Y11">
        <v>0</v>
      </c>
      <c r="Z11">
        <v>33</v>
      </c>
      <c r="AD11">
        <v>1</v>
      </c>
      <c r="AE11">
        <v>34</v>
      </c>
      <c r="AX11">
        <v>7</v>
      </c>
      <c r="AY11">
        <v>1</v>
      </c>
      <c r="AZ11">
        <v>8</v>
      </c>
      <c r="BA11">
        <v>33</v>
      </c>
      <c r="BB11">
        <v>36</v>
      </c>
      <c r="BC11">
        <v>69</v>
      </c>
      <c r="BD11">
        <v>35</v>
      </c>
      <c r="BE11">
        <v>38</v>
      </c>
      <c r="BF11">
        <v>73</v>
      </c>
      <c r="BP11">
        <v>38</v>
      </c>
      <c r="BR11">
        <v>20</v>
      </c>
      <c r="BS11">
        <v>0</v>
      </c>
      <c r="BT11">
        <v>4</v>
      </c>
      <c r="BV11">
        <v>13</v>
      </c>
      <c r="BW11">
        <v>75</v>
      </c>
      <c r="BX11">
        <f>IF(C11=C10,IF((CI11-1)=CI10,BW10,"no data"))</f>
        <v>63</v>
      </c>
      <c r="BY11" s="5">
        <f>(BW11-BX11)/BX11</f>
        <v>0.19047619047619047</v>
      </c>
      <c r="BZ11" s="6">
        <f t="shared" si="3"/>
        <v>0.19047619047619047</v>
      </c>
      <c r="CA11" s="7">
        <v>43779</v>
      </c>
      <c r="CE11">
        <v>29</v>
      </c>
      <c r="CF11">
        <v>14</v>
      </c>
      <c r="CG11">
        <v>17</v>
      </c>
      <c r="CH11">
        <v>15</v>
      </c>
      <c r="CI11">
        <f t="shared" si="0"/>
        <v>2019</v>
      </c>
      <c r="CJ11" t="str">
        <f t="shared" si="1"/>
        <v>3607_2019</v>
      </c>
    </row>
    <row r="12" spans="1:88" x14ac:dyDescent="0.25">
      <c r="A12" t="s">
        <v>79</v>
      </c>
      <c r="B12" t="s">
        <v>84</v>
      </c>
      <c r="C12">
        <v>3607</v>
      </c>
      <c r="D12">
        <v>-33.776499999999999</v>
      </c>
      <c r="E12">
        <v>150.96369999999999</v>
      </c>
      <c r="F12">
        <v>3</v>
      </c>
      <c r="G12" t="s">
        <v>86</v>
      </c>
      <c r="H12">
        <v>41</v>
      </c>
      <c r="I12">
        <v>221</v>
      </c>
      <c r="J12">
        <v>135</v>
      </c>
      <c r="K12">
        <v>315</v>
      </c>
      <c r="L12">
        <v>210</v>
      </c>
      <c r="M12">
        <v>30</v>
      </c>
      <c r="N12">
        <v>319</v>
      </c>
      <c r="O12">
        <v>139</v>
      </c>
      <c r="T12">
        <v>6</v>
      </c>
      <c r="U12">
        <v>4</v>
      </c>
      <c r="V12">
        <v>1</v>
      </c>
      <c r="Y12">
        <v>3</v>
      </c>
      <c r="Z12">
        <v>5</v>
      </c>
      <c r="AA12">
        <v>3</v>
      </c>
      <c r="AD12">
        <v>4</v>
      </c>
      <c r="AE12">
        <v>5</v>
      </c>
      <c r="AF12">
        <v>38</v>
      </c>
      <c r="AI12">
        <v>0</v>
      </c>
      <c r="AJ12">
        <v>0</v>
      </c>
      <c r="AK12">
        <v>22</v>
      </c>
      <c r="AX12">
        <v>11</v>
      </c>
      <c r="AY12">
        <v>7</v>
      </c>
      <c r="AZ12">
        <v>18</v>
      </c>
      <c r="BA12">
        <v>11</v>
      </c>
      <c r="BB12">
        <v>11</v>
      </c>
      <c r="BC12">
        <v>22</v>
      </c>
      <c r="BD12">
        <v>47</v>
      </c>
      <c r="BE12">
        <v>31</v>
      </c>
      <c r="BF12">
        <v>78</v>
      </c>
      <c r="BG12">
        <v>22</v>
      </c>
      <c r="BH12">
        <v>42</v>
      </c>
      <c r="BI12">
        <v>64</v>
      </c>
      <c r="BP12">
        <v>54</v>
      </c>
      <c r="BR12">
        <v>24</v>
      </c>
      <c r="BS12">
        <v>4</v>
      </c>
      <c r="BT12">
        <v>7</v>
      </c>
      <c r="BV12">
        <v>2</v>
      </c>
      <c r="BW12">
        <v>91</v>
      </c>
      <c r="BX12">
        <f>IF(C12=C11,IF((CI12-1)=CI11,BW11,"no data"))</f>
        <v>75</v>
      </c>
      <c r="BY12" s="5">
        <f t="shared" ref="BY12:BY75" si="4">(BW12-BX12)/BX12</f>
        <v>0.21333333333333335</v>
      </c>
      <c r="BZ12" s="6">
        <f t="shared" si="3"/>
        <v>0.21333333333333335</v>
      </c>
      <c r="CA12" s="7">
        <v>44143</v>
      </c>
      <c r="CE12">
        <v>29</v>
      </c>
      <c r="CF12">
        <v>21</v>
      </c>
      <c r="CG12">
        <v>26</v>
      </c>
      <c r="CH12">
        <v>15</v>
      </c>
      <c r="CI12">
        <f t="shared" si="0"/>
        <v>2020</v>
      </c>
      <c r="CJ12" t="str">
        <f t="shared" si="1"/>
        <v>3607_2020</v>
      </c>
    </row>
    <row r="13" spans="1:88" x14ac:dyDescent="0.25">
      <c r="A13" t="s">
        <v>79</v>
      </c>
      <c r="B13" t="s">
        <v>84</v>
      </c>
      <c r="C13">
        <v>3608</v>
      </c>
      <c r="D13">
        <v>-33.784565000000001</v>
      </c>
      <c r="E13">
        <v>151.04377099999999</v>
      </c>
      <c r="F13">
        <v>3</v>
      </c>
      <c r="G13" t="s">
        <v>87</v>
      </c>
      <c r="H13">
        <v>37</v>
      </c>
      <c r="I13">
        <v>217</v>
      </c>
      <c r="J13">
        <v>174</v>
      </c>
      <c r="K13">
        <v>354</v>
      </c>
      <c r="L13">
        <v>249</v>
      </c>
      <c r="M13">
        <v>69</v>
      </c>
      <c r="T13">
        <v>8</v>
      </c>
      <c r="U13">
        <v>14</v>
      </c>
      <c r="Y13">
        <v>20</v>
      </c>
      <c r="Z13">
        <v>6</v>
      </c>
      <c r="AD13">
        <v>16</v>
      </c>
      <c r="AE13">
        <v>1</v>
      </c>
      <c r="AX13">
        <v>22</v>
      </c>
      <c r="AY13">
        <v>36</v>
      </c>
      <c r="AZ13">
        <v>58</v>
      </c>
      <c r="BA13">
        <v>26</v>
      </c>
      <c r="BB13">
        <v>9</v>
      </c>
      <c r="BC13">
        <v>35</v>
      </c>
      <c r="BD13">
        <v>17</v>
      </c>
      <c r="BE13">
        <v>20</v>
      </c>
      <c r="BF13">
        <v>37</v>
      </c>
      <c r="BP13">
        <v>3</v>
      </c>
      <c r="BR13">
        <v>60</v>
      </c>
      <c r="BS13">
        <v>1</v>
      </c>
      <c r="BT13">
        <v>1</v>
      </c>
      <c r="BV13">
        <v>0</v>
      </c>
      <c r="BW13">
        <v>65</v>
      </c>
      <c r="BX13" t="s">
        <v>82</v>
      </c>
      <c r="BY13" s="5"/>
      <c r="BZ13" s="6"/>
      <c r="CA13" s="7">
        <v>43051</v>
      </c>
      <c r="CE13">
        <v>15</v>
      </c>
      <c r="CF13">
        <v>25</v>
      </c>
      <c r="CG13">
        <v>12</v>
      </c>
      <c r="CH13">
        <v>13</v>
      </c>
      <c r="CI13">
        <f t="shared" si="0"/>
        <v>2017</v>
      </c>
      <c r="CJ13" t="str">
        <f t="shared" si="1"/>
        <v>3608_2017</v>
      </c>
    </row>
    <row r="14" spans="1:88" x14ac:dyDescent="0.25">
      <c r="A14" t="s">
        <v>79</v>
      </c>
      <c r="B14" t="s">
        <v>84</v>
      </c>
      <c r="C14">
        <v>3608</v>
      </c>
      <c r="D14">
        <v>-33.784565000000001</v>
      </c>
      <c r="E14">
        <v>151.04377099999999</v>
      </c>
      <c r="F14">
        <v>3</v>
      </c>
      <c r="G14" t="s">
        <v>87</v>
      </c>
      <c r="H14">
        <v>37</v>
      </c>
      <c r="I14">
        <v>217</v>
      </c>
      <c r="J14">
        <v>174</v>
      </c>
      <c r="K14">
        <v>354</v>
      </c>
      <c r="L14">
        <v>249</v>
      </c>
      <c r="M14">
        <v>69</v>
      </c>
      <c r="T14">
        <v>16</v>
      </c>
      <c r="U14">
        <v>14</v>
      </c>
      <c r="Y14">
        <v>28</v>
      </c>
      <c r="Z14">
        <v>8</v>
      </c>
      <c r="AD14">
        <v>21</v>
      </c>
      <c r="AE14">
        <v>6</v>
      </c>
      <c r="AX14">
        <v>30</v>
      </c>
      <c r="AY14">
        <v>49</v>
      </c>
      <c r="AZ14">
        <v>79</v>
      </c>
      <c r="BA14">
        <v>36</v>
      </c>
      <c r="BB14">
        <v>22</v>
      </c>
      <c r="BC14">
        <v>58</v>
      </c>
      <c r="BD14">
        <v>27</v>
      </c>
      <c r="BE14">
        <v>22</v>
      </c>
      <c r="BF14">
        <v>49</v>
      </c>
      <c r="BP14">
        <v>5</v>
      </c>
      <c r="BR14">
        <v>80</v>
      </c>
      <c r="BS14">
        <v>4</v>
      </c>
      <c r="BT14">
        <v>3</v>
      </c>
      <c r="BV14">
        <v>1</v>
      </c>
      <c r="BW14">
        <v>93</v>
      </c>
      <c r="BX14">
        <f>IF(C14=C13,IF((CI14-1)=CI13,BW13,"no data"))</f>
        <v>65</v>
      </c>
      <c r="BY14" s="5">
        <f t="shared" si="4"/>
        <v>0.43076923076923079</v>
      </c>
      <c r="BZ14" s="6">
        <f t="shared" si="3"/>
        <v>0.43076923076923079</v>
      </c>
      <c r="CA14" s="7">
        <v>43415</v>
      </c>
      <c r="CE14">
        <v>31</v>
      </c>
      <c r="CF14">
        <v>29</v>
      </c>
      <c r="CG14">
        <v>25</v>
      </c>
      <c r="CH14">
        <v>8</v>
      </c>
      <c r="CI14">
        <f t="shared" si="0"/>
        <v>2018</v>
      </c>
      <c r="CJ14" t="str">
        <f t="shared" si="1"/>
        <v>3608_2018</v>
      </c>
    </row>
    <row r="15" spans="1:88" x14ac:dyDescent="0.25">
      <c r="A15" t="s">
        <v>79</v>
      </c>
      <c r="B15" t="s">
        <v>84</v>
      </c>
      <c r="C15">
        <v>3608</v>
      </c>
      <c r="D15">
        <v>-33.784599999999998</v>
      </c>
      <c r="E15">
        <v>151.0438</v>
      </c>
      <c r="F15">
        <v>3</v>
      </c>
      <c r="G15" t="s">
        <v>87</v>
      </c>
      <c r="H15">
        <v>37</v>
      </c>
      <c r="I15">
        <v>217</v>
      </c>
      <c r="J15">
        <v>174</v>
      </c>
      <c r="K15">
        <v>354</v>
      </c>
      <c r="L15">
        <v>249</v>
      </c>
      <c r="M15">
        <v>69</v>
      </c>
      <c r="T15">
        <v>10</v>
      </c>
      <c r="U15">
        <v>24</v>
      </c>
      <c r="Y15">
        <v>15</v>
      </c>
      <c r="Z15">
        <v>15</v>
      </c>
      <c r="AD15">
        <v>10</v>
      </c>
      <c r="AE15">
        <v>19</v>
      </c>
      <c r="AX15">
        <v>34</v>
      </c>
      <c r="AY15">
        <v>25</v>
      </c>
      <c r="AZ15">
        <v>59</v>
      </c>
      <c r="BA15">
        <v>30</v>
      </c>
      <c r="BB15">
        <v>29</v>
      </c>
      <c r="BC15">
        <v>59</v>
      </c>
      <c r="BD15">
        <v>29</v>
      </c>
      <c r="BE15">
        <v>39</v>
      </c>
      <c r="BF15">
        <v>68</v>
      </c>
      <c r="BP15">
        <v>7</v>
      </c>
      <c r="BR15">
        <v>79</v>
      </c>
      <c r="BS15">
        <v>2</v>
      </c>
      <c r="BT15">
        <v>2</v>
      </c>
      <c r="BV15">
        <v>3</v>
      </c>
      <c r="BW15">
        <v>93</v>
      </c>
      <c r="BX15">
        <f>IF(C15=C14,IF((CI15-1)=CI14,BW14,"no data"))</f>
        <v>93</v>
      </c>
      <c r="BY15" s="5">
        <f t="shared" si="4"/>
        <v>0</v>
      </c>
      <c r="BZ15" s="6">
        <f t="shared" si="3"/>
        <v>0</v>
      </c>
      <c r="CA15" s="7">
        <v>43779</v>
      </c>
      <c r="CE15">
        <v>13</v>
      </c>
      <c r="CF15">
        <v>39</v>
      </c>
      <c r="CG15">
        <v>26</v>
      </c>
      <c r="CH15">
        <v>15</v>
      </c>
      <c r="CI15">
        <f t="shared" si="0"/>
        <v>2019</v>
      </c>
      <c r="CJ15" t="str">
        <f t="shared" si="1"/>
        <v>3608_2019</v>
      </c>
    </row>
    <row r="16" spans="1:88" x14ac:dyDescent="0.25">
      <c r="A16" t="s">
        <v>79</v>
      </c>
      <c r="B16" t="s">
        <v>84</v>
      </c>
      <c r="C16">
        <v>3612</v>
      </c>
      <c r="D16">
        <v>-33.805951</v>
      </c>
      <c r="E16">
        <v>150.98887999999999</v>
      </c>
      <c r="F16">
        <v>3</v>
      </c>
      <c r="G16" t="s">
        <v>88</v>
      </c>
      <c r="H16">
        <v>40</v>
      </c>
      <c r="I16">
        <v>220</v>
      </c>
      <c r="J16">
        <v>120</v>
      </c>
      <c r="K16">
        <v>300</v>
      </c>
      <c r="L16">
        <v>220</v>
      </c>
      <c r="M16">
        <v>40</v>
      </c>
      <c r="T16">
        <v>78</v>
      </c>
      <c r="U16">
        <v>260</v>
      </c>
      <c r="Y16">
        <v>142</v>
      </c>
      <c r="Z16">
        <v>145</v>
      </c>
      <c r="AD16">
        <v>155</v>
      </c>
      <c r="AE16">
        <v>70</v>
      </c>
      <c r="AX16">
        <v>338</v>
      </c>
      <c r="AY16">
        <v>297</v>
      </c>
      <c r="AZ16">
        <v>635</v>
      </c>
      <c r="BA16">
        <v>287</v>
      </c>
      <c r="BB16">
        <v>148</v>
      </c>
      <c r="BC16">
        <v>435</v>
      </c>
      <c r="BD16">
        <v>225</v>
      </c>
      <c r="BE16">
        <v>405</v>
      </c>
      <c r="BF16">
        <v>630</v>
      </c>
      <c r="BP16">
        <v>68</v>
      </c>
      <c r="BR16">
        <v>764</v>
      </c>
      <c r="BS16">
        <v>9</v>
      </c>
      <c r="BT16">
        <v>0</v>
      </c>
      <c r="BV16">
        <v>9</v>
      </c>
      <c r="BW16">
        <v>850</v>
      </c>
      <c r="BX16" t="s">
        <v>82</v>
      </c>
      <c r="BY16" s="5"/>
      <c r="BZ16" s="6"/>
      <c r="CA16" s="7">
        <v>43051</v>
      </c>
      <c r="CE16">
        <v>166</v>
      </c>
      <c r="CF16">
        <v>251</v>
      </c>
      <c r="CG16">
        <v>200</v>
      </c>
      <c r="CH16">
        <v>233</v>
      </c>
      <c r="CI16">
        <f t="shared" si="0"/>
        <v>2017</v>
      </c>
      <c r="CJ16" t="str">
        <f t="shared" si="1"/>
        <v>3612_2017</v>
      </c>
    </row>
    <row r="17" spans="1:88" x14ac:dyDescent="0.25">
      <c r="A17" t="s">
        <v>79</v>
      </c>
      <c r="B17" t="s">
        <v>84</v>
      </c>
      <c r="C17">
        <v>3612</v>
      </c>
      <c r="D17">
        <v>-33.805951</v>
      </c>
      <c r="E17">
        <v>150.98887999999999</v>
      </c>
      <c r="F17">
        <v>3</v>
      </c>
      <c r="G17" t="s">
        <v>88</v>
      </c>
      <c r="H17">
        <v>40</v>
      </c>
      <c r="I17">
        <v>220</v>
      </c>
      <c r="J17">
        <v>120</v>
      </c>
      <c r="K17">
        <v>300</v>
      </c>
      <c r="L17">
        <v>220</v>
      </c>
      <c r="M17">
        <v>40</v>
      </c>
      <c r="T17">
        <v>76</v>
      </c>
      <c r="U17">
        <v>178</v>
      </c>
      <c r="Y17">
        <v>112</v>
      </c>
      <c r="Z17">
        <v>56</v>
      </c>
      <c r="AD17">
        <v>151</v>
      </c>
      <c r="AE17">
        <v>73</v>
      </c>
      <c r="AX17">
        <v>254</v>
      </c>
      <c r="AY17">
        <v>263</v>
      </c>
      <c r="AZ17">
        <v>517</v>
      </c>
      <c r="BA17">
        <v>168</v>
      </c>
      <c r="BB17">
        <v>149</v>
      </c>
      <c r="BC17">
        <v>317</v>
      </c>
      <c r="BD17">
        <v>224</v>
      </c>
      <c r="BE17">
        <v>234</v>
      </c>
      <c r="BF17">
        <v>458</v>
      </c>
      <c r="BP17">
        <v>64</v>
      </c>
      <c r="BR17">
        <v>563</v>
      </c>
      <c r="BS17">
        <v>12</v>
      </c>
      <c r="BT17">
        <v>1</v>
      </c>
      <c r="BV17">
        <v>6</v>
      </c>
      <c r="BW17">
        <v>646</v>
      </c>
      <c r="BX17">
        <f>IF(C17=C16,IF((CI17-1)=CI16,BW16,"no data"))</f>
        <v>850</v>
      </c>
      <c r="BY17" s="5">
        <f t="shared" si="4"/>
        <v>-0.24</v>
      </c>
      <c r="BZ17" s="6">
        <f t="shared" si="3"/>
        <v>-0.24</v>
      </c>
      <c r="CA17" s="7">
        <v>43415</v>
      </c>
      <c r="CE17">
        <v>170</v>
      </c>
      <c r="CF17">
        <v>188</v>
      </c>
      <c r="CG17">
        <v>169</v>
      </c>
      <c r="CH17">
        <v>119</v>
      </c>
      <c r="CI17">
        <f t="shared" si="0"/>
        <v>2018</v>
      </c>
      <c r="CJ17" t="str">
        <f t="shared" si="1"/>
        <v>3612_2018</v>
      </c>
    </row>
    <row r="18" spans="1:88" x14ac:dyDescent="0.25">
      <c r="A18" t="s">
        <v>79</v>
      </c>
      <c r="B18" t="s">
        <v>84</v>
      </c>
      <c r="C18">
        <v>3612</v>
      </c>
      <c r="D18">
        <v>-33.805999999999997</v>
      </c>
      <c r="E18">
        <v>150.9889</v>
      </c>
      <c r="F18">
        <v>3</v>
      </c>
      <c r="G18" t="s">
        <v>88</v>
      </c>
      <c r="H18">
        <v>40</v>
      </c>
      <c r="I18">
        <v>220</v>
      </c>
      <c r="J18">
        <v>120</v>
      </c>
      <c r="K18">
        <v>300</v>
      </c>
      <c r="L18">
        <v>220</v>
      </c>
      <c r="M18">
        <v>40</v>
      </c>
      <c r="T18">
        <v>33</v>
      </c>
      <c r="U18">
        <v>257</v>
      </c>
      <c r="Y18">
        <v>50</v>
      </c>
      <c r="Z18">
        <v>103</v>
      </c>
      <c r="AD18">
        <v>121</v>
      </c>
      <c r="AE18">
        <v>131</v>
      </c>
      <c r="AX18">
        <v>290</v>
      </c>
      <c r="AY18">
        <v>171</v>
      </c>
      <c r="AZ18">
        <v>461</v>
      </c>
      <c r="BA18">
        <v>153</v>
      </c>
      <c r="BB18">
        <v>164</v>
      </c>
      <c r="BC18">
        <v>317</v>
      </c>
      <c r="BD18">
        <v>252</v>
      </c>
      <c r="BE18">
        <v>360</v>
      </c>
      <c r="BF18">
        <v>612</v>
      </c>
      <c r="BP18">
        <v>52</v>
      </c>
      <c r="BR18">
        <v>640</v>
      </c>
      <c r="BS18">
        <v>1</v>
      </c>
      <c r="BT18">
        <v>2</v>
      </c>
      <c r="BV18">
        <v>0</v>
      </c>
      <c r="BW18">
        <v>695</v>
      </c>
      <c r="BX18">
        <f>IF(C18=C17,IF((CI18-1)=CI17,BW17,"no data"))</f>
        <v>646</v>
      </c>
      <c r="BY18" s="5">
        <f t="shared" si="4"/>
        <v>7.5851393188854491E-2</v>
      </c>
      <c r="BZ18" s="6">
        <f t="shared" si="3"/>
        <v>7.5851393188854491E-2</v>
      </c>
      <c r="CA18" s="7">
        <v>43779</v>
      </c>
      <c r="CE18">
        <v>128</v>
      </c>
      <c r="CF18">
        <v>190</v>
      </c>
      <c r="CG18">
        <v>184</v>
      </c>
      <c r="CH18">
        <v>193</v>
      </c>
      <c r="CI18">
        <f t="shared" si="0"/>
        <v>2019</v>
      </c>
      <c r="CJ18" t="str">
        <f t="shared" si="1"/>
        <v>3612_2019</v>
      </c>
    </row>
    <row r="19" spans="1:88" x14ac:dyDescent="0.25">
      <c r="A19" t="s">
        <v>79</v>
      </c>
      <c r="B19" t="s">
        <v>84</v>
      </c>
      <c r="C19">
        <v>3612</v>
      </c>
      <c r="D19">
        <v>-33.805999999999997</v>
      </c>
      <c r="E19">
        <v>150.9889</v>
      </c>
      <c r="F19">
        <v>3</v>
      </c>
      <c r="G19" t="s">
        <v>88</v>
      </c>
      <c r="H19">
        <v>40</v>
      </c>
      <c r="I19">
        <v>220</v>
      </c>
      <c r="J19">
        <v>120</v>
      </c>
      <c r="K19">
        <v>300</v>
      </c>
      <c r="L19">
        <v>220</v>
      </c>
      <c r="M19">
        <v>40</v>
      </c>
      <c r="T19">
        <v>73</v>
      </c>
      <c r="U19">
        <v>116</v>
      </c>
      <c r="Y19">
        <v>108</v>
      </c>
      <c r="Z19">
        <v>91</v>
      </c>
      <c r="AD19">
        <v>111</v>
      </c>
      <c r="AE19">
        <v>89</v>
      </c>
      <c r="AX19">
        <v>189</v>
      </c>
      <c r="AY19">
        <v>219</v>
      </c>
      <c r="AZ19">
        <v>408</v>
      </c>
      <c r="BA19">
        <v>199</v>
      </c>
      <c r="BB19">
        <v>162</v>
      </c>
      <c r="BC19">
        <v>361</v>
      </c>
      <c r="BD19">
        <v>200</v>
      </c>
      <c r="BE19">
        <v>207</v>
      </c>
      <c r="BF19">
        <v>407</v>
      </c>
      <c r="BP19">
        <v>100</v>
      </c>
      <c r="BR19">
        <v>478</v>
      </c>
      <c r="BS19">
        <v>6</v>
      </c>
      <c r="BT19">
        <v>2</v>
      </c>
      <c r="BV19">
        <v>2</v>
      </c>
      <c r="BW19">
        <v>588</v>
      </c>
      <c r="BX19">
        <f>IF(C19=C18,IF((CI19-1)=CI18,BW18,"no data"))</f>
        <v>695</v>
      </c>
      <c r="BY19" s="5">
        <f t="shared" si="4"/>
        <v>-0.1539568345323741</v>
      </c>
      <c r="BZ19" s="6">
        <f t="shared" si="3"/>
        <v>-0.1539568345323741</v>
      </c>
      <c r="CA19" s="7">
        <v>44143</v>
      </c>
      <c r="CE19">
        <v>122</v>
      </c>
      <c r="CF19">
        <v>166</v>
      </c>
      <c r="CG19">
        <v>149</v>
      </c>
      <c r="CH19">
        <v>151</v>
      </c>
      <c r="CI19">
        <f t="shared" si="0"/>
        <v>2020</v>
      </c>
      <c r="CJ19" t="str">
        <f t="shared" si="1"/>
        <v>3612_2020</v>
      </c>
    </row>
    <row r="20" spans="1:88" x14ac:dyDescent="0.25">
      <c r="A20" t="s">
        <v>79</v>
      </c>
      <c r="B20" t="s">
        <v>84</v>
      </c>
      <c r="C20">
        <v>3616</v>
      </c>
      <c r="D20">
        <v>-33.812831000000003</v>
      </c>
      <c r="E20">
        <v>151.00031200000001</v>
      </c>
      <c r="F20">
        <v>4</v>
      </c>
      <c r="G20" t="s">
        <v>89</v>
      </c>
      <c r="H20">
        <v>12</v>
      </c>
      <c r="I20">
        <v>192</v>
      </c>
      <c r="J20">
        <v>106</v>
      </c>
      <c r="K20">
        <v>286</v>
      </c>
      <c r="L20">
        <v>195</v>
      </c>
      <c r="M20">
        <v>15</v>
      </c>
      <c r="N20">
        <v>286</v>
      </c>
      <c r="O20">
        <v>106</v>
      </c>
      <c r="T20">
        <v>6</v>
      </c>
      <c r="U20">
        <v>19</v>
      </c>
      <c r="V20">
        <v>16</v>
      </c>
      <c r="Y20">
        <v>2</v>
      </c>
      <c r="Z20">
        <v>5</v>
      </c>
      <c r="AA20">
        <v>132</v>
      </c>
      <c r="AD20">
        <v>25</v>
      </c>
      <c r="AE20">
        <v>16</v>
      </c>
      <c r="AF20">
        <v>20</v>
      </c>
      <c r="AI20">
        <v>21</v>
      </c>
      <c r="AJ20">
        <v>210</v>
      </c>
      <c r="AK20">
        <v>50</v>
      </c>
      <c r="AX20">
        <v>41</v>
      </c>
      <c r="AY20">
        <v>48</v>
      </c>
      <c r="AZ20">
        <v>89</v>
      </c>
      <c r="BA20">
        <v>139</v>
      </c>
      <c r="BB20">
        <v>232</v>
      </c>
      <c r="BC20">
        <v>371</v>
      </c>
      <c r="BD20">
        <v>61</v>
      </c>
      <c r="BE20">
        <v>74</v>
      </c>
      <c r="BF20">
        <v>135</v>
      </c>
      <c r="BG20">
        <v>281</v>
      </c>
      <c r="BH20">
        <v>168</v>
      </c>
      <c r="BI20">
        <v>449</v>
      </c>
      <c r="BP20">
        <v>61</v>
      </c>
      <c r="BR20">
        <v>423</v>
      </c>
      <c r="BS20">
        <v>4</v>
      </c>
      <c r="BT20">
        <v>11</v>
      </c>
      <c r="BV20">
        <v>23</v>
      </c>
      <c r="BW20">
        <v>522</v>
      </c>
      <c r="BX20" t="s">
        <v>82</v>
      </c>
      <c r="BY20" s="5"/>
      <c r="BZ20" s="6"/>
      <c r="CA20" s="7">
        <v>43051</v>
      </c>
      <c r="CE20">
        <v>90</v>
      </c>
      <c r="CF20">
        <v>150</v>
      </c>
      <c r="CG20">
        <v>142</v>
      </c>
      <c r="CH20">
        <v>140</v>
      </c>
      <c r="CI20">
        <f t="shared" si="0"/>
        <v>2017</v>
      </c>
      <c r="CJ20" t="str">
        <f t="shared" si="1"/>
        <v>3616_2017</v>
      </c>
    </row>
    <row r="21" spans="1:88" x14ac:dyDescent="0.25">
      <c r="A21" t="s">
        <v>79</v>
      </c>
      <c r="B21" t="s">
        <v>84</v>
      </c>
      <c r="C21">
        <v>3616</v>
      </c>
      <c r="D21">
        <v>-33.812831000000003</v>
      </c>
      <c r="E21">
        <v>151.00031200000001</v>
      </c>
      <c r="F21">
        <v>4</v>
      </c>
      <c r="G21" t="s">
        <v>89</v>
      </c>
      <c r="H21">
        <v>12</v>
      </c>
      <c r="I21">
        <v>192</v>
      </c>
      <c r="J21">
        <v>106</v>
      </c>
      <c r="K21">
        <v>286</v>
      </c>
      <c r="L21">
        <v>195</v>
      </c>
      <c r="M21">
        <v>15</v>
      </c>
      <c r="N21">
        <v>286</v>
      </c>
      <c r="O21">
        <v>106</v>
      </c>
      <c r="T21">
        <v>16</v>
      </c>
      <c r="U21">
        <v>13</v>
      </c>
      <c r="V21">
        <v>12</v>
      </c>
      <c r="Y21">
        <v>12</v>
      </c>
      <c r="Z21">
        <v>1</v>
      </c>
      <c r="AA21">
        <v>59</v>
      </c>
      <c r="AD21">
        <v>6</v>
      </c>
      <c r="AE21">
        <v>2</v>
      </c>
      <c r="AF21">
        <v>2</v>
      </c>
      <c r="AI21">
        <v>16</v>
      </c>
      <c r="AJ21">
        <v>79</v>
      </c>
      <c r="AK21">
        <v>19</v>
      </c>
      <c r="AX21">
        <v>41</v>
      </c>
      <c r="AY21">
        <v>34</v>
      </c>
      <c r="AZ21">
        <v>75</v>
      </c>
      <c r="BA21">
        <v>72</v>
      </c>
      <c r="BB21">
        <v>97</v>
      </c>
      <c r="BC21">
        <v>169</v>
      </c>
      <c r="BD21">
        <v>10</v>
      </c>
      <c r="BE21">
        <v>33</v>
      </c>
      <c r="BF21">
        <v>43</v>
      </c>
      <c r="BG21">
        <v>114</v>
      </c>
      <c r="BH21">
        <v>73</v>
      </c>
      <c r="BI21">
        <v>187</v>
      </c>
      <c r="BP21">
        <v>18</v>
      </c>
      <c r="BR21">
        <v>199</v>
      </c>
      <c r="BS21">
        <v>8</v>
      </c>
      <c r="BT21">
        <v>0</v>
      </c>
      <c r="BV21">
        <v>12</v>
      </c>
      <c r="BW21">
        <v>237</v>
      </c>
      <c r="BX21">
        <f>IF(C21=C20,IF((CI21-1)=CI20,BW20,"no data"))</f>
        <v>522</v>
      </c>
      <c r="BY21" s="5">
        <f t="shared" si="4"/>
        <v>-0.54597701149425293</v>
      </c>
      <c r="BZ21" s="6">
        <f t="shared" si="3"/>
        <v>-0.54597701149425293</v>
      </c>
      <c r="CA21" s="7">
        <v>43443</v>
      </c>
      <c r="CE21">
        <v>44</v>
      </c>
      <c r="CF21">
        <v>79</v>
      </c>
      <c r="CG21">
        <v>54</v>
      </c>
      <c r="CH21">
        <v>60</v>
      </c>
      <c r="CI21">
        <f t="shared" si="0"/>
        <v>2018</v>
      </c>
      <c r="CJ21" t="str">
        <f t="shared" si="1"/>
        <v>3616_2018</v>
      </c>
    </row>
    <row r="22" spans="1:88" x14ac:dyDescent="0.25">
      <c r="A22" t="s">
        <v>79</v>
      </c>
      <c r="B22" t="s">
        <v>84</v>
      </c>
      <c r="C22">
        <v>3621</v>
      </c>
      <c r="D22">
        <v>-33.815465000000003</v>
      </c>
      <c r="E22">
        <v>151.012269</v>
      </c>
      <c r="F22">
        <v>5</v>
      </c>
      <c r="G22" t="s">
        <v>90</v>
      </c>
      <c r="H22">
        <v>22</v>
      </c>
      <c r="I22">
        <v>202</v>
      </c>
      <c r="J22">
        <v>125</v>
      </c>
      <c r="K22">
        <v>305</v>
      </c>
      <c r="L22">
        <v>197</v>
      </c>
      <c r="M22">
        <v>17</v>
      </c>
      <c r="N22">
        <v>272</v>
      </c>
      <c r="O22">
        <v>92</v>
      </c>
      <c r="P22">
        <v>304</v>
      </c>
      <c r="Q22">
        <v>124</v>
      </c>
      <c r="T22">
        <v>1</v>
      </c>
      <c r="U22">
        <v>53</v>
      </c>
      <c r="V22">
        <v>64</v>
      </c>
      <c r="W22">
        <v>110</v>
      </c>
      <c r="Y22">
        <v>0</v>
      </c>
      <c r="Z22">
        <v>9</v>
      </c>
      <c r="AA22">
        <v>11</v>
      </c>
      <c r="AB22">
        <v>5</v>
      </c>
      <c r="AD22">
        <v>28</v>
      </c>
      <c r="AE22">
        <v>7</v>
      </c>
      <c r="AF22">
        <v>6</v>
      </c>
      <c r="AG22">
        <v>21</v>
      </c>
      <c r="AI22">
        <v>39</v>
      </c>
      <c r="AJ22">
        <v>27</v>
      </c>
      <c r="AK22">
        <v>14</v>
      </c>
      <c r="AL22">
        <v>12</v>
      </c>
      <c r="AN22">
        <v>102</v>
      </c>
      <c r="AO22">
        <v>6</v>
      </c>
      <c r="AP22">
        <v>4</v>
      </c>
      <c r="AQ22">
        <v>5</v>
      </c>
      <c r="AX22">
        <v>228</v>
      </c>
      <c r="AY22">
        <v>169</v>
      </c>
      <c r="AZ22">
        <v>397</v>
      </c>
      <c r="BA22">
        <v>25</v>
      </c>
      <c r="BB22">
        <v>41</v>
      </c>
      <c r="BC22">
        <v>66</v>
      </c>
      <c r="BD22">
        <v>62</v>
      </c>
      <c r="BE22">
        <v>80</v>
      </c>
      <c r="BF22">
        <v>142</v>
      </c>
      <c r="BG22">
        <v>92</v>
      </c>
      <c r="BH22">
        <v>86</v>
      </c>
      <c r="BI22">
        <v>178</v>
      </c>
      <c r="BJ22">
        <v>117</v>
      </c>
      <c r="BK22">
        <v>148</v>
      </c>
      <c r="BL22">
        <v>265</v>
      </c>
      <c r="BP22">
        <v>255</v>
      </c>
      <c r="BR22">
        <v>244</v>
      </c>
      <c r="BS22">
        <v>9</v>
      </c>
      <c r="BT22">
        <v>4</v>
      </c>
      <c r="BV22">
        <v>12</v>
      </c>
      <c r="BW22">
        <v>524</v>
      </c>
      <c r="BX22" t="s">
        <v>82</v>
      </c>
      <c r="BY22" s="5"/>
      <c r="BZ22" s="6"/>
      <c r="CA22" s="7">
        <v>42687</v>
      </c>
      <c r="CE22">
        <v>158</v>
      </c>
      <c r="CF22">
        <v>136</v>
      </c>
      <c r="CG22">
        <v>136</v>
      </c>
      <c r="CH22">
        <v>94</v>
      </c>
      <c r="CI22">
        <f t="shared" si="0"/>
        <v>2016</v>
      </c>
      <c r="CJ22" t="str">
        <f t="shared" si="1"/>
        <v>3621_2016</v>
      </c>
    </row>
    <row r="23" spans="1:88" x14ac:dyDescent="0.25">
      <c r="A23" t="s">
        <v>79</v>
      </c>
      <c r="B23" t="s">
        <v>84</v>
      </c>
      <c r="C23">
        <v>3621</v>
      </c>
      <c r="D23">
        <v>-33.815465000000003</v>
      </c>
      <c r="E23">
        <v>151.012269</v>
      </c>
      <c r="F23">
        <v>5</v>
      </c>
      <c r="G23" t="s">
        <v>90</v>
      </c>
      <c r="H23">
        <v>22</v>
      </c>
      <c r="I23">
        <v>202</v>
      </c>
      <c r="J23">
        <v>125</v>
      </c>
      <c r="K23">
        <v>305</v>
      </c>
      <c r="L23">
        <v>197</v>
      </c>
      <c r="M23">
        <v>17</v>
      </c>
      <c r="N23">
        <v>272</v>
      </c>
      <c r="O23">
        <v>92</v>
      </c>
      <c r="P23">
        <v>304</v>
      </c>
      <c r="Q23">
        <v>124</v>
      </c>
      <c r="T23">
        <v>7</v>
      </c>
      <c r="U23">
        <v>89</v>
      </c>
      <c r="V23">
        <v>34</v>
      </c>
      <c r="W23">
        <v>193</v>
      </c>
      <c r="Y23">
        <v>7</v>
      </c>
      <c r="Z23">
        <v>5</v>
      </c>
      <c r="AA23">
        <v>65</v>
      </c>
      <c r="AB23">
        <v>38</v>
      </c>
      <c r="AD23">
        <v>50</v>
      </c>
      <c r="AE23">
        <v>12</v>
      </c>
      <c r="AF23">
        <v>19</v>
      </c>
      <c r="AG23">
        <v>13</v>
      </c>
      <c r="AI23">
        <v>44</v>
      </c>
      <c r="AJ23">
        <v>77</v>
      </c>
      <c r="AK23">
        <v>2</v>
      </c>
      <c r="AL23">
        <v>24</v>
      </c>
      <c r="AN23">
        <v>127</v>
      </c>
      <c r="AO23">
        <v>53</v>
      </c>
      <c r="AP23">
        <v>10</v>
      </c>
      <c r="AQ23">
        <v>6</v>
      </c>
      <c r="AX23">
        <v>323</v>
      </c>
      <c r="AY23">
        <v>228</v>
      </c>
      <c r="AZ23">
        <v>551</v>
      </c>
      <c r="BA23">
        <v>115</v>
      </c>
      <c r="BB23">
        <v>149</v>
      </c>
      <c r="BC23">
        <v>264</v>
      </c>
      <c r="BD23">
        <v>94</v>
      </c>
      <c r="BE23">
        <v>106</v>
      </c>
      <c r="BF23">
        <v>200</v>
      </c>
      <c r="BG23">
        <v>147</v>
      </c>
      <c r="BH23">
        <v>124</v>
      </c>
      <c r="BI23">
        <v>271</v>
      </c>
      <c r="BJ23">
        <v>196</v>
      </c>
      <c r="BK23">
        <v>268</v>
      </c>
      <c r="BL23">
        <v>464</v>
      </c>
      <c r="BP23">
        <v>350</v>
      </c>
      <c r="BR23">
        <v>458</v>
      </c>
      <c r="BS23">
        <v>24</v>
      </c>
      <c r="BT23">
        <v>14</v>
      </c>
      <c r="BV23">
        <v>29</v>
      </c>
      <c r="BW23">
        <v>875</v>
      </c>
      <c r="BX23">
        <f>IF(C23=C22,IF((CI23-1)=CI22,BW22,"no data"))</f>
        <v>524</v>
      </c>
      <c r="BY23" s="5">
        <f t="shared" si="4"/>
        <v>0.66984732824427484</v>
      </c>
      <c r="BZ23" s="6">
        <f t="shared" si="3"/>
        <v>0.66984732824427484</v>
      </c>
      <c r="CA23" s="7">
        <v>43051</v>
      </c>
      <c r="CE23">
        <v>230</v>
      </c>
      <c r="CF23">
        <v>255</v>
      </c>
      <c r="CG23">
        <v>241</v>
      </c>
      <c r="CH23">
        <v>149</v>
      </c>
      <c r="CI23">
        <f t="shared" si="0"/>
        <v>2017</v>
      </c>
      <c r="CJ23" t="str">
        <f t="shared" si="1"/>
        <v>3621_2017</v>
      </c>
    </row>
    <row r="24" spans="1:88" x14ac:dyDescent="0.25">
      <c r="A24" t="s">
        <v>79</v>
      </c>
      <c r="B24" t="s">
        <v>84</v>
      </c>
      <c r="C24">
        <v>3621</v>
      </c>
      <c r="D24">
        <v>-33.815465000000003</v>
      </c>
      <c r="E24">
        <v>151.012269</v>
      </c>
      <c r="F24">
        <v>5</v>
      </c>
      <c r="G24" t="s">
        <v>90</v>
      </c>
      <c r="H24">
        <v>22</v>
      </c>
      <c r="I24">
        <v>202</v>
      </c>
      <c r="J24">
        <v>125</v>
      </c>
      <c r="K24">
        <v>305</v>
      </c>
      <c r="L24">
        <v>197</v>
      </c>
      <c r="M24">
        <v>17</v>
      </c>
      <c r="N24">
        <v>272</v>
      </c>
      <c r="O24">
        <v>92</v>
      </c>
      <c r="P24">
        <v>304</v>
      </c>
      <c r="Q24">
        <v>124</v>
      </c>
      <c r="T24">
        <v>7</v>
      </c>
      <c r="U24">
        <v>116</v>
      </c>
      <c r="V24">
        <v>315</v>
      </c>
      <c r="W24">
        <v>0</v>
      </c>
      <c r="Y24">
        <v>8</v>
      </c>
      <c r="Z24">
        <v>12</v>
      </c>
      <c r="AA24">
        <v>52</v>
      </c>
      <c r="AB24">
        <v>142</v>
      </c>
      <c r="AD24">
        <v>41</v>
      </c>
      <c r="AE24">
        <v>4</v>
      </c>
      <c r="AF24">
        <v>62</v>
      </c>
      <c r="AG24">
        <v>5</v>
      </c>
      <c r="AI24">
        <v>139</v>
      </c>
      <c r="AJ24">
        <v>20</v>
      </c>
      <c r="AK24">
        <v>20</v>
      </c>
      <c r="AL24">
        <v>66</v>
      </c>
      <c r="AN24">
        <v>0</v>
      </c>
      <c r="AO24">
        <v>98</v>
      </c>
      <c r="AP24">
        <v>0</v>
      </c>
      <c r="AQ24">
        <v>143</v>
      </c>
      <c r="AX24">
        <v>438</v>
      </c>
      <c r="AY24">
        <v>188</v>
      </c>
      <c r="AZ24">
        <v>626</v>
      </c>
      <c r="BA24">
        <v>214</v>
      </c>
      <c r="BB24">
        <v>129</v>
      </c>
      <c r="BC24">
        <v>343</v>
      </c>
      <c r="BD24">
        <v>112</v>
      </c>
      <c r="BE24">
        <v>148</v>
      </c>
      <c r="BF24">
        <v>260</v>
      </c>
      <c r="BG24">
        <v>245</v>
      </c>
      <c r="BH24">
        <v>572</v>
      </c>
      <c r="BI24">
        <v>817</v>
      </c>
      <c r="BJ24">
        <v>241</v>
      </c>
      <c r="BK24">
        <v>213</v>
      </c>
      <c r="BL24">
        <v>454</v>
      </c>
      <c r="BP24">
        <v>531</v>
      </c>
      <c r="BR24">
        <v>683</v>
      </c>
      <c r="BS24">
        <v>25</v>
      </c>
      <c r="BT24">
        <v>11</v>
      </c>
      <c r="BV24">
        <v>0</v>
      </c>
      <c r="BW24">
        <v>1250</v>
      </c>
      <c r="BX24">
        <f>IF(C24=C23,IF((CI24-1)=CI23,BW23,"no data"))</f>
        <v>875</v>
      </c>
      <c r="BY24" s="5">
        <f t="shared" si="4"/>
        <v>0.42857142857142855</v>
      </c>
      <c r="BZ24" s="6">
        <f t="shared" si="3"/>
        <v>0.42857142857142855</v>
      </c>
      <c r="CA24" s="7">
        <v>43415</v>
      </c>
      <c r="CE24">
        <v>307</v>
      </c>
      <c r="CF24">
        <v>327</v>
      </c>
      <c r="CG24">
        <v>324</v>
      </c>
      <c r="CH24">
        <v>292</v>
      </c>
      <c r="CI24">
        <f t="shared" si="0"/>
        <v>2018</v>
      </c>
      <c r="CJ24" t="str">
        <f t="shared" si="1"/>
        <v>3621_2018</v>
      </c>
    </row>
    <row r="25" spans="1:88" x14ac:dyDescent="0.25">
      <c r="A25" t="s">
        <v>79</v>
      </c>
      <c r="B25" t="s">
        <v>84</v>
      </c>
      <c r="C25">
        <v>3621</v>
      </c>
      <c r="D25">
        <v>-33.8155</v>
      </c>
      <c r="E25">
        <v>151.01230000000001</v>
      </c>
      <c r="F25">
        <v>5</v>
      </c>
      <c r="G25" t="s">
        <v>90</v>
      </c>
      <c r="H25">
        <v>22</v>
      </c>
      <c r="I25">
        <v>202</v>
      </c>
      <c r="J25">
        <v>125</v>
      </c>
      <c r="K25">
        <v>305</v>
      </c>
      <c r="L25">
        <v>197</v>
      </c>
      <c r="M25">
        <v>17</v>
      </c>
      <c r="N25">
        <v>272</v>
      </c>
      <c r="O25">
        <v>92</v>
      </c>
      <c r="P25">
        <v>304</v>
      </c>
      <c r="Q25">
        <v>124</v>
      </c>
      <c r="T25">
        <v>0</v>
      </c>
      <c r="U25">
        <v>391</v>
      </c>
      <c r="V25">
        <v>0</v>
      </c>
      <c r="W25">
        <v>0</v>
      </c>
      <c r="Y25">
        <v>0</v>
      </c>
      <c r="Z25">
        <v>0</v>
      </c>
      <c r="AA25">
        <v>29</v>
      </c>
      <c r="AB25">
        <v>135</v>
      </c>
      <c r="AD25">
        <v>310</v>
      </c>
      <c r="AE25">
        <v>1</v>
      </c>
      <c r="AF25">
        <v>0</v>
      </c>
      <c r="AG25">
        <v>0</v>
      </c>
      <c r="AI25">
        <v>0</v>
      </c>
      <c r="AJ25">
        <v>14</v>
      </c>
      <c r="AK25">
        <v>0</v>
      </c>
      <c r="AL25">
        <v>73</v>
      </c>
      <c r="AN25">
        <v>1</v>
      </c>
      <c r="AO25">
        <v>93</v>
      </c>
      <c r="AP25">
        <v>0</v>
      </c>
      <c r="AQ25">
        <v>69</v>
      </c>
      <c r="AX25">
        <v>391</v>
      </c>
      <c r="AY25">
        <v>311</v>
      </c>
      <c r="AZ25">
        <v>702</v>
      </c>
      <c r="BA25">
        <v>164</v>
      </c>
      <c r="BB25">
        <v>108</v>
      </c>
      <c r="BC25">
        <v>272</v>
      </c>
      <c r="BD25">
        <v>311</v>
      </c>
      <c r="BE25">
        <v>391</v>
      </c>
      <c r="BF25">
        <v>702</v>
      </c>
      <c r="BG25">
        <v>87</v>
      </c>
      <c r="BH25">
        <v>98</v>
      </c>
      <c r="BI25">
        <v>185</v>
      </c>
      <c r="BJ25">
        <v>163</v>
      </c>
      <c r="BK25">
        <v>208</v>
      </c>
      <c r="BL25">
        <v>371</v>
      </c>
      <c r="BP25">
        <v>526</v>
      </c>
      <c r="BR25">
        <v>518</v>
      </c>
      <c r="BS25">
        <v>47</v>
      </c>
      <c r="BT25">
        <v>13</v>
      </c>
      <c r="BV25">
        <v>12</v>
      </c>
      <c r="BW25">
        <v>1116</v>
      </c>
      <c r="BX25">
        <f>IF(C25=C24,IF((CI25-1)=CI24,BW24,"no data"))</f>
        <v>1250</v>
      </c>
      <c r="BY25" s="5">
        <f t="shared" si="4"/>
        <v>-0.1072</v>
      </c>
      <c r="BZ25" s="6">
        <f t="shared" si="3"/>
        <v>-0.1072</v>
      </c>
      <c r="CA25" s="7">
        <v>43779</v>
      </c>
      <c r="CE25">
        <v>260</v>
      </c>
      <c r="CF25">
        <v>339</v>
      </c>
      <c r="CG25">
        <v>289</v>
      </c>
      <c r="CH25">
        <v>228</v>
      </c>
      <c r="CI25">
        <f t="shared" si="0"/>
        <v>2019</v>
      </c>
      <c r="CJ25" t="str">
        <f t="shared" si="1"/>
        <v>3621_2019</v>
      </c>
    </row>
    <row r="26" spans="1:88" x14ac:dyDescent="0.25">
      <c r="A26" t="s">
        <v>79</v>
      </c>
      <c r="B26" t="s">
        <v>84</v>
      </c>
      <c r="C26">
        <v>3621</v>
      </c>
      <c r="D26">
        <v>-33.8155</v>
      </c>
      <c r="E26">
        <v>151.01230000000001</v>
      </c>
      <c r="F26">
        <v>5</v>
      </c>
      <c r="G26" t="s">
        <v>90</v>
      </c>
      <c r="H26">
        <v>22</v>
      </c>
      <c r="I26">
        <v>202</v>
      </c>
      <c r="J26">
        <v>125</v>
      </c>
      <c r="K26">
        <v>305</v>
      </c>
      <c r="L26">
        <v>197</v>
      </c>
      <c r="M26">
        <v>17</v>
      </c>
      <c r="N26">
        <v>272</v>
      </c>
      <c r="O26">
        <v>92</v>
      </c>
      <c r="P26">
        <v>304</v>
      </c>
      <c r="Q26">
        <v>124</v>
      </c>
      <c r="T26">
        <v>10</v>
      </c>
      <c r="U26">
        <v>51</v>
      </c>
      <c r="V26">
        <v>136</v>
      </c>
      <c r="W26">
        <v>256</v>
      </c>
      <c r="Y26">
        <v>8</v>
      </c>
      <c r="Z26">
        <v>8</v>
      </c>
      <c r="AA26">
        <v>23</v>
      </c>
      <c r="AB26">
        <v>96</v>
      </c>
      <c r="AD26">
        <v>35</v>
      </c>
      <c r="AE26">
        <v>2</v>
      </c>
      <c r="AF26">
        <v>11</v>
      </c>
      <c r="AG26">
        <v>31</v>
      </c>
      <c r="AI26">
        <v>87</v>
      </c>
      <c r="AJ26">
        <v>21</v>
      </c>
      <c r="AK26">
        <v>41</v>
      </c>
      <c r="AL26">
        <v>28</v>
      </c>
      <c r="AN26">
        <v>258</v>
      </c>
      <c r="AO26">
        <v>136</v>
      </c>
      <c r="AP26">
        <v>15</v>
      </c>
      <c r="AQ26">
        <v>40</v>
      </c>
      <c r="AX26">
        <v>453</v>
      </c>
      <c r="AY26">
        <v>388</v>
      </c>
      <c r="AZ26">
        <v>841</v>
      </c>
      <c r="BA26">
        <v>135</v>
      </c>
      <c r="BB26">
        <v>169</v>
      </c>
      <c r="BC26">
        <v>304</v>
      </c>
      <c r="BD26">
        <v>79</v>
      </c>
      <c r="BE26">
        <v>115</v>
      </c>
      <c r="BF26">
        <v>194</v>
      </c>
      <c r="BG26">
        <v>177</v>
      </c>
      <c r="BH26">
        <v>210</v>
      </c>
      <c r="BI26">
        <v>387</v>
      </c>
      <c r="BJ26">
        <v>449</v>
      </c>
      <c r="BK26">
        <v>411</v>
      </c>
      <c r="BL26">
        <v>860</v>
      </c>
      <c r="BP26">
        <v>494</v>
      </c>
      <c r="BR26">
        <v>695</v>
      </c>
      <c r="BS26">
        <v>64</v>
      </c>
      <c r="BT26">
        <v>28</v>
      </c>
      <c r="BV26">
        <v>12</v>
      </c>
      <c r="BW26">
        <v>1293</v>
      </c>
      <c r="BX26">
        <f>IF(C26=C25,IF((CI26-1)=CI25,BW25,"no data"))</f>
        <v>1116</v>
      </c>
      <c r="BY26" s="5">
        <f t="shared" si="4"/>
        <v>0.15860215053763441</v>
      </c>
      <c r="BZ26" s="6">
        <f t="shared" si="3"/>
        <v>0.15860215053763441</v>
      </c>
      <c r="CA26" s="7">
        <v>44143</v>
      </c>
      <c r="CE26">
        <v>325</v>
      </c>
      <c r="CF26">
        <v>306</v>
      </c>
      <c r="CG26">
        <v>365</v>
      </c>
      <c r="CH26">
        <v>297</v>
      </c>
      <c r="CI26">
        <f t="shared" si="0"/>
        <v>2020</v>
      </c>
      <c r="CJ26" t="str">
        <f t="shared" si="1"/>
        <v>3621_2020</v>
      </c>
    </row>
    <row r="27" spans="1:88" x14ac:dyDescent="0.25">
      <c r="A27" t="s">
        <v>79</v>
      </c>
      <c r="B27" t="s">
        <v>91</v>
      </c>
      <c r="C27">
        <v>3631</v>
      </c>
      <c r="D27">
        <v>-33.904029360000003</v>
      </c>
      <c r="E27">
        <v>151.22650329999999</v>
      </c>
      <c r="F27">
        <v>4</v>
      </c>
      <c r="G27" t="s">
        <v>92</v>
      </c>
      <c r="H27">
        <v>38</v>
      </c>
      <c r="I27">
        <v>218</v>
      </c>
      <c r="J27">
        <v>126</v>
      </c>
      <c r="K27">
        <v>306</v>
      </c>
      <c r="L27">
        <v>190</v>
      </c>
      <c r="M27">
        <v>10</v>
      </c>
      <c r="N27">
        <v>308</v>
      </c>
      <c r="O27">
        <v>128</v>
      </c>
      <c r="T27">
        <v>0</v>
      </c>
      <c r="U27">
        <v>0</v>
      </c>
      <c r="V27">
        <v>0</v>
      </c>
      <c r="Y27">
        <v>0</v>
      </c>
      <c r="Z27">
        <v>62</v>
      </c>
      <c r="AA27">
        <v>119</v>
      </c>
      <c r="AD27">
        <v>0</v>
      </c>
      <c r="AE27">
        <v>54</v>
      </c>
      <c r="AF27">
        <v>80</v>
      </c>
      <c r="AI27">
        <v>0</v>
      </c>
      <c r="AJ27">
        <v>113</v>
      </c>
      <c r="AK27">
        <v>41</v>
      </c>
      <c r="AX27">
        <v>0</v>
      </c>
      <c r="AY27">
        <v>0</v>
      </c>
      <c r="AZ27">
        <v>0</v>
      </c>
      <c r="BA27">
        <v>181</v>
      </c>
      <c r="BB27">
        <v>167</v>
      </c>
      <c r="BC27">
        <v>348</v>
      </c>
      <c r="BD27">
        <v>134</v>
      </c>
      <c r="BE27">
        <v>103</v>
      </c>
      <c r="BF27">
        <v>237</v>
      </c>
      <c r="BG27">
        <v>154</v>
      </c>
      <c r="BH27">
        <v>199</v>
      </c>
      <c r="BI27">
        <v>353</v>
      </c>
      <c r="BP27">
        <v>266</v>
      </c>
      <c r="BR27">
        <v>104</v>
      </c>
      <c r="BS27">
        <v>76</v>
      </c>
      <c r="BT27">
        <v>13</v>
      </c>
      <c r="BV27">
        <v>10</v>
      </c>
      <c r="BW27">
        <v>469</v>
      </c>
      <c r="BX27" t="s">
        <v>82</v>
      </c>
      <c r="BY27" s="5"/>
      <c r="BZ27" s="6"/>
      <c r="CA27" s="7">
        <v>43415</v>
      </c>
      <c r="CE27">
        <v>144</v>
      </c>
      <c r="CF27">
        <v>111</v>
      </c>
      <c r="CG27">
        <v>108</v>
      </c>
      <c r="CH27">
        <v>106</v>
      </c>
      <c r="CI27">
        <f t="shared" si="0"/>
        <v>2018</v>
      </c>
      <c r="CJ27" t="str">
        <f t="shared" si="1"/>
        <v>3631_2018</v>
      </c>
    </row>
    <row r="28" spans="1:88" x14ac:dyDescent="0.25">
      <c r="A28" t="s">
        <v>79</v>
      </c>
      <c r="B28" t="s">
        <v>91</v>
      </c>
      <c r="C28">
        <v>3635</v>
      </c>
      <c r="D28">
        <v>-33.909453079999999</v>
      </c>
      <c r="E28">
        <v>151.21909790000001</v>
      </c>
      <c r="F28">
        <v>3</v>
      </c>
      <c r="G28" t="s">
        <v>93</v>
      </c>
      <c r="H28">
        <v>100</v>
      </c>
      <c r="I28">
        <v>280</v>
      </c>
      <c r="J28">
        <v>234</v>
      </c>
      <c r="K28">
        <v>54</v>
      </c>
      <c r="L28">
        <v>324</v>
      </c>
      <c r="M28">
        <v>144</v>
      </c>
      <c r="T28">
        <v>56</v>
      </c>
      <c r="U28">
        <v>112</v>
      </c>
      <c r="Y28">
        <v>103</v>
      </c>
      <c r="Z28">
        <v>14</v>
      </c>
      <c r="AD28">
        <v>118</v>
      </c>
      <c r="AE28">
        <v>14</v>
      </c>
      <c r="AX28">
        <v>168</v>
      </c>
      <c r="AY28">
        <v>221</v>
      </c>
      <c r="AZ28">
        <v>389</v>
      </c>
      <c r="BA28">
        <v>117</v>
      </c>
      <c r="BB28">
        <v>70</v>
      </c>
      <c r="BC28">
        <v>187</v>
      </c>
      <c r="BD28">
        <v>132</v>
      </c>
      <c r="BE28">
        <v>126</v>
      </c>
      <c r="BF28">
        <v>258</v>
      </c>
      <c r="BP28">
        <v>112</v>
      </c>
      <c r="BR28">
        <v>258</v>
      </c>
      <c r="BS28">
        <v>14</v>
      </c>
      <c r="BT28">
        <v>9</v>
      </c>
      <c r="BV28">
        <v>24</v>
      </c>
      <c r="BW28">
        <v>417</v>
      </c>
      <c r="BX28" t="s">
        <v>82</v>
      </c>
      <c r="BY28" s="5"/>
      <c r="BZ28" s="6"/>
      <c r="CA28" s="7">
        <v>43443</v>
      </c>
      <c r="CE28">
        <v>91</v>
      </c>
      <c r="CF28">
        <v>147</v>
      </c>
      <c r="CG28">
        <v>80</v>
      </c>
      <c r="CH28">
        <v>99</v>
      </c>
      <c r="CI28">
        <f t="shared" si="0"/>
        <v>2018</v>
      </c>
      <c r="CJ28" t="str">
        <f t="shared" si="1"/>
        <v>3635_2018</v>
      </c>
    </row>
    <row r="29" spans="1:88" x14ac:dyDescent="0.25">
      <c r="A29" t="s">
        <v>79</v>
      </c>
      <c r="B29" t="s">
        <v>91</v>
      </c>
      <c r="C29">
        <v>3635</v>
      </c>
      <c r="D29">
        <v>-33.909500000000001</v>
      </c>
      <c r="E29">
        <v>151.2191</v>
      </c>
      <c r="F29">
        <v>3</v>
      </c>
      <c r="G29" t="s">
        <v>93</v>
      </c>
      <c r="H29">
        <v>100</v>
      </c>
      <c r="I29">
        <v>280</v>
      </c>
      <c r="J29">
        <v>234</v>
      </c>
      <c r="K29">
        <v>54</v>
      </c>
      <c r="L29">
        <v>324</v>
      </c>
      <c r="M29">
        <v>144</v>
      </c>
      <c r="T29">
        <v>66</v>
      </c>
      <c r="U29">
        <v>82</v>
      </c>
      <c r="Y29">
        <v>89</v>
      </c>
      <c r="Z29">
        <v>26</v>
      </c>
      <c r="AD29">
        <v>125</v>
      </c>
      <c r="AE29">
        <v>31</v>
      </c>
      <c r="AX29">
        <v>148</v>
      </c>
      <c r="AY29">
        <v>214</v>
      </c>
      <c r="AZ29">
        <v>362</v>
      </c>
      <c r="BA29">
        <v>115</v>
      </c>
      <c r="BB29">
        <v>97</v>
      </c>
      <c r="BC29">
        <v>212</v>
      </c>
      <c r="BD29">
        <v>156</v>
      </c>
      <c r="BE29">
        <v>108</v>
      </c>
      <c r="BF29">
        <v>264</v>
      </c>
      <c r="BP29">
        <v>139</v>
      </c>
      <c r="BR29">
        <v>224</v>
      </c>
      <c r="BS29">
        <v>12</v>
      </c>
      <c r="BT29">
        <v>30</v>
      </c>
      <c r="BV29">
        <v>14</v>
      </c>
      <c r="BW29">
        <v>419</v>
      </c>
      <c r="BX29" t="str">
        <f>IF(C29=C28,IF((CI29-1)=CI28,BW28,"no data"))</f>
        <v>no data</v>
      </c>
      <c r="BY29" s="5"/>
      <c r="BZ29" s="6"/>
      <c r="CA29" s="7">
        <v>44143</v>
      </c>
      <c r="CE29">
        <v>118</v>
      </c>
      <c r="CF29">
        <v>120</v>
      </c>
      <c r="CG29">
        <v>93</v>
      </c>
      <c r="CH29">
        <v>88</v>
      </c>
      <c r="CI29">
        <f t="shared" si="0"/>
        <v>2020</v>
      </c>
      <c r="CJ29" t="str">
        <f t="shared" si="1"/>
        <v>3635_2020</v>
      </c>
    </row>
    <row r="30" spans="1:88" x14ac:dyDescent="0.25">
      <c r="A30" t="s">
        <v>79</v>
      </c>
      <c r="B30" t="s">
        <v>91</v>
      </c>
      <c r="C30">
        <v>3635</v>
      </c>
      <c r="D30">
        <v>-33.909453079999999</v>
      </c>
      <c r="E30">
        <v>151.21909790000001</v>
      </c>
      <c r="F30">
        <v>3</v>
      </c>
      <c r="G30" t="s">
        <v>93</v>
      </c>
      <c r="H30">
        <v>100</v>
      </c>
      <c r="I30">
        <v>280</v>
      </c>
      <c r="J30">
        <v>234</v>
      </c>
      <c r="K30">
        <v>54</v>
      </c>
      <c r="L30">
        <v>324</v>
      </c>
      <c r="M30">
        <v>144</v>
      </c>
      <c r="T30">
        <v>55</v>
      </c>
      <c r="U30">
        <v>70</v>
      </c>
      <c r="Y30">
        <v>108</v>
      </c>
      <c r="Z30">
        <v>20</v>
      </c>
      <c r="AD30">
        <v>72</v>
      </c>
      <c r="AE30">
        <v>20</v>
      </c>
      <c r="AX30">
        <v>125</v>
      </c>
      <c r="AY30">
        <v>180</v>
      </c>
      <c r="AZ30">
        <v>305</v>
      </c>
      <c r="BA30">
        <v>128</v>
      </c>
      <c r="BB30">
        <v>75</v>
      </c>
      <c r="BC30">
        <v>203</v>
      </c>
      <c r="BD30">
        <v>92</v>
      </c>
      <c r="BE30">
        <v>90</v>
      </c>
      <c r="BF30">
        <v>182</v>
      </c>
      <c r="BP30">
        <v>87</v>
      </c>
      <c r="BR30">
        <v>212</v>
      </c>
      <c r="BS30">
        <v>17</v>
      </c>
      <c r="BT30">
        <v>29</v>
      </c>
      <c r="BV30">
        <v>0</v>
      </c>
      <c r="BW30">
        <v>345</v>
      </c>
      <c r="BX30">
        <f>IF(C30=C29,IF((CI30-1)=CI29,BW29,"no data"))</f>
        <v>419</v>
      </c>
      <c r="BY30" s="5">
        <f t="shared" si="4"/>
        <v>-0.1766109785202864</v>
      </c>
      <c r="BZ30" s="6">
        <f t="shared" si="3"/>
        <v>-0.1766109785202864</v>
      </c>
      <c r="CA30" s="7">
        <v>44528</v>
      </c>
      <c r="CE30">
        <v>119</v>
      </c>
      <c r="CF30">
        <v>122</v>
      </c>
      <c r="CG30">
        <v>104</v>
      </c>
      <c r="CI30">
        <f t="shared" si="0"/>
        <v>2021</v>
      </c>
      <c r="CJ30" t="str">
        <f t="shared" si="1"/>
        <v>3635_2021</v>
      </c>
    </row>
    <row r="31" spans="1:88" x14ac:dyDescent="0.25">
      <c r="A31" t="s">
        <v>79</v>
      </c>
      <c r="B31" t="s">
        <v>91</v>
      </c>
      <c r="C31">
        <v>3635</v>
      </c>
      <c r="D31">
        <v>-33.909453079999999</v>
      </c>
      <c r="E31">
        <v>151.21909790000001</v>
      </c>
      <c r="F31">
        <v>3</v>
      </c>
      <c r="G31" t="s">
        <v>93</v>
      </c>
      <c r="H31">
        <v>100</v>
      </c>
      <c r="I31">
        <v>280</v>
      </c>
      <c r="J31">
        <v>234</v>
      </c>
      <c r="K31">
        <v>54</v>
      </c>
      <c r="L31">
        <v>324</v>
      </c>
      <c r="M31">
        <v>144</v>
      </c>
      <c r="T31">
        <v>57</v>
      </c>
      <c r="U31">
        <v>58</v>
      </c>
      <c r="Y31">
        <v>68</v>
      </c>
      <c r="Z31">
        <v>28</v>
      </c>
      <c r="AD31">
        <v>62</v>
      </c>
      <c r="AE31">
        <v>22</v>
      </c>
      <c r="AX31">
        <v>115</v>
      </c>
      <c r="AY31">
        <v>130</v>
      </c>
      <c r="AZ31">
        <v>245</v>
      </c>
      <c r="BA31">
        <v>96</v>
      </c>
      <c r="BB31">
        <v>79</v>
      </c>
      <c r="BC31">
        <v>175</v>
      </c>
      <c r="BD31">
        <v>84</v>
      </c>
      <c r="BE31">
        <v>86</v>
      </c>
      <c r="BF31">
        <v>170</v>
      </c>
      <c r="BP31">
        <v>115</v>
      </c>
      <c r="BR31">
        <v>153</v>
      </c>
      <c r="BS31">
        <v>0</v>
      </c>
      <c r="BT31">
        <v>26</v>
      </c>
      <c r="BU31">
        <v>1</v>
      </c>
      <c r="BV31">
        <v>0</v>
      </c>
      <c r="BW31">
        <v>295</v>
      </c>
      <c r="BX31">
        <f>IF(C31=C30,IF((CI31-1)=CI30,BW30,"no data"))</f>
        <v>345</v>
      </c>
      <c r="BY31" s="5">
        <f t="shared" si="4"/>
        <v>-0.14492753623188406</v>
      </c>
      <c r="BZ31" s="6">
        <f t="shared" si="3"/>
        <v>-0.14492753623188406</v>
      </c>
      <c r="CA31" s="7">
        <v>44885</v>
      </c>
      <c r="CE31">
        <v>107</v>
      </c>
      <c r="CF31">
        <v>109</v>
      </c>
      <c r="CG31">
        <v>79</v>
      </c>
      <c r="CI31">
        <f t="shared" si="0"/>
        <v>2022</v>
      </c>
      <c r="CJ31" t="str">
        <f t="shared" si="1"/>
        <v>3635_2022</v>
      </c>
    </row>
    <row r="32" spans="1:88" x14ac:dyDescent="0.25">
      <c r="A32" t="s">
        <v>79</v>
      </c>
      <c r="B32" t="s">
        <v>91</v>
      </c>
      <c r="C32">
        <v>3642</v>
      </c>
      <c r="D32">
        <v>-33.9268</v>
      </c>
      <c r="E32">
        <v>151.23490000000001</v>
      </c>
      <c r="F32">
        <v>4</v>
      </c>
      <c r="G32" t="s">
        <v>94</v>
      </c>
      <c r="H32">
        <v>37</v>
      </c>
      <c r="I32">
        <v>217</v>
      </c>
      <c r="J32">
        <v>100</v>
      </c>
      <c r="K32">
        <v>280</v>
      </c>
      <c r="L32">
        <v>199</v>
      </c>
      <c r="M32">
        <v>19</v>
      </c>
      <c r="N32">
        <v>280</v>
      </c>
      <c r="O32">
        <v>100</v>
      </c>
      <c r="T32">
        <v>7</v>
      </c>
      <c r="U32">
        <v>7</v>
      </c>
      <c r="V32">
        <v>6</v>
      </c>
      <c r="Y32">
        <v>14</v>
      </c>
      <c r="Z32">
        <v>1</v>
      </c>
      <c r="AA32">
        <v>36</v>
      </c>
      <c r="AD32">
        <v>12</v>
      </c>
      <c r="AE32">
        <v>2</v>
      </c>
      <c r="AF32">
        <v>0</v>
      </c>
      <c r="AI32">
        <v>10</v>
      </c>
      <c r="AJ32">
        <v>32</v>
      </c>
      <c r="AK32">
        <v>0</v>
      </c>
      <c r="AX32">
        <v>20</v>
      </c>
      <c r="AY32">
        <v>36</v>
      </c>
      <c r="AZ32">
        <v>56</v>
      </c>
      <c r="BA32">
        <v>51</v>
      </c>
      <c r="BB32">
        <v>41</v>
      </c>
      <c r="BC32">
        <v>92</v>
      </c>
      <c r="BD32">
        <v>14</v>
      </c>
      <c r="BE32">
        <v>8</v>
      </c>
      <c r="BF32">
        <v>22</v>
      </c>
      <c r="BG32">
        <v>42</v>
      </c>
      <c r="BH32">
        <v>42</v>
      </c>
      <c r="BI32">
        <v>84</v>
      </c>
      <c r="BP32">
        <v>26</v>
      </c>
      <c r="BR32">
        <v>74</v>
      </c>
      <c r="BS32">
        <v>5</v>
      </c>
      <c r="BT32">
        <v>22</v>
      </c>
      <c r="BV32">
        <v>0</v>
      </c>
      <c r="BW32">
        <v>127</v>
      </c>
      <c r="BX32" t="s">
        <v>82</v>
      </c>
      <c r="BY32" s="5"/>
      <c r="BZ32" s="6"/>
      <c r="CA32" s="7">
        <v>44143</v>
      </c>
      <c r="CE32">
        <v>34</v>
      </c>
      <c r="CF32">
        <v>26</v>
      </c>
      <c r="CG32">
        <v>39</v>
      </c>
      <c r="CH32">
        <v>28</v>
      </c>
      <c r="CI32">
        <f t="shared" si="0"/>
        <v>2020</v>
      </c>
      <c r="CJ32" t="str">
        <f t="shared" si="1"/>
        <v>3642_2020</v>
      </c>
    </row>
    <row r="33" spans="1:88" x14ac:dyDescent="0.25">
      <c r="A33" t="s">
        <v>79</v>
      </c>
      <c r="B33" t="s">
        <v>91</v>
      </c>
      <c r="C33">
        <v>3643</v>
      </c>
      <c r="D33">
        <v>-33.92751363</v>
      </c>
      <c r="E33">
        <v>151.2431411</v>
      </c>
      <c r="F33">
        <v>3</v>
      </c>
      <c r="G33" t="s">
        <v>95</v>
      </c>
      <c r="H33">
        <v>10</v>
      </c>
      <c r="I33">
        <v>190</v>
      </c>
      <c r="J33">
        <v>100</v>
      </c>
      <c r="K33">
        <v>280</v>
      </c>
      <c r="L33">
        <v>280</v>
      </c>
      <c r="M33">
        <v>100</v>
      </c>
      <c r="T33">
        <v>31</v>
      </c>
      <c r="U33">
        <v>17</v>
      </c>
      <c r="Y33">
        <v>26</v>
      </c>
      <c r="Z33">
        <v>29</v>
      </c>
      <c r="AD33">
        <v>20</v>
      </c>
      <c r="AE33">
        <v>20</v>
      </c>
      <c r="AX33">
        <v>48</v>
      </c>
      <c r="AY33">
        <v>46</v>
      </c>
      <c r="AZ33">
        <v>94</v>
      </c>
      <c r="BA33">
        <v>55</v>
      </c>
      <c r="BB33">
        <v>51</v>
      </c>
      <c r="BC33">
        <v>106</v>
      </c>
      <c r="BD33">
        <v>40</v>
      </c>
      <c r="BE33">
        <v>46</v>
      </c>
      <c r="BF33">
        <v>86</v>
      </c>
      <c r="BP33">
        <v>33</v>
      </c>
      <c r="BR33">
        <v>90</v>
      </c>
      <c r="BS33">
        <v>5</v>
      </c>
      <c r="BT33">
        <v>15</v>
      </c>
      <c r="BV33">
        <v>0</v>
      </c>
      <c r="BW33">
        <v>143</v>
      </c>
      <c r="BX33" t="s">
        <v>82</v>
      </c>
      <c r="BY33" s="5"/>
      <c r="BZ33" s="6"/>
      <c r="CA33" s="7">
        <v>43415</v>
      </c>
      <c r="CE33">
        <v>42</v>
      </c>
      <c r="CF33">
        <v>54</v>
      </c>
      <c r="CG33">
        <v>25</v>
      </c>
      <c r="CH33">
        <v>22</v>
      </c>
      <c r="CI33">
        <f t="shared" si="0"/>
        <v>2018</v>
      </c>
      <c r="CJ33" t="str">
        <f t="shared" si="1"/>
        <v>3643_2018</v>
      </c>
    </row>
    <row r="34" spans="1:88" x14ac:dyDescent="0.25">
      <c r="A34" t="s">
        <v>79</v>
      </c>
      <c r="B34" t="s">
        <v>96</v>
      </c>
      <c r="C34">
        <v>3725</v>
      </c>
      <c r="D34">
        <v>-33.892499999999998</v>
      </c>
      <c r="E34">
        <v>151.1918</v>
      </c>
      <c r="F34">
        <v>4</v>
      </c>
      <c r="G34" t="s">
        <v>97</v>
      </c>
      <c r="H34">
        <v>69</v>
      </c>
      <c r="I34">
        <v>249</v>
      </c>
      <c r="J34">
        <v>159</v>
      </c>
      <c r="K34">
        <v>339</v>
      </c>
      <c r="L34">
        <v>249</v>
      </c>
      <c r="M34">
        <v>69</v>
      </c>
      <c r="N34">
        <v>339</v>
      </c>
      <c r="O34">
        <v>159</v>
      </c>
      <c r="T34">
        <v>39</v>
      </c>
      <c r="U34">
        <v>184</v>
      </c>
      <c r="V34">
        <v>156</v>
      </c>
      <c r="Y34">
        <v>34</v>
      </c>
      <c r="Z34">
        <v>33</v>
      </c>
      <c r="AA34">
        <v>85</v>
      </c>
      <c r="AD34">
        <v>75</v>
      </c>
      <c r="AE34">
        <v>17</v>
      </c>
      <c r="AF34">
        <v>69</v>
      </c>
      <c r="AI34">
        <v>55</v>
      </c>
      <c r="AJ34">
        <v>55</v>
      </c>
      <c r="AK34">
        <v>39</v>
      </c>
      <c r="AX34">
        <v>379</v>
      </c>
      <c r="AY34">
        <v>164</v>
      </c>
      <c r="AZ34">
        <v>543</v>
      </c>
      <c r="BA34">
        <v>152</v>
      </c>
      <c r="BB34">
        <v>111</v>
      </c>
      <c r="BC34">
        <v>263</v>
      </c>
      <c r="BD34">
        <v>161</v>
      </c>
      <c r="BE34">
        <v>256</v>
      </c>
      <c r="BF34">
        <v>417</v>
      </c>
      <c r="BG34">
        <v>149</v>
      </c>
      <c r="BH34">
        <v>310</v>
      </c>
      <c r="BI34">
        <v>459</v>
      </c>
      <c r="BP34">
        <v>81</v>
      </c>
      <c r="BR34">
        <v>713</v>
      </c>
      <c r="BS34">
        <v>19</v>
      </c>
      <c r="BT34">
        <v>13</v>
      </c>
      <c r="BV34">
        <v>15</v>
      </c>
      <c r="BW34">
        <v>841</v>
      </c>
      <c r="BX34" t="s">
        <v>82</v>
      </c>
      <c r="BY34" s="5"/>
      <c r="BZ34" s="6"/>
      <c r="CA34" s="7">
        <v>43415</v>
      </c>
      <c r="CE34">
        <v>94</v>
      </c>
      <c r="CF34">
        <v>230</v>
      </c>
      <c r="CG34">
        <v>243</v>
      </c>
      <c r="CH34">
        <v>274</v>
      </c>
      <c r="CI34">
        <f t="shared" si="0"/>
        <v>2018</v>
      </c>
      <c r="CJ34" t="str">
        <f t="shared" si="1"/>
        <v>3725_2018</v>
      </c>
    </row>
    <row r="35" spans="1:88" x14ac:dyDescent="0.25">
      <c r="A35" t="s">
        <v>79</v>
      </c>
      <c r="B35" t="s">
        <v>98</v>
      </c>
      <c r="C35">
        <v>3803</v>
      </c>
      <c r="D35">
        <v>-33.681600000000003</v>
      </c>
      <c r="E35">
        <v>151.22630000000001</v>
      </c>
      <c r="F35">
        <v>3</v>
      </c>
      <c r="G35" t="s">
        <v>99</v>
      </c>
      <c r="H35">
        <v>139</v>
      </c>
      <c r="I35">
        <v>319</v>
      </c>
      <c r="J35">
        <v>204</v>
      </c>
      <c r="K35">
        <v>24</v>
      </c>
      <c r="L35">
        <v>330</v>
      </c>
      <c r="M35">
        <v>150</v>
      </c>
      <c r="T35">
        <v>58</v>
      </c>
      <c r="U35">
        <v>71</v>
      </c>
      <c r="Y35">
        <v>49</v>
      </c>
      <c r="Z35">
        <v>37</v>
      </c>
      <c r="AD35">
        <v>119</v>
      </c>
      <c r="AE35">
        <v>23</v>
      </c>
      <c r="AX35">
        <v>129</v>
      </c>
      <c r="AY35">
        <v>168</v>
      </c>
      <c r="AZ35">
        <v>297</v>
      </c>
      <c r="BA35">
        <v>86</v>
      </c>
      <c r="BB35">
        <v>81</v>
      </c>
      <c r="BC35">
        <v>167</v>
      </c>
      <c r="BD35">
        <v>142</v>
      </c>
      <c r="BE35">
        <v>108</v>
      </c>
      <c r="BF35">
        <v>250</v>
      </c>
      <c r="BP35">
        <v>209</v>
      </c>
      <c r="BR35">
        <v>115</v>
      </c>
      <c r="BS35">
        <v>1</v>
      </c>
      <c r="BT35">
        <v>14</v>
      </c>
      <c r="BV35">
        <v>18</v>
      </c>
      <c r="BW35">
        <v>357</v>
      </c>
      <c r="BX35" t="s">
        <v>82</v>
      </c>
      <c r="BY35" s="5"/>
      <c r="BZ35" s="6"/>
      <c r="CA35" s="7">
        <v>41952</v>
      </c>
      <c r="CI35">
        <f t="shared" si="0"/>
        <v>2014</v>
      </c>
      <c r="CJ35" t="str">
        <f t="shared" si="1"/>
        <v>3803_2014</v>
      </c>
    </row>
    <row r="36" spans="1:88" x14ac:dyDescent="0.25">
      <c r="A36" t="s">
        <v>79</v>
      </c>
      <c r="B36" t="s">
        <v>98</v>
      </c>
      <c r="C36">
        <v>3803</v>
      </c>
      <c r="D36">
        <v>-33.681600000000003</v>
      </c>
      <c r="E36">
        <v>151.22630000000001</v>
      </c>
      <c r="F36">
        <v>3</v>
      </c>
      <c r="G36" t="s">
        <v>99</v>
      </c>
      <c r="H36">
        <v>139</v>
      </c>
      <c r="I36">
        <v>319</v>
      </c>
      <c r="J36">
        <v>204</v>
      </c>
      <c r="K36">
        <v>24</v>
      </c>
      <c r="L36">
        <v>330</v>
      </c>
      <c r="M36">
        <v>150</v>
      </c>
      <c r="T36">
        <v>41</v>
      </c>
      <c r="U36">
        <v>62</v>
      </c>
      <c r="Y36">
        <v>33</v>
      </c>
      <c r="Z36">
        <v>21</v>
      </c>
      <c r="AD36">
        <v>127</v>
      </c>
      <c r="AE36">
        <v>29</v>
      </c>
      <c r="AX36">
        <v>103</v>
      </c>
      <c r="AY36">
        <v>160</v>
      </c>
      <c r="AZ36">
        <v>263</v>
      </c>
      <c r="BA36">
        <v>54</v>
      </c>
      <c r="BB36">
        <v>70</v>
      </c>
      <c r="BC36">
        <v>124</v>
      </c>
      <c r="BD36">
        <v>156</v>
      </c>
      <c r="BE36">
        <v>83</v>
      </c>
      <c r="BF36">
        <v>239</v>
      </c>
      <c r="BP36">
        <v>205</v>
      </c>
      <c r="BR36">
        <v>82</v>
      </c>
      <c r="BS36">
        <v>7</v>
      </c>
      <c r="BT36">
        <v>12</v>
      </c>
      <c r="BV36">
        <v>7</v>
      </c>
      <c r="BW36">
        <v>313</v>
      </c>
      <c r="BX36">
        <f>IF(C36=C35,IF((CI36-1)=CI35,BW35,"no data"))</f>
        <v>357</v>
      </c>
      <c r="BY36" s="5">
        <f t="shared" si="4"/>
        <v>-0.12324929971988796</v>
      </c>
      <c r="BZ36" s="6">
        <f t="shared" si="3"/>
        <v>-0.12324929971988796</v>
      </c>
      <c r="CA36" s="7">
        <v>42316</v>
      </c>
      <c r="CE36">
        <v>151</v>
      </c>
      <c r="CF36">
        <v>101</v>
      </c>
      <c r="CG36">
        <v>61</v>
      </c>
      <c r="CH36">
        <v>0</v>
      </c>
      <c r="CI36">
        <f t="shared" si="0"/>
        <v>2015</v>
      </c>
      <c r="CJ36" t="str">
        <f t="shared" si="1"/>
        <v>3803_2015</v>
      </c>
    </row>
    <row r="37" spans="1:88" x14ac:dyDescent="0.25">
      <c r="A37" t="s">
        <v>79</v>
      </c>
      <c r="B37" t="s">
        <v>98</v>
      </c>
      <c r="C37">
        <v>3803</v>
      </c>
      <c r="D37">
        <v>-33.681640999999999</v>
      </c>
      <c r="E37">
        <v>151.226316</v>
      </c>
      <c r="F37">
        <v>3</v>
      </c>
      <c r="G37" t="s">
        <v>99</v>
      </c>
      <c r="H37">
        <v>139</v>
      </c>
      <c r="I37">
        <v>319</v>
      </c>
      <c r="J37">
        <v>204</v>
      </c>
      <c r="K37">
        <v>24</v>
      </c>
      <c r="L37">
        <v>330</v>
      </c>
      <c r="M37">
        <v>150</v>
      </c>
      <c r="T37">
        <v>103</v>
      </c>
      <c r="U37">
        <v>199</v>
      </c>
      <c r="Y37">
        <v>55</v>
      </c>
      <c r="Z37">
        <v>10</v>
      </c>
      <c r="AD37">
        <v>244</v>
      </c>
      <c r="AE37">
        <v>49</v>
      </c>
      <c r="AX37">
        <v>302</v>
      </c>
      <c r="AY37">
        <v>299</v>
      </c>
      <c r="AZ37">
        <v>601</v>
      </c>
      <c r="BA37">
        <v>65</v>
      </c>
      <c r="BB37">
        <v>152</v>
      </c>
      <c r="BC37">
        <v>217</v>
      </c>
      <c r="BD37">
        <v>293</v>
      </c>
      <c r="BE37">
        <v>209</v>
      </c>
      <c r="BF37">
        <v>502</v>
      </c>
      <c r="BP37">
        <v>494</v>
      </c>
      <c r="BR37">
        <v>127</v>
      </c>
      <c r="BS37">
        <v>14</v>
      </c>
      <c r="BT37">
        <v>17</v>
      </c>
      <c r="BV37">
        <v>8</v>
      </c>
      <c r="BW37">
        <v>660</v>
      </c>
      <c r="BX37">
        <f>IF(C37=C36,IF((CI37-1)=CI36,BW36,"no data"))</f>
        <v>313</v>
      </c>
      <c r="BY37" s="5">
        <f t="shared" si="4"/>
        <v>1.1086261980830672</v>
      </c>
      <c r="BZ37" s="6">
        <f t="shared" si="3"/>
        <v>1.1086261980830672</v>
      </c>
      <c r="CA37" s="7">
        <v>42687</v>
      </c>
      <c r="CE37">
        <v>227</v>
      </c>
      <c r="CF37">
        <v>197</v>
      </c>
      <c r="CG37">
        <v>141</v>
      </c>
      <c r="CH37">
        <v>95</v>
      </c>
      <c r="CI37">
        <f t="shared" si="0"/>
        <v>2016</v>
      </c>
      <c r="CJ37" t="str">
        <f t="shared" si="1"/>
        <v>3803_2016</v>
      </c>
    </row>
    <row r="38" spans="1:88" x14ac:dyDescent="0.25">
      <c r="A38" t="s">
        <v>79</v>
      </c>
      <c r="B38" t="s">
        <v>98</v>
      </c>
      <c r="C38">
        <v>3806</v>
      </c>
      <c r="D38">
        <v>-33.712000000000003</v>
      </c>
      <c r="E38">
        <v>151.297</v>
      </c>
      <c r="F38">
        <v>4</v>
      </c>
      <c r="G38" t="s">
        <v>100</v>
      </c>
      <c r="H38">
        <v>51</v>
      </c>
      <c r="I38">
        <v>231</v>
      </c>
      <c r="J38">
        <v>169</v>
      </c>
      <c r="K38">
        <v>349</v>
      </c>
      <c r="L38">
        <v>203</v>
      </c>
      <c r="M38">
        <v>23</v>
      </c>
      <c r="N38">
        <v>335</v>
      </c>
      <c r="O38">
        <v>155</v>
      </c>
      <c r="T38">
        <v>18</v>
      </c>
      <c r="U38">
        <v>3</v>
      </c>
      <c r="V38">
        <v>25</v>
      </c>
      <c r="Y38">
        <v>11</v>
      </c>
      <c r="Z38">
        <v>5</v>
      </c>
      <c r="AA38">
        <v>73</v>
      </c>
      <c r="AD38">
        <v>2</v>
      </c>
      <c r="AE38">
        <v>3</v>
      </c>
      <c r="AF38">
        <v>68</v>
      </c>
      <c r="AI38">
        <v>36</v>
      </c>
      <c r="AJ38">
        <v>135</v>
      </c>
      <c r="AK38">
        <v>52</v>
      </c>
      <c r="AX38">
        <v>46</v>
      </c>
      <c r="AY38">
        <v>49</v>
      </c>
      <c r="AZ38">
        <v>95</v>
      </c>
      <c r="BA38">
        <v>89</v>
      </c>
      <c r="BB38">
        <v>156</v>
      </c>
      <c r="BC38">
        <v>245</v>
      </c>
      <c r="BD38">
        <v>73</v>
      </c>
      <c r="BE38">
        <v>60</v>
      </c>
      <c r="BF38">
        <v>133</v>
      </c>
      <c r="BG38">
        <v>223</v>
      </c>
      <c r="BH38">
        <v>166</v>
      </c>
      <c r="BI38">
        <v>389</v>
      </c>
      <c r="BP38">
        <v>139</v>
      </c>
      <c r="BR38">
        <v>245</v>
      </c>
      <c r="BS38">
        <v>34</v>
      </c>
      <c r="BT38">
        <v>9</v>
      </c>
      <c r="BV38">
        <v>4</v>
      </c>
      <c r="BW38">
        <v>431</v>
      </c>
      <c r="BX38" t="s">
        <v>82</v>
      </c>
      <c r="BY38" s="5"/>
      <c r="BZ38" s="6"/>
      <c r="CA38" s="7">
        <v>41588</v>
      </c>
      <c r="CI38">
        <f t="shared" si="0"/>
        <v>2013</v>
      </c>
      <c r="CJ38" t="str">
        <f t="shared" si="1"/>
        <v>3806_2013</v>
      </c>
    </row>
    <row r="39" spans="1:88" x14ac:dyDescent="0.25">
      <c r="A39" t="s">
        <v>79</v>
      </c>
      <c r="B39" t="s">
        <v>98</v>
      </c>
      <c r="C39">
        <v>3806</v>
      </c>
      <c r="D39">
        <v>-33.712000000000003</v>
      </c>
      <c r="E39">
        <v>151.297</v>
      </c>
      <c r="F39">
        <v>4</v>
      </c>
      <c r="G39" t="s">
        <v>100</v>
      </c>
      <c r="H39">
        <v>51</v>
      </c>
      <c r="I39">
        <v>231</v>
      </c>
      <c r="J39">
        <v>169</v>
      </c>
      <c r="K39">
        <v>349</v>
      </c>
      <c r="L39">
        <v>203</v>
      </c>
      <c r="M39">
        <v>23</v>
      </c>
      <c r="N39">
        <v>335</v>
      </c>
      <c r="O39">
        <v>155</v>
      </c>
      <c r="T39">
        <v>8</v>
      </c>
      <c r="U39">
        <v>44</v>
      </c>
      <c r="V39">
        <v>83</v>
      </c>
      <c r="Y39">
        <v>20</v>
      </c>
      <c r="Z39">
        <v>5</v>
      </c>
      <c r="AA39">
        <v>114</v>
      </c>
      <c r="AD39">
        <v>44</v>
      </c>
      <c r="AE39">
        <v>1</v>
      </c>
      <c r="AF39">
        <v>83</v>
      </c>
      <c r="AI39">
        <v>56</v>
      </c>
      <c r="AJ39">
        <v>193</v>
      </c>
      <c r="AK39">
        <v>134</v>
      </c>
      <c r="AX39">
        <v>135</v>
      </c>
      <c r="AY39">
        <v>120</v>
      </c>
      <c r="AZ39">
        <v>255</v>
      </c>
      <c r="BA39">
        <v>139</v>
      </c>
      <c r="BB39">
        <v>202</v>
      </c>
      <c r="BC39">
        <v>341</v>
      </c>
      <c r="BD39">
        <v>128</v>
      </c>
      <c r="BE39">
        <v>183</v>
      </c>
      <c r="BF39">
        <v>311</v>
      </c>
      <c r="BG39">
        <v>383</v>
      </c>
      <c r="BH39">
        <v>280</v>
      </c>
      <c r="BI39">
        <v>663</v>
      </c>
      <c r="BP39">
        <v>387</v>
      </c>
      <c r="BR39">
        <v>276</v>
      </c>
      <c r="BS39">
        <v>39</v>
      </c>
      <c r="BT39">
        <v>26</v>
      </c>
      <c r="BV39">
        <v>57</v>
      </c>
      <c r="BW39">
        <v>785</v>
      </c>
      <c r="BX39">
        <f>IF(C39=C38,IF((CI39-1)=CI38,BW38,"no data"))</f>
        <v>431</v>
      </c>
      <c r="BY39" s="5">
        <f t="shared" si="4"/>
        <v>0.82134570765661252</v>
      </c>
      <c r="BZ39" s="6">
        <f t="shared" si="3"/>
        <v>0.82134570765661252</v>
      </c>
      <c r="CA39" s="7">
        <v>41952</v>
      </c>
      <c r="CI39">
        <f t="shared" si="0"/>
        <v>2014</v>
      </c>
      <c r="CJ39" t="str">
        <f t="shared" si="1"/>
        <v>3806_2014</v>
      </c>
    </row>
    <row r="40" spans="1:88" x14ac:dyDescent="0.25">
      <c r="A40" t="s">
        <v>79</v>
      </c>
      <c r="B40" t="s">
        <v>98</v>
      </c>
      <c r="C40">
        <v>3806</v>
      </c>
      <c r="D40">
        <v>-33.712000000000003</v>
      </c>
      <c r="E40">
        <v>151.297</v>
      </c>
      <c r="F40">
        <v>4</v>
      </c>
      <c r="G40" t="s">
        <v>100</v>
      </c>
      <c r="H40">
        <v>51</v>
      </c>
      <c r="I40">
        <v>231</v>
      </c>
      <c r="J40">
        <v>169</v>
      </c>
      <c r="K40">
        <v>349</v>
      </c>
      <c r="L40">
        <v>203</v>
      </c>
      <c r="M40">
        <v>23</v>
      </c>
      <c r="N40">
        <v>335</v>
      </c>
      <c r="O40">
        <v>155</v>
      </c>
      <c r="T40">
        <v>32</v>
      </c>
      <c r="U40">
        <v>0</v>
      </c>
      <c r="V40">
        <v>23</v>
      </c>
      <c r="Y40">
        <v>26</v>
      </c>
      <c r="Z40">
        <v>0</v>
      </c>
      <c r="AA40">
        <v>191</v>
      </c>
      <c r="AD40">
        <v>0</v>
      </c>
      <c r="AE40">
        <v>0</v>
      </c>
      <c r="AF40">
        <v>384</v>
      </c>
      <c r="AI40">
        <v>52</v>
      </c>
      <c r="AJ40">
        <v>273</v>
      </c>
      <c r="AK40">
        <v>313</v>
      </c>
      <c r="AX40">
        <v>55</v>
      </c>
      <c r="AY40">
        <v>78</v>
      </c>
      <c r="AZ40">
        <v>133</v>
      </c>
      <c r="BA40">
        <v>217</v>
      </c>
      <c r="BB40">
        <v>305</v>
      </c>
      <c r="BC40">
        <v>522</v>
      </c>
      <c r="BD40">
        <v>384</v>
      </c>
      <c r="BE40">
        <v>313</v>
      </c>
      <c r="BF40">
        <v>697</v>
      </c>
      <c r="BG40">
        <v>638</v>
      </c>
      <c r="BH40">
        <v>598</v>
      </c>
      <c r="BI40">
        <v>1236</v>
      </c>
      <c r="BP40">
        <v>524</v>
      </c>
      <c r="BR40">
        <v>562</v>
      </c>
      <c r="BS40">
        <v>105</v>
      </c>
      <c r="BT40">
        <v>77</v>
      </c>
      <c r="BV40">
        <v>26</v>
      </c>
      <c r="BW40">
        <v>1294</v>
      </c>
      <c r="BX40">
        <f>IF(C40=C39,IF((CI40-1)=CI39,BW39,"no data"))</f>
        <v>785</v>
      </c>
      <c r="BY40" s="5">
        <f t="shared" si="4"/>
        <v>0.64840764331210188</v>
      </c>
      <c r="BZ40" s="6">
        <f t="shared" si="3"/>
        <v>0.64840764331210188</v>
      </c>
      <c r="CA40" s="7">
        <v>42316</v>
      </c>
      <c r="CE40">
        <v>349</v>
      </c>
      <c r="CF40">
        <v>328</v>
      </c>
      <c r="CG40">
        <v>323</v>
      </c>
      <c r="CH40">
        <v>294</v>
      </c>
      <c r="CI40">
        <f t="shared" si="0"/>
        <v>2015</v>
      </c>
      <c r="CJ40" t="str">
        <f t="shared" si="1"/>
        <v>3806_2015</v>
      </c>
    </row>
    <row r="41" spans="1:88" x14ac:dyDescent="0.25">
      <c r="A41" t="s">
        <v>79</v>
      </c>
      <c r="B41" t="s">
        <v>98</v>
      </c>
      <c r="C41">
        <v>3806</v>
      </c>
      <c r="D41">
        <v>-33.712020000000003</v>
      </c>
      <c r="E41">
        <v>151.296997</v>
      </c>
      <c r="F41">
        <v>4</v>
      </c>
      <c r="G41" t="s">
        <v>100</v>
      </c>
      <c r="H41">
        <v>51</v>
      </c>
      <c r="I41">
        <v>231</v>
      </c>
      <c r="J41">
        <v>169</v>
      </c>
      <c r="K41">
        <v>349</v>
      </c>
      <c r="L41">
        <v>203</v>
      </c>
      <c r="M41">
        <v>23</v>
      </c>
      <c r="N41">
        <v>335</v>
      </c>
      <c r="O41">
        <v>155</v>
      </c>
      <c r="T41">
        <v>6</v>
      </c>
      <c r="U41">
        <v>0</v>
      </c>
      <c r="V41">
        <v>20</v>
      </c>
      <c r="Y41">
        <v>27</v>
      </c>
      <c r="Z41">
        <v>0</v>
      </c>
      <c r="AA41">
        <v>107</v>
      </c>
      <c r="AD41">
        <v>0</v>
      </c>
      <c r="AE41">
        <v>0</v>
      </c>
      <c r="AF41">
        <v>296</v>
      </c>
      <c r="AI41">
        <v>31</v>
      </c>
      <c r="AJ41">
        <v>168</v>
      </c>
      <c r="AK41">
        <v>268</v>
      </c>
      <c r="AX41">
        <v>26</v>
      </c>
      <c r="AY41">
        <v>58</v>
      </c>
      <c r="AZ41">
        <v>84</v>
      </c>
      <c r="BA41">
        <v>134</v>
      </c>
      <c r="BB41">
        <v>174</v>
      </c>
      <c r="BC41">
        <v>308</v>
      </c>
      <c r="BD41">
        <v>296</v>
      </c>
      <c r="BE41">
        <v>268</v>
      </c>
      <c r="BF41">
        <v>564</v>
      </c>
      <c r="BG41">
        <v>467</v>
      </c>
      <c r="BH41">
        <v>423</v>
      </c>
      <c r="BI41">
        <v>890</v>
      </c>
      <c r="BP41">
        <v>454</v>
      </c>
      <c r="BR41">
        <v>370</v>
      </c>
      <c r="BS41">
        <v>67</v>
      </c>
      <c r="BT41">
        <v>32</v>
      </c>
      <c r="BV41">
        <v>0</v>
      </c>
      <c r="BW41">
        <v>923</v>
      </c>
      <c r="BX41">
        <f>IF(C41=C40,IF((CI41-1)=CI40,BW40,"no data"))</f>
        <v>1294</v>
      </c>
      <c r="BY41" s="5">
        <f t="shared" si="4"/>
        <v>-0.28670788253477592</v>
      </c>
      <c r="BZ41" s="6">
        <f t="shared" si="3"/>
        <v>-0.28670788253477592</v>
      </c>
      <c r="CA41" s="7">
        <v>42687</v>
      </c>
      <c r="CE41">
        <v>243</v>
      </c>
      <c r="CF41">
        <v>272</v>
      </c>
      <c r="CG41">
        <v>173</v>
      </c>
      <c r="CH41">
        <v>235</v>
      </c>
      <c r="CI41">
        <f t="shared" si="0"/>
        <v>2016</v>
      </c>
      <c r="CJ41" t="str">
        <f t="shared" si="1"/>
        <v>3806_2016</v>
      </c>
    </row>
    <row r="42" spans="1:88" x14ac:dyDescent="0.25">
      <c r="A42" t="s">
        <v>79</v>
      </c>
      <c r="B42" t="s">
        <v>98</v>
      </c>
      <c r="C42">
        <v>3807</v>
      </c>
      <c r="D42">
        <v>-33.718200000000003</v>
      </c>
      <c r="E42">
        <v>151.286</v>
      </c>
      <c r="F42">
        <v>2</v>
      </c>
      <c r="G42" t="s">
        <v>101</v>
      </c>
      <c r="H42">
        <v>119</v>
      </c>
      <c r="I42">
        <v>299</v>
      </c>
      <c r="J42">
        <v>318</v>
      </c>
      <c r="K42">
        <v>138</v>
      </c>
      <c r="T42">
        <v>89</v>
      </c>
      <c r="Y42">
        <v>96</v>
      </c>
      <c r="AX42">
        <v>89</v>
      </c>
      <c r="AY42">
        <v>96</v>
      </c>
      <c r="AZ42">
        <v>185</v>
      </c>
      <c r="BA42">
        <v>96</v>
      </c>
      <c r="BB42">
        <v>89</v>
      </c>
      <c r="BC42">
        <v>185</v>
      </c>
      <c r="BP42">
        <v>185</v>
      </c>
      <c r="BR42">
        <v>0</v>
      </c>
      <c r="BS42">
        <v>0</v>
      </c>
      <c r="BT42">
        <v>0</v>
      </c>
      <c r="BV42">
        <v>0</v>
      </c>
      <c r="BW42">
        <v>185</v>
      </c>
      <c r="BX42" t="s">
        <v>82</v>
      </c>
      <c r="BY42" s="5"/>
      <c r="BZ42" s="6"/>
      <c r="CA42" s="7">
        <v>41588</v>
      </c>
      <c r="CI42">
        <f t="shared" si="0"/>
        <v>2013</v>
      </c>
      <c r="CJ42" t="str">
        <f t="shared" si="1"/>
        <v>3807_2013</v>
      </c>
    </row>
    <row r="43" spans="1:88" x14ac:dyDescent="0.25">
      <c r="A43" t="s">
        <v>79</v>
      </c>
      <c r="B43" t="s">
        <v>98</v>
      </c>
      <c r="C43">
        <v>3807</v>
      </c>
      <c r="D43">
        <v>-33.718200000000003</v>
      </c>
      <c r="E43">
        <v>151.286</v>
      </c>
      <c r="F43">
        <v>2</v>
      </c>
      <c r="G43" t="s">
        <v>101</v>
      </c>
      <c r="H43">
        <v>119</v>
      </c>
      <c r="I43">
        <v>299</v>
      </c>
      <c r="J43">
        <v>318</v>
      </c>
      <c r="K43">
        <v>138</v>
      </c>
      <c r="T43">
        <v>180</v>
      </c>
      <c r="Y43">
        <v>180</v>
      </c>
      <c r="AX43">
        <v>180</v>
      </c>
      <c r="AY43">
        <v>180</v>
      </c>
      <c r="AZ43">
        <v>360</v>
      </c>
      <c r="BA43">
        <v>180</v>
      </c>
      <c r="BB43">
        <v>180</v>
      </c>
      <c r="BC43">
        <v>360</v>
      </c>
      <c r="BP43">
        <v>230</v>
      </c>
      <c r="BR43">
        <v>130</v>
      </c>
      <c r="BS43">
        <v>0</v>
      </c>
      <c r="BT43">
        <v>0</v>
      </c>
      <c r="BV43">
        <v>0</v>
      </c>
      <c r="BW43">
        <v>360</v>
      </c>
      <c r="BX43">
        <f>IF(C43=C42,IF((CI43-1)=CI42,BW42,"no data"))</f>
        <v>185</v>
      </c>
      <c r="BY43" s="5">
        <f t="shared" si="4"/>
        <v>0.94594594594594594</v>
      </c>
      <c r="BZ43" s="6">
        <f t="shared" si="3"/>
        <v>0.94594594594594594</v>
      </c>
      <c r="CA43" s="7">
        <v>41952</v>
      </c>
      <c r="CI43">
        <f t="shared" si="0"/>
        <v>2014</v>
      </c>
      <c r="CJ43" t="str">
        <f t="shared" si="1"/>
        <v>3807_2014</v>
      </c>
    </row>
    <row r="44" spans="1:88" x14ac:dyDescent="0.25">
      <c r="A44" t="s">
        <v>79</v>
      </c>
      <c r="B44" t="s">
        <v>98</v>
      </c>
      <c r="C44">
        <v>3807</v>
      </c>
      <c r="D44">
        <v>-33.718200000000003</v>
      </c>
      <c r="E44">
        <v>151.286</v>
      </c>
      <c r="F44">
        <v>2</v>
      </c>
      <c r="G44" t="s">
        <v>101</v>
      </c>
      <c r="H44">
        <v>119</v>
      </c>
      <c r="I44">
        <v>299</v>
      </c>
      <c r="J44">
        <v>318</v>
      </c>
      <c r="K44">
        <v>138</v>
      </c>
      <c r="T44">
        <v>317</v>
      </c>
      <c r="Y44">
        <v>349</v>
      </c>
      <c r="AX44">
        <v>317</v>
      </c>
      <c r="AY44">
        <v>349</v>
      </c>
      <c r="AZ44">
        <v>666</v>
      </c>
      <c r="BA44">
        <v>349</v>
      </c>
      <c r="BB44">
        <v>317</v>
      </c>
      <c r="BC44">
        <v>666</v>
      </c>
      <c r="BP44">
        <v>360</v>
      </c>
      <c r="BR44">
        <v>306</v>
      </c>
      <c r="BS44">
        <v>0</v>
      </c>
      <c r="BT44">
        <v>0</v>
      </c>
      <c r="BV44">
        <v>0</v>
      </c>
      <c r="BW44">
        <v>666</v>
      </c>
      <c r="BX44">
        <f>IF(C44=C43,IF((CI44-1)=CI43,BW43,"no data"))</f>
        <v>360</v>
      </c>
      <c r="BY44" s="5">
        <f t="shared" si="4"/>
        <v>0.85</v>
      </c>
      <c r="BZ44" s="6">
        <f t="shared" si="3"/>
        <v>0.85</v>
      </c>
      <c r="CA44" s="7">
        <v>42316</v>
      </c>
      <c r="CE44">
        <v>141</v>
      </c>
      <c r="CF44">
        <v>187</v>
      </c>
      <c r="CG44">
        <v>153</v>
      </c>
      <c r="CH44">
        <v>185</v>
      </c>
      <c r="CI44">
        <f t="shared" si="0"/>
        <v>2015</v>
      </c>
      <c r="CJ44" t="str">
        <f t="shared" si="1"/>
        <v>3807_2015</v>
      </c>
    </row>
    <row r="45" spans="1:88" x14ac:dyDescent="0.25">
      <c r="A45" t="s">
        <v>79</v>
      </c>
      <c r="B45" t="s">
        <v>98</v>
      </c>
      <c r="C45">
        <v>3807</v>
      </c>
      <c r="D45">
        <v>-33.718240000000002</v>
      </c>
      <c r="E45">
        <v>151.286001</v>
      </c>
      <c r="F45">
        <v>2</v>
      </c>
      <c r="G45" t="s">
        <v>101</v>
      </c>
      <c r="H45">
        <v>119</v>
      </c>
      <c r="I45">
        <v>299</v>
      </c>
      <c r="J45">
        <v>318</v>
      </c>
      <c r="K45">
        <v>138</v>
      </c>
      <c r="BX45">
        <f>IF(C45=C44,IF((CI45-1)=CI44,BW44,"no data"))</f>
        <v>666</v>
      </c>
      <c r="BY45" s="5">
        <f t="shared" si="4"/>
        <v>-1</v>
      </c>
      <c r="BZ45" s="6">
        <f t="shared" si="3"/>
        <v>-1</v>
      </c>
      <c r="CA45" s="7">
        <v>42687</v>
      </c>
      <c r="CI45">
        <f t="shared" si="0"/>
        <v>2016</v>
      </c>
      <c r="CJ45" t="str">
        <f t="shared" si="1"/>
        <v>3807_2016</v>
      </c>
    </row>
    <row r="46" spans="1:88" x14ac:dyDescent="0.25">
      <c r="A46" t="s">
        <v>79</v>
      </c>
      <c r="B46" t="s">
        <v>98</v>
      </c>
      <c r="C46">
        <v>3810</v>
      </c>
      <c r="D46">
        <v>-33.722200000000001</v>
      </c>
      <c r="E46">
        <v>151.21719999999999</v>
      </c>
      <c r="F46">
        <v>4</v>
      </c>
      <c r="G46" t="s">
        <v>102</v>
      </c>
      <c r="H46">
        <v>82</v>
      </c>
      <c r="I46">
        <v>262</v>
      </c>
      <c r="J46">
        <v>149</v>
      </c>
      <c r="K46">
        <v>329</v>
      </c>
      <c r="L46">
        <v>245</v>
      </c>
      <c r="M46">
        <v>65</v>
      </c>
      <c r="N46">
        <v>345</v>
      </c>
      <c r="O46">
        <v>165</v>
      </c>
      <c r="T46">
        <v>0</v>
      </c>
      <c r="U46">
        <v>0</v>
      </c>
      <c r="V46">
        <v>0</v>
      </c>
      <c r="Y46">
        <v>0</v>
      </c>
      <c r="Z46">
        <v>5</v>
      </c>
      <c r="AA46">
        <v>6</v>
      </c>
      <c r="AD46">
        <v>0</v>
      </c>
      <c r="AE46">
        <v>7</v>
      </c>
      <c r="AF46">
        <v>1</v>
      </c>
      <c r="AI46">
        <v>1</v>
      </c>
      <c r="AJ46">
        <v>12</v>
      </c>
      <c r="AK46">
        <v>2</v>
      </c>
      <c r="AX46">
        <v>0</v>
      </c>
      <c r="AY46">
        <v>1</v>
      </c>
      <c r="AZ46">
        <v>1</v>
      </c>
      <c r="BA46">
        <v>11</v>
      </c>
      <c r="BB46">
        <v>19</v>
      </c>
      <c r="BC46">
        <v>30</v>
      </c>
      <c r="BD46">
        <v>8</v>
      </c>
      <c r="BE46">
        <v>7</v>
      </c>
      <c r="BF46">
        <v>15</v>
      </c>
      <c r="BG46">
        <v>15</v>
      </c>
      <c r="BH46">
        <v>7</v>
      </c>
      <c r="BI46">
        <v>22</v>
      </c>
      <c r="BP46">
        <v>20</v>
      </c>
      <c r="BR46">
        <v>3</v>
      </c>
      <c r="BS46">
        <v>3</v>
      </c>
      <c r="BT46">
        <v>8</v>
      </c>
      <c r="BV46">
        <v>0</v>
      </c>
      <c r="BW46">
        <v>34</v>
      </c>
      <c r="BX46" t="s">
        <v>82</v>
      </c>
      <c r="BY46" s="5"/>
      <c r="BZ46" s="6"/>
      <c r="CA46" s="7">
        <v>41588</v>
      </c>
      <c r="CI46">
        <f t="shared" si="0"/>
        <v>2013</v>
      </c>
      <c r="CJ46" t="str">
        <f t="shared" si="1"/>
        <v>3810_2013</v>
      </c>
    </row>
    <row r="47" spans="1:88" x14ac:dyDescent="0.25">
      <c r="A47" t="s">
        <v>79</v>
      </c>
      <c r="B47" t="s">
        <v>98</v>
      </c>
      <c r="C47">
        <v>3810</v>
      </c>
      <c r="D47">
        <v>-33.722200000000001</v>
      </c>
      <c r="E47">
        <v>151.21719999999999</v>
      </c>
      <c r="F47">
        <v>4</v>
      </c>
      <c r="G47" t="s">
        <v>102</v>
      </c>
      <c r="H47">
        <v>82</v>
      </c>
      <c r="I47">
        <v>262</v>
      </c>
      <c r="J47">
        <v>149</v>
      </c>
      <c r="K47">
        <v>329</v>
      </c>
      <c r="L47">
        <v>245</v>
      </c>
      <c r="M47">
        <v>65</v>
      </c>
      <c r="N47">
        <v>345</v>
      </c>
      <c r="O47">
        <v>165</v>
      </c>
      <c r="T47">
        <v>4</v>
      </c>
      <c r="U47">
        <v>0</v>
      </c>
      <c r="V47">
        <v>2</v>
      </c>
      <c r="Y47">
        <v>2</v>
      </c>
      <c r="Z47">
        <v>9</v>
      </c>
      <c r="AA47">
        <v>34</v>
      </c>
      <c r="AD47">
        <v>3</v>
      </c>
      <c r="AE47">
        <v>2</v>
      </c>
      <c r="AF47">
        <v>4</v>
      </c>
      <c r="AI47">
        <v>6</v>
      </c>
      <c r="AJ47">
        <v>181</v>
      </c>
      <c r="AK47">
        <v>11</v>
      </c>
      <c r="AX47">
        <v>6</v>
      </c>
      <c r="AY47">
        <v>11</v>
      </c>
      <c r="AZ47">
        <v>17</v>
      </c>
      <c r="BA47">
        <v>45</v>
      </c>
      <c r="BB47">
        <v>187</v>
      </c>
      <c r="BC47">
        <v>232</v>
      </c>
      <c r="BD47">
        <v>9</v>
      </c>
      <c r="BE47">
        <v>20</v>
      </c>
      <c r="BF47">
        <v>29</v>
      </c>
      <c r="BG47">
        <v>198</v>
      </c>
      <c r="BH47">
        <v>40</v>
      </c>
      <c r="BI47">
        <v>238</v>
      </c>
      <c r="BP47">
        <v>222</v>
      </c>
      <c r="BR47">
        <v>22</v>
      </c>
      <c r="BS47">
        <v>6</v>
      </c>
      <c r="BT47">
        <v>8</v>
      </c>
      <c r="BV47">
        <v>0</v>
      </c>
      <c r="BW47">
        <v>258</v>
      </c>
      <c r="BX47">
        <f>IF(C47=C46,IF((CI47-1)=CI46,BW46,"no data"))</f>
        <v>34</v>
      </c>
      <c r="BY47" s="5">
        <f t="shared" si="4"/>
        <v>6.5882352941176467</v>
      </c>
      <c r="BZ47" s="6">
        <f t="shared" si="3"/>
        <v>6.5882352941176467</v>
      </c>
      <c r="CA47" s="7">
        <v>41952</v>
      </c>
      <c r="CI47">
        <f t="shared" si="0"/>
        <v>2014</v>
      </c>
      <c r="CJ47" t="str">
        <f t="shared" si="1"/>
        <v>3810_2014</v>
      </c>
    </row>
    <row r="48" spans="1:88" x14ac:dyDescent="0.25">
      <c r="A48" t="s">
        <v>79</v>
      </c>
      <c r="B48" t="s">
        <v>98</v>
      </c>
      <c r="C48">
        <v>3810</v>
      </c>
      <c r="D48">
        <v>-33.722200000000001</v>
      </c>
      <c r="E48">
        <v>151.21719999999999</v>
      </c>
      <c r="F48">
        <v>4</v>
      </c>
      <c r="G48" t="s">
        <v>102</v>
      </c>
      <c r="H48">
        <v>82</v>
      </c>
      <c r="I48">
        <v>262</v>
      </c>
      <c r="J48">
        <v>149</v>
      </c>
      <c r="K48">
        <v>329</v>
      </c>
      <c r="L48">
        <v>245</v>
      </c>
      <c r="M48">
        <v>65</v>
      </c>
      <c r="N48">
        <v>345</v>
      </c>
      <c r="O48">
        <v>165</v>
      </c>
      <c r="T48">
        <v>2</v>
      </c>
      <c r="U48">
        <v>3</v>
      </c>
      <c r="V48">
        <v>1</v>
      </c>
      <c r="Y48">
        <v>0</v>
      </c>
      <c r="Z48">
        <v>25</v>
      </c>
      <c r="AA48">
        <v>29</v>
      </c>
      <c r="AD48">
        <v>0</v>
      </c>
      <c r="AE48">
        <v>8</v>
      </c>
      <c r="AF48">
        <v>2</v>
      </c>
      <c r="AI48">
        <v>3</v>
      </c>
      <c r="AJ48">
        <v>152</v>
      </c>
      <c r="AK48">
        <v>6</v>
      </c>
      <c r="AX48">
        <v>6</v>
      </c>
      <c r="AY48">
        <v>3</v>
      </c>
      <c r="AZ48">
        <v>9</v>
      </c>
      <c r="BA48">
        <v>54</v>
      </c>
      <c r="BB48">
        <v>162</v>
      </c>
      <c r="BC48">
        <v>216</v>
      </c>
      <c r="BD48">
        <v>10</v>
      </c>
      <c r="BE48">
        <v>34</v>
      </c>
      <c r="BF48">
        <v>44</v>
      </c>
      <c r="BG48">
        <v>161</v>
      </c>
      <c r="BH48">
        <v>32</v>
      </c>
      <c r="BI48">
        <v>193</v>
      </c>
      <c r="BP48">
        <v>204</v>
      </c>
      <c r="BR48">
        <v>10</v>
      </c>
      <c r="BS48">
        <v>11</v>
      </c>
      <c r="BT48">
        <v>4</v>
      </c>
      <c r="BV48">
        <v>2</v>
      </c>
      <c r="BW48">
        <v>231</v>
      </c>
      <c r="BX48">
        <f>IF(C48=C47,IF((CI48-1)=CI47,BW47,"no data"))</f>
        <v>258</v>
      </c>
      <c r="BY48" s="5">
        <f t="shared" si="4"/>
        <v>-0.10465116279069768</v>
      </c>
      <c r="BZ48" s="6">
        <f t="shared" si="3"/>
        <v>-0.10465116279069768</v>
      </c>
      <c r="CA48" s="7">
        <v>42316</v>
      </c>
      <c r="CE48">
        <v>105</v>
      </c>
      <c r="CF48">
        <v>55</v>
      </c>
      <c r="CG48">
        <v>44</v>
      </c>
      <c r="CH48">
        <v>27</v>
      </c>
      <c r="CI48">
        <f t="shared" si="0"/>
        <v>2015</v>
      </c>
      <c r="CJ48" t="str">
        <f t="shared" si="1"/>
        <v>3810_2015</v>
      </c>
    </row>
    <row r="49" spans="1:88" x14ac:dyDescent="0.25">
      <c r="A49" t="s">
        <v>79</v>
      </c>
      <c r="B49" t="s">
        <v>98</v>
      </c>
      <c r="C49">
        <v>3810</v>
      </c>
      <c r="D49">
        <v>-33.722172</v>
      </c>
      <c r="E49">
        <v>151.21721400000001</v>
      </c>
      <c r="F49">
        <v>4</v>
      </c>
      <c r="G49" t="s">
        <v>102</v>
      </c>
      <c r="H49">
        <v>82</v>
      </c>
      <c r="I49">
        <v>262</v>
      </c>
      <c r="J49">
        <v>149</v>
      </c>
      <c r="K49">
        <v>329</v>
      </c>
      <c r="L49">
        <v>245</v>
      </c>
      <c r="M49">
        <v>65</v>
      </c>
      <c r="N49">
        <v>345</v>
      </c>
      <c r="O49">
        <v>165</v>
      </c>
      <c r="T49">
        <v>1</v>
      </c>
      <c r="U49">
        <v>3</v>
      </c>
      <c r="V49">
        <v>0</v>
      </c>
      <c r="Y49">
        <v>0</v>
      </c>
      <c r="Z49">
        <v>6</v>
      </c>
      <c r="AA49">
        <v>33</v>
      </c>
      <c r="AD49">
        <v>4</v>
      </c>
      <c r="AE49">
        <v>2</v>
      </c>
      <c r="AF49">
        <v>2</v>
      </c>
      <c r="AI49">
        <v>1</v>
      </c>
      <c r="AJ49">
        <v>290</v>
      </c>
      <c r="AK49">
        <v>1</v>
      </c>
      <c r="AX49">
        <v>4</v>
      </c>
      <c r="AY49">
        <v>5</v>
      </c>
      <c r="AZ49">
        <v>9</v>
      </c>
      <c r="BA49">
        <v>39</v>
      </c>
      <c r="BB49">
        <v>293</v>
      </c>
      <c r="BC49">
        <v>332</v>
      </c>
      <c r="BD49">
        <v>8</v>
      </c>
      <c r="BE49">
        <v>10</v>
      </c>
      <c r="BF49">
        <v>18</v>
      </c>
      <c r="BG49">
        <v>292</v>
      </c>
      <c r="BH49">
        <v>35</v>
      </c>
      <c r="BI49">
        <v>327</v>
      </c>
      <c r="BP49">
        <v>332</v>
      </c>
      <c r="BR49">
        <v>8</v>
      </c>
      <c r="BS49">
        <v>3</v>
      </c>
      <c r="BT49">
        <v>0</v>
      </c>
      <c r="BV49">
        <v>0</v>
      </c>
      <c r="BW49">
        <v>343</v>
      </c>
      <c r="BX49">
        <f>IF(C49=C48,IF((CI49-1)=CI48,BW48,"no data"))</f>
        <v>231</v>
      </c>
      <c r="BY49" s="5">
        <f t="shared" si="4"/>
        <v>0.48484848484848486</v>
      </c>
      <c r="BZ49" s="6">
        <f t="shared" si="3"/>
        <v>0.48484848484848486</v>
      </c>
      <c r="CA49" s="7">
        <v>42687</v>
      </c>
      <c r="CE49">
        <v>155</v>
      </c>
      <c r="CF49">
        <v>111</v>
      </c>
      <c r="CG49">
        <v>55</v>
      </c>
      <c r="CH49">
        <v>22</v>
      </c>
      <c r="CI49">
        <f t="shared" si="0"/>
        <v>2016</v>
      </c>
      <c r="CJ49" t="str">
        <f t="shared" si="1"/>
        <v>3810_2016</v>
      </c>
    </row>
    <row r="50" spans="1:88" x14ac:dyDescent="0.25">
      <c r="A50" t="s">
        <v>79</v>
      </c>
      <c r="B50" t="s">
        <v>98</v>
      </c>
      <c r="C50">
        <v>3816</v>
      </c>
      <c r="D50">
        <v>-33.752299999999998</v>
      </c>
      <c r="E50">
        <v>151.23439999999999</v>
      </c>
      <c r="F50">
        <v>4</v>
      </c>
      <c r="G50" t="s">
        <v>103</v>
      </c>
      <c r="H50">
        <v>11</v>
      </c>
      <c r="I50">
        <v>191</v>
      </c>
      <c r="J50">
        <v>101</v>
      </c>
      <c r="K50">
        <v>281</v>
      </c>
      <c r="L50">
        <v>191</v>
      </c>
      <c r="M50">
        <v>11</v>
      </c>
      <c r="N50">
        <v>281</v>
      </c>
      <c r="O50">
        <v>101</v>
      </c>
      <c r="T50">
        <v>0</v>
      </c>
      <c r="U50">
        <v>0</v>
      </c>
      <c r="V50">
        <v>0</v>
      </c>
      <c r="Y50">
        <v>0</v>
      </c>
      <c r="Z50">
        <v>0</v>
      </c>
      <c r="AA50">
        <v>4</v>
      </c>
      <c r="AD50">
        <v>1</v>
      </c>
      <c r="AE50">
        <v>1</v>
      </c>
      <c r="AF50">
        <v>2</v>
      </c>
      <c r="AI50">
        <v>5</v>
      </c>
      <c r="AJ50">
        <v>12</v>
      </c>
      <c r="AK50">
        <v>4</v>
      </c>
      <c r="AX50">
        <v>0</v>
      </c>
      <c r="AY50">
        <v>6</v>
      </c>
      <c r="AZ50">
        <v>6</v>
      </c>
      <c r="BA50">
        <v>4</v>
      </c>
      <c r="BB50">
        <v>13</v>
      </c>
      <c r="BC50">
        <v>17</v>
      </c>
      <c r="BD50">
        <v>4</v>
      </c>
      <c r="BE50">
        <v>4</v>
      </c>
      <c r="BF50">
        <v>8</v>
      </c>
      <c r="BG50">
        <v>21</v>
      </c>
      <c r="BH50">
        <v>6</v>
      </c>
      <c r="BI50">
        <v>27</v>
      </c>
      <c r="BP50">
        <v>20</v>
      </c>
      <c r="BR50">
        <v>6</v>
      </c>
      <c r="BS50">
        <v>1</v>
      </c>
      <c r="BT50">
        <v>0</v>
      </c>
      <c r="BV50">
        <v>2</v>
      </c>
      <c r="BW50">
        <v>29</v>
      </c>
      <c r="BX50" t="s">
        <v>82</v>
      </c>
      <c r="BY50" s="5"/>
      <c r="BZ50" s="6"/>
      <c r="CA50" s="7">
        <v>41588</v>
      </c>
      <c r="CI50">
        <f t="shared" si="0"/>
        <v>2013</v>
      </c>
      <c r="CJ50" t="str">
        <f t="shared" si="1"/>
        <v>3816_2013</v>
      </c>
    </row>
    <row r="51" spans="1:88" x14ac:dyDescent="0.25">
      <c r="A51" t="s">
        <v>79</v>
      </c>
      <c r="B51" t="s">
        <v>98</v>
      </c>
      <c r="C51">
        <v>3816</v>
      </c>
      <c r="D51">
        <v>-33.752299999999998</v>
      </c>
      <c r="E51">
        <v>151.23439999999999</v>
      </c>
      <c r="F51">
        <v>4</v>
      </c>
      <c r="G51" t="s">
        <v>103</v>
      </c>
      <c r="H51">
        <v>11</v>
      </c>
      <c r="I51">
        <v>191</v>
      </c>
      <c r="J51">
        <v>101</v>
      </c>
      <c r="K51">
        <v>281</v>
      </c>
      <c r="L51">
        <v>191</v>
      </c>
      <c r="M51">
        <v>11</v>
      </c>
      <c r="N51">
        <v>281</v>
      </c>
      <c r="O51">
        <v>101</v>
      </c>
      <c r="T51">
        <v>3</v>
      </c>
      <c r="U51">
        <v>27</v>
      </c>
      <c r="V51">
        <v>14</v>
      </c>
      <c r="Y51">
        <v>0</v>
      </c>
      <c r="Z51">
        <v>7</v>
      </c>
      <c r="AA51">
        <v>47</v>
      </c>
      <c r="AD51">
        <v>11</v>
      </c>
      <c r="AE51">
        <v>5</v>
      </c>
      <c r="AF51">
        <v>8</v>
      </c>
      <c r="AI51">
        <v>10</v>
      </c>
      <c r="AJ51">
        <v>60</v>
      </c>
      <c r="AK51">
        <v>76</v>
      </c>
      <c r="AX51">
        <v>44</v>
      </c>
      <c r="AY51">
        <v>21</v>
      </c>
      <c r="AZ51">
        <v>65</v>
      </c>
      <c r="BA51">
        <v>54</v>
      </c>
      <c r="BB51">
        <v>68</v>
      </c>
      <c r="BC51">
        <v>122</v>
      </c>
      <c r="BD51">
        <v>24</v>
      </c>
      <c r="BE51">
        <v>110</v>
      </c>
      <c r="BF51">
        <v>134</v>
      </c>
      <c r="BG51">
        <v>146</v>
      </c>
      <c r="BH51">
        <v>69</v>
      </c>
      <c r="BI51">
        <v>215</v>
      </c>
      <c r="BP51">
        <v>195</v>
      </c>
      <c r="BR51">
        <v>67</v>
      </c>
      <c r="BS51">
        <v>3</v>
      </c>
      <c r="BT51">
        <v>3</v>
      </c>
      <c r="BV51">
        <v>0</v>
      </c>
      <c r="BW51">
        <v>268</v>
      </c>
      <c r="BX51">
        <f>IF(C51=C50,IF((CI51-1)=CI50,BW50,"no data"))</f>
        <v>29</v>
      </c>
      <c r="BY51" s="5">
        <f t="shared" si="4"/>
        <v>8.2413793103448274</v>
      </c>
      <c r="BZ51" s="6">
        <f t="shared" si="3"/>
        <v>8.2413793103448274</v>
      </c>
      <c r="CA51" s="7">
        <v>41952</v>
      </c>
      <c r="CI51">
        <f t="shared" si="0"/>
        <v>2014</v>
      </c>
      <c r="CJ51" t="str">
        <f t="shared" si="1"/>
        <v>3816_2014</v>
      </c>
    </row>
    <row r="52" spans="1:88" x14ac:dyDescent="0.25">
      <c r="A52" t="s">
        <v>79</v>
      </c>
      <c r="B52" t="s">
        <v>98</v>
      </c>
      <c r="C52">
        <v>3816</v>
      </c>
      <c r="D52">
        <v>-33.752299999999998</v>
      </c>
      <c r="E52">
        <v>151.23439999999999</v>
      </c>
      <c r="F52">
        <v>4</v>
      </c>
      <c r="G52" t="s">
        <v>103</v>
      </c>
      <c r="H52">
        <v>11</v>
      </c>
      <c r="I52">
        <v>191</v>
      </c>
      <c r="J52">
        <v>101</v>
      </c>
      <c r="K52">
        <v>281</v>
      </c>
      <c r="L52">
        <v>191</v>
      </c>
      <c r="M52">
        <v>11</v>
      </c>
      <c r="N52">
        <v>281</v>
      </c>
      <c r="O52">
        <v>101</v>
      </c>
      <c r="T52">
        <v>1</v>
      </c>
      <c r="U52">
        <v>22</v>
      </c>
      <c r="V52">
        <v>21</v>
      </c>
      <c r="Y52">
        <v>2</v>
      </c>
      <c r="Z52">
        <v>8</v>
      </c>
      <c r="AA52">
        <v>23</v>
      </c>
      <c r="AD52">
        <v>22</v>
      </c>
      <c r="AE52">
        <v>3</v>
      </c>
      <c r="AF52">
        <v>18</v>
      </c>
      <c r="AI52">
        <v>12</v>
      </c>
      <c r="AJ52">
        <v>71</v>
      </c>
      <c r="AK52">
        <v>106</v>
      </c>
      <c r="AX52">
        <v>44</v>
      </c>
      <c r="AY52">
        <v>36</v>
      </c>
      <c r="AZ52">
        <v>80</v>
      </c>
      <c r="BA52">
        <v>33</v>
      </c>
      <c r="BB52">
        <v>75</v>
      </c>
      <c r="BC52">
        <v>108</v>
      </c>
      <c r="BD52">
        <v>43</v>
      </c>
      <c r="BE52">
        <v>136</v>
      </c>
      <c r="BF52">
        <v>179</v>
      </c>
      <c r="BG52">
        <v>189</v>
      </c>
      <c r="BH52">
        <v>62</v>
      </c>
      <c r="BI52">
        <v>251</v>
      </c>
      <c r="BP52">
        <v>244</v>
      </c>
      <c r="BR52">
        <v>59</v>
      </c>
      <c r="BS52">
        <v>3</v>
      </c>
      <c r="BT52">
        <v>3</v>
      </c>
      <c r="BV52">
        <v>0</v>
      </c>
      <c r="BW52">
        <v>309</v>
      </c>
      <c r="BX52">
        <f>IF(C52=C51,IF((CI52-1)=CI51,BW51,"no data"))</f>
        <v>268</v>
      </c>
      <c r="BY52" s="5">
        <f t="shared" si="4"/>
        <v>0.15298507462686567</v>
      </c>
      <c r="BZ52" s="6">
        <f t="shared" si="3"/>
        <v>0.15298507462686567</v>
      </c>
      <c r="CA52" s="7">
        <v>42316</v>
      </c>
      <c r="CE52">
        <v>98</v>
      </c>
      <c r="CF52">
        <v>114</v>
      </c>
      <c r="CG52">
        <v>57</v>
      </c>
      <c r="CH52">
        <v>40</v>
      </c>
      <c r="CI52">
        <f t="shared" si="0"/>
        <v>2015</v>
      </c>
      <c r="CJ52" t="str">
        <f t="shared" si="1"/>
        <v>3816_2015</v>
      </c>
    </row>
    <row r="53" spans="1:88" x14ac:dyDescent="0.25">
      <c r="A53" t="s">
        <v>79</v>
      </c>
      <c r="B53" t="s">
        <v>98</v>
      </c>
      <c r="C53">
        <v>3816</v>
      </c>
      <c r="D53">
        <v>-33.752298000000003</v>
      </c>
      <c r="E53">
        <v>151.23444499999999</v>
      </c>
      <c r="F53">
        <v>4</v>
      </c>
      <c r="G53" t="s">
        <v>103</v>
      </c>
      <c r="H53">
        <v>11</v>
      </c>
      <c r="I53">
        <v>191</v>
      </c>
      <c r="J53">
        <v>101</v>
      </c>
      <c r="K53">
        <v>281</v>
      </c>
      <c r="L53">
        <v>191</v>
      </c>
      <c r="M53">
        <v>11</v>
      </c>
      <c r="N53">
        <v>281</v>
      </c>
      <c r="O53">
        <v>101</v>
      </c>
      <c r="T53">
        <v>0</v>
      </c>
      <c r="U53">
        <v>36</v>
      </c>
      <c r="V53">
        <v>23</v>
      </c>
      <c r="Y53">
        <v>0</v>
      </c>
      <c r="Z53">
        <v>4</v>
      </c>
      <c r="AA53">
        <v>19</v>
      </c>
      <c r="AD53">
        <v>36</v>
      </c>
      <c r="AE53">
        <v>5</v>
      </c>
      <c r="AF53">
        <v>18</v>
      </c>
      <c r="AI53">
        <v>21</v>
      </c>
      <c r="AJ53">
        <v>62</v>
      </c>
      <c r="AK53">
        <v>168</v>
      </c>
      <c r="AX53">
        <v>59</v>
      </c>
      <c r="AY53">
        <v>57</v>
      </c>
      <c r="AZ53">
        <v>116</v>
      </c>
      <c r="BA53">
        <v>23</v>
      </c>
      <c r="BB53">
        <v>67</v>
      </c>
      <c r="BC53">
        <v>90</v>
      </c>
      <c r="BD53">
        <v>59</v>
      </c>
      <c r="BE53">
        <v>208</v>
      </c>
      <c r="BF53">
        <v>267</v>
      </c>
      <c r="BG53">
        <v>251</v>
      </c>
      <c r="BH53">
        <v>60</v>
      </c>
      <c r="BI53">
        <v>311</v>
      </c>
      <c r="BP53">
        <v>377</v>
      </c>
      <c r="BR53">
        <v>12</v>
      </c>
      <c r="BS53">
        <v>1</v>
      </c>
      <c r="BT53">
        <v>2</v>
      </c>
      <c r="BV53">
        <v>0</v>
      </c>
      <c r="BW53">
        <v>392</v>
      </c>
      <c r="BX53">
        <f>IF(C53=C52,IF((CI53-1)=CI52,BW52,"no data"))</f>
        <v>309</v>
      </c>
      <c r="BY53" s="5">
        <f t="shared" si="4"/>
        <v>0.26860841423948217</v>
      </c>
      <c r="BZ53" s="6">
        <f t="shared" si="3"/>
        <v>0.26860841423948217</v>
      </c>
      <c r="CA53" s="7">
        <v>42687</v>
      </c>
      <c r="CE53">
        <v>115</v>
      </c>
      <c r="CF53">
        <v>118</v>
      </c>
      <c r="CG53">
        <v>106</v>
      </c>
      <c r="CH53">
        <v>53</v>
      </c>
      <c r="CI53">
        <f t="shared" si="0"/>
        <v>2016</v>
      </c>
      <c r="CJ53" t="str">
        <f t="shared" si="1"/>
        <v>3816_2016</v>
      </c>
    </row>
    <row r="54" spans="1:88" x14ac:dyDescent="0.25">
      <c r="A54" t="s">
        <v>79</v>
      </c>
      <c r="B54" t="s">
        <v>98</v>
      </c>
      <c r="C54">
        <v>3817</v>
      </c>
      <c r="D54">
        <v>-33.753900000000002</v>
      </c>
      <c r="E54">
        <v>151.29650000000001</v>
      </c>
      <c r="F54">
        <v>4</v>
      </c>
      <c r="G54" t="s">
        <v>104</v>
      </c>
      <c r="H54">
        <v>9</v>
      </c>
      <c r="I54">
        <v>189</v>
      </c>
      <c r="J54">
        <v>99</v>
      </c>
      <c r="K54">
        <v>279</v>
      </c>
      <c r="L54">
        <v>189</v>
      </c>
      <c r="M54">
        <v>9</v>
      </c>
      <c r="N54">
        <v>279</v>
      </c>
      <c r="O54">
        <v>99</v>
      </c>
      <c r="U54">
        <v>454</v>
      </c>
      <c r="V54">
        <v>201</v>
      </c>
      <c r="AD54">
        <v>501</v>
      </c>
      <c r="AF54">
        <v>141</v>
      </c>
      <c r="AI54">
        <v>145</v>
      </c>
      <c r="AK54">
        <v>182</v>
      </c>
      <c r="AX54">
        <v>655</v>
      </c>
      <c r="AY54">
        <v>646</v>
      </c>
      <c r="AZ54">
        <v>1301</v>
      </c>
      <c r="BD54">
        <v>642</v>
      </c>
      <c r="BE54">
        <v>636</v>
      </c>
      <c r="BF54">
        <v>1278</v>
      </c>
      <c r="BG54">
        <v>327</v>
      </c>
      <c r="BH54">
        <v>342</v>
      </c>
      <c r="BI54">
        <v>669</v>
      </c>
      <c r="BP54">
        <v>40</v>
      </c>
      <c r="BR54">
        <v>1534</v>
      </c>
      <c r="BS54">
        <v>11</v>
      </c>
      <c r="BT54">
        <v>38</v>
      </c>
      <c r="BV54">
        <v>1</v>
      </c>
      <c r="BW54">
        <v>1624</v>
      </c>
      <c r="BX54" t="s">
        <v>82</v>
      </c>
      <c r="BY54" s="5"/>
      <c r="BZ54" s="6"/>
      <c r="CA54" s="7">
        <v>41588</v>
      </c>
      <c r="CI54">
        <f t="shared" si="0"/>
        <v>2013</v>
      </c>
      <c r="CJ54" t="str">
        <f t="shared" si="1"/>
        <v>3817_2013</v>
      </c>
    </row>
    <row r="55" spans="1:88" x14ac:dyDescent="0.25">
      <c r="A55" t="s">
        <v>79</v>
      </c>
      <c r="B55" t="s">
        <v>98</v>
      </c>
      <c r="C55">
        <v>3817</v>
      </c>
      <c r="D55">
        <v>-33.753900000000002</v>
      </c>
      <c r="E55">
        <v>151.29650000000001</v>
      </c>
      <c r="F55">
        <v>4</v>
      </c>
      <c r="G55" t="s">
        <v>104</v>
      </c>
      <c r="H55">
        <v>9</v>
      </c>
      <c r="I55">
        <v>189</v>
      </c>
      <c r="J55">
        <v>99</v>
      </c>
      <c r="K55">
        <v>279</v>
      </c>
      <c r="L55">
        <v>189</v>
      </c>
      <c r="M55">
        <v>9</v>
      </c>
      <c r="N55">
        <v>279</v>
      </c>
      <c r="O55">
        <v>99</v>
      </c>
      <c r="U55">
        <v>242</v>
      </c>
      <c r="V55">
        <v>84</v>
      </c>
      <c r="AD55">
        <v>175</v>
      </c>
      <c r="AF55">
        <v>205</v>
      </c>
      <c r="AI55">
        <v>156</v>
      </c>
      <c r="AK55">
        <v>169</v>
      </c>
      <c r="AX55">
        <v>326</v>
      </c>
      <c r="AY55">
        <v>331</v>
      </c>
      <c r="AZ55">
        <v>657</v>
      </c>
      <c r="BD55">
        <v>380</v>
      </c>
      <c r="BE55">
        <v>411</v>
      </c>
      <c r="BF55">
        <v>791</v>
      </c>
      <c r="BG55">
        <v>325</v>
      </c>
      <c r="BH55">
        <v>289</v>
      </c>
      <c r="BI55">
        <v>614</v>
      </c>
      <c r="BP55">
        <v>176</v>
      </c>
      <c r="BR55">
        <v>775</v>
      </c>
      <c r="BS55">
        <v>1</v>
      </c>
      <c r="BT55">
        <v>60</v>
      </c>
      <c r="BV55">
        <v>19</v>
      </c>
      <c r="BW55">
        <v>1031</v>
      </c>
      <c r="BX55">
        <f>IF(C55=C54,IF((CI55-1)=CI54,BW54,"no data"))</f>
        <v>1624</v>
      </c>
      <c r="BY55" s="5">
        <f t="shared" si="4"/>
        <v>-0.36514778325123154</v>
      </c>
      <c r="BZ55" s="6">
        <f t="shared" si="3"/>
        <v>-0.36514778325123154</v>
      </c>
      <c r="CA55" s="7">
        <v>41952</v>
      </c>
      <c r="CI55">
        <f t="shared" si="0"/>
        <v>2014</v>
      </c>
      <c r="CJ55" t="str">
        <f t="shared" si="1"/>
        <v>3817_2014</v>
      </c>
    </row>
    <row r="56" spans="1:88" x14ac:dyDescent="0.25">
      <c r="A56" t="s">
        <v>79</v>
      </c>
      <c r="B56" t="s">
        <v>98</v>
      </c>
      <c r="C56">
        <v>3817</v>
      </c>
      <c r="D56">
        <v>-33.753900000000002</v>
      </c>
      <c r="E56">
        <v>151.29650000000001</v>
      </c>
      <c r="F56">
        <v>4</v>
      </c>
      <c r="G56" t="s">
        <v>104</v>
      </c>
      <c r="H56">
        <v>9</v>
      </c>
      <c r="I56">
        <v>189</v>
      </c>
      <c r="J56">
        <v>99</v>
      </c>
      <c r="K56">
        <v>279</v>
      </c>
      <c r="L56">
        <v>189</v>
      </c>
      <c r="M56">
        <v>9</v>
      </c>
      <c r="N56">
        <v>279</v>
      </c>
      <c r="O56">
        <v>99</v>
      </c>
      <c r="U56">
        <v>805</v>
      </c>
      <c r="V56">
        <v>495</v>
      </c>
      <c r="AD56">
        <v>594</v>
      </c>
      <c r="AF56">
        <v>517</v>
      </c>
      <c r="AI56">
        <v>468</v>
      </c>
      <c r="AK56">
        <v>430</v>
      </c>
      <c r="AX56">
        <v>1300</v>
      </c>
      <c r="AY56">
        <v>1062</v>
      </c>
      <c r="AZ56">
        <v>2362</v>
      </c>
      <c r="BD56">
        <v>1111</v>
      </c>
      <c r="BE56">
        <v>1235</v>
      </c>
      <c r="BF56">
        <v>2346</v>
      </c>
      <c r="BG56">
        <v>898</v>
      </c>
      <c r="BH56">
        <v>1012</v>
      </c>
      <c r="BI56">
        <v>1910</v>
      </c>
      <c r="BP56">
        <v>1102</v>
      </c>
      <c r="BR56">
        <v>1193</v>
      </c>
      <c r="BS56">
        <v>462</v>
      </c>
      <c r="BT56">
        <v>430</v>
      </c>
      <c r="BV56">
        <v>122</v>
      </c>
      <c r="BW56">
        <v>3309</v>
      </c>
      <c r="BX56">
        <f>IF(C56=C55,IF((CI56-1)=CI55,BW55,"no data"))</f>
        <v>1031</v>
      </c>
      <c r="BY56" s="5">
        <f t="shared" si="4"/>
        <v>2.2095053346265763</v>
      </c>
      <c r="BZ56" s="6">
        <f t="shared" si="3"/>
        <v>2.2095053346265763</v>
      </c>
      <c r="CA56" s="7">
        <v>42316</v>
      </c>
      <c r="CE56">
        <v>844</v>
      </c>
      <c r="CF56">
        <v>503</v>
      </c>
      <c r="CG56">
        <v>915</v>
      </c>
      <c r="CH56">
        <v>1047</v>
      </c>
      <c r="CI56">
        <f t="shared" si="0"/>
        <v>2015</v>
      </c>
      <c r="CJ56" t="str">
        <f t="shared" si="1"/>
        <v>3817_2015</v>
      </c>
    </row>
    <row r="57" spans="1:88" x14ac:dyDescent="0.25">
      <c r="A57" t="s">
        <v>79</v>
      </c>
      <c r="B57" t="s">
        <v>98</v>
      </c>
      <c r="C57">
        <v>3817</v>
      </c>
      <c r="D57">
        <v>-33.753864999999998</v>
      </c>
      <c r="E57">
        <v>151.296528</v>
      </c>
      <c r="F57">
        <v>4</v>
      </c>
      <c r="G57" t="s">
        <v>104</v>
      </c>
      <c r="H57">
        <v>9</v>
      </c>
      <c r="I57">
        <v>189</v>
      </c>
      <c r="J57">
        <v>99</v>
      </c>
      <c r="K57">
        <v>279</v>
      </c>
      <c r="L57">
        <v>189</v>
      </c>
      <c r="M57">
        <v>9</v>
      </c>
      <c r="N57">
        <v>279</v>
      </c>
      <c r="O57">
        <v>99</v>
      </c>
      <c r="T57">
        <v>6</v>
      </c>
      <c r="U57">
        <v>958</v>
      </c>
      <c r="V57">
        <v>766</v>
      </c>
      <c r="Y57">
        <v>7</v>
      </c>
      <c r="Z57">
        <v>11</v>
      </c>
      <c r="AA57">
        <v>7</v>
      </c>
      <c r="AD57">
        <v>917</v>
      </c>
      <c r="AE57">
        <v>12</v>
      </c>
      <c r="AF57">
        <v>443</v>
      </c>
      <c r="AI57">
        <v>441</v>
      </c>
      <c r="AJ57">
        <v>9</v>
      </c>
      <c r="AK57">
        <v>300</v>
      </c>
      <c r="AX57">
        <v>1730</v>
      </c>
      <c r="AY57">
        <v>1365</v>
      </c>
      <c r="AZ57">
        <v>3095</v>
      </c>
      <c r="BA57">
        <v>25</v>
      </c>
      <c r="BB57">
        <v>27</v>
      </c>
      <c r="BC57">
        <v>52</v>
      </c>
      <c r="BD57">
        <v>1372</v>
      </c>
      <c r="BE57">
        <v>1269</v>
      </c>
      <c r="BF57">
        <v>2641</v>
      </c>
      <c r="BG57">
        <v>750</v>
      </c>
      <c r="BH57">
        <v>1216</v>
      </c>
      <c r="BI57">
        <v>1966</v>
      </c>
      <c r="BP57">
        <v>632</v>
      </c>
      <c r="BR57">
        <v>2348</v>
      </c>
      <c r="BS57">
        <v>455</v>
      </c>
      <c r="BT57">
        <v>239</v>
      </c>
      <c r="BV57">
        <v>203</v>
      </c>
      <c r="BW57">
        <v>3877</v>
      </c>
      <c r="BX57">
        <f>IF(C57=C56,IF((CI57-1)=CI56,BW56,"no data"))</f>
        <v>3309</v>
      </c>
      <c r="BY57" s="5">
        <f t="shared" si="4"/>
        <v>0.17165306739196132</v>
      </c>
      <c r="BZ57" s="6">
        <f t="shared" si="3"/>
        <v>0.17165306739196132</v>
      </c>
      <c r="CA57" s="7">
        <v>42687</v>
      </c>
      <c r="CE57">
        <v>1330</v>
      </c>
      <c r="CF57">
        <v>798</v>
      </c>
      <c r="CG57">
        <v>753</v>
      </c>
      <c r="CH57">
        <v>996</v>
      </c>
      <c r="CI57">
        <f t="shared" si="0"/>
        <v>2016</v>
      </c>
      <c r="CJ57" t="str">
        <f t="shared" si="1"/>
        <v>3817_2016</v>
      </c>
    </row>
    <row r="58" spans="1:88" x14ac:dyDescent="0.25">
      <c r="A58" t="s">
        <v>79</v>
      </c>
      <c r="B58" t="s">
        <v>98</v>
      </c>
      <c r="C58">
        <v>3821</v>
      </c>
      <c r="D58">
        <v>-33.763500000000001</v>
      </c>
      <c r="E58">
        <v>151.2799</v>
      </c>
      <c r="F58">
        <v>3</v>
      </c>
      <c r="G58" t="s">
        <v>105</v>
      </c>
      <c r="H58">
        <v>10</v>
      </c>
      <c r="I58">
        <v>190</v>
      </c>
      <c r="J58">
        <v>100</v>
      </c>
      <c r="K58">
        <v>280</v>
      </c>
      <c r="L58">
        <v>191</v>
      </c>
      <c r="M58">
        <v>11</v>
      </c>
      <c r="T58">
        <v>13</v>
      </c>
      <c r="U58">
        <v>9</v>
      </c>
      <c r="Y58">
        <v>8</v>
      </c>
      <c r="Z58">
        <v>2</v>
      </c>
      <c r="AD58">
        <v>15</v>
      </c>
      <c r="AE58">
        <v>3</v>
      </c>
      <c r="AX58">
        <v>22</v>
      </c>
      <c r="AY58">
        <v>23</v>
      </c>
      <c r="AZ58">
        <v>45</v>
      </c>
      <c r="BA58">
        <v>10</v>
      </c>
      <c r="BB58">
        <v>16</v>
      </c>
      <c r="BC58">
        <v>26</v>
      </c>
      <c r="BD58">
        <v>18</v>
      </c>
      <c r="BE58">
        <v>11</v>
      </c>
      <c r="BF58">
        <v>29</v>
      </c>
      <c r="BP58">
        <v>13</v>
      </c>
      <c r="BR58">
        <v>25</v>
      </c>
      <c r="BS58">
        <v>9</v>
      </c>
      <c r="BT58">
        <v>3</v>
      </c>
      <c r="BV58">
        <v>0</v>
      </c>
      <c r="BW58">
        <v>50</v>
      </c>
      <c r="BX58" t="s">
        <v>82</v>
      </c>
      <c r="BY58" s="5"/>
      <c r="BZ58" s="6"/>
      <c r="CA58" s="7">
        <v>41588</v>
      </c>
      <c r="CI58">
        <f t="shared" si="0"/>
        <v>2013</v>
      </c>
      <c r="CJ58" t="str">
        <f t="shared" si="1"/>
        <v>3821_2013</v>
      </c>
    </row>
    <row r="59" spans="1:88" x14ac:dyDescent="0.25">
      <c r="A59" t="s">
        <v>79</v>
      </c>
      <c r="B59" t="s">
        <v>98</v>
      </c>
      <c r="C59">
        <v>3821</v>
      </c>
      <c r="D59">
        <v>-33.763500000000001</v>
      </c>
      <c r="E59">
        <v>151.2799</v>
      </c>
      <c r="F59">
        <v>3</v>
      </c>
      <c r="G59" t="s">
        <v>105</v>
      </c>
      <c r="H59">
        <v>10</v>
      </c>
      <c r="I59">
        <v>190</v>
      </c>
      <c r="J59">
        <v>100</v>
      </c>
      <c r="K59">
        <v>280</v>
      </c>
      <c r="L59">
        <v>191</v>
      </c>
      <c r="M59">
        <v>11</v>
      </c>
      <c r="T59">
        <v>43</v>
      </c>
      <c r="U59">
        <v>18</v>
      </c>
      <c r="Y59">
        <v>28</v>
      </c>
      <c r="Z59">
        <v>15</v>
      </c>
      <c r="AD59">
        <v>19</v>
      </c>
      <c r="AE59">
        <v>16</v>
      </c>
      <c r="AX59">
        <v>61</v>
      </c>
      <c r="AY59">
        <v>47</v>
      </c>
      <c r="AZ59">
        <v>108</v>
      </c>
      <c r="BA59">
        <v>43</v>
      </c>
      <c r="BB59">
        <v>59</v>
      </c>
      <c r="BC59">
        <v>102</v>
      </c>
      <c r="BD59">
        <v>35</v>
      </c>
      <c r="BE59">
        <v>33</v>
      </c>
      <c r="BF59">
        <v>68</v>
      </c>
      <c r="BP59">
        <v>43</v>
      </c>
      <c r="BR59">
        <v>81</v>
      </c>
      <c r="BS59">
        <v>9</v>
      </c>
      <c r="BT59">
        <v>0</v>
      </c>
      <c r="BV59">
        <v>6</v>
      </c>
      <c r="BW59">
        <v>139</v>
      </c>
      <c r="BX59">
        <f>IF(C59=C58,IF((CI59-1)=CI58,BW58,"no data"))</f>
        <v>50</v>
      </c>
      <c r="BY59" s="5">
        <f t="shared" si="4"/>
        <v>1.78</v>
      </c>
      <c r="BZ59" s="6">
        <f t="shared" si="3"/>
        <v>1.78</v>
      </c>
      <c r="CA59" s="7">
        <v>41952</v>
      </c>
      <c r="CI59">
        <f t="shared" si="0"/>
        <v>2014</v>
      </c>
      <c r="CJ59" t="str">
        <f t="shared" si="1"/>
        <v>3821_2014</v>
      </c>
    </row>
    <row r="60" spans="1:88" x14ac:dyDescent="0.25">
      <c r="A60" t="s">
        <v>79</v>
      </c>
      <c r="B60" t="s">
        <v>98</v>
      </c>
      <c r="C60">
        <v>3821</v>
      </c>
      <c r="D60">
        <v>-33.763500000000001</v>
      </c>
      <c r="E60">
        <v>151.2799</v>
      </c>
      <c r="F60">
        <v>3</v>
      </c>
      <c r="G60" t="s">
        <v>105</v>
      </c>
      <c r="H60">
        <v>10</v>
      </c>
      <c r="I60">
        <v>190</v>
      </c>
      <c r="J60">
        <v>100</v>
      </c>
      <c r="K60">
        <v>280</v>
      </c>
      <c r="L60">
        <v>191</v>
      </c>
      <c r="M60">
        <v>11</v>
      </c>
      <c r="T60">
        <v>48</v>
      </c>
      <c r="U60">
        <v>20</v>
      </c>
      <c r="Y60">
        <v>46</v>
      </c>
      <c r="Z60">
        <v>4</v>
      </c>
      <c r="AD60">
        <v>20</v>
      </c>
      <c r="AE60">
        <v>13</v>
      </c>
      <c r="AX60">
        <v>68</v>
      </c>
      <c r="AY60">
        <v>66</v>
      </c>
      <c r="AZ60">
        <v>134</v>
      </c>
      <c r="BA60">
        <v>50</v>
      </c>
      <c r="BB60">
        <v>61</v>
      </c>
      <c r="BC60">
        <v>111</v>
      </c>
      <c r="BD60">
        <v>33</v>
      </c>
      <c r="BE60">
        <v>24</v>
      </c>
      <c r="BF60">
        <v>57</v>
      </c>
      <c r="BP60">
        <v>40</v>
      </c>
      <c r="BR60">
        <v>77</v>
      </c>
      <c r="BS60">
        <v>22</v>
      </c>
      <c r="BT60">
        <v>10</v>
      </c>
      <c r="BV60">
        <v>2</v>
      </c>
      <c r="BW60">
        <v>151</v>
      </c>
      <c r="BX60">
        <f>IF(C60=C59,IF((CI60-1)=CI59,BW59,"no data"))</f>
        <v>139</v>
      </c>
      <c r="BY60" s="5">
        <f t="shared" si="4"/>
        <v>8.6330935251798566E-2</v>
      </c>
      <c r="BZ60" s="6">
        <f t="shared" si="3"/>
        <v>8.6330935251798566E-2</v>
      </c>
      <c r="CA60" s="7">
        <v>42316</v>
      </c>
      <c r="CE60">
        <v>48</v>
      </c>
      <c r="CF60">
        <v>40</v>
      </c>
      <c r="CG60">
        <v>36</v>
      </c>
      <c r="CH60">
        <v>27</v>
      </c>
      <c r="CI60">
        <f t="shared" si="0"/>
        <v>2015</v>
      </c>
      <c r="CJ60" t="str">
        <f t="shared" si="1"/>
        <v>3821_2015</v>
      </c>
    </row>
    <row r="61" spans="1:88" x14ac:dyDescent="0.25">
      <c r="A61" t="s">
        <v>79</v>
      </c>
      <c r="B61" t="s">
        <v>98</v>
      </c>
      <c r="C61">
        <v>3821</v>
      </c>
      <c r="D61">
        <v>-33.763517999999998</v>
      </c>
      <c r="E61">
        <v>151.27985100000001</v>
      </c>
      <c r="F61">
        <v>3</v>
      </c>
      <c r="G61" t="s">
        <v>105</v>
      </c>
      <c r="H61">
        <v>10</v>
      </c>
      <c r="I61">
        <v>190</v>
      </c>
      <c r="J61">
        <v>100</v>
      </c>
      <c r="K61">
        <v>280</v>
      </c>
      <c r="L61">
        <v>191</v>
      </c>
      <c r="M61">
        <v>11</v>
      </c>
      <c r="T61">
        <v>48</v>
      </c>
      <c r="U61">
        <v>16</v>
      </c>
      <c r="Y61">
        <v>33</v>
      </c>
      <c r="Z61">
        <v>9</v>
      </c>
      <c r="AD61">
        <v>12</v>
      </c>
      <c r="AE61">
        <v>19</v>
      </c>
      <c r="AX61">
        <v>64</v>
      </c>
      <c r="AY61">
        <v>45</v>
      </c>
      <c r="AZ61">
        <v>109</v>
      </c>
      <c r="BA61">
        <v>42</v>
      </c>
      <c r="BB61">
        <v>67</v>
      </c>
      <c r="BC61">
        <v>109</v>
      </c>
      <c r="BD61">
        <v>31</v>
      </c>
      <c r="BE61">
        <v>25</v>
      </c>
      <c r="BF61">
        <v>56</v>
      </c>
      <c r="BP61">
        <v>44</v>
      </c>
      <c r="BR61">
        <v>74</v>
      </c>
      <c r="BS61">
        <v>12</v>
      </c>
      <c r="BT61">
        <v>5</v>
      </c>
      <c r="BV61">
        <v>2</v>
      </c>
      <c r="BW61">
        <v>137</v>
      </c>
      <c r="BX61">
        <f>IF(C61=C60,IF((CI61-1)=CI60,BW60,"no data"))</f>
        <v>151</v>
      </c>
      <c r="BY61" s="5">
        <f t="shared" si="4"/>
        <v>-9.2715231788079472E-2</v>
      </c>
      <c r="BZ61" s="6">
        <f t="shared" si="3"/>
        <v>-9.2715231788079472E-2</v>
      </c>
      <c r="CA61" s="7">
        <v>42687</v>
      </c>
      <c r="CE61">
        <v>52</v>
      </c>
      <c r="CF61">
        <v>30</v>
      </c>
      <c r="CG61">
        <v>54</v>
      </c>
      <c r="CH61">
        <v>1</v>
      </c>
      <c r="CI61">
        <f t="shared" si="0"/>
        <v>2016</v>
      </c>
      <c r="CJ61" t="str">
        <f t="shared" si="1"/>
        <v>3821_2016</v>
      </c>
    </row>
    <row r="62" spans="1:88" x14ac:dyDescent="0.25">
      <c r="A62" t="s">
        <v>79</v>
      </c>
      <c r="B62" t="s">
        <v>98</v>
      </c>
      <c r="C62">
        <v>3822</v>
      </c>
      <c r="D62">
        <v>-33.768000000000001</v>
      </c>
      <c r="E62">
        <v>151.26820000000001</v>
      </c>
      <c r="F62">
        <v>5</v>
      </c>
      <c r="G62" t="s">
        <v>106</v>
      </c>
      <c r="H62">
        <v>31</v>
      </c>
      <c r="I62">
        <v>211</v>
      </c>
      <c r="J62">
        <v>102</v>
      </c>
      <c r="K62">
        <v>282</v>
      </c>
      <c r="L62">
        <v>175</v>
      </c>
      <c r="M62">
        <v>355</v>
      </c>
      <c r="N62">
        <v>223</v>
      </c>
      <c r="O62">
        <v>43</v>
      </c>
      <c r="P62">
        <v>302</v>
      </c>
      <c r="Q62">
        <v>122</v>
      </c>
      <c r="T62">
        <v>2</v>
      </c>
      <c r="U62">
        <v>42</v>
      </c>
      <c r="V62">
        <v>32</v>
      </c>
      <c r="W62">
        <v>7</v>
      </c>
      <c r="Y62">
        <v>6</v>
      </c>
      <c r="Z62">
        <v>20</v>
      </c>
      <c r="AA62">
        <v>1</v>
      </c>
      <c r="AB62">
        <v>7</v>
      </c>
      <c r="AD62">
        <v>38</v>
      </c>
      <c r="AE62">
        <v>10</v>
      </c>
      <c r="AF62">
        <v>4</v>
      </c>
      <c r="AG62">
        <v>24</v>
      </c>
      <c r="AI62">
        <v>10</v>
      </c>
      <c r="AJ62">
        <v>3</v>
      </c>
      <c r="AK62">
        <v>1</v>
      </c>
      <c r="AL62">
        <v>2</v>
      </c>
      <c r="AN62">
        <v>3</v>
      </c>
      <c r="AO62">
        <v>6</v>
      </c>
      <c r="AP62">
        <v>12</v>
      </c>
      <c r="AQ62">
        <v>1</v>
      </c>
      <c r="AX62">
        <v>83</v>
      </c>
      <c r="AY62">
        <v>57</v>
      </c>
      <c r="AZ62">
        <v>140</v>
      </c>
      <c r="BA62">
        <v>34</v>
      </c>
      <c r="BB62">
        <v>21</v>
      </c>
      <c r="BC62">
        <v>55</v>
      </c>
      <c r="BD62">
        <v>76</v>
      </c>
      <c r="BE62">
        <v>75</v>
      </c>
      <c r="BF62">
        <v>151</v>
      </c>
      <c r="BG62">
        <v>16</v>
      </c>
      <c r="BH62">
        <v>38</v>
      </c>
      <c r="BI62">
        <v>54</v>
      </c>
      <c r="BJ62">
        <v>22</v>
      </c>
      <c r="BK62">
        <v>40</v>
      </c>
      <c r="BL62">
        <v>62</v>
      </c>
      <c r="BP62">
        <v>213</v>
      </c>
      <c r="BR62">
        <v>0</v>
      </c>
      <c r="BS62">
        <v>7</v>
      </c>
      <c r="BT62">
        <v>5</v>
      </c>
      <c r="BV62">
        <v>6</v>
      </c>
      <c r="BW62">
        <v>231</v>
      </c>
      <c r="BX62" t="s">
        <v>82</v>
      </c>
      <c r="BY62" s="5"/>
      <c r="BZ62" s="6"/>
      <c r="CA62" s="7">
        <v>41952</v>
      </c>
      <c r="CI62">
        <f t="shared" si="0"/>
        <v>2014</v>
      </c>
      <c r="CJ62" t="str">
        <f t="shared" si="1"/>
        <v>3822_2014</v>
      </c>
    </row>
    <row r="63" spans="1:88" x14ac:dyDescent="0.25">
      <c r="A63" t="s">
        <v>79</v>
      </c>
      <c r="B63" t="s">
        <v>98</v>
      </c>
      <c r="C63">
        <v>3822</v>
      </c>
      <c r="D63">
        <v>-33.768000000000001</v>
      </c>
      <c r="E63">
        <v>151.26820000000001</v>
      </c>
      <c r="F63">
        <v>5</v>
      </c>
      <c r="G63" t="s">
        <v>106</v>
      </c>
      <c r="H63">
        <v>31</v>
      </c>
      <c r="I63">
        <v>211</v>
      </c>
      <c r="J63">
        <v>102</v>
      </c>
      <c r="K63">
        <v>282</v>
      </c>
      <c r="L63">
        <v>175</v>
      </c>
      <c r="M63">
        <v>355</v>
      </c>
      <c r="N63">
        <v>223</v>
      </c>
      <c r="O63">
        <v>43</v>
      </c>
      <c r="P63">
        <v>302</v>
      </c>
      <c r="Q63">
        <v>122</v>
      </c>
      <c r="T63">
        <v>9</v>
      </c>
      <c r="U63">
        <v>32</v>
      </c>
      <c r="V63">
        <v>90</v>
      </c>
      <c r="W63">
        <v>318</v>
      </c>
      <c r="Y63">
        <v>19</v>
      </c>
      <c r="Z63">
        <v>6</v>
      </c>
      <c r="AA63">
        <v>4</v>
      </c>
      <c r="AB63">
        <v>59</v>
      </c>
      <c r="AD63">
        <v>38</v>
      </c>
      <c r="AE63">
        <v>12</v>
      </c>
      <c r="AF63">
        <v>3</v>
      </c>
      <c r="AG63">
        <v>29</v>
      </c>
      <c r="AI63">
        <v>29</v>
      </c>
      <c r="AJ63">
        <v>1</v>
      </c>
      <c r="AK63">
        <v>5</v>
      </c>
      <c r="AL63">
        <v>4</v>
      </c>
      <c r="AN63">
        <v>160</v>
      </c>
      <c r="AO63">
        <v>19</v>
      </c>
      <c r="AP63">
        <v>7</v>
      </c>
      <c r="AQ63">
        <v>3</v>
      </c>
      <c r="AX63">
        <v>449</v>
      </c>
      <c r="AY63">
        <v>246</v>
      </c>
      <c r="AZ63">
        <v>695</v>
      </c>
      <c r="BA63">
        <v>88</v>
      </c>
      <c r="BB63">
        <v>41</v>
      </c>
      <c r="BC63">
        <v>129</v>
      </c>
      <c r="BD63">
        <v>82</v>
      </c>
      <c r="BE63">
        <v>50</v>
      </c>
      <c r="BF63">
        <v>132</v>
      </c>
      <c r="BG63">
        <v>39</v>
      </c>
      <c r="BH63">
        <v>100</v>
      </c>
      <c r="BI63">
        <v>139</v>
      </c>
      <c r="BJ63">
        <v>189</v>
      </c>
      <c r="BK63">
        <v>410</v>
      </c>
      <c r="BL63">
        <v>599</v>
      </c>
      <c r="BP63">
        <v>143</v>
      </c>
      <c r="BR63">
        <v>680</v>
      </c>
      <c r="BS63">
        <v>12</v>
      </c>
      <c r="BT63">
        <v>6</v>
      </c>
      <c r="BV63">
        <v>6</v>
      </c>
      <c r="BW63">
        <v>847</v>
      </c>
      <c r="BX63">
        <f>IF(C63=C62,IF((CI63-1)=CI62,BW62,"no data"))</f>
        <v>231</v>
      </c>
      <c r="BY63" s="5">
        <f t="shared" si="4"/>
        <v>2.6666666666666665</v>
      </c>
      <c r="BZ63" s="6">
        <f t="shared" si="3"/>
        <v>2.6666666666666665</v>
      </c>
      <c r="CA63" s="7">
        <v>42316</v>
      </c>
      <c r="CE63">
        <v>161</v>
      </c>
      <c r="CF63">
        <v>188</v>
      </c>
      <c r="CG63">
        <v>248</v>
      </c>
      <c r="CH63">
        <v>250</v>
      </c>
      <c r="CI63">
        <f t="shared" si="0"/>
        <v>2015</v>
      </c>
      <c r="CJ63" t="str">
        <f t="shared" si="1"/>
        <v>3822_2015</v>
      </c>
    </row>
    <row r="64" spans="1:88" x14ac:dyDescent="0.25">
      <c r="A64" t="s">
        <v>79</v>
      </c>
      <c r="B64" t="s">
        <v>98</v>
      </c>
      <c r="C64">
        <v>3822</v>
      </c>
      <c r="D64">
        <v>-33.768042000000001</v>
      </c>
      <c r="E64">
        <v>151.26816299999999</v>
      </c>
      <c r="F64">
        <v>5</v>
      </c>
      <c r="G64" t="s">
        <v>106</v>
      </c>
      <c r="H64">
        <v>31</v>
      </c>
      <c r="I64">
        <v>211</v>
      </c>
      <c r="J64">
        <v>102</v>
      </c>
      <c r="K64">
        <v>282</v>
      </c>
      <c r="L64">
        <v>175</v>
      </c>
      <c r="M64">
        <v>355</v>
      </c>
      <c r="N64">
        <v>223</v>
      </c>
      <c r="O64">
        <v>43</v>
      </c>
      <c r="P64">
        <v>302</v>
      </c>
      <c r="Q64">
        <v>122</v>
      </c>
      <c r="T64">
        <v>5</v>
      </c>
      <c r="U64">
        <v>29</v>
      </c>
      <c r="V64">
        <v>87</v>
      </c>
      <c r="W64">
        <v>136</v>
      </c>
      <c r="Y64">
        <v>12</v>
      </c>
      <c r="Z64">
        <v>12</v>
      </c>
      <c r="AA64">
        <v>2</v>
      </c>
      <c r="AB64">
        <v>219</v>
      </c>
      <c r="AD64">
        <v>55</v>
      </c>
      <c r="AE64">
        <v>0</v>
      </c>
      <c r="AF64">
        <v>0</v>
      </c>
      <c r="AG64">
        <v>12</v>
      </c>
      <c r="AI64">
        <v>10</v>
      </c>
      <c r="AJ64">
        <v>1</v>
      </c>
      <c r="AK64">
        <v>1</v>
      </c>
      <c r="AL64">
        <v>4</v>
      </c>
      <c r="AN64">
        <v>22</v>
      </c>
      <c r="AO64">
        <v>115</v>
      </c>
      <c r="AP64">
        <v>11</v>
      </c>
      <c r="AQ64">
        <v>2</v>
      </c>
      <c r="AX64">
        <v>257</v>
      </c>
      <c r="AY64">
        <v>99</v>
      </c>
      <c r="AZ64">
        <v>356</v>
      </c>
      <c r="BA64">
        <v>245</v>
      </c>
      <c r="BB64">
        <v>121</v>
      </c>
      <c r="BC64">
        <v>366</v>
      </c>
      <c r="BD64">
        <v>67</v>
      </c>
      <c r="BE64">
        <v>53</v>
      </c>
      <c r="BF64">
        <v>120</v>
      </c>
      <c r="BG64">
        <v>16</v>
      </c>
      <c r="BH64">
        <v>91</v>
      </c>
      <c r="BI64">
        <v>107</v>
      </c>
      <c r="BJ64">
        <v>150</v>
      </c>
      <c r="BK64">
        <v>371</v>
      </c>
      <c r="BL64">
        <v>521</v>
      </c>
      <c r="BP64">
        <v>191</v>
      </c>
      <c r="BR64">
        <v>529</v>
      </c>
      <c r="BS64">
        <v>4</v>
      </c>
      <c r="BT64">
        <v>5</v>
      </c>
      <c r="BV64">
        <v>6</v>
      </c>
      <c r="BW64">
        <v>735</v>
      </c>
      <c r="BX64">
        <f>IF(C64=C63,IF((CI64-1)=CI63,BW63,"no data"))</f>
        <v>847</v>
      </c>
      <c r="BY64" s="5">
        <f t="shared" si="4"/>
        <v>-0.13223140495867769</v>
      </c>
      <c r="BZ64" s="6">
        <f t="shared" si="3"/>
        <v>-0.13223140495867769</v>
      </c>
      <c r="CA64" s="7">
        <v>42715</v>
      </c>
      <c r="CE64">
        <v>318</v>
      </c>
      <c r="CF64">
        <v>336</v>
      </c>
      <c r="CG64">
        <v>0</v>
      </c>
      <c r="CH64">
        <v>81</v>
      </c>
      <c r="CI64">
        <f t="shared" si="0"/>
        <v>2016</v>
      </c>
      <c r="CJ64" t="str">
        <f t="shared" si="1"/>
        <v>3822_2016</v>
      </c>
    </row>
    <row r="65" spans="1:88" x14ac:dyDescent="0.25">
      <c r="A65" t="s">
        <v>79</v>
      </c>
      <c r="B65" t="s">
        <v>98</v>
      </c>
      <c r="C65">
        <v>3824</v>
      </c>
      <c r="D65">
        <v>-33.781599999999997</v>
      </c>
      <c r="E65">
        <v>151.2784</v>
      </c>
      <c r="F65">
        <v>5</v>
      </c>
      <c r="G65" t="s">
        <v>107</v>
      </c>
      <c r="H65">
        <v>10</v>
      </c>
      <c r="I65">
        <v>190</v>
      </c>
      <c r="J65">
        <v>64</v>
      </c>
      <c r="K65">
        <v>244</v>
      </c>
      <c r="L65">
        <v>130</v>
      </c>
      <c r="M65">
        <v>310</v>
      </c>
      <c r="N65">
        <v>190</v>
      </c>
      <c r="O65">
        <v>10</v>
      </c>
      <c r="P65">
        <v>310</v>
      </c>
      <c r="Q65">
        <v>130</v>
      </c>
      <c r="T65">
        <v>0</v>
      </c>
      <c r="U65">
        <v>0</v>
      </c>
      <c r="V65">
        <v>0</v>
      </c>
      <c r="W65">
        <v>13</v>
      </c>
      <c r="Y65">
        <v>3</v>
      </c>
      <c r="Z65">
        <v>1</v>
      </c>
      <c r="AA65">
        <v>3</v>
      </c>
      <c r="AB65">
        <v>11</v>
      </c>
      <c r="AD65">
        <v>7</v>
      </c>
      <c r="AE65">
        <v>1</v>
      </c>
      <c r="AF65">
        <v>0</v>
      </c>
      <c r="AG65">
        <v>46</v>
      </c>
      <c r="AI65">
        <v>0</v>
      </c>
      <c r="AJ65">
        <v>1</v>
      </c>
      <c r="AK65">
        <v>3</v>
      </c>
      <c r="AL65">
        <v>0</v>
      </c>
      <c r="AN65">
        <v>6</v>
      </c>
      <c r="AO65">
        <v>0</v>
      </c>
      <c r="AP65">
        <v>28</v>
      </c>
      <c r="AQ65">
        <v>0</v>
      </c>
      <c r="AX65">
        <v>13</v>
      </c>
      <c r="AY65">
        <v>16</v>
      </c>
      <c r="AZ65">
        <v>29</v>
      </c>
      <c r="BA65">
        <v>18</v>
      </c>
      <c r="BB65">
        <v>2</v>
      </c>
      <c r="BC65">
        <v>20</v>
      </c>
      <c r="BD65">
        <v>54</v>
      </c>
      <c r="BE65">
        <v>32</v>
      </c>
      <c r="BF65">
        <v>86</v>
      </c>
      <c r="BG65">
        <v>4</v>
      </c>
      <c r="BH65">
        <v>3</v>
      </c>
      <c r="BI65">
        <v>7</v>
      </c>
      <c r="BJ65">
        <v>34</v>
      </c>
      <c r="BK65">
        <v>70</v>
      </c>
      <c r="BL65">
        <v>104</v>
      </c>
      <c r="BP65">
        <v>29</v>
      </c>
      <c r="BR65">
        <v>65</v>
      </c>
      <c r="BS65">
        <v>24</v>
      </c>
      <c r="BT65">
        <v>5</v>
      </c>
      <c r="BV65">
        <v>0</v>
      </c>
      <c r="BW65">
        <v>123</v>
      </c>
      <c r="BX65" t="s">
        <v>82</v>
      </c>
      <c r="BY65" s="5"/>
      <c r="BZ65" s="6"/>
      <c r="CA65" s="7">
        <v>41588</v>
      </c>
      <c r="CI65">
        <f t="shared" si="0"/>
        <v>2013</v>
      </c>
      <c r="CJ65" t="str">
        <f t="shared" si="1"/>
        <v>3824_2013</v>
      </c>
    </row>
    <row r="66" spans="1:88" x14ac:dyDescent="0.25">
      <c r="A66" t="s">
        <v>79</v>
      </c>
      <c r="B66" t="s">
        <v>98</v>
      </c>
      <c r="C66">
        <v>3824</v>
      </c>
      <c r="D66">
        <v>-33.781599999999997</v>
      </c>
      <c r="E66">
        <v>151.2784</v>
      </c>
      <c r="F66">
        <v>5</v>
      </c>
      <c r="G66" t="s">
        <v>107</v>
      </c>
      <c r="H66">
        <v>10</v>
      </c>
      <c r="I66">
        <v>190</v>
      </c>
      <c r="J66">
        <v>64</v>
      </c>
      <c r="K66">
        <v>244</v>
      </c>
      <c r="L66">
        <v>130</v>
      </c>
      <c r="M66">
        <v>310</v>
      </c>
      <c r="N66">
        <v>190</v>
      </c>
      <c r="O66">
        <v>10</v>
      </c>
      <c r="P66">
        <v>310</v>
      </c>
      <c r="Q66">
        <v>130</v>
      </c>
      <c r="T66">
        <v>3</v>
      </c>
      <c r="U66">
        <v>41</v>
      </c>
      <c r="V66">
        <v>1</v>
      </c>
      <c r="W66">
        <v>19</v>
      </c>
      <c r="Y66">
        <v>5</v>
      </c>
      <c r="Z66">
        <v>43</v>
      </c>
      <c r="AA66">
        <v>7</v>
      </c>
      <c r="AB66">
        <v>12</v>
      </c>
      <c r="AD66">
        <v>49</v>
      </c>
      <c r="AE66">
        <v>18</v>
      </c>
      <c r="AF66">
        <v>105</v>
      </c>
      <c r="AG66">
        <v>70</v>
      </c>
      <c r="AI66">
        <v>0</v>
      </c>
      <c r="AJ66">
        <v>6</v>
      </c>
      <c r="AK66">
        <v>85</v>
      </c>
      <c r="AL66">
        <v>0</v>
      </c>
      <c r="AN66">
        <v>13</v>
      </c>
      <c r="AO66">
        <v>15</v>
      </c>
      <c r="AP66">
        <v>118</v>
      </c>
      <c r="AQ66">
        <v>0</v>
      </c>
      <c r="AX66">
        <v>64</v>
      </c>
      <c r="AY66">
        <v>67</v>
      </c>
      <c r="AZ66">
        <v>131</v>
      </c>
      <c r="BA66">
        <v>67</v>
      </c>
      <c r="BB66">
        <v>42</v>
      </c>
      <c r="BC66">
        <v>109</v>
      </c>
      <c r="BD66">
        <v>242</v>
      </c>
      <c r="BE66">
        <v>287</v>
      </c>
      <c r="BF66">
        <v>529</v>
      </c>
      <c r="BG66">
        <v>91</v>
      </c>
      <c r="BH66">
        <v>113</v>
      </c>
      <c r="BI66">
        <v>204</v>
      </c>
      <c r="BJ66">
        <v>146</v>
      </c>
      <c r="BK66">
        <v>101</v>
      </c>
      <c r="BL66">
        <v>247</v>
      </c>
      <c r="BP66">
        <v>341</v>
      </c>
      <c r="BR66">
        <v>208</v>
      </c>
      <c r="BS66">
        <v>33</v>
      </c>
      <c r="BT66">
        <v>13</v>
      </c>
      <c r="BV66">
        <v>15</v>
      </c>
      <c r="BW66">
        <v>610</v>
      </c>
      <c r="BX66">
        <f>IF(C66=C65,IF((CI66-1)=CI65,BW65,"no data"))</f>
        <v>123</v>
      </c>
      <c r="BY66" s="5">
        <f t="shared" si="4"/>
        <v>3.9593495934959351</v>
      </c>
      <c r="BZ66" s="6">
        <f t="shared" si="3"/>
        <v>3.9593495934959351</v>
      </c>
      <c r="CA66" s="7">
        <v>41952</v>
      </c>
      <c r="CI66">
        <f t="shared" si="0"/>
        <v>2014</v>
      </c>
      <c r="CJ66" t="str">
        <f t="shared" si="1"/>
        <v>3824_2014</v>
      </c>
    </row>
    <row r="67" spans="1:88" x14ac:dyDescent="0.25">
      <c r="A67" t="s">
        <v>79</v>
      </c>
      <c r="B67" t="s">
        <v>98</v>
      </c>
      <c r="C67">
        <v>3824</v>
      </c>
      <c r="D67">
        <v>-33.781599999999997</v>
      </c>
      <c r="E67">
        <v>151.2784</v>
      </c>
      <c r="F67">
        <v>5</v>
      </c>
      <c r="G67" t="s">
        <v>107</v>
      </c>
      <c r="H67">
        <v>10</v>
      </c>
      <c r="I67">
        <v>190</v>
      </c>
      <c r="J67">
        <v>64</v>
      </c>
      <c r="K67">
        <v>244</v>
      </c>
      <c r="L67">
        <v>130</v>
      </c>
      <c r="M67">
        <v>310</v>
      </c>
      <c r="N67">
        <v>190</v>
      </c>
      <c r="O67">
        <v>10</v>
      </c>
      <c r="P67">
        <v>310</v>
      </c>
      <c r="Q67">
        <v>130</v>
      </c>
      <c r="T67">
        <v>2</v>
      </c>
      <c r="U67">
        <v>83</v>
      </c>
      <c r="V67">
        <v>4</v>
      </c>
      <c r="W67">
        <v>20</v>
      </c>
      <c r="Y67">
        <v>7</v>
      </c>
      <c r="Z67">
        <v>61</v>
      </c>
      <c r="AA67">
        <v>5</v>
      </c>
      <c r="AB67">
        <v>13</v>
      </c>
      <c r="AD67">
        <v>50</v>
      </c>
      <c r="AE67">
        <v>34</v>
      </c>
      <c r="AF67">
        <v>92</v>
      </c>
      <c r="AG67">
        <v>94</v>
      </c>
      <c r="AI67">
        <v>8</v>
      </c>
      <c r="AJ67">
        <v>5</v>
      </c>
      <c r="AK67">
        <v>62</v>
      </c>
      <c r="AL67">
        <v>4</v>
      </c>
      <c r="AN67">
        <v>11</v>
      </c>
      <c r="AO67">
        <v>8</v>
      </c>
      <c r="AP67">
        <v>104</v>
      </c>
      <c r="AQ67">
        <v>0</v>
      </c>
      <c r="AX67">
        <v>109</v>
      </c>
      <c r="AY67">
        <v>76</v>
      </c>
      <c r="AZ67">
        <v>185</v>
      </c>
      <c r="BA67">
        <v>86</v>
      </c>
      <c r="BB67">
        <v>49</v>
      </c>
      <c r="BC67">
        <v>135</v>
      </c>
      <c r="BD67">
        <v>270</v>
      </c>
      <c r="BE67">
        <v>310</v>
      </c>
      <c r="BF67">
        <v>580</v>
      </c>
      <c r="BG67">
        <v>79</v>
      </c>
      <c r="BH67">
        <v>101</v>
      </c>
      <c r="BI67">
        <v>180</v>
      </c>
      <c r="BJ67">
        <v>123</v>
      </c>
      <c r="BK67">
        <v>131</v>
      </c>
      <c r="BL67">
        <v>254</v>
      </c>
      <c r="BP67">
        <v>363</v>
      </c>
      <c r="BR67">
        <v>198</v>
      </c>
      <c r="BS67">
        <v>50</v>
      </c>
      <c r="BT67">
        <v>24</v>
      </c>
      <c r="BV67">
        <v>32</v>
      </c>
      <c r="BW67">
        <v>667</v>
      </c>
      <c r="BX67">
        <f>IF(C67=C66,IF((CI67-1)=CI66,BW66,"no data"))</f>
        <v>610</v>
      </c>
      <c r="BY67" s="5">
        <f t="shared" si="4"/>
        <v>9.3442622950819676E-2</v>
      </c>
      <c r="BZ67" s="6">
        <f t="shared" si="3"/>
        <v>9.3442622950819676E-2</v>
      </c>
      <c r="CA67" s="7">
        <v>42316</v>
      </c>
      <c r="CE67">
        <v>182</v>
      </c>
      <c r="CF67">
        <v>218</v>
      </c>
      <c r="CG67">
        <v>129</v>
      </c>
      <c r="CH67">
        <v>138</v>
      </c>
      <c r="CI67">
        <f t="shared" ref="CI67:CI130" si="5">YEAR(CA67)</f>
        <v>2015</v>
      </c>
      <c r="CJ67" t="str">
        <f t="shared" ref="CJ67:CJ130" si="6">_xlfn.CONCAT(C67,"_",CI67)</f>
        <v>3824_2015</v>
      </c>
    </row>
    <row r="68" spans="1:88" x14ac:dyDescent="0.25">
      <c r="A68" t="s">
        <v>79</v>
      </c>
      <c r="B68" t="s">
        <v>98</v>
      </c>
      <c r="C68">
        <v>3824</v>
      </c>
      <c r="D68">
        <v>-33.781596</v>
      </c>
      <c r="E68">
        <v>151.278401</v>
      </c>
      <c r="F68">
        <v>5</v>
      </c>
      <c r="G68" t="s">
        <v>107</v>
      </c>
      <c r="H68">
        <v>10</v>
      </c>
      <c r="I68">
        <v>190</v>
      </c>
      <c r="J68">
        <v>64</v>
      </c>
      <c r="K68">
        <v>244</v>
      </c>
      <c r="L68">
        <v>130</v>
      </c>
      <c r="M68">
        <v>310</v>
      </c>
      <c r="N68">
        <v>190</v>
      </c>
      <c r="O68">
        <v>10</v>
      </c>
      <c r="P68">
        <v>310</v>
      </c>
      <c r="Q68">
        <v>130</v>
      </c>
      <c r="T68">
        <v>8</v>
      </c>
      <c r="U68">
        <v>56</v>
      </c>
      <c r="V68">
        <v>4</v>
      </c>
      <c r="W68">
        <v>28</v>
      </c>
      <c r="Y68">
        <v>1</v>
      </c>
      <c r="Z68">
        <v>60</v>
      </c>
      <c r="AA68">
        <v>3</v>
      </c>
      <c r="AB68">
        <v>21</v>
      </c>
      <c r="AD68">
        <v>49</v>
      </c>
      <c r="AE68">
        <v>31</v>
      </c>
      <c r="AF68">
        <v>84</v>
      </c>
      <c r="AG68">
        <v>93</v>
      </c>
      <c r="AI68">
        <v>0</v>
      </c>
      <c r="AJ68">
        <v>3</v>
      </c>
      <c r="AK68">
        <v>74</v>
      </c>
      <c r="AL68">
        <v>3</v>
      </c>
      <c r="AN68">
        <v>26</v>
      </c>
      <c r="AO68">
        <v>18</v>
      </c>
      <c r="AP68">
        <v>139</v>
      </c>
      <c r="AQ68">
        <v>0</v>
      </c>
      <c r="AX68">
        <v>96</v>
      </c>
      <c r="AY68">
        <v>76</v>
      </c>
      <c r="AZ68">
        <v>172</v>
      </c>
      <c r="BA68">
        <v>85</v>
      </c>
      <c r="BB68">
        <v>60</v>
      </c>
      <c r="BC68">
        <v>145</v>
      </c>
      <c r="BD68">
        <v>257</v>
      </c>
      <c r="BE68">
        <v>329</v>
      </c>
      <c r="BF68">
        <v>586</v>
      </c>
      <c r="BG68">
        <v>80</v>
      </c>
      <c r="BH68">
        <v>91</v>
      </c>
      <c r="BI68">
        <v>171</v>
      </c>
      <c r="BJ68">
        <v>183</v>
      </c>
      <c r="BK68">
        <v>145</v>
      </c>
      <c r="BL68">
        <v>328</v>
      </c>
      <c r="BP68">
        <v>357</v>
      </c>
      <c r="BR68">
        <v>278</v>
      </c>
      <c r="BS68">
        <v>25</v>
      </c>
      <c r="BT68">
        <v>18</v>
      </c>
      <c r="BV68">
        <v>23</v>
      </c>
      <c r="BW68">
        <v>701</v>
      </c>
      <c r="BX68">
        <f>IF(C68=C67,IF((CI68-1)=CI67,BW67,"no data"))</f>
        <v>667</v>
      </c>
      <c r="BY68" s="5">
        <f t="shared" si="4"/>
        <v>5.0974512743628186E-2</v>
      </c>
      <c r="BZ68" s="6">
        <f t="shared" si="3"/>
        <v>5.0974512743628186E-2</v>
      </c>
      <c r="CA68" s="7">
        <v>42715</v>
      </c>
      <c r="CE68">
        <v>222</v>
      </c>
      <c r="CF68">
        <v>170</v>
      </c>
      <c r="CG68">
        <v>178</v>
      </c>
      <c r="CH68">
        <v>131</v>
      </c>
      <c r="CI68">
        <f t="shared" si="5"/>
        <v>2016</v>
      </c>
      <c r="CJ68" t="str">
        <f t="shared" si="6"/>
        <v>3824_2016</v>
      </c>
    </row>
    <row r="69" spans="1:88" x14ac:dyDescent="0.25">
      <c r="A69" t="s">
        <v>79</v>
      </c>
      <c r="B69" t="s">
        <v>98</v>
      </c>
      <c r="C69">
        <v>3825</v>
      </c>
      <c r="D69">
        <v>-33.784500000000001</v>
      </c>
      <c r="E69">
        <v>151.28659999999999</v>
      </c>
      <c r="F69">
        <v>3</v>
      </c>
      <c r="G69" t="s">
        <v>108</v>
      </c>
      <c r="H69">
        <v>67</v>
      </c>
      <c r="I69">
        <v>247</v>
      </c>
      <c r="J69">
        <v>102</v>
      </c>
      <c r="K69">
        <v>282</v>
      </c>
      <c r="L69">
        <v>313</v>
      </c>
      <c r="M69">
        <v>133</v>
      </c>
      <c r="T69">
        <v>2</v>
      </c>
      <c r="U69">
        <v>1</v>
      </c>
      <c r="Y69">
        <v>5</v>
      </c>
      <c r="Z69">
        <v>151</v>
      </c>
      <c r="AD69">
        <v>0</v>
      </c>
      <c r="AE69">
        <v>210</v>
      </c>
      <c r="AX69">
        <v>3</v>
      </c>
      <c r="AY69">
        <v>5</v>
      </c>
      <c r="AZ69">
        <v>8</v>
      </c>
      <c r="BA69">
        <v>156</v>
      </c>
      <c r="BB69">
        <v>212</v>
      </c>
      <c r="BC69">
        <v>368</v>
      </c>
      <c r="BD69">
        <v>210</v>
      </c>
      <c r="BE69">
        <v>152</v>
      </c>
      <c r="BF69">
        <v>362</v>
      </c>
      <c r="BP69">
        <v>144</v>
      </c>
      <c r="BR69">
        <v>206</v>
      </c>
      <c r="BS69">
        <v>8</v>
      </c>
      <c r="BT69">
        <v>5</v>
      </c>
      <c r="BV69">
        <v>6</v>
      </c>
      <c r="BW69">
        <v>369</v>
      </c>
      <c r="BX69" t="s">
        <v>82</v>
      </c>
      <c r="BY69" s="5"/>
      <c r="BZ69" s="6"/>
      <c r="CA69" s="7">
        <v>41952</v>
      </c>
      <c r="CI69">
        <f t="shared" si="5"/>
        <v>2014</v>
      </c>
      <c r="CJ69" t="str">
        <f t="shared" si="6"/>
        <v>3825_2014</v>
      </c>
    </row>
    <row r="70" spans="1:88" x14ac:dyDescent="0.25">
      <c r="A70" t="s">
        <v>79</v>
      </c>
      <c r="B70" t="s">
        <v>98</v>
      </c>
      <c r="C70">
        <v>3825</v>
      </c>
      <c r="D70">
        <v>-33.784500000000001</v>
      </c>
      <c r="E70">
        <v>151.28659999999999</v>
      </c>
      <c r="F70">
        <v>3</v>
      </c>
      <c r="G70" t="s">
        <v>108</v>
      </c>
      <c r="H70">
        <v>67</v>
      </c>
      <c r="I70">
        <v>247</v>
      </c>
      <c r="J70">
        <v>102</v>
      </c>
      <c r="K70">
        <v>282</v>
      </c>
      <c r="L70">
        <v>313</v>
      </c>
      <c r="M70">
        <v>133</v>
      </c>
      <c r="T70">
        <v>3</v>
      </c>
      <c r="U70">
        <v>13</v>
      </c>
      <c r="Y70">
        <v>2</v>
      </c>
      <c r="Z70">
        <v>136</v>
      </c>
      <c r="AD70">
        <v>11</v>
      </c>
      <c r="AE70">
        <v>203</v>
      </c>
      <c r="AX70">
        <v>16</v>
      </c>
      <c r="AY70">
        <v>13</v>
      </c>
      <c r="AZ70">
        <v>29</v>
      </c>
      <c r="BA70">
        <v>138</v>
      </c>
      <c r="BB70">
        <v>206</v>
      </c>
      <c r="BC70">
        <v>344</v>
      </c>
      <c r="BD70">
        <v>214</v>
      </c>
      <c r="BE70">
        <v>149</v>
      </c>
      <c r="BF70">
        <v>363</v>
      </c>
      <c r="BP70">
        <v>121</v>
      </c>
      <c r="BR70">
        <v>190</v>
      </c>
      <c r="BS70">
        <v>18</v>
      </c>
      <c r="BT70">
        <v>16</v>
      </c>
      <c r="BV70">
        <v>23</v>
      </c>
      <c r="BW70">
        <v>368</v>
      </c>
      <c r="BX70">
        <f>IF(C70=C69,IF((CI70-1)=CI69,BW69,"no data"))</f>
        <v>369</v>
      </c>
      <c r="BY70" s="5">
        <f t="shared" si="4"/>
        <v>-2.7100271002710027E-3</v>
      </c>
      <c r="BZ70" s="6">
        <f t="shared" ref="BZ70:BZ133" si="7">BY70</f>
        <v>-2.7100271002710027E-3</v>
      </c>
      <c r="CA70" s="7">
        <v>42316</v>
      </c>
      <c r="CE70">
        <v>99</v>
      </c>
      <c r="CF70">
        <v>103</v>
      </c>
      <c r="CG70">
        <v>89</v>
      </c>
      <c r="CH70">
        <v>77</v>
      </c>
      <c r="CI70">
        <f t="shared" si="5"/>
        <v>2015</v>
      </c>
      <c r="CJ70" t="str">
        <f t="shared" si="6"/>
        <v>3825_2015</v>
      </c>
    </row>
    <row r="71" spans="1:88" x14ac:dyDescent="0.25">
      <c r="A71" t="s">
        <v>79</v>
      </c>
      <c r="B71" t="s">
        <v>98</v>
      </c>
      <c r="C71">
        <v>3825</v>
      </c>
      <c r="D71">
        <v>-33.784464</v>
      </c>
      <c r="E71">
        <v>151.286609</v>
      </c>
      <c r="F71">
        <v>3</v>
      </c>
      <c r="G71" t="s">
        <v>108</v>
      </c>
      <c r="H71">
        <v>67</v>
      </c>
      <c r="I71">
        <v>247</v>
      </c>
      <c r="J71">
        <v>102</v>
      </c>
      <c r="K71">
        <v>282</v>
      </c>
      <c r="L71">
        <v>313</v>
      </c>
      <c r="M71">
        <v>133</v>
      </c>
      <c r="T71">
        <v>19</v>
      </c>
      <c r="U71">
        <v>20</v>
      </c>
      <c r="Y71">
        <v>9</v>
      </c>
      <c r="Z71">
        <v>148</v>
      </c>
      <c r="AD71">
        <v>17</v>
      </c>
      <c r="AE71">
        <v>263</v>
      </c>
      <c r="AX71">
        <v>39</v>
      </c>
      <c r="AY71">
        <v>26</v>
      </c>
      <c r="AZ71">
        <v>65</v>
      </c>
      <c r="BA71">
        <v>157</v>
      </c>
      <c r="BB71">
        <v>282</v>
      </c>
      <c r="BC71">
        <v>439</v>
      </c>
      <c r="BD71">
        <v>280</v>
      </c>
      <c r="BE71">
        <v>168</v>
      </c>
      <c r="BF71">
        <v>448</v>
      </c>
      <c r="BP71">
        <v>162</v>
      </c>
      <c r="BR71">
        <v>268</v>
      </c>
      <c r="BS71">
        <v>10</v>
      </c>
      <c r="BT71">
        <v>2</v>
      </c>
      <c r="BV71">
        <v>34</v>
      </c>
      <c r="BW71">
        <v>476</v>
      </c>
      <c r="BX71">
        <f>IF(C71=C70,IF((CI71-1)=CI70,BW70,"no data"))</f>
        <v>368</v>
      </c>
      <c r="BY71" s="5">
        <f t="shared" si="4"/>
        <v>0.29347826086956524</v>
      </c>
      <c r="BZ71" s="6">
        <f t="shared" si="7"/>
        <v>0.29347826086956524</v>
      </c>
      <c r="CA71" s="7">
        <v>42687</v>
      </c>
      <c r="CE71">
        <v>130</v>
      </c>
      <c r="CF71">
        <v>146</v>
      </c>
      <c r="CG71">
        <v>106</v>
      </c>
      <c r="CH71">
        <v>94</v>
      </c>
      <c r="CI71">
        <f t="shared" si="5"/>
        <v>2016</v>
      </c>
      <c r="CJ71" t="str">
        <f t="shared" si="6"/>
        <v>3825_2016</v>
      </c>
    </row>
    <row r="72" spans="1:88" x14ac:dyDescent="0.25">
      <c r="A72" t="s">
        <v>79</v>
      </c>
      <c r="B72" t="s">
        <v>109</v>
      </c>
      <c r="C72">
        <v>3838</v>
      </c>
      <c r="D72">
        <v>-33.902799999999999</v>
      </c>
      <c r="E72">
        <v>151.2448</v>
      </c>
      <c r="F72">
        <v>5</v>
      </c>
      <c r="G72" t="s">
        <v>110</v>
      </c>
      <c r="H72">
        <v>9</v>
      </c>
      <c r="I72">
        <v>189</v>
      </c>
      <c r="J72">
        <v>100</v>
      </c>
      <c r="K72">
        <v>280</v>
      </c>
      <c r="L72">
        <v>189</v>
      </c>
      <c r="M72">
        <v>9</v>
      </c>
      <c r="N72">
        <v>280</v>
      </c>
      <c r="O72">
        <v>100</v>
      </c>
      <c r="P72">
        <v>304</v>
      </c>
      <c r="Q72">
        <v>124</v>
      </c>
      <c r="T72">
        <v>0</v>
      </c>
      <c r="U72">
        <v>4</v>
      </c>
      <c r="V72">
        <v>3</v>
      </c>
      <c r="W72">
        <v>13</v>
      </c>
      <c r="Y72">
        <v>3</v>
      </c>
      <c r="Z72">
        <v>0</v>
      </c>
      <c r="AA72">
        <v>2</v>
      </c>
      <c r="AB72">
        <v>42</v>
      </c>
      <c r="AD72">
        <v>17</v>
      </c>
      <c r="AE72">
        <v>4</v>
      </c>
      <c r="AF72">
        <v>0</v>
      </c>
      <c r="AG72">
        <v>67</v>
      </c>
      <c r="AI72">
        <v>2</v>
      </c>
      <c r="AJ72">
        <v>7</v>
      </c>
      <c r="AK72">
        <v>5</v>
      </c>
      <c r="AL72">
        <v>1</v>
      </c>
      <c r="AN72">
        <v>15</v>
      </c>
      <c r="AO72">
        <v>50</v>
      </c>
      <c r="AP72">
        <v>65</v>
      </c>
      <c r="AQ72">
        <v>2</v>
      </c>
      <c r="AX72">
        <v>20</v>
      </c>
      <c r="AY72">
        <v>37</v>
      </c>
      <c r="AZ72">
        <v>57</v>
      </c>
      <c r="BA72">
        <v>47</v>
      </c>
      <c r="BB72">
        <v>61</v>
      </c>
      <c r="BC72">
        <v>108</v>
      </c>
      <c r="BD72">
        <v>88</v>
      </c>
      <c r="BE72">
        <v>74</v>
      </c>
      <c r="BF72">
        <v>162</v>
      </c>
      <c r="BG72">
        <v>15</v>
      </c>
      <c r="BH72">
        <v>7</v>
      </c>
      <c r="BI72">
        <v>22</v>
      </c>
      <c r="BJ72">
        <v>132</v>
      </c>
      <c r="BK72">
        <v>123</v>
      </c>
      <c r="BL72">
        <v>255</v>
      </c>
      <c r="BP72">
        <v>302</v>
      </c>
      <c r="BR72">
        <v>0</v>
      </c>
      <c r="BS72">
        <v>0</v>
      </c>
      <c r="BT72">
        <v>0</v>
      </c>
      <c r="BV72">
        <v>0</v>
      </c>
      <c r="BW72">
        <v>302</v>
      </c>
      <c r="BX72" t="s">
        <v>82</v>
      </c>
      <c r="BY72" s="5"/>
      <c r="BZ72" s="6"/>
      <c r="CA72" s="7">
        <v>43415</v>
      </c>
      <c r="CE72">
        <v>138</v>
      </c>
      <c r="CF72">
        <v>65</v>
      </c>
      <c r="CG72">
        <v>69</v>
      </c>
      <c r="CH72">
        <v>30</v>
      </c>
      <c r="CI72">
        <f t="shared" si="5"/>
        <v>2018</v>
      </c>
      <c r="CJ72" t="str">
        <f t="shared" si="6"/>
        <v>3838_2018</v>
      </c>
    </row>
    <row r="73" spans="1:88" x14ac:dyDescent="0.25">
      <c r="A73" t="s">
        <v>79</v>
      </c>
      <c r="B73" t="s">
        <v>91</v>
      </c>
      <c r="C73">
        <v>3838</v>
      </c>
      <c r="D73">
        <v>-33.902799999999999</v>
      </c>
      <c r="E73">
        <v>151.2448</v>
      </c>
      <c r="F73">
        <v>5</v>
      </c>
      <c r="G73" t="s">
        <v>110</v>
      </c>
      <c r="H73">
        <v>9</v>
      </c>
      <c r="I73">
        <v>189</v>
      </c>
      <c r="J73">
        <v>100</v>
      </c>
      <c r="K73">
        <v>280</v>
      </c>
      <c r="L73">
        <v>189</v>
      </c>
      <c r="M73">
        <v>9</v>
      </c>
      <c r="N73">
        <v>280</v>
      </c>
      <c r="O73">
        <v>100</v>
      </c>
      <c r="P73">
        <v>304</v>
      </c>
      <c r="Q73">
        <v>124</v>
      </c>
      <c r="T73">
        <v>2</v>
      </c>
      <c r="U73">
        <v>104</v>
      </c>
      <c r="V73">
        <v>0</v>
      </c>
      <c r="W73">
        <v>12</v>
      </c>
      <c r="Y73">
        <v>5</v>
      </c>
      <c r="Z73">
        <v>27</v>
      </c>
      <c r="AA73">
        <v>16</v>
      </c>
      <c r="AB73">
        <v>261</v>
      </c>
      <c r="AD73">
        <v>43</v>
      </c>
      <c r="AE73">
        <v>21</v>
      </c>
      <c r="AF73">
        <v>3</v>
      </c>
      <c r="AG73">
        <v>172</v>
      </c>
      <c r="AI73">
        <v>10</v>
      </c>
      <c r="AJ73">
        <v>35</v>
      </c>
      <c r="AK73">
        <v>1</v>
      </c>
      <c r="AL73">
        <v>7</v>
      </c>
      <c r="AN73">
        <v>3</v>
      </c>
      <c r="AO73">
        <v>270</v>
      </c>
      <c r="AP73">
        <v>206</v>
      </c>
      <c r="AQ73">
        <v>14</v>
      </c>
      <c r="AX73">
        <v>118</v>
      </c>
      <c r="AY73">
        <v>61</v>
      </c>
      <c r="AZ73">
        <v>179</v>
      </c>
      <c r="BA73">
        <v>309</v>
      </c>
      <c r="BB73">
        <v>328</v>
      </c>
      <c r="BC73">
        <v>637</v>
      </c>
      <c r="BD73">
        <v>239</v>
      </c>
      <c r="BE73">
        <v>338</v>
      </c>
      <c r="BF73">
        <v>577</v>
      </c>
      <c r="BG73">
        <v>53</v>
      </c>
      <c r="BH73">
        <v>33</v>
      </c>
      <c r="BI73">
        <v>86</v>
      </c>
      <c r="BJ73">
        <v>493</v>
      </c>
      <c r="BK73">
        <v>452</v>
      </c>
      <c r="BL73">
        <v>945</v>
      </c>
      <c r="BP73">
        <v>343</v>
      </c>
      <c r="BR73">
        <v>584</v>
      </c>
      <c r="BS73">
        <v>122</v>
      </c>
      <c r="BT73">
        <v>162</v>
      </c>
      <c r="BV73">
        <v>1</v>
      </c>
      <c r="BW73">
        <v>1212</v>
      </c>
      <c r="BX73" t="str">
        <f>IF(C73=C72,IF((CI73-1)=CI72,BW72,"no data"))</f>
        <v>no data</v>
      </c>
      <c r="BY73" s="5"/>
      <c r="BZ73" s="6"/>
      <c r="CA73" s="7">
        <v>44143</v>
      </c>
      <c r="CE73">
        <v>383</v>
      </c>
      <c r="CF73">
        <v>308</v>
      </c>
      <c r="CG73">
        <v>282</v>
      </c>
      <c r="CH73">
        <v>239</v>
      </c>
      <c r="CI73">
        <f t="shared" si="5"/>
        <v>2020</v>
      </c>
      <c r="CJ73" t="str">
        <f t="shared" si="6"/>
        <v>3838_2020</v>
      </c>
    </row>
    <row r="74" spans="1:88" x14ac:dyDescent="0.25">
      <c r="A74" t="s">
        <v>79</v>
      </c>
      <c r="B74" t="s">
        <v>91</v>
      </c>
      <c r="C74">
        <v>3838</v>
      </c>
      <c r="D74">
        <v>-33.902836999999998</v>
      </c>
      <c r="E74">
        <v>151.24481800000001</v>
      </c>
      <c r="F74">
        <v>5</v>
      </c>
      <c r="G74" t="s">
        <v>110</v>
      </c>
      <c r="H74">
        <v>9</v>
      </c>
      <c r="I74">
        <v>189</v>
      </c>
      <c r="J74">
        <v>100</v>
      </c>
      <c r="K74">
        <v>280</v>
      </c>
      <c r="L74">
        <v>189</v>
      </c>
      <c r="M74">
        <v>9</v>
      </c>
      <c r="N74">
        <v>280</v>
      </c>
      <c r="O74">
        <v>100</v>
      </c>
      <c r="P74">
        <v>304</v>
      </c>
      <c r="Q74">
        <v>124</v>
      </c>
      <c r="T74">
        <v>11</v>
      </c>
      <c r="U74">
        <v>76</v>
      </c>
      <c r="V74">
        <v>3</v>
      </c>
      <c r="W74">
        <v>9</v>
      </c>
      <c r="Y74">
        <v>3</v>
      </c>
      <c r="Z74">
        <v>6</v>
      </c>
      <c r="AA74">
        <v>3</v>
      </c>
      <c r="AB74">
        <v>219</v>
      </c>
      <c r="AD74">
        <v>60</v>
      </c>
      <c r="AE74">
        <v>5</v>
      </c>
      <c r="AF74">
        <v>3</v>
      </c>
      <c r="AG74">
        <v>135</v>
      </c>
      <c r="AI74">
        <v>8</v>
      </c>
      <c r="AJ74">
        <v>29</v>
      </c>
      <c r="AK74">
        <v>2</v>
      </c>
      <c r="AL74">
        <v>12</v>
      </c>
      <c r="AN74">
        <v>10</v>
      </c>
      <c r="AO74">
        <v>211</v>
      </c>
      <c r="AP74">
        <v>177</v>
      </c>
      <c r="AQ74">
        <v>4</v>
      </c>
      <c r="AX74">
        <v>99</v>
      </c>
      <c r="AY74">
        <v>81</v>
      </c>
      <c r="AZ74">
        <v>180</v>
      </c>
      <c r="BA74">
        <v>231</v>
      </c>
      <c r="BB74">
        <v>256</v>
      </c>
      <c r="BC74">
        <v>487</v>
      </c>
      <c r="BD74">
        <v>203</v>
      </c>
      <c r="BE74">
        <v>261</v>
      </c>
      <c r="BF74">
        <v>464</v>
      </c>
      <c r="BG74">
        <v>51</v>
      </c>
      <c r="BH74">
        <v>13</v>
      </c>
      <c r="BI74">
        <v>64</v>
      </c>
      <c r="BJ74">
        <v>402</v>
      </c>
      <c r="BK74">
        <v>375</v>
      </c>
      <c r="BL74">
        <v>777</v>
      </c>
      <c r="BP74">
        <v>164</v>
      </c>
      <c r="BR74">
        <v>513</v>
      </c>
      <c r="BS74">
        <v>143</v>
      </c>
      <c r="BT74">
        <v>145</v>
      </c>
      <c r="BV74">
        <v>21</v>
      </c>
      <c r="BW74">
        <v>986</v>
      </c>
      <c r="BX74">
        <f>IF(C74=C73,IF((CI74-1)=CI73,BW73,"no data"))</f>
        <v>1212</v>
      </c>
      <c r="BY74" s="5">
        <f t="shared" si="4"/>
        <v>-0.18646864686468648</v>
      </c>
      <c r="BZ74" s="6">
        <f t="shared" si="7"/>
        <v>-0.18646864686468648</v>
      </c>
      <c r="CA74" s="7">
        <v>44528</v>
      </c>
      <c r="CE74">
        <v>344</v>
      </c>
      <c r="CF74">
        <v>317</v>
      </c>
      <c r="CG74">
        <v>325</v>
      </c>
      <c r="CI74">
        <f t="shared" si="5"/>
        <v>2021</v>
      </c>
      <c r="CJ74" t="str">
        <f t="shared" si="6"/>
        <v>3838_2021</v>
      </c>
    </row>
    <row r="75" spans="1:88" x14ac:dyDescent="0.25">
      <c r="A75" t="s">
        <v>79</v>
      </c>
      <c r="B75" t="s">
        <v>91</v>
      </c>
      <c r="C75">
        <v>3838</v>
      </c>
      <c r="D75">
        <v>-33.902836999999998</v>
      </c>
      <c r="E75">
        <v>151.24481800000001</v>
      </c>
      <c r="F75">
        <v>5</v>
      </c>
      <c r="G75" t="s">
        <v>110</v>
      </c>
      <c r="H75">
        <v>9</v>
      </c>
      <c r="I75">
        <v>189</v>
      </c>
      <c r="J75">
        <v>100</v>
      </c>
      <c r="K75">
        <v>280</v>
      </c>
      <c r="L75">
        <v>189</v>
      </c>
      <c r="M75">
        <v>9</v>
      </c>
      <c r="N75">
        <v>280</v>
      </c>
      <c r="O75">
        <v>100</v>
      </c>
      <c r="P75">
        <v>304</v>
      </c>
      <c r="Q75">
        <v>124</v>
      </c>
      <c r="T75">
        <v>1</v>
      </c>
      <c r="U75">
        <v>11</v>
      </c>
      <c r="V75">
        <v>0</v>
      </c>
      <c r="W75">
        <v>11</v>
      </c>
      <c r="Y75">
        <v>1</v>
      </c>
      <c r="Z75">
        <v>65</v>
      </c>
      <c r="AA75">
        <v>16</v>
      </c>
      <c r="AB75">
        <v>523</v>
      </c>
      <c r="AD75">
        <v>18</v>
      </c>
      <c r="AE75">
        <v>67</v>
      </c>
      <c r="AF75">
        <v>0</v>
      </c>
      <c r="AG75">
        <v>234</v>
      </c>
      <c r="AI75">
        <v>16</v>
      </c>
      <c r="AJ75">
        <v>38</v>
      </c>
      <c r="AK75">
        <v>11</v>
      </c>
      <c r="AL75">
        <v>0</v>
      </c>
      <c r="AN75">
        <v>32</v>
      </c>
      <c r="AO75">
        <v>474</v>
      </c>
      <c r="AP75">
        <v>140</v>
      </c>
      <c r="AQ75">
        <v>0</v>
      </c>
      <c r="AX75">
        <v>23</v>
      </c>
      <c r="AY75">
        <v>67</v>
      </c>
      <c r="AZ75">
        <v>90</v>
      </c>
      <c r="BA75">
        <v>605</v>
      </c>
      <c r="BB75">
        <v>580</v>
      </c>
      <c r="BC75">
        <v>1185</v>
      </c>
      <c r="BD75">
        <v>319</v>
      </c>
      <c r="BE75">
        <v>227</v>
      </c>
      <c r="BF75">
        <v>546</v>
      </c>
      <c r="BG75">
        <v>65</v>
      </c>
      <c r="BH75">
        <v>16</v>
      </c>
      <c r="BI75">
        <v>81</v>
      </c>
      <c r="BJ75">
        <v>646</v>
      </c>
      <c r="BK75">
        <v>768</v>
      </c>
      <c r="BL75">
        <v>1414</v>
      </c>
      <c r="BP75">
        <v>278</v>
      </c>
      <c r="BR75">
        <v>815</v>
      </c>
      <c r="BS75">
        <v>403</v>
      </c>
      <c r="BT75">
        <v>125</v>
      </c>
      <c r="BU75">
        <v>6</v>
      </c>
      <c r="BV75">
        <v>31</v>
      </c>
      <c r="BW75">
        <v>1658</v>
      </c>
      <c r="BX75">
        <f>IF(C75=C74,IF((CI75-1)=CI74,BW74,"no data"))</f>
        <v>986</v>
      </c>
      <c r="BY75" s="5">
        <f t="shared" si="4"/>
        <v>0.68154158215010141</v>
      </c>
      <c r="BZ75" s="6">
        <f t="shared" si="7"/>
        <v>0.68154158215010141</v>
      </c>
      <c r="CA75" s="7">
        <v>44885</v>
      </c>
      <c r="CE75">
        <v>661</v>
      </c>
      <c r="CF75">
        <v>516</v>
      </c>
      <c r="CG75">
        <v>481</v>
      </c>
      <c r="CI75">
        <f t="shared" si="5"/>
        <v>2022</v>
      </c>
      <c r="CJ75" t="str">
        <f t="shared" si="6"/>
        <v>3838_2022</v>
      </c>
    </row>
    <row r="76" spans="1:88" x14ac:dyDescent="0.25">
      <c r="A76" t="s">
        <v>111</v>
      </c>
      <c r="B76" t="s">
        <v>112</v>
      </c>
      <c r="C76">
        <v>4137</v>
      </c>
      <c r="D76">
        <v>-37.7502</v>
      </c>
      <c r="E76">
        <v>145.09270000000001</v>
      </c>
      <c r="F76">
        <v>3</v>
      </c>
      <c r="G76" t="s">
        <v>113</v>
      </c>
      <c r="H76">
        <v>120</v>
      </c>
      <c r="I76">
        <v>300</v>
      </c>
      <c r="J76">
        <v>292</v>
      </c>
      <c r="K76">
        <v>112</v>
      </c>
      <c r="L76">
        <v>320</v>
      </c>
      <c r="M76">
        <v>140</v>
      </c>
      <c r="U76">
        <v>213</v>
      </c>
      <c r="V76">
        <v>7</v>
      </c>
      <c r="AD76">
        <v>163</v>
      </c>
      <c r="AF76">
        <v>19</v>
      </c>
      <c r="AI76">
        <v>15</v>
      </c>
      <c r="AK76">
        <v>26</v>
      </c>
      <c r="AX76">
        <v>220</v>
      </c>
      <c r="AY76">
        <v>178</v>
      </c>
      <c r="AZ76">
        <v>398</v>
      </c>
      <c r="BD76">
        <v>182</v>
      </c>
      <c r="BE76">
        <v>239</v>
      </c>
      <c r="BF76">
        <v>421</v>
      </c>
      <c r="BG76">
        <v>41</v>
      </c>
      <c r="BH76">
        <v>26</v>
      </c>
      <c r="BI76">
        <v>67</v>
      </c>
      <c r="BP76">
        <v>266</v>
      </c>
      <c r="BR76">
        <v>91</v>
      </c>
      <c r="BS76">
        <v>72</v>
      </c>
      <c r="BT76">
        <v>13</v>
      </c>
      <c r="BV76">
        <v>1</v>
      </c>
      <c r="BW76">
        <v>443</v>
      </c>
      <c r="BX76" t="s">
        <v>82</v>
      </c>
      <c r="BY76" s="5"/>
      <c r="BZ76" s="6"/>
      <c r="CA76" s="7">
        <v>41588</v>
      </c>
      <c r="CI76">
        <f t="shared" si="5"/>
        <v>2013</v>
      </c>
      <c r="CJ76" t="str">
        <f t="shared" si="6"/>
        <v>4137_2013</v>
      </c>
    </row>
    <row r="77" spans="1:88" x14ac:dyDescent="0.25">
      <c r="A77" t="s">
        <v>111</v>
      </c>
      <c r="B77" t="s">
        <v>112</v>
      </c>
      <c r="C77">
        <v>4137</v>
      </c>
      <c r="D77">
        <v>-37.7502</v>
      </c>
      <c r="E77">
        <v>145.09270000000001</v>
      </c>
      <c r="F77">
        <v>3</v>
      </c>
      <c r="G77" t="s">
        <v>113</v>
      </c>
      <c r="H77">
        <v>120</v>
      </c>
      <c r="I77">
        <v>300</v>
      </c>
      <c r="J77">
        <v>292</v>
      </c>
      <c r="K77">
        <v>112</v>
      </c>
      <c r="L77">
        <v>320</v>
      </c>
      <c r="M77">
        <v>140</v>
      </c>
      <c r="U77">
        <v>315</v>
      </c>
      <c r="V77">
        <v>12</v>
      </c>
      <c r="AD77">
        <v>218</v>
      </c>
      <c r="AF77">
        <v>24</v>
      </c>
      <c r="AI77">
        <v>9</v>
      </c>
      <c r="AK77">
        <v>28</v>
      </c>
      <c r="AX77">
        <v>327</v>
      </c>
      <c r="AY77">
        <v>227</v>
      </c>
      <c r="AZ77">
        <v>554</v>
      </c>
      <c r="BD77">
        <v>242</v>
      </c>
      <c r="BE77">
        <v>343</v>
      </c>
      <c r="BF77">
        <v>585</v>
      </c>
      <c r="BG77">
        <v>37</v>
      </c>
      <c r="BH77">
        <v>36</v>
      </c>
      <c r="BI77">
        <v>73</v>
      </c>
      <c r="BP77">
        <v>402</v>
      </c>
      <c r="BR77">
        <v>133</v>
      </c>
      <c r="BS77">
        <v>55</v>
      </c>
      <c r="BT77">
        <v>13</v>
      </c>
      <c r="BV77">
        <v>3</v>
      </c>
      <c r="BW77">
        <v>606</v>
      </c>
      <c r="BX77" t="str">
        <f>IF(C77=C76,IF((CI77-1)=CI76,BW76,"no data"))</f>
        <v>no data</v>
      </c>
      <c r="BY77" s="5"/>
      <c r="BZ77" s="6"/>
      <c r="CA77" s="7">
        <v>42316</v>
      </c>
      <c r="CE77">
        <v>150</v>
      </c>
      <c r="CF77">
        <v>193</v>
      </c>
      <c r="CG77">
        <v>152</v>
      </c>
      <c r="CH77">
        <v>111</v>
      </c>
      <c r="CI77">
        <f t="shared" si="5"/>
        <v>2015</v>
      </c>
      <c r="CJ77" t="str">
        <f t="shared" si="6"/>
        <v>4137_2015</v>
      </c>
    </row>
    <row r="78" spans="1:88" x14ac:dyDescent="0.25">
      <c r="A78" t="s">
        <v>111</v>
      </c>
      <c r="B78" t="s">
        <v>112</v>
      </c>
      <c r="C78">
        <v>4137</v>
      </c>
      <c r="D78">
        <v>-37.750163999999998</v>
      </c>
      <c r="E78">
        <v>145.09272799999999</v>
      </c>
      <c r="F78">
        <v>3</v>
      </c>
      <c r="G78" t="s">
        <v>113</v>
      </c>
      <c r="H78">
        <v>120</v>
      </c>
      <c r="I78">
        <v>300</v>
      </c>
      <c r="J78">
        <v>292</v>
      </c>
      <c r="K78">
        <v>112</v>
      </c>
      <c r="L78">
        <v>320</v>
      </c>
      <c r="M78">
        <v>140</v>
      </c>
      <c r="U78">
        <v>216</v>
      </c>
      <c r="V78">
        <v>11</v>
      </c>
      <c r="AD78">
        <v>170</v>
      </c>
      <c r="AF78">
        <v>22</v>
      </c>
      <c r="AI78">
        <v>4</v>
      </c>
      <c r="AK78">
        <v>36</v>
      </c>
      <c r="AX78">
        <v>227</v>
      </c>
      <c r="AY78">
        <v>174</v>
      </c>
      <c r="AZ78">
        <v>401</v>
      </c>
      <c r="BD78">
        <v>192</v>
      </c>
      <c r="BE78">
        <v>252</v>
      </c>
      <c r="BF78">
        <v>444</v>
      </c>
      <c r="BG78">
        <v>40</v>
      </c>
      <c r="BH78">
        <v>33</v>
      </c>
      <c r="BI78">
        <v>73</v>
      </c>
      <c r="BP78">
        <v>192</v>
      </c>
      <c r="BR78">
        <v>96</v>
      </c>
      <c r="BS78">
        <v>153</v>
      </c>
      <c r="BT78">
        <v>15</v>
      </c>
      <c r="BU78">
        <v>2</v>
      </c>
      <c r="BV78">
        <v>1</v>
      </c>
      <c r="BW78">
        <v>459</v>
      </c>
      <c r="BX78" t="str">
        <f>IF(C78=C77,IF((CI78-1)=CI77,BW77,"no data"))</f>
        <v>no data</v>
      </c>
      <c r="BY78" s="5"/>
      <c r="BZ78" s="6"/>
      <c r="CA78" s="7">
        <v>44878</v>
      </c>
      <c r="CE78">
        <v>190</v>
      </c>
      <c r="CF78">
        <v>151</v>
      </c>
      <c r="CG78">
        <v>118</v>
      </c>
      <c r="CI78">
        <f t="shared" si="5"/>
        <v>2022</v>
      </c>
      <c r="CJ78" t="str">
        <f t="shared" si="6"/>
        <v>4137_2022</v>
      </c>
    </row>
    <row r="79" spans="1:88" x14ac:dyDescent="0.25">
      <c r="A79" t="s">
        <v>111</v>
      </c>
      <c r="B79" t="s">
        <v>114</v>
      </c>
      <c r="C79">
        <v>4156</v>
      </c>
      <c r="D79">
        <v>-37.781730000000003</v>
      </c>
      <c r="E79">
        <v>145.06248600000001</v>
      </c>
      <c r="F79">
        <v>3</v>
      </c>
      <c r="G79" t="s">
        <v>115</v>
      </c>
      <c r="H79">
        <v>20</v>
      </c>
      <c r="I79">
        <v>200</v>
      </c>
      <c r="J79">
        <v>117</v>
      </c>
      <c r="K79">
        <v>297</v>
      </c>
      <c r="L79">
        <v>299</v>
      </c>
      <c r="M79">
        <v>119</v>
      </c>
      <c r="T79">
        <v>36</v>
      </c>
      <c r="U79">
        <v>45</v>
      </c>
      <c r="Y79">
        <v>29</v>
      </c>
      <c r="Z79">
        <v>61</v>
      </c>
      <c r="AD79">
        <v>28</v>
      </c>
      <c r="AE79">
        <v>47</v>
      </c>
      <c r="AX79">
        <v>81</v>
      </c>
      <c r="AY79">
        <v>57</v>
      </c>
      <c r="AZ79">
        <v>138</v>
      </c>
      <c r="BA79">
        <v>90</v>
      </c>
      <c r="BB79">
        <v>83</v>
      </c>
      <c r="BC79">
        <v>173</v>
      </c>
      <c r="BD79">
        <v>75</v>
      </c>
      <c r="BE79">
        <v>106</v>
      </c>
      <c r="BF79">
        <v>181</v>
      </c>
      <c r="BP79">
        <v>168</v>
      </c>
      <c r="BR79">
        <v>24</v>
      </c>
      <c r="BS79">
        <v>47</v>
      </c>
      <c r="BT79">
        <v>7</v>
      </c>
      <c r="BV79">
        <v>0</v>
      </c>
      <c r="BW79">
        <v>246</v>
      </c>
      <c r="BX79" t="s">
        <v>82</v>
      </c>
      <c r="BY79" s="5"/>
      <c r="BZ79" s="6"/>
      <c r="CA79" s="7">
        <v>42687</v>
      </c>
      <c r="CE79">
        <v>85</v>
      </c>
      <c r="CF79">
        <v>67</v>
      </c>
      <c r="CG79">
        <v>58</v>
      </c>
      <c r="CH79">
        <v>36</v>
      </c>
      <c r="CI79">
        <f t="shared" si="5"/>
        <v>2016</v>
      </c>
      <c r="CJ79" t="str">
        <f t="shared" si="6"/>
        <v>4156_2016</v>
      </c>
    </row>
    <row r="80" spans="1:88" x14ac:dyDescent="0.25">
      <c r="A80" t="s">
        <v>111</v>
      </c>
      <c r="B80" t="s">
        <v>114</v>
      </c>
      <c r="C80">
        <v>4156</v>
      </c>
      <c r="D80">
        <v>-37.781730000000003</v>
      </c>
      <c r="E80">
        <v>145.06248600000001</v>
      </c>
      <c r="F80">
        <v>3</v>
      </c>
      <c r="G80" t="s">
        <v>115</v>
      </c>
      <c r="H80">
        <v>20</v>
      </c>
      <c r="I80">
        <v>200</v>
      </c>
      <c r="J80">
        <v>117</v>
      </c>
      <c r="K80">
        <v>297</v>
      </c>
      <c r="L80">
        <v>299</v>
      </c>
      <c r="M80">
        <v>119</v>
      </c>
      <c r="T80">
        <v>136</v>
      </c>
      <c r="U80">
        <v>119</v>
      </c>
      <c r="Y80">
        <v>104</v>
      </c>
      <c r="Z80">
        <v>94</v>
      </c>
      <c r="AD80">
        <v>118</v>
      </c>
      <c r="AE80">
        <v>98</v>
      </c>
      <c r="AX80">
        <v>255</v>
      </c>
      <c r="AY80">
        <v>222</v>
      </c>
      <c r="AZ80">
        <v>477</v>
      </c>
      <c r="BA80">
        <v>198</v>
      </c>
      <c r="BB80">
        <v>234</v>
      </c>
      <c r="BC80">
        <v>432</v>
      </c>
      <c r="BD80">
        <v>216</v>
      </c>
      <c r="BE80">
        <v>213</v>
      </c>
      <c r="BF80">
        <v>429</v>
      </c>
      <c r="BP80">
        <v>509</v>
      </c>
      <c r="BR80">
        <v>73</v>
      </c>
      <c r="BS80">
        <v>73</v>
      </c>
      <c r="BT80">
        <v>14</v>
      </c>
      <c r="BV80">
        <v>0</v>
      </c>
      <c r="BW80">
        <v>669</v>
      </c>
      <c r="BX80" t="str">
        <f>IF(C80=C79,IF((CI80-1)=CI79,BW79,"no data"))</f>
        <v>no data</v>
      </c>
      <c r="BY80" s="5"/>
      <c r="BZ80" s="6"/>
      <c r="CA80" s="7">
        <v>43415</v>
      </c>
      <c r="CE80">
        <v>212</v>
      </c>
      <c r="CF80">
        <v>170</v>
      </c>
      <c r="CG80">
        <v>160</v>
      </c>
      <c r="CH80">
        <v>127</v>
      </c>
      <c r="CI80">
        <f t="shared" si="5"/>
        <v>2018</v>
      </c>
      <c r="CJ80" t="str">
        <f t="shared" si="6"/>
        <v>4156_2018</v>
      </c>
    </row>
    <row r="81" spans="1:88" x14ac:dyDescent="0.25">
      <c r="A81" t="s">
        <v>111</v>
      </c>
      <c r="B81" t="s">
        <v>114</v>
      </c>
      <c r="C81">
        <v>4156</v>
      </c>
      <c r="D81">
        <v>-37.781700000000001</v>
      </c>
      <c r="E81">
        <v>145.0625</v>
      </c>
      <c r="F81">
        <v>3</v>
      </c>
      <c r="G81" t="s">
        <v>115</v>
      </c>
      <c r="H81">
        <v>20</v>
      </c>
      <c r="I81">
        <v>200</v>
      </c>
      <c r="J81">
        <v>117</v>
      </c>
      <c r="K81">
        <v>297</v>
      </c>
      <c r="L81">
        <v>299</v>
      </c>
      <c r="M81">
        <v>119</v>
      </c>
      <c r="T81">
        <v>153</v>
      </c>
      <c r="U81">
        <v>189</v>
      </c>
      <c r="Y81">
        <v>122</v>
      </c>
      <c r="Z81">
        <v>117</v>
      </c>
      <c r="AD81">
        <v>149</v>
      </c>
      <c r="AE81">
        <v>103</v>
      </c>
      <c r="AX81">
        <v>342</v>
      </c>
      <c r="AY81">
        <v>271</v>
      </c>
      <c r="AZ81">
        <v>613</v>
      </c>
      <c r="BA81">
        <v>239</v>
      </c>
      <c r="BB81">
        <v>256</v>
      </c>
      <c r="BC81">
        <v>495</v>
      </c>
      <c r="BD81">
        <v>252</v>
      </c>
      <c r="BE81">
        <v>306</v>
      </c>
      <c r="BF81">
        <v>558</v>
      </c>
      <c r="BP81">
        <v>596</v>
      </c>
      <c r="BR81">
        <v>131</v>
      </c>
      <c r="BS81">
        <v>90</v>
      </c>
      <c r="BT81">
        <v>16</v>
      </c>
      <c r="BV81">
        <v>0</v>
      </c>
      <c r="BW81">
        <v>833</v>
      </c>
      <c r="BX81">
        <f>IF(C81=C80,IF((CI81-1)=CI80,BW80,"no data"))</f>
        <v>669</v>
      </c>
      <c r="BY81" s="5">
        <f t="shared" ref="BY81:BY144" si="8">(BW81-BX81)/BX81</f>
        <v>0.24514200298953662</v>
      </c>
      <c r="BZ81" s="6">
        <f t="shared" si="7"/>
        <v>0.24514200298953662</v>
      </c>
      <c r="CA81" s="7">
        <v>43779</v>
      </c>
      <c r="CE81">
        <v>254</v>
      </c>
      <c r="CF81">
        <v>209</v>
      </c>
      <c r="CG81">
        <v>203</v>
      </c>
      <c r="CH81">
        <v>167</v>
      </c>
      <c r="CI81">
        <f t="shared" si="5"/>
        <v>2019</v>
      </c>
      <c r="CJ81" t="str">
        <f t="shared" si="6"/>
        <v>4156_2019</v>
      </c>
    </row>
    <row r="82" spans="1:88" x14ac:dyDescent="0.25">
      <c r="A82" t="s">
        <v>111</v>
      </c>
      <c r="B82" t="s">
        <v>114</v>
      </c>
      <c r="C82">
        <v>4156</v>
      </c>
      <c r="D82">
        <v>-37.781700000000001</v>
      </c>
      <c r="E82">
        <v>145.0625</v>
      </c>
      <c r="F82">
        <v>3</v>
      </c>
      <c r="G82" t="s">
        <v>115</v>
      </c>
      <c r="H82">
        <v>20</v>
      </c>
      <c r="I82">
        <v>200</v>
      </c>
      <c r="J82">
        <v>117</v>
      </c>
      <c r="K82">
        <v>297</v>
      </c>
      <c r="L82">
        <v>299</v>
      </c>
      <c r="M82">
        <v>119</v>
      </c>
      <c r="T82">
        <v>265</v>
      </c>
      <c r="U82">
        <v>282</v>
      </c>
      <c r="Y82">
        <v>330</v>
      </c>
      <c r="Z82">
        <v>212</v>
      </c>
      <c r="AD82">
        <v>258</v>
      </c>
      <c r="AE82">
        <v>186</v>
      </c>
      <c r="AX82">
        <v>547</v>
      </c>
      <c r="AY82">
        <v>588</v>
      </c>
      <c r="AZ82">
        <v>1135</v>
      </c>
      <c r="BA82">
        <v>542</v>
      </c>
      <c r="BB82">
        <v>451</v>
      </c>
      <c r="BC82">
        <v>993</v>
      </c>
      <c r="BD82">
        <v>444</v>
      </c>
      <c r="BE82">
        <v>494</v>
      </c>
      <c r="BF82">
        <v>938</v>
      </c>
      <c r="BP82">
        <v>1151</v>
      </c>
      <c r="BR82">
        <v>219</v>
      </c>
      <c r="BS82">
        <v>143</v>
      </c>
      <c r="BT82">
        <v>20</v>
      </c>
      <c r="BV82">
        <v>0</v>
      </c>
      <c r="BW82">
        <v>1533</v>
      </c>
      <c r="BX82">
        <f>IF(C82=C81,IF((CI82-1)=CI81,BW81,"no data"))</f>
        <v>833</v>
      </c>
      <c r="BY82" s="5">
        <f t="shared" si="8"/>
        <v>0.84033613445378152</v>
      </c>
      <c r="BZ82" s="6">
        <f t="shared" si="7"/>
        <v>0.84033613445378152</v>
      </c>
      <c r="CA82" s="7">
        <v>44143</v>
      </c>
      <c r="CE82">
        <v>411</v>
      </c>
      <c r="CF82">
        <v>456</v>
      </c>
      <c r="CG82">
        <v>304</v>
      </c>
      <c r="CH82">
        <v>362</v>
      </c>
      <c r="CI82">
        <f t="shared" si="5"/>
        <v>2020</v>
      </c>
      <c r="CJ82" t="str">
        <f t="shared" si="6"/>
        <v>4156_2020</v>
      </c>
    </row>
    <row r="83" spans="1:88" x14ac:dyDescent="0.25">
      <c r="A83" t="s">
        <v>111</v>
      </c>
      <c r="B83" t="s">
        <v>114</v>
      </c>
      <c r="C83">
        <v>4156</v>
      </c>
      <c r="D83">
        <v>-37.781730000000003</v>
      </c>
      <c r="E83">
        <v>145.06248600000001</v>
      </c>
      <c r="F83">
        <v>3</v>
      </c>
      <c r="G83" t="s">
        <v>115</v>
      </c>
      <c r="H83">
        <v>20</v>
      </c>
      <c r="I83">
        <v>200</v>
      </c>
      <c r="J83">
        <v>117</v>
      </c>
      <c r="K83">
        <v>297</v>
      </c>
      <c r="L83">
        <v>299</v>
      </c>
      <c r="M83">
        <v>119</v>
      </c>
      <c r="T83">
        <v>164</v>
      </c>
      <c r="U83">
        <v>151</v>
      </c>
      <c r="Y83">
        <v>170</v>
      </c>
      <c r="Z83">
        <v>117</v>
      </c>
      <c r="AD83">
        <v>127</v>
      </c>
      <c r="AE83">
        <v>137</v>
      </c>
      <c r="AX83">
        <v>315</v>
      </c>
      <c r="AY83">
        <v>297</v>
      </c>
      <c r="AZ83">
        <v>612</v>
      </c>
      <c r="BA83">
        <v>287</v>
      </c>
      <c r="BB83">
        <v>301</v>
      </c>
      <c r="BC83">
        <v>588</v>
      </c>
      <c r="BD83">
        <v>264</v>
      </c>
      <c r="BE83">
        <v>268</v>
      </c>
      <c r="BF83">
        <v>532</v>
      </c>
      <c r="BP83">
        <v>671</v>
      </c>
      <c r="BR83">
        <v>91</v>
      </c>
      <c r="BS83">
        <v>88</v>
      </c>
      <c r="BT83">
        <v>15</v>
      </c>
      <c r="BV83">
        <v>1</v>
      </c>
      <c r="BW83">
        <v>866</v>
      </c>
      <c r="BX83">
        <f>IF(C83=C82,IF((CI83-1)=CI82,BW82,"no data"))</f>
        <v>1533</v>
      </c>
      <c r="BY83" s="5">
        <f t="shared" si="8"/>
        <v>-0.43509458577951726</v>
      </c>
      <c r="BZ83" s="6">
        <f t="shared" si="7"/>
        <v>-0.43509458577951726</v>
      </c>
      <c r="CA83" s="7">
        <v>44528</v>
      </c>
      <c r="CE83">
        <v>280</v>
      </c>
      <c r="CF83">
        <v>312</v>
      </c>
      <c r="CG83">
        <v>274</v>
      </c>
      <c r="CI83">
        <f t="shared" si="5"/>
        <v>2021</v>
      </c>
      <c r="CJ83" t="str">
        <f t="shared" si="6"/>
        <v>4156_2021</v>
      </c>
    </row>
    <row r="84" spans="1:88" x14ac:dyDescent="0.25">
      <c r="A84" t="s">
        <v>111</v>
      </c>
      <c r="B84" t="s">
        <v>114</v>
      </c>
      <c r="C84">
        <v>4156</v>
      </c>
      <c r="D84">
        <v>-37.781730000000003</v>
      </c>
      <c r="E84">
        <v>145.06248600000001</v>
      </c>
      <c r="F84">
        <v>3</v>
      </c>
      <c r="G84" t="s">
        <v>115</v>
      </c>
      <c r="H84">
        <v>20</v>
      </c>
      <c r="I84">
        <v>200</v>
      </c>
      <c r="J84">
        <v>117</v>
      </c>
      <c r="K84">
        <v>297</v>
      </c>
      <c r="L84">
        <v>299</v>
      </c>
      <c r="M84">
        <v>119</v>
      </c>
      <c r="T84">
        <v>71</v>
      </c>
      <c r="U84">
        <v>52</v>
      </c>
      <c r="Y84">
        <v>74</v>
      </c>
      <c r="Z84">
        <v>54</v>
      </c>
      <c r="AD84">
        <v>55</v>
      </c>
      <c r="AE84">
        <v>48</v>
      </c>
      <c r="AX84">
        <v>123</v>
      </c>
      <c r="AY84">
        <v>129</v>
      </c>
      <c r="AZ84">
        <v>252</v>
      </c>
      <c r="BA84">
        <v>128</v>
      </c>
      <c r="BB84">
        <v>119</v>
      </c>
      <c r="BC84">
        <v>247</v>
      </c>
      <c r="BD84">
        <v>103</v>
      </c>
      <c r="BE84">
        <v>106</v>
      </c>
      <c r="BF84">
        <v>209</v>
      </c>
      <c r="BP84">
        <v>250</v>
      </c>
      <c r="BR84">
        <v>64</v>
      </c>
      <c r="BS84">
        <v>30</v>
      </c>
      <c r="BT84">
        <v>10</v>
      </c>
      <c r="BU84">
        <v>0</v>
      </c>
      <c r="BV84">
        <v>0</v>
      </c>
      <c r="BW84">
        <v>354</v>
      </c>
      <c r="BX84">
        <f>IF(C84=C83,IF((CI84-1)=CI83,BW83,"no data"))</f>
        <v>866</v>
      </c>
      <c r="BY84" s="5">
        <f t="shared" si="8"/>
        <v>-0.59122401847575057</v>
      </c>
      <c r="BZ84" s="6">
        <f t="shared" si="7"/>
        <v>-0.59122401847575057</v>
      </c>
      <c r="CA84" s="7">
        <v>44878</v>
      </c>
      <c r="CE84">
        <v>78</v>
      </c>
      <c r="CF84">
        <v>152</v>
      </c>
      <c r="CG84">
        <v>124</v>
      </c>
      <c r="CI84">
        <f t="shared" si="5"/>
        <v>2022</v>
      </c>
      <c r="CJ84" t="str">
        <f t="shared" si="6"/>
        <v>4156_2022</v>
      </c>
    </row>
    <row r="85" spans="1:88" x14ac:dyDescent="0.25">
      <c r="A85" t="s">
        <v>111</v>
      </c>
      <c r="B85" t="s">
        <v>114</v>
      </c>
      <c r="C85">
        <v>4219</v>
      </c>
      <c r="D85">
        <v>-37.837600000000002</v>
      </c>
      <c r="E85">
        <v>145.03729999999999</v>
      </c>
      <c r="F85">
        <v>3</v>
      </c>
      <c r="G85" t="s">
        <v>116</v>
      </c>
      <c r="H85">
        <v>56</v>
      </c>
      <c r="I85">
        <v>236</v>
      </c>
      <c r="J85">
        <v>135</v>
      </c>
      <c r="K85">
        <v>315</v>
      </c>
      <c r="L85">
        <v>285</v>
      </c>
      <c r="M85">
        <v>105</v>
      </c>
      <c r="T85">
        <v>43</v>
      </c>
      <c r="U85">
        <v>170</v>
      </c>
      <c r="Y85">
        <v>28</v>
      </c>
      <c r="Z85">
        <v>1067</v>
      </c>
      <c r="AD85">
        <v>127</v>
      </c>
      <c r="AE85">
        <v>824</v>
      </c>
      <c r="AX85">
        <v>213</v>
      </c>
      <c r="AY85">
        <v>155</v>
      </c>
      <c r="AZ85">
        <v>368</v>
      </c>
      <c r="BA85">
        <v>1095</v>
      </c>
      <c r="BB85">
        <v>867</v>
      </c>
      <c r="BC85">
        <v>1962</v>
      </c>
      <c r="BD85">
        <v>951</v>
      </c>
      <c r="BE85">
        <v>1237</v>
      </c>
      <c r="BF85">
        <v>2188</v>
      </c>
      <c r="BP85">
        <v>1528</v>
      </c>
      <c r="BR85">
        <v>403</v>
      </c>
      <c r="BS85">
        <v>208</v>
      </c>
      <c r="BT85">
        <v>75</v>
      </c>
      <c r="BV85">
        <v>45</v>
      </c>
      <c r="BW85">
        <v>2259</v>
      </c>
      <c r="BX85" t="s">
        <v>82</v>
      </c>
      <c r="BY85" s="5"/>
      <c r="BZ85" s="6"/>
      <c r="CA85" s="7">
        <v>44143</v>
      </c>
      <c r="CE85">
        <v>528</v>
      </c>
      <c r="CF85">
        <v>591</v>
      </c>
      <c r="CG85">
        <v>588</v>
      </c>
      <c r="CH85">
        <v>552</v>
      </c>
      <c r="CI85">
        <f t="shared" si="5"/>
        <v>2020</v>
      </c>
      <c r="CJ85" t="str">
        <f t="shared" si="6"/>
        <v>4219_2020</v>
      </c>
    </row>
    <row r="86" spans="1:88" x14ac:dyDescent="0.25">
      <c r="A86" t="s">
        <v>111</v>
      </c>
      <c r="B86" t="s">
        <v>114</v>
      </c>
      <c r="C86">
        <v>4219</v>
      </c>
      <c r="D86">
        <v>-37.837623999999998</v>
      </c>
      <c r="E86">
        <v>145.037327</v>
      </c>
      <c r="F86">
        <v>3</v>
      </c>
      <c r="G86" t="s">
        <v>116</v>
      </c>
      <c r="H86">
        <v>56</v>
      </c>
      <c r="I86">
        <v>236</v>
      </c>
      <c r="J86">
        <v>135</v>
      </c>
      <c r="K86">
        <v>315</v>
      </c>
      <c r="L86">
        <v>285</v>
      </c>
      <c r="M86">
        <v>105</v>
      </c>
      <c r="T86">
        <v>12</v>
      </c>
      <c r="U86">
        <v>41</v>
      </c>
      <c r="Y86">
        <v>21</v>
      </c>
      <c r="Z86">
        <v>452</v>
      </c>
      <c r="AD86">
        <v>81</v>
      </c>
      <c r="AE86">
        <v>368</v>
      </c>
      <c r="AX86">
        <v>53</v>
      </c>
      <c r="AY86">
        <v>102</v>
      </c>
      <c r="AZ86">
        <v>155</v>
      </c>
      <c r="BA86">
        <v>473</v>
      </c>
      <c r="BB86">
        <v>380</v>
      </c>
      <c r="BC86">
        <v>853</v>
      </c>
      <c r="BD86">
        <v>449</v>
      </c>
      <c r="BE86">
        <v>493</v>
      </c>
      <c r="BF86">
        <v>942</v>
      </c>
      <c r="BP86">
        <v>545</v>
      </c>
      <c r="BR86">
        <v>163</v>
      </c>
      <c r="BS86">
        <v>192</v>
      </c>
      <c r="BT86">
        <v>54</v>
      </c>
      <c r="BV86">
        <v>21</v>
      </c>
      <c r="BW86">
        <v>975</v>
      </c>
      <c r="BX86">
        <f>IF(C86=C85,IF((CI86-1)=CI85,BW85,"no data"))</f>
        <v>2259</v>
      </c>
      <c r="BY86" s="5">
        <f t="shared" si="8"/>
        <v>-0.56839309428950868</v>
      </c>
      <c r="BZ86" s="6">
        <f t="shared" si="7"/>
        <v>-0.56839309428950868</v>
      </c>
      <c r="CA86" s="7">
        <v>44528</v>
      </c>
      <c r="CE86">
        <v>349</v>
      </c>
      <c r="CF86">
        <v>300</v>
      </c>
      <c r="CG86">
        <v>326</v>
      </c>
      <c r="CI86">
        <f t="shared" si="5"/>
        <v>2021</v>
      </c>
      <c r="CJ86" t="str">
        <f t="shared" si="6"/>
        <v>4219_2021</v>
      </c>
    </row>
    <row r="87" spans="1:88" x14ac:dyDescent="0.25">
      <c r="A87" t="s">
        <v>111</v>
      </c>
      <c r="B87" t="s">
        <v>114</v>
      </c>
      <c r="C87">
        <v>4219</v>
      </c>
      <c r="D87">
        <v>-37.837623999999998</v>
      </c>
      <c r="E87">
        <v>145.037327</v>
      </c>
      <c r="F87">
        <v>3</v>
      </c>
      <c r="G87" t="s">
        <v>116</v>
      </c>
      <c r="H87">
        <v>56</v>
      </c>
      <c r="I87">
        <v>236</v>
      </c>
      <c r="J87">
        <v>135</v>
      </c>
      <c r="K87">
        <v>315</v>
      </c>
      <c r="L87">
        <v>285</v>
      </c>
      <c r="M87">
        <v>105</v>
      </c>
      <c r="T87">
        <v>17</v>
      </c>
      <c r="U87">
        <v>24</v>
      </c>
      <c r="Y87">
        <v>17</v>
      </c>
      <c r="Z87">
        <v>372</v>
      </c>
      <c r="AD87">
        <v>17</v>
      </c>
      <c r="AE87">
        <v>440</v>
      </c>
      <c r="AX87">
        <v>41</v>
      </c>
      <c r="AY87">
        <v>34</v>
      </c>
      <c r="AZ87">
        <v>75</v>
      </c>
      <c r="BA87">
        <v>389</v>
      </c>
      <c r="BB87">
        <v>457</v>
      </c>
      <c r="BC87">
        <v>846</v>
      </c>
      <c r="BD87">
        <v>457</v>
      </c>
      <c r="BE87">
        <v>396</v>
      </c>
      <c r="BF87">
        <v>853</v>
      </c>
      <c r="BP87">
        <v>325</v>
      </c>
      <c r="BR87">
        <v>351</v>
      </c>
      <c r="BS87">
        <v>127</v>
      </c>
      <c r="BT87">
        <v>71</v>
      </c>
      <c r="BU87">
        <v>8</v>
      </c>
      <c r="BV87">
        <v>5</v>
      </c>
      <c r="BW87">
        <v>887</v>
      </c>
      <c r="BX87">
        <f>IF(C87=C86,IF((CI87-1)=CI86,BW86,"no data"))</f>
        <v>975</v>
      </c>
      <c r="BY87" s="5">
        <f t="shared" si="8"/>
        <v>-9.0256410256410263E-2</v>
      </c>
      <c r="BZ87" s="6">
        <f t="shared" si="7"/>
        <v>-9.0256410256410263E-2</v>
      </c>
      <c r="CA87" s="7">
        <v>44878</v>
      </c>
      <c r="CE87">
        <v>308</v>
      </c>
      <c r="CF87">
        <v>363</v>
      </c>
      <c r="CG87">
        <v>216</v>
      </c>
      <c r="CI87">
        <f t="shared" si="5"/>
        <v>2022</v>
      </c>
      <c r="CJ87" t="str">
        <f t="shared" si="6"/>
        <v>4219_2022</v>
      </c>
    </row>
    <row r="88" spans="1:88" x14ac:dyDescent="0.25">
      <c r="A88" t="s">
        <v>111</v>
      </c>
      <c r="B88" t="s">
        <v>117</v>
      </c>
      <c r="C88">
        <v>4266</v>
      </c>
      <c r="D88">
        <v>-38.097099999999998</v>
      </c>
      <c r="E88">
        <v>144.322</v>
      </c>
      <c r="F88">
        <v>4</v>
      </c>
      <c r="G88" t="s">
        <v>118</v>
      </c>
      <c r="H88">
        <v>0</v>
      </c>
      <c r="I88">
        <v>180</v>
      </c>
      <c r="J88">
        <v>99</v>
      </c>
      <c r="K88">
        <v>279</v>
      </c>
      <c r="L88">
        <v>201</v>
      </c>
      <c r="M88">
        <v>21</v>
      </c>
      <c r="N88">
        <v>279</v>
      </c>
      <c r="O88">
        <v>99</v>
      </c>
      <c r="T88">
        <v>10</v>
      </c>
      <c r="U88">
        <v>18</v>
      </c>
      <c r="V88">
        <v>1</v>
      </c>
      <c r="Y88">
        <v>10</v>
      </c>
      <c r="Z88">
        <v>3</v>
      </c>
      <c r="AA88">
        <v>2</v>
      </c>
      <c r="AD88">
        <v>10</v>
      </c>
      <c r="AE88">
        <v>6</v>
      </c>
      <c r="AF88">
        <v>1</v>
      </c>
      <c r="AI88">
        <v>0</v>
      </c>
      <c r="AJ88">
        <v>0</v>
      </c>
      <c r="AK88">
        <v>2</v>
      </c>
      <c r="AX88">
        <v>29</v>
      </c>
      <c r="AY88">
        <v>20</v>
      </c>
      <c r="AZ88">
        <v>49</v>
      </c>
      <c r="BA88">
        <v>15</v>
      </c>
      <c r="BB88">
        <v>16</v>
      </c>
      <c r="BC88">
        <v>31</v>
      </c>
      <c r="BD88">
        <v>17</v>
      </c>
      <c r="BE88">
        <v>23</v>
      </c>
      <c r="BF88">
        <v>40</v>
      </c>
      <c r="BG88">
        <v>2</v>
      </c>
      <c r="BH88">
        <v>4</v>
      </c>
      <c r="BI88">
        <v>6</v>
      </c>
      <c r="BP88">
        <v>19</v>
      </c>
      <c r="BR88">
        <v>31</v>
      </c>
      <c r="BS88">
        <v>2</v>
      </c>
      <c r="BT88">
        <v>11</v>
      </c>
      <c r="BV88">
        <v>0</v>
      </c>
      <c r="BW88">
        <v>63</v>
      </c>
      <c r="BX88" t="s">
        <v>82</v>
      </c>
      <c r="BY88" s="5"/>
      <c r="BZ88" s="6"/>
      <c r="CA88" s="7">
        <v>41588</v>
      </c>
      <c r="CI88">
        <f t="shared" si="5"/>
        <v>2013</v>
      </c>
      <c r="CJ88" t="str">
        <f t="shared" si="6"/>
        <v>4266_2013</v>
      </c>
    </row>
    <row r="89" spans="1:88" x14ac:dyDescent="0.25">
      <c r="A89" t="s">
        <v>111</v>
      </c>
      <c r="B89" t="s">
        <v>117</v>
      </c>
      <c r="C89">
        <v>4266</v>
      </c>
      <c r="D89">
        <v>-38.097099999999998</v>
      </c>
      <c r="E89">
        <v>144.322</v>
      </c>
      <c r="F89">
        <v>4</v>
      </c>
      <c r="G89" t="s">
        <v>118</v>
      </c>
      <c r="H89">
        <v>0</v>
      </c>
      <c r="I89">
        <v>180</v>
      </c>
      <c r="J89">
        <v>99</v>
      </c>
      <c r="K89">
        <v>279</v>
      </c>
      <c r="L89">
        <v>201</v>
      </c>
      <c r="M89">
        <v>21</v>
      </c>
      <c r="N89">
        <v>279</v>
      </c>
      <c r="O89">
        <v>99</v>
      </c>
      <c r="T89">
        <v>13</v>
      </c>
      <c r="U89">
        <v>23</v>
      </c>
      <c r="V89">
        <v>1</v>
      </c>
      <c r="Y89">
        <v>4</v>
      </c>
      <c r="Z89">
        <v>5</v>
      </c>
      <c r="AA89">
        <v>5</v>
      </c>
      <c r="AD89">
        <v>22</v>
      </c>
      <c r="AE89">
        <v>5</v>
      </c>
      <c r="AF89">
        <v>2</v>
      </c>
      <c r="AI89">
        <v>0</v>
      </c>
      <c r="AJ89">
        <v>7</v>
      </c>
      <c r="AK89">
        <v>4</v>
      </c>
      <c r="AX89">
        <v>37</v>
      </c>
      <c r="AY89">
        <v>26</v>
      </c>
      <c r="AZ89">
        <v>63</v>
      </c>
      <c r="BA89">
        <v>14</v>
      </c>
      <c r="BB89">
        <v>25</v>
      </c>
      <c r="BC89">
        <v>39</v>
      </c>
      <c r="BD89">
        <v>29</v>
      </c>
      <c r="BE89">
        <v>32</v>
      </c>
      <c r="BF89">
        <v>61</v>
      </c>
      <c r="BG89">
        <v>11</v>
      </c>
      <c r="BH89">
        <v>8</v>
      </c>
      <c r="BI89">
        <v>19</v>
      </c>
      <c r="BP89">
        <v>41</v>
      </c>
      <c r="BR89">
        <v>24</v>
      </c>
      <c r="BS89">
        <v>5</v>
      </c>
      <c r="BT89">
        <v>21</v>
      </c>
      <c r="BV89">
        <v>0</v>
      </c>
      <c r="BW89">
        <v>91</v>
      </c>
      <c r="BX89">
        <f>IF(C89=C88,IF((CI89-1)=CI88,BW88,"no data"))</f>
        <v>63</v>
      </c>
      <c r="BY89" s="5">
        <f t="shared" si="8"/>
        <v>0.44444444444444442</v>
      </c>
      <c r="BZ89" s="6">
        <f t="shared" si="7"/>
        <v>0.44444444444444442</v>
      </c>
      <c r="CA89" s="7">
        <v>41952</v>
      </c>
      <c r="CI89">
        <f t="shared" si="5"/>
        <v>2014</v>
      </c>
      <c r="CJ89" t="str">
        <f t="shared" si="6"/>
        <v>4266_2014</v>
      </c>
    </row>
    <row r="90" spans="1:88" x14ac:dyDescent="0.25">
      <c r="A90" t="s">
        <v>111</v>
      </c>
      <c r="B90" t="s">
        <v>117</v>
      </c>
      <c r="C90">
        <v>4266</v>
      </c>
      <c r="D90">
        <v>-38.097099999999998</v>
      </c>
      <c r="E90">
        <v>144.322</v>
      </c>
      <c r="F90">
        <v>4</v>
      </c>
      <c r="G90" t="s">
        <v>118</v>
      </c>
      <c r="H90">
        <v>0</v>
      </c>
      <c r="I90">
        <v>180</v>
      </c>
      <c r="J90">
        <v>99</v>
      </c>
      <c r="K90">
        <v>279</v>
      </c>
      <c r="L90">
        <v>201</v>
      </c>
      <c r="M90">
        <v>21</v>
      </c>
      <c r="N90">
        <v>279</v>
      </c>
      <c r="O90">
        <v>99</v>
      </c>
      <c r="T90">
        <v>14</v>
      </c>
      <c r="U90">
        <v>28</v>
      </c>
      <c r="V90">
        <v>4</v>
      </c>
      <c r="Y90">
        <v>2</v>
      </c>
      <c r="Z90">
        <v>1</v>
      </c>
      <c r="AA90">
        <v>8</v>
      </c>
      <c r="AD90">
        <v>23</v>
      </c>
      <c r="AE90">
        <v>4</v>
      </c>
      <c r="AF90">
        <v>9</v>
      </c>
      <c r="AI90">
        <v>0</v>
      </c>
      <c r="AJ90">
        <v>3</v>
      </c>
      <c r="AK90">
        <v>2</v>
      </c>
      <c r="AX90">
        <v>46</v>
      </c>
      <c r="AY90">
        <v>25</v>
      </c>
      <c r="AZ90">
        <v>71</v>
      </c>
      <c r="BA90">
        <v>11</v>
      </c>
      <c r="BB90">
        <v>21</v>
      </c>
      <c r="BC90">
        <v>32</v>
      </c>
      <c r="BD90">
        <v>36</v>
      </c>
      <c r="BE90">
        <v>31</v>
      </c>
      <c r="BF90">
        <v>67</v>
      </c>
      <c r="BG90">
        <v>5</v>
      </c>
      <c r="BH90">
        <v>21</v>
      </c>
      <c r="BI90">
        <v>26</v>
      </c>
      <c r="BP90">
        <v>52</v>
      </c>
      <c r="BR90">
        <v>40</v>
      </c>
      <c r="BS90">
        <v>0</v>
      </c>
      <c r="BT90">
        <v>6</v>
      </c>
      <c r="BV90">
        <v>0</v>
      </c>
      <c r="BW90">
        <v>98</v>
      </c>
      <c r="BX90">
        <f>IF(C90=C89,IF((CI90-1)=CI89,BW89,"no data"))</f>
        <v>91</v>
      </c>
      <c r="BY90" s="5">
        <f t="shared" si="8"/>
        <v>7.6923076923076927E-2</v>
      </c>
      <c r="BZ90" s="6">
        <f t="shared" si="7"/>
        <v>7.6923076923076927E-2</v>
      </c>
      <c r="CA90" s="7">
        <v>42316</v>
      </c>
      <c r="CE90">
        <v>36</v>
      </c>
      <c r="CF90">
        <v>24</v>
      </c>
      <c r="CG90">
        <v>19</v>
      </c>
      <c r="CH90">
        <v>19</v>
      </c>
      <c r="CI90">
        <f t="shared" si="5"/>
        <v>2015</v>
      </c>
      <c r="CJ90" t="str">
        <f t="shared" si="6"/>
        <v>4266_2015</v>
      </c>
    </row>
    <row r="91" spans="1:88" x14ac:dyDescent="0.25">
      <c r="A91" t="s">
        <v>111</v>
      </c>
      <c r="B91" t="s">
        <v>117</v>
      </c>
      <c r="C91">
        <v>4266</v>
      </c>
      <c r="D91">
        <v>-38.097119999999997</v>
      </c>
      <c r="E91">
        <v>144.32201499999999</v>
      </c>
      <c r="F91">
        <v>4</v>
      </c>
      <c r="G91" t="s">
        <v>118</v>
      </c>
      <c r="H91">
        <v>0</v>
      </c>
      <c r="I91">
        <v>180</v>
      </c>
      <c r="J91">
        <v>99</v>
      </c>
      <c r="K91">
        <v>279</v>
      </c>
      <c r="L91">
        <v>201</v>
      </c>
      <c r="M91">
        <v>21</v>
      </c>
      <c r="N91">
        <v>279</v>
      </c>
      <c r="O91">
        <v>99</v>
      </c>
      <c r="T91">
        <v>12</v>
      </c>
      <c r="U91">
        <v>14</v>
      </c>
      <c r="V91">
        <v>2</v>
      </c>
      <c r="Y91">
        <v>10</v>
      </c>
      <c r="Z91">
        <v>11</v>
      </c>
      <c r="AA91">
        <v>15</v>
      </c>
      <c r="AD91">
        <v>26</v>
      </c>
      <c r="AE91">
        <v>6</v>
      </c>
      <c r="AF91">
        <v>0</v>
      </c>
      <c r="AI91">
        <v>1</v>
      </c>
      <c r="AJ91">
        <v>12</v>
      </c>
      <c r="AK91">
        <v>2</v>
      </c>
      <c r="AX91">
        <v>28</v>
      </c>
      <c r="AY91">
        <v>37</v>
      </c>
      <c r="AZ91">
        <v>65</v>
      </c>
      <c r="BA91">
        <v>36</v>
      </c>
      <c r="BB91">
        <v>30</v>
      </c>
      <c r="BC91">
        <v>66</v>
      </c>
      <c r="BD91">
        <v>32</v>
      </c>
      <c r="BE91">
        <v>27</v>
      </c>
      <c r="BF91">
        <v>59</v>
      </c>
      <c r="BG91">
        <v>15</v>
      </c>
      <c r="BH91">
        <v>17</v>
      </c>
      <c r="BI91">
        <v>32</v>
      </c>
      <c r="BP91">
        <v>32</v>
      </c>
      <c r="BR91">
        <v>41</v>
      </c>
      <c r="BS91">
        <v>13</v>
      </c>
      <c r="BT91">
        <v>24</v>
      </c>
      <c r="BV91">
        <v>1</v>
      </c>
      <c r="BW91">
        <v>111</v>
      </c>
      <c r="BX91">
        <f>IF(C91=C90,IF((CI91-1)=CI90,BW90,"no data"))</f>
        <v>98</v>
      </c>
      <c r="BY91" s="5">
        <f t="shared" si="8"/>
        <v>0.1326530612244898</v>
      </c>
      <c r="BZ91" s="6">
        <f t="shared" si="7"/>
        <v>0.1326530612244898</v>
      </c>
      <c r="CA91" s="7">
        <v>42687</v>
      </c>
      <c r="CE91">
        <v>16</v>
      </c>
      <c r="CF91">
        <v>32</v>
      </c>
      <c r="CG91">
        <v>33</v>
      </c>
      <c r="CH91">
        <v>30</v>
      </c>
      <c r="CI91">
        <f t="shared" si="5"/>
        <v>2016</v>
      </c>
      <c r="CJ91" t="str">
        <f t="shared" si="6"/>
        <v>4266_2016</v>
      </c>
    </row>
    <row r="92" spans="1:88" x14ac:dyDescent="0.25">
      <c r="A92" t="s">
        <v>111</v>
      </c>
      <c r="B92" t="s">
        <v>117</v>
      </c>
      <c r="C92">
        <v>4266</v>
      </c>
      <c r="D92">
        <v>-38.097119999999997</v>
      </c>
      <c r="E92">
        <v>144.32201499999999</v>
      </c>
      <c r="F92">
        <v>4</v>
      </c>
      <c r="G92" t="s">
        <v>118</v>
      </c>
      <c r="H92">
        <v>0</v>
      </c>
      <c r="I92">
        <v>180</v>
      </c>
      <c r="J92">
        <v>99</v>
      </c>
      <c r="K92">
        <v>279</v>
      </c>
      <c r="L92">
        <v>201</v>
      </c>
      <c r="M92">
        <v>21</v>
      </c>
      <c r="N92">
        <v>279</v>
      </c>
      <c r="O92">
        <v>99</v>
      </c>
      <c r="T92">
        <v>7</v>
      </c>
      <c r="U92">
        <v>30</v>
      </c>
      <c r="V92">
        <v>0</v>
      </c>
      <c r="Y92">
        <v>12</v>
      </c>
      <c r="Z92">
        <v>13</v>
      </c>
      <c r="AA92">
        <v>7</v>
      </c>
      <c r="AD92">
        <v>13</v>
      </c>
      <c r="AE92">
        <v>9</v>
      </c>
      <c r="AF92">
        <v>1</v>
      </c>
      <c r="AI92">
        <v>0</v>
      </c>
      <c r="AJ92">
        <v>10</v>
      </c>
      <c r="AK92">
        <v>4</v>
      </c>
      <c r="AX92">
        <v>37</v>
      </c>
      <c r="AY92">
        <v>25</v>
      </c>
      <c r="AZ92">
        <v>62</v>
      </c>
      <c r="BA92">
        <v>32</v>
      </c>
      <c r="BB92">
        <v>26</v>
      </c>
      <c r="BC92">
        <v>58</v>
      </c>
      <c r="BD92">
        <v>23</v>
      </c>
      <c r="BE92">
        <v>47</v>
      </c>
      <c r="BF92">
        <v>70</v>
      </c>
      <c r="BG92">
        <v>14</v>
      </c>
      <c r="BH92">
        <v>8</v>
      </c>
      <c r="BI92">
        <v>22</v>
      </c>
      <c r="BP92">
        <v>46</v>
      </c>
      <c r="BR92">
        <v>28</v>
      </c>
      <c r="BS92">
        <v>3</v>
      </c>
      <c r="BT92">
        <v>14</v>
      </c>
      <c r="BV92">
        <v>15</v>
      </c>
      <c r="BW92">
        <v>106</v>
      </c>
      <c r="BX92">
        <f>IF(C92=C91,IF((CI92-1)=CI91,BW91,"no data"))</f>
        <v>111</v>
      </c>
      <c r="BY92" s="5">
        <f t="shared" si="8"/>
        <v>-4.5045045045045043E-2</v>
      </c>
      <c r="BZ92" s="6">
        <f t="shared" si="7"/>
        <v>-4.5045045045045043E-2</v>
      </c>
      <c r="CA92" s="7">
        <v>43051</v>
      </c>
      <c r="CE92">
        <v>38</v>
      </c>
      <c r="CF92">
        <v>40</v>
      </c>
      <c r="CG92">
        <v>20</v>
      </c>
      <c r="CH92">
        <v>8</v>
      </c>
      <c r="CI92">
        <f t="shared" si="5"/>
        <v>2017</v>
      </c>
      <c r="CJ92" t="str">
        <f t="shared" si="6"/>
        <v>4266_2017</v>
      </c>
    </row>
    <row r="93" spans="1:88" x14ac:dyDescent="0.25">
      <c r="A93" t="s">
        <v>111</v>
      </c>
      <c r="B93" t="s">
        <v>117</v>
      </c>
      <c r="C93">
        <v>4269</v>
      </c>
      <c r="D93">
        <v>-38.128100000000003</v>
      </c>
      <c r="E93">
        <v>144.31800000000001</v>
      </c>
      <c r="F93">
        <v>4</v>
      </c>
      <c r="G93" t="s">
        <v>119</v>
      </c>
      <c r="H93">
        <v>8</v>
      </c>
      <c r="I93">
        <v>188</v>
      </c>
      <c r="J93">
        <v>98</v>
      </c>
      <c r="K93">
        <v>278</v>
      </c>
      <c r="L93">
        <v>188</v>
      </c>
      <c r="M93">
        <v>8</v>
      </c>
      <c r="N93">
        <v>278</v>
      </c>
      <c r="O93">
        <v>98</v>
      </c>
      <c r="T93">
        <v>2</v>
      </c>
      <c r="U93">
        <v>1</v>
      </c>
      <c r="V93">
        <v>2</v>
      </c>
      <c r="Y93">
        <v>1</v>
      </c>
      <c r="Z93">
        <v>1</v>
      </c>
      <c r="AA93">
        <v>19</v>
      </c>
      <c r="AD93">
        <v>1</v>
      </c>
      <c r="AE93">
        <v>5</v>
      </c>
      <c r="AF93">
        <v>2</v>
      </c>
      <c r="AI93">
        <v>0</v>
      </c>
      <c r="AJ93">
        <v>20</v>
      </c>
      <c r="AK93">
        <v>1</v>
      </c>
      <c r="AX93">
        <v>5</v>
      </c>
      <c r="AY93">
        <v>2</v>
      </c>
      <c r="AZ93">
        <v>7</v>
      </c>
      <c r="BA93">
        <v>21</v>
      </c>
      <c r="BB93">
        <v>27</v>
      </c>
      <c r="BC93">
        <v>48</v>
      </c>
      <c r="BD93">
        <v>8</v>
      </c>
      <c r="BE93">
        <v>3</v>
      </c>
      <c r="BF93">
        <v>11</v>
      </c>
      <c r="BG93">
        <v>21</v>
      </c>
      <c r="BH93">
        <v>23</v>
      </c>
      <c r="BI93">
        <v>44</v>
      </c>
      <c r="BP93">
        <v>6</v>
      </c>
      <c r="BR93">
        <v>19</v>
      </c>
      <c r="BS93">
        <v>0</v>
      </c>
      <c r="BT93">
        <v>21</v>
      </c>
      <c r="BV93">
        <v>9</v>
      </c>
      <c r="BW93">
        <v>55</v>
      </c>
      <c r="BX93" t="s">
        <v>82</v>
      </c>
      <c r="BY93" s="5"/>
      <c r="BZ93" s="6"/>
      <c r="CA93" s="7">
        <v>41588</v>
      </c>
      <c r="CI93">
        <f t="shared" si="5"/>
        <v>2013</v>
      </c>
      <c r="CJ93" t="str">
        <f t="shared" si="6"/>
        <v>4269_2013</v>
      </c>
    </row>
    <row r="94" spans="1:88" x14ac:dyDescent="0.25">
      <c r="A94" t="s">
        <v>111</v>
      </c>
      <c r="B94" t="s">
        <v>117</v>
      </c>
      <c r="C94">
        <v>4269</v>
      </c>
      <c r="D94">
        <v>-38.128100000000003</v>
      </c>
      <c r="E94">
        <v>144.31800000000001</v>
      </c>
      <c r="F94">
        <v>4</v>
      </c>
      <c r="G94" t="s">
        <v>119</v>
      </c>
      <c r="H94">
        <v>8</v>
      </c>
      <c r="I94">
        <v>188</v>
      </c>
      <c r="J94">
        <v>98</v>
      </c>
      <c r="K94">
        <v>278</v>
      </c>
      <c r="L94">
        <v>188</v>
      </c>
      <c r="M94">
        <v>8</v>
      </c>
      <c r="N94">
        <v>278</v>
      </c>
      <c r="O94">
        <v>98</v>
      </c>
      <c r="T94">
        <v>3</v>
      </c>
      <c r="U94">
        <v>2</v>
      </c>
      <c r="V94">
        <v>4</v>
      </c>
      <c r="Y94">
        <v>1</v>
      </c>
      <c r="Z94">
        <v>4</v>
      </c>
      <c r="AA94">
        <v>25</v>
      </c>
      <c r="AD94">
        <v>1</v>
      </c>
      <c r="AE94">
        <v>8</v>
      </c>
      <c r="AF94">
        <v>3</v>
      </c>
      <c r="AI94">
        <v>3</v>
      </c>
      <c r="AJ94">
        <v>26</v>
      </c>
      <c r="AK94">
        <v>2</v>
      </c>
      <c r="AX94">
        <v>9</v>
      </c>
      <c r="AY94">
        <v>5</v>
      </c>
      <c r="AZ94">
        <v>14</v>
      </c>
      <c r="BA94">
        <v>30</v>
      </c>
      <c r="BB94">
        <v>37</v>
      </c>
      <c r="BC94">
        <v>67</v>
      </c>
      <c r="BD94">
        <v>12</v>
      </c>
      <c r="BE94">
        <v>8</v>
      </c>
      <c r="BF94">
        <v>20</v>
      </c>
      <c r="BG94">
        <v>31</v>
      </c>
      <c r="BH94">
        <v>32</v>
      </c>
      <c r="BI94">
        <v>63</v>
      </c>
      <c r="BP94">
        <v>14</v>
      </c>
      <c r="BR94">
        <v>43</v>
      </c>
      <c r="BS94">
        <v>7</v>
      </c>
      <c r="BT94">
        <v>12</v>
      </c>
      <c r="BV94">
        <v>6</v>
      </c>
      <c r="BW94">
        <v>82</v>
      </c>
      <c r="BX94">
        <f>IF(C94=C93,IF((CI94-1)=CI93,BW93,"no data"))</f>
        <v>55</v>
      </c>
      <c r="BY94" s="5">
        <f t="shared" si="8"/>
        <v>0.49090909090909091</v>
      </c>
      <c r="BZ94" s="6">
        <f t="shared" si="7"/>
        <v>0.49090909090909091</v>
      </c>
      <c r="CA94" s="7">
        <v>41952</v>
      </c>
      <c r="CI94">
        <f t="shared" si="5"/>
        <v>2014</v>
      </c>
      <c r="CJ94" t="str">
        <f t="shared" si="6"/>
        <v>4269_2014</v>
      </c>
    </row>
    <row r="95" spans="1:88" x14ac:dyDescent="0.25">
      <c r="A95" t="s">
        <v>111</v>
      </c>
      <c r="B95" t="s">
        <v>117</v>
      </c>
      <c r="C95">
        <v>4270</v>
      </c>
      <c r="D95">
        <v>-38.129300000000001</v>
      </c>
      <c r="E95">
        <v>144.32759999999999</v>
      </c>
      <c r="F95">
        <v>4</v>
      </c>
      <c r="G95" t="s">
        <v>120</v>
      </c>
      <c r="H95">
        <v>34</v>
      </c>
      <c r="I95">
        <v>214</v>
      </c>
      <c r="J95">
        <v>99</v>
      </c>
      <c r="K95">
        <v>279</v>
      </c>
      <c r="L95">
        <v>222</v>
      </c>
      <c r="M95">
        <v>42</v>
      </c>
      <c r="N95">
        <v>279</v>
      </c>
      <c r="O95">
        <v>99</v>
      </c>
      <c r="T95">
        <v>4</v>
      </c>
      <c r="U95">
        <v>22</v>
      </c>
      <c r="V95">
        <v>0</v>
      </c>
      <c r="Y95">
        <v>4</v>
      </c>
      <c r="Z95">
        <v>12</v>
      </c>
      <c r="AA95">
        <v>29</v>
      </c>
      <c r="AD95">
        <v>11</v>
      </c>
      <c r="AE95">
        <v>7</v>
      </c>
      <c r="AF95">
        <v>2</v>
      </c>
      <c r="AI95">
        <v>1</v>
      </c>
      <c r="AJ95">
        <v>40</v>
      </c>
      <c r="AK95">
        <v>4</v>
      </c>
      <c r="AX95">
        <v>26</v>
      </c>
      <c r="AY95">
        <v>16</v>
      </c>
      <c r="AZ95">
        <v>42</v>
      </c>
      <c r="BA95">
        <v>45</v>
      </c>
      <c r="BB95">
        <v>51</v>
      </c>
      <c r="BC95">
        <v>96</v>
      </c>
      <c r="BD95">
        <v>20</v>
      </c>
      <c r="BE95">
        <v>38</v>
      </c>
      <c r="BF95">
        <v>58</v>
      </c>
      <c r="BG95">
        <v>45</v>
      </c>
      <c r="BH95">
        <v>31</v>
      </c>
      <c r="BI95">
        <v>76</v>
      </c>
      <c r="BP95">
        <v>50</v>
      </c>
      <c r="BR95">
        <v>50</v>
      </c>
      <c r="BS95">
        <v>12</v>
      </c>
      <c r="BT95">
        <v>20</v>
      </c>
      <c r="BV95">
        <v>4</v>
      </c>
      <c r="BW95">
        <v>136</v>
      </c>
      <c r="BX95" t="s">
        <v>82</v>
      </c>
      <c r="BY95" s="5"/>
      <c r="BZ95" s="6"/>
      <c r="CA95" s="7">
        <v>41588</v>
      </c>
      <c r="CI95">
        <f t="shared" si="5"/>
        <v>2013</v>
      </c>
      <c r="CJ95" t="str">
        <f t="shared" si="6"/>
        <v>4270_2013</v>
      </c>
    </row>
    <row r="96" spans="1:88" x14ac:dyDescent="0.25">
      <c r="A96" t="s">
        <v>111</v>
      </c>
      <c r="B96" t="s">
        <v>117</v>
      </c>
      <c r="C96">
        <v>4270</v>
      </c>
      <c r="D96">
        <v>-38.129300000000001</v>
      </c>
      <c r="E96">
        <v>144.32759999999999</v>
      </c>
      <c r="F96">
        <v>4</v>
      </c>
      <c r="G96" t="s">
        <v>120</v>
      </c>
      <c r="H96">
        <v>34</v>
      </c>
      <c r="I96">
        <v>214</v>
      </c>
      <c r="J96">
        <v>99</v>
      </c>
      <c r="K96">
        <v>279</v>
      </c>
      <c r="L96">
        <v>222</v>
      </c>
      <c r="M96">
        <v>42</v>
      </c>
      <c r="N96">
        <v>279</v>
      </c>
      <c r="O96">
        <v>99</v>
      </c>
      <c r="T96">
        <v>4</v>
      </c>
      <c r="U96">
        <v>25</v>
      </c>
      <c r="V96">
        <v>6</v>
      </c>
      <c r="Y96">
        <v>2</v>
      </c>
      <c r="Z96">
        <v>14</v>
      </c>
      <c r="AA96">
        <v>44</v>
      </c>
      <c r="AD96">
        <v>39</v>
      </c>
      <c r="AE96">
        <v>5</v>
      </c>
      <c r="AF96">
        <v>10</v>
      </c>
      <c r="AI96">
        <v>5</v>
      </c>
      <c r="AJ96">
        <v>38</v>
      </c>
      <c r="AK96">
        <v>7</v>
      </c>
      <c r="AX96">
        <v>35</v>
      </c>
      <c r="AY96">
        <v>46</v>
      </c>
      <c r="AZ96">
        <v>81</v>
      </c>
      <c r="BA96">
        <v>60</v>
      </c>
      <c r="BB96">
        <v>47</v>
      </c>
      <c r="BC96">
        <v>107</v>
      </c>
      <c r="BD96">
        <v>54</v>
      </c>
      <c r="BE96">
        <v>46</v>
      </c>
      <c r="BF96">
        <v>100</v>
      </c>
      <c r="BG96">
        <v>50</v>
      </c>
      <c r="BH96">
        <v>60</v>
      </c>
      <c r="BI96">
        <v>110</v>
      </c>
      <c r="BP96">
        <v>70</v>
      </c>
      <c r="BR96">
        <v>72</v>
      </c>
      <c r="BS96">
        <v>12</v>
      </c>
      <c r="BT96">
        <v>30</v>
      </c>
      <c r="BV96">
        <v>15</v>
      </c>
      <c r="BW96">
        <v>199</v>
      </c>
      <c r="BX96">
        <f>IF(C96=C95,IF((CI96-1)=CI95,BW95,"no data"))</f>
        <v>136</v>
      </c>
      <c r="BY96" s="5">
        <f t="shared" si="8"/>
        <v>0.46323529411764708</v>
      </c>
      <c r="BZ96" s="6">
        <f t="shared" si="7"/>
        <v>0.46323529411764708</v>
      </c>
      <c r="CA96" s="7">
        <v>41952</v>
      </c>
      <c r="CI96">
        <f t="shared" si="5"/>
        <v>2014</v>
      </c>
      <c r="CJ96" t="str">
        <f t="shared" si="6"/>
        <v>4270_2014</v>
      </c>
    </row>
    <row r="97" spans="1:88" x14ac:dyDescent="0.25">
      <c r="A97" t="s">
        <v>111</v>
      </c>
      <c r="B97" t="s">
        <v>117</v>
      </c>
      <c r="C97">
        <v>4270</v>
      </c>
      <c r="D97">
        <v>-38.129300000000001</v>
      </c>
      <c r="E97">
        <v>144.32759999999999</v>
      </c>
      <c r="F97">
        <v>4</v>
      </c>
      <c r="G97" t="s">
        <v>120</v>
      </c>
      <c r="H97">
        <v>34</v>
      </c>
      <c r="I97">
        <v>214</v>
      </c>
      <c r="J97">
        <v>99</v>
      </c>
      <c r="K97">
        <v>279</v>
      </c>
      <c r="L97">
        <v>222</v>
      </c>
      <c r="M97">
        <v>42</v>
      </c>
      <c r="N97">
        <v>279</v>
      </c>
      <c r="O97">
        <v>99</v>
      </c>
      <c r="T97">
        <v>5</v>
      </c>
      <c r="U97">
        <v>32</v>
      </c>
      <c r="V97">
        <v>4</v>
      </c>
      <c r="Y97">
        <v>3</v>
      </c>
      <c r="Z97">
        <v>7</v>
      </c>
      <c r="AA97">
        <v>34</v>
      </c>
      <c r="AD97">
        <v>26</v>
      </c>
      <c r="AE97">
        <v>25</v>
      </c>
      <c r="AF97">
        <v>9</v>
      </c>
      <c r="AI97">
        <v>6</v>
      </c>
      <c r="AJ97">
        <v>39</v>
      </c>
      <c r="AK97">
        <v>13</v>
      </c>
      <c r="AX97">
        <v>41</v>
      </c>
      <c r="AY97">
        <v>35</v>
      </c>
      <c r="AZ97">
        <v>76</v>
      </c>
      <c r="BA97">
        <v>44</v>
      </c>
      <c r="BB97">
        <v>69</v>
      </c>
      <c r="BC97">
        <v>113</v>
      </c>
      <c r="BD97">
        <v>60</v>
      </c>
      <c r="BE97">
        <v>52</v>
      </c>
      <c r="BF97">
        <v>112</v>
      </c>
      <c r="BG97">
        <v>58</v>
      </c>
      <c r="BH97">
        <v>47</v>
      </c>
      <c r="BI97">
        <v>105</v>
      </c>
      <c r="BP97">
        <v>57</v>
      </c>
      <c r="BR97">
        <v>91</v>
      </c>
      <c r="BS97">
        <v>14</v>
      </c>
      <c r="BT97">
        <v>38</v>
      </c>
      <c r="BV97">
        <v>3</v>
      </c>
      <c r="BW97">
        <v>203</v>
      </c>
      <c r="BX97">
        <f>IF(C97=C96,IF((CI97-1)=CI96,BW96,"no data"))</f>
        <v>199</v>
      </c>
      <c r="BY97" s="5">
        <f t="shared" si="8"/>
        <v>2.0100502512562814E-2</v>
      </c>
      <c r="BZ97" s="6">
        <f t="shared" si="7"/>
        <v>2.0100502512562814E-2</v>
      </c>
      <c r="CA97" s="7">
        <v>42316</v>
      </c>
      <c r="CE97">
        <v>78</v>
      </c>
      <c r="CF97">
        <v>40</v>
      </c>
      <c r="CG97">
        <v>45</v>
      </c>
      <c r="CH97">
        <v>40</v>
      </c>
      <c r="CI97">
        <f t="shared" si="5"/>
        <v>2015</v>
      </c>
      <c r="CJ97" t="str">
        <f t="shared" si="6"/>
        <v>4270_2015</v>
      </c>
    </row>
    <row r="98" spans="1:88" x14ac:dyDescent="0.25">
      <c r="A98" t="s">
        <v>111</v>
      </c>
      <c r="B98" t="s">
        <v>117</v>
      </c>
      <c r="C98">
        <v>4270</v>
      </c>
      <c r="D98">
        <v>-38.129297000000001</v>
      </c>
      <c r="E98">
        <v>144.32764299999999</v>
      </c>
      <c r="F98">
        <v>4</v>
      </c>
      <c r="G98" t="s">
        <v>120</v>
      </c>
      <c r="H98">
        <v>34</v>
      </c>
      <c r="I98">
        <v>214</v>
      </c>
      <c r="J98">
        <v>99</v>
      </c>
      <c r="K98">
        <v>279</v>
      </c>
      <c r="L98">
        <v>222</v>
      </c>
      <c r="M98">
        <v>42</v>
      </c>
      <c r="N98">
        <v>279</v>
      </c>
      <c r="O98">
        <v>99</v>
      </c>
      <c r="T98">
        <v>11</v>
      </c>
      <c r="U98">
        <v>55</v>
      </c>
      <c r="V98">
        <v>4</v>
      </c>
      <c r="Y98">
        <v>5</v>
      </c>
      <c r="Z98">
        <v>20</v>
      </c>
      <c r="AA98">
        <v>21</v>
      </c>
      <c r="AD98">
        <v>28</v>
      </c>
      <c r="AE98">
        <v>8</v>
      </c>
      <c r="AF98">
        <v>1</v>
      </c>
      <c r="AI98">
        <v>4</v>
      </c>
      <c r="AJ98">
        <v>25</v>
      </c>
      <c r="AK98">
        <v>8</v>
      </c>
      <c r="AX98">
        <v>70</v>
      </c>
      <c r="AY98">
        <v>37</v>
      </c>
      <c r="AZ98">
        <v>107</v>
      </c>
      <c r="BA98">
        <v>46</v>
      </c>
      <c r="BB98">
        <v>44</v>
      </c>
      <c r="BC98">
        <v>90</v>
      </c>
      <c r="BD98">
        <v>37</v>
      </c>
      <c r="BE98">
        <v>83</v>
      </c>
      <c r="BF98">
        <v>120</v>
      </c>
      <c r="BG98">
        <v>37</v>
      </c>
      <c r="BH98">
        <v>26</v>
      </c>
      <c r="BI98">
        <v>63</v>
      </c>
      <c r="BP98">
        <v>73</v>
      </c>
      <c r="BR98">
        <v>63</v>
      </c>
      <c r="BS98">
        <v>13</v>
      </c>
      <c r="BT98">
        <v>36</v>
      </c>
      <c r="BV98">
        <v>5</v>
      </c>
      <c r="BW98">
        <v>190</v>
      </c>
      <c r="BX98">
        <f>IF(C98=C97,IF((CI98-1)=CI97,BW97,"no data"))</f>
        <v>203</v>
      </c>
      <c r="BY98" s="5">
        <f t="shared" si="8"/>
        <v>-6.4039408866995079E-2</v>
      </c>
      <c r="BZ98" s="6">
        <f t="shared" si="7"/>
        <v>-6.4039408866995079E-2</v>
      </c>
      <c r="CA98" s="7">
        <v>42687</v>
      </c>
      <c r="CE98">
        <v>33</v>
      </c>
      <c r="CF98">
        <v>69</v>
      </c>
      <c r="CG98">
        <v>43</v>
      </c>
      <c r="CH98">
        <v>45</v>
      </c>
      <c r="CI98">
        <f t="shared" si="5"/>
        <v>2016</v>
      </c>
      <c r="CJ98" t="str">
        <f t="shared" si="6"/>
        <v>4270_2016</v>
      </c>
    </row>
    <row r="99" spans="1:88" x14ac:dyDescent="0.25">
      <c r="A99" t="s">
        <v>111</v>
      </c>
      <c r="B99" t="s">
        <v>117</v>
      </c>
      <c r="C99">
        <v>4270</v>
      </c>
      <c r="D99">
        <v>-38.129297000000001</v>
      </c>
      <c r="E99">
        <v>144.32764299999999</v>
      </c>
      <c r="F99">
        <v>4</v>
      </c>
      <c r="G99" t="s">
        <v>120</v>
      </c>
      <c r="H99">
        <v>34</v>
      </c>
      <c r="I99">
        <v>214</v>
      </c>
      <c r="J99">
        <v>99</v>
      </c>
      <c r="K99">
        <v>279</v>
      </c>
      <c r="L99">
        <v>222</v>
      </c>
      <c r="M99">
        <v>42</v>
      </c>
      <c r="N99">
        <v>279</v>
      </c>
      <c r="O99">
        <v>99</v>
      </c>
      <c r="T99">
        <v>6</v>
      </c>
      <c r="U99">
        <v>27</v>
      </c>
      <c r="V99">
        <v>13</v>
      </c>
      <c r="Y99">
        <v>6</v>
      </c>
      <c r="Z99">
        <v>30</v>
      </c>
      <c r="AA99">
        <v>39</v>
      </c>
      <c r="AD99">
        <v>32</v>
      </c>
      <c r="AE99">
        <v>12</v>
      </c>
      <c r="AF99">
        <v>15</v>
      </c>
      <c r="AI99">
        <v>9</v>
      </c>
      <c r="AJ99">
        <v>36</v>
      </c>
      <c r="AK99">
        <v>11</v>
      </c>
      <c r="AX99">
        <v>46</v>
      </c>
      <c r="AY99">
        <v>47</v>
      </c>
      <c r="AZ99">
        <v>93</v>
      </c>
      <c r="BA99">
        <v>75</v>
      </c>
      <c r="BB99">
        <v>54</v>
      </c>
      <c r="BC99">
        <v>129</v>
      </c>
      <c r="BD99">
        <v>59</v>
      </c>
      <c r="BE99">
        <v>68</v>
      </c>
      <c r="BF99">
        <v>127</v>
      </c>
      <c r="BG99">
        <v>56</v>
      </c>
      <c r="BH99">
        <v>67</v>
      </c>
      <c r="BI99">
        <v>123</v>
      </c>
      <c r="BP99">
        <v>77</v>
      </c>
      <c r="BR99">
        <v>89</v>
      </c>
      <c r="BS99">
        <v>12</v>
      </c>
      <c r="BT99">
        <v>40</v>
      </c>
      <c r="BV99">
        <v>18</v>
      </c>
      <c r="BW99">
        <v>236</v>
      </c>
      <c r="BX99">
        <f>IF(C99=C98,IF((CI99-1)=CI98,BW98,"no data"))</f>
        <v>190</v>
      </c>
      <c r="BY99" s="5">
        <f t="shared" si="8"/>
        <v>0.24210526315789474</v>
      </c>
      <c r="BZ99" s="6">
        <f t="shared" si="7"/>
        <v>0.24210526315789474</v>
      </c>
      <c r="CA99" s="7">
        <v>43051</v>
      </c>
      <c r="CE99">
        <v>59</v>
      </c>
      <c r="CF99">
        <v>67</v>
      </c>
      <c r="CG99">
        <v>54</v>
      </c>
      <c r="CH99">
        <v>56</v>
      </c>
      <c r="CI99">
        <f t="shared" si="5"/>
        <v>2017</v>
      </c>
      <c r="CJ99" t="str">
        <f t="shared" si="6"/>
        <v>4270_2017</v>
      </c>
    </row>
    <row r="100" spans="1:88" x14ac:dyDescent="0.25">
      <c r="A100" t="s">
        <v>111</v>
      </c>
      <c r="B100" t="s">
        <v>117</v>
      </c>
      <c r="C100">
        <v>4284</v>
      </c>
      <c r="D100">
        <v>-38.156399999999998</v>
      </c>
      <c r="E100">
        <v>144.32159999999999</v>
      </c>
      <c r="F100">
        <v>3</v>
      </c>
      <c r="G100" t="s">
        <v>121</v>
      </c>
      <c r="H100">
        <v>122</v>
      </c>
      <c r="I100">
        <v>302</v>
      </c>
      <c r="J100">
        <v>158</v>
      </c>
      <c r="K100">
        <v>338</v>
      </c>
      <c r="L100">
        <v>338</v>
      </c>
      <c r="M100">
        <v>158</v>
      </c>
      <c r="T100">
        <v>7</v>
      </c>
      <c r="U100">
        <v>10</v>
      </c>
      <c r="Y100">
        <v>4</v>
      </c>
      <c r="Z100">
        <v>130</v>
      </c>
      <c r="AD100">
        <v>8</v>
      </c>
      <c r="AE100">
        <v>169</v>
      </c>
      <c r="AX100">
        <v>17</v>
      </c>
      <c r="AY100">
        <v>12</v>
      </c>
      <c r="AZ100">
        <v>29</v>
      </c>
      <c r="BA100">
        <v>134</v>
      </c>
      <c r="BB100">
        <v>176</v>
      </c>
      <c r="BC100">
        <v>310</v>
      </c>
      <c r="BD100">
        <v>177</v>
      </c>
      <c r="BE100">
        <v>140</v>
      </c>
      <c r="BF100">
        <v>317</v>
      </c>
      <c r="BP100">
        <v>91</v>
      </c>
      <c r="BR100">
        <v>118</v>
      </c>
      <c r="BS100">
        <v>81</v>
      </c>
      <c r="BT100">
        <v>35</v>
      </c>
      <c r="BV100">
        <v>3</v>
      </c>
      <c r="BW100">
        <v>328</v>
      </c>
      <c r="BX100" t="s">
        <v>82</v>
      </c>
      <c r="BY100" s="5"/>
      <c r="BZ100" s="6"/>
      <c r="CA100" s="7">
        <v>41588</v>
      </c>
      <c r="CI100">
        <f t="shared" si="5"/>
        <v>2013</v>
      </c>
      <c r="CJ100" t="str">
        <f t="shared" si="6"/>
        <v>4284_2013</v>
      </c>
    </row>
    <row r="101" spans="1:88" x14ac:dyDescent="0.25">
      <c r="A101" t="s">
        <v>111</v>
      </c>
      <c r="B101" t="s">
        <v>117</v>
      </c>
      <c r="C101">
        <v>4284</v>
      </c>
      <c r="D101">
        <v>-38.156399999999998</v>
      </c>
      <c r="E101">
        <v>144.32159999999999</v>
      </c>
      <c r="F101">
        <v>3</v>
      </c>
      <c r="G101" t="s">
        <v>121</v>
      </c>
      <c r="H101">
        <v>122</v>
      </c>
      <c r="I101">
        <v>302</v>
      </c>
      <c r="J101">
        <v>158</v>
      </c>
      <c r="K101">
        <v>338</v>
      </c>
      <c r="L101">
        <v>338</v>
      </c>
      <c r="M101">
        <v>158</v>
      </c>
      <c r="T101">
        <v>17</v>
      </c>
      <c r="U101">
        <v>27</v>
      </c>
      <c r="Y101">
        <v>10</v>
      </c>
      <c r="Z101">
        <v>147</v>
      </c>
      <c r="AD101">
        <v>1</v>
      </c>
      <c r="AE101">
        <v>242</v>
      </c>
      <c r="AX101">
        <v>44</v>
      </c>
      <c r="AY101">
        <v>11</v>
      </c>
      <c r="AZ101">
        <v>55</v>
      </c>
      <c r="BA101">
        <v>157</v>
      </c>
      <c r="BB101">
        <v>259</v>
      </c>
      <c r="BC101">
        <v>416</v>
      </c>
      <c r="BD101">
        <v>243</v>
      </c>
      <c r="BE101">
        <v>174</v>
      </c>
      <c r="BF101">
        <v>417</v>
      </c>
      <c r="BP101">
        <v>116</v>
      </c>
      <c r="BR101">
        <v>172</v>
      </c>
      <c r="BS101">
        <v>136</v>
      </c>
      <c r="BT101">
        <v>10</v>
      </c>
      <c r="BV101">
        <v>10</v>
      </c>
      <c r="BW101">
        <v>444</v>
      </c>
      <c r="BX101">
        <f>IF(C101=C100,IF((CI101-1)=CI100,BW100,"no data"))</f>
        <v>328</v>
      </c>
      <c r="BY101" s="5">
        <f t="shared" si="8"/>
        <v>0.35365853658536583</v>
      </c>
      <c r="BZ101" s="6">
        <f t="shared" si="7"/>
        <v>0.35365853658536583</v>
      </c>
      <c r="CA101" s="7">
        <v>41952</v>
      </c>
      <c r="CI101">
        <f t="shared" si="5"/>
        <v>2014</v>
      </c>
      <c r="CJ101" t="str">
        <f t="shared" si="6"/>
        <v>4284_2014</v>
      </c>
    </row>
    <row r="102" spans="1:88" x14ac:dyDescent="0.25">
      <c r="A102" t="s">
        <v>111</v>
      </c>
      <c r="B102" t="s">
        <v>117</v>
      </c>
      <c r="C102">
        <v>4291</v>
      </c>
      <c r="D102">
        <v>-38.161200000000001</v>
      </c>
      <c r="E102">
        <v>144.3629</v>
      </c>
      <c r="F102">
        <v>5</v>
      </c>
      <c r="G102" t="s">
        <v>122</v>
      </c>
      <c r="H102">
        <v>20</v>
      </c>
      <c r="I102">
        <v>200</v>
      </c>
      <c r="J102">
        <v>112</v>
      </c>
      <c r="K102">
        <v>292</v>
      </c>
      <c r="L102">
        <v>143</v>
      </c>
      <c r="M102">
        <v>323</v>
      </c>
      <c r="N102">
        <v>200</v>
      </c>
      <c r="O102">
        <v>20</v>
      </c>
      <c r="P102">
        <v>320</v>
      </c>
      <c r="Q102">
        <v>140</v>
      </c>
      <c r="T102">
        <v>2</v>
      </c>
      <c r="U102">
        <v>2</v>
      </c>
      <c r="V102">
        <v>20</v>
      </c>
      <c r="W102">
        <v>3</v>
      </c>
      <c r="Y102">
        <v>1</v>
      </c>
      <c r="Z102">
        <v>0</v>
      </c>
      <c r="AA102">
        <v>0</v>
      </c>
      <c r="AB102">
        <v>3</v>
      </c>
      <c r="AD102">
        <v>2</v>
      </c>
      <c r="AE102">
        <v>0</v>
      </c>
      <c r="AF102">
        <v>3</v>
      </c>
      <c r="AG102">
        <v>0</v>
      </c>
      <c r="AI102">
        <v>27</v>
      </c>
      <c r="AJ102">
        <v>0</v>
      </c>
      <c r="AK102">
        <v>0</v>
      </c>
      <c r="AL102">
        <v>2</v>
      </c>
      <c r="AN102">
        <v>1</v>
      </c>
      <c r="AO102">
        <v>1</v>
      </c>
      <c r="AP102">
        <v>2</v>
      </c>
      <c r="AQ102">
        <v>1</v>
      </c>
      <c r="AX102">
        <v>27</v>
      </c>
      <c r="AY102">
        <v>31</v>
      </c>
      <c r="AZ102">
        <v>58</v>
      </c>
      <c r="BA102">
        <v>4</v>
      </c>
      <c r="BB102">
        <v>3</v>
      </c>
      <c r="BC102">
        <v>7</v>
      </c>
      <c r="BD102">
        <v>5</v>
      </c>
      <c r="BE102">
        <v>4</v>
      </c>
      <c r="BF102">
        <v>9</v>
      </c>
      <c r="BG102">
        <v>29</v>
      </c>
      <c r="BH102">
        <v>24</v>
      </c>
      <c r="BI102">
        <v>53</v>
      </c>
      <c r="BJ102">
        <v>5</v>
      </c>
      <c r="BK102">
        <v>8</v>
      </c>
      <c r="BL102">
        <v>13</v>
      </c>
      <c r="BP102">
        <v>30</v>
      </c>
      <c r="BR102">
        <v>17</v>
      </c>
      <c r="BS102">
        <v>19</v>
      </c>
      <c r="BT102">
        <v>4</v>
      </c>
      <c r="BV102">
        <v>0</v>
      </c>
      <c r="BW102">
        <v>70</v>
      </c>
      <c r="BX102" t="s">
        <v>82</v>
      </c>
      <c r="BY102" s="5"/>
      <c r="BZ102" s="6"/>
      <c r="CA102" s="7">
        <v>41588</v>
      </c>
      <c r="CI102">
        <f t="shared" si="5"/>
        <v>2013</v>
      </c>
      <c r="CJ102" t="str">
        <f t="shared" si="6"/>
        <v>4291_2013</v>
      </c>
    </row>
    <row r="103" spans="1:88" x14ac:dyDescent="0.25">
      <c r="A103" t="s">
        <v>111</v>
      </c>
      <c r="B103" t="s">
        <v>117</v>
      </c>
      <c r="C103">
        <v>4291</v>
      </c>
      <c r="D103">
        <v>-38.161200000000001</v>
      </c>
      <c r="E103">
        <v>144.3629</v>
      </c>
      <c r="F103">
        <v>5</v>
      </c>
      <c r="G103" t="s">
        <v>122</v>
      </c>
      <c r="H103">
        <v>20</v>
      </c>
      <c r="I103">
        <v>200</v>
      </c>
      <c r="J103">
        <v>112</v>
      </c>
      <c r="K103">
        <v>292</v>
      </c>
      <c r="L103">
        <v>143</v>
      </c>
      <c r="M103">
        <v>323</v>
      </c>
      <c r="N103">
        <v>200</v>
      </c>
      <c r="O103">
        <v>20</v>
      </c>
      <c r="P103">
        <v>320</v>
      </c>
      <c r="Q103">
        <v>140</v>
      </c>
      <c r="T103">
        <v>2</v>
      </c>
      <c r="U103">
        <v>0</v>
      </c>
      <c r="V103">
        <v>70</v>
      </c>
      <c r="W103">
        <v>18</v>
      </c>
      <c r="Y103">
        <v>4</v>
      </c>
      <c r="Z103">
        <v>0</v>
      </c>
      <c r="AA103">
        <v>8</v>
      </c>
      <c r="AB103">
        <v>14</v>
      </c>
      <c r="AD103">
        <v>4</v>
      </c>
      <c r="AE103">
        <v>0</v>
      </c>
      <c r="AF103">
        <v>22</v>
      </c>
      <c r="AG103">
        <v>1</v>
      </c>
      <c r="AI103">
        <v>52</v>
      </c>
      <c r="AJ103">
        <v>1</v>
      </c>
      <c r="AK103">
        <v>3</v>
      </c>
      <c r="AL103">
        <v>0</v>
      </c>
      <c r="AN103">
        <v>5</v>
      </c>
      <c r="AO103">
        <v>10</v>
      </c>
      <c r="AP103">
        <v>0</v>
      </c>
      <c r="AQ103">
        <v>4</v>
      </c>
      <c r="AX103">
        <v>90</v>
      </c>
      <c r="AY103">
        <v>65</v>
      </c>
      <c r="AZ103">
        <v>155</v>
      </c>
      <c r="BA103">
        <v>26</v>
      </c>
      <c r="BB103">
        <v>13</v>
      </c>
      <c r="BC103">
        <v>39</v>
      </c>
      <c r="BD103">
        <v>27</v>
      </c>
      <c r="BE103">
        <v>3</v>
      </c>
      <c r="BF103">
        <v>30</v>
      </c>
      <c r="BG103">
        <v>56</v>
      </c>
      <c r="BH103">
        <v>104</v>
      </c>
      <c r="BI103">
        <v>160</v>
      </c>
      <c r="BJ103">
        <v>19</v>
      </c>
      <c r="BK103">
        <v>33</v>
      </c>
      <c r="BL103">
        <v>52</v>
      </c>
      <c r="BP103">
        <v>97</v>
      </c>
      <c r="BR103">
        <v>75</v>
      </c>
      <c r="BS103">
        <v>10</v>
      </c>
      <c r="BT103">
        <v>17</v>
      </c>
      <c r="BV103">
        <v>19</v>
      </c>
      <c r="BW103">
        <v>218</v>
      </c>
      <c r="BX103">
        <f>IF(C103=C102,IF((CI103-1)=CI102,BW102,"no data"))</f>
        <v>70</v>
      </c>
      <c r="BY103" s="5">
        <f t="shared" si="8"/>
        <v>2.1142857142857143</v>
      </c>
      <c r="BZ103" s="6">
        <f t="shared" si="7"/>
        <v>2.1142857142857143</v>
      </c>
      <c r="CA103" s="7">
        <v>41952</v>
      </c>
      <c r="CI103">
        <f t="shared" si="5"/>
        <v>2014</v>
      </c>
      <c r="CJ103" t="str">
        <f t="shared" si="6"/>
        <v>4291_2014</v>
      </c>
    </row>
    <row r="104" spans="1:88" x14ac:dyDescent="0.25">
      <c r="A104" t="s">
        <v>111</v>
      </c>
      <c r="B104" t="s">
        <v>117</v>
      </c>
      <c r="C104">
        <v>4291</v>
      </c>
      <c r="D104">
        <v>-38.161200000000001</v>
      </c>
      <c r="E104">
        <v>144.3629</v>
      </c>
      <c r="F104">
        <v>5</v>
      </c>
      <c r="G104" t="s">
        <v>122</v>
      </c>
      <c r="H104">
        <v>20</v>
      </c>
      <c r="I104">
        <v>200</v>
      </c>
      <c r="J104">
        <v>112</v>
      </c>
      <c r="K104">
        <v>292</v>
      </c>
      <c r="L104">
        <v>143</v>
      </c>
      <c r="M104">
        <v>323</v>
      </c>
      <c r="N104">
        <v>200</v>
      </c>
      <c r="O104">
        <v>20</v>
      </c>
      <c r="P104">
        <v>320</v>
      </c>
      <c r="Q104">
        <v>140</v>
      </c>
      <c r="T104">
        <v>4</v>
      </c>
      <c r="U104">
        <v>2</v>
      </c>
      <c r="V104">
        <v>70</v>
      </c>
      <c r="W104">
        <v>3</v>
      </c>
      <c r="Y104">
        <v>4</v>
      </c>
      <c r="Z104">
        <v>0</v>
      </c>
      <c r="AA104">
        <v>8</v>
      </c>
      <c r="AB104">
        <v>9</v>
      </c>
      <c r="AD104">
        <v>0</v>
      </c>
      <c r="AE104">
        <v>0</v>
      </c>
      <c r="AF104">
        <v>0</v>
      </c>
      <c r="AG104">
        <v>0</v>
      </c>
      <c r="AI104">
        <v>64</v>
      </c>
      <c r="AJ104">
        <v>2</v>
      </c>
      <c r="AK104">
        <v>5</v>
      </c>
      <c r="AL104">
        <v>2</v>
      </c>
      <c r="AN104">
        <v>4</v>
      </c>
      <c r="AO104">
        <v>5</v>
      </c>
      <c r="AP104">
        <v>1</v>
      </c>
      <c r="AQ104">
        <v>4</v>
      </c>
      <c r="AX104">
        <v>79</v>
      </c>
      <c r="AY104">
        <v>72</v>
      </c>
      <c r="AZ104">
        <v>151</v>
      </c>
      <c r="BA104">
        <v>21</v>
      </c>
      <c r="BB104">
        <v>11</v>
      </c>
      <c r="BC104">
        <v>32</v>
      </c>
      <c r="BD104">
        <v>0</v>
      </c>
      <c r="BE104">
        <v>8</v>
      </c>
      <c r="BF104">
        <v>8</v>
      </c>
      <c r="BG104">
        <v>73</v>
      </c>
      <c r="BH104">
        <v>82</v>
      </c>
      <c r="BI104">
        <v>155</v>
      </c>
      <c r="BJ104">
        <v>14</v>
      </c>
      <c r="BK104">
        <v>14</v>
      </c>
      <c r="BL104">
        <v>28</v>
      </c>
      <c r="BP104">
        <v>72</v>
      </c>
      <c r="BR104">
        <v>85</v>
      </c>
      <c r="BS104">
        <v>10</v>
      </c>
      <c r="BT104">
        <v>19</v>
      </c>
      <c r="BV104">
        <v>1</v>
      </c>
      <c r="BW104">
        <v>187</v>
      </c>
      <c r="BX104">
        <f>IF(C104=C103,IF((CI104-1)=CI103,BW103,"no data"))</f>
        <v>218</v>
      </c>
      <c r="BY104" s="5">
        <f t="shared" si="8"/>
        <v>-0.14220183486238533</v>
      </c>
      <c r="BZ104" s="6">
        <f t="shared" si="7"/>
        <v>-0.14220183486238533</v>
      </c>
      <c r="CA104" s="7">
        <v>42316</v>
      </c>
      <c r="CE104">
        <v>50</v>
      </c>
      <c r="CF104">
        <v>42</v>
      </c>
      <c r="CG104">
        <v>43</v>
      </c>
      <c r="CH104">
        <v>52</v>
      </c>
      <c r="CI104">
        <f t="shared" si="5"/>
        <v>2015</v>
      </c>
      <c r="CJ104" t="str">
        <f t="shared" si="6"/>
        <v>4291_2015</v>
      </c>
    </row>
    <row r="105" spans="1:88" x14ac:dyDescent="0.25">
      <c r="A105" t="s">
        <v>111</v>
      </c>
      <c r="B105" t="s">
        <v>117</v>
      </c>
      <c r="C105">
        <v>4291</v>
      </c>
      <c r="D105">
        <v>-38.161154000000003</v>
      </c>
      <c r="E105">
        <v>144.36288400000001</v>
      </c>
      <c r="F105">
        <v>5</v>
      </c>
      <c r="G105" t="s">
        <v>122</v>
      </c>
      <c r="H105">
        <v>20</v>
      </c>
      <c r="I105">
        <v>200</v>
      </c>
      <c r="J105">
        <v>112</v>
      </c>
      <c r="K105">
        <v>292</v>
      </c>
      <c r="L105">
        <v>143</v>
      </c>
      <c r="M105">
        <v>323</v>
      </c>
      <c r="N105">
        <v>200</v>
      </c>
      <c r="O105">
        <v>20</v>
      </c>
      <c r="P105">
        <v>320</v>
      </c>
      <c r="Q105">
        <v>140</v>
      </c>
      <c r="T105">
        <v>4</v>
      </c>
      <c r="U105">
        <v>2</v>
      </c>
      <c r="V105">
        <v>48</v>
      </c>
      <c r="W105">
        <v>4</v>
      </c>
      <c r="Y105">
        <v>8</v>
      </c>
      <c r="Z105">
        <v>0</v>
      </c>
      <c r="AA105">
        <v>5</v>
      </c>
      <c r="AB105">
        <v>6</v>
      </c>
      <c r="AD105">
        <v>1</v>
      </c>
      <c r="AE105">
        <v>0</v>
      </c>
      <c r="AF105">
        <v>4</v>
      </c>
      <c r="AG105">
        <v>8</v>
      </c>
      <c r="AI105">
        <v>37</v>
      </c>
      <c r="AJ105">
        <v>1</v>
      </c>
      <c r="AK105">
        <v>1</v>
      </c>
      <c r="AL105">
        <v>6</v>
      </c>
      <c r="AN105">
        <v>2</v>
      </c>
      <c r="AO105">
        <v>6</v>
      </c>
      <c r="AP105">
        <v>5</v>
      </c>
      <c r="AQ105">
        <v>0</v>
      </c>
      <c r="AX105">
        <v>58</v>
      </c>
      <c r="AY105">
        <v>48</v>
      </c>
      <c r="AZ105">
        <v>106</v>
      </c>
      <c r="BA105">
        <v>19</v>
      </c>
      <c r="BB105">
        <v>11</v>
      </c>
      <c r="BC105">
        <v>30</v>
      </c>
      <c r="BD105">
        <v>13</v>
      </c>
      <c r="BE105">
        <v>8</v>
      </c>
      <c r="BF105">
        <v>21</v>
      </c>
      <c r="BG105">
        <v>45</v>
      </c>
      <c r="BH105">
        <v>57</v>
      </c>
      <c r="BI105">
        <v>102</v>
      </c>
      <c r="BJ105">
        <v>13</v>
      </c>
      <c r="BK105">
        <v>24</v>
      </c>
      <c r="BL105">
        <v>37</v>
      </c>
      <c r="BP105">
        <v>62</v>
      </c>
      <c r="BR105">
        <v>58</v>
      </c>
      <c r="BS105">
        <v>5</v>
      </c>
      <c r="BT105">
        <v>15</v>
      </c>
      <c r="BV105">
        <v>8</v>
      </c>
      <c r="BW105">
        <v>148</v>
      </c>
      <c r="BX105">
        <f>IF(C105=C104,IF((CI105-1)=CI104,BW104,"no data"))</f>
        <v>187</v>
      </c>
      <c r="BY105" s="5">
        <f t="shared" si="8"/>
        <v>-0.20855614973262032</v>
      </c>
      <c r="BZ105" s="6">
        <f t="shared" si="7"/>
        <v>-0.20855614973262032</v>
      </c>
      <c r="CA105" s="7">
        <v>42687</v>
      </c>
      <c r="CE105">
        <v>30</v>
      </c>
      <c r="CF105">
        <v>17</v>
      </c>
      <c r="CG105">
        <v>46</v>
      </c>
      <c r="CH105">
        <v>55</v>
      </c>
      <c r="CI105">
        <f t="shared" si="5"/>
        <v>2016</v>
      </c>
      <c r="CJ105" t="str">
        <f t="shared" si="6"/>
        <v>4291_2016</v>
      </c>
    </row>
    <row r="106" spans="1:88" x14ac:dyDescent="0.25">
      <c r="A106" t="s">
        <v>111</v>
      </c>
      <c r="B106" t="s">
        <v>117</v>
      </c>
      <c r="C106">
        <v>4291</v>
      </c>
      <c r="D106">
        <v>-38.161154000000003</v>
      </c>
      <c r="E106">
        <v>144.36288400000001</v>
      </c>
      <c r="F106">
        <v>5</v>
      </c>
      <c r="G106" t="s">
        <v>122</v>
      </c>
      <c r="H106">
        <v>20</v>
      </c>
      <c r="I106">
        <v>200</v>
      </c>
      <c r="J106">
        <v>112</v>
      </c>
      <c r="K106">
        <v>292</v>
      </c>
      <c r="L106">
        <v>143</v>
      </c>
      <c r="M106">
        <v>323</v>
      </c>
      <c r="N106">
        <v>200</v>
      </c>
      <c r="O106">
        <v>20</v>
      </c>
      <c r="P106">
        <v>320</v>
      </c>
      <c r="Q106">
        <v>140</v>
      </c>
      <c r="T106">
        <v>11</v>
      </c>
      <c r="U106">
        <v>8</v>
      </c>
      <c r="V106">
        <v>60</v>
      </c>
      <c r="W106">
        <v>4</v>
      </c>
      <c r="Y106">
        <v>5</v>
      </c>
      <c r="Z106">
        <v>0</v>
      </c>
      <c r="AA106">
        <v>1</v>
      </c>
      <c r="AB106">
        <v>11</v>
      </c>
      <c r="AD106">
        <v>1</v>
      </c>
      <c r="AE106">
        <v>1</v>
      </c>
      <c r="AF106">
        <v>15</v>
      </c>
      <c r="AG106">
        <v>4</v>
      </c>
      <c r="AI106">
        <v>71</v>
      </c>
      <c r="AJ106">
        <v>5</v>
      </c>
      <c r="AK106">
        <v>10</v>
      </c>
      <c r="AL106">
        <v>2</v>
      </c>
      <c r="AN106">
        <v>6</v>
      </c>
      <c r="AO106">
        <v>4</v>
      </c>
      <c r="AP106">
        <v>9</v>
      </c>
      <c r="AQ106">
        <v>1</v>
      </c>
      <c r="AX106">
        <v>83</v>
      </c>
      <c r="AY106">
        <v>83</v>
      </c>
      <c r="AZ106">
        <v>166</v>
      </c>
      <c r="BA106">
        <v>17</v>
      </c>
      <c r="BB106">
        <v>21</v>
      </c>
      <c r="BC106">
        <v>38</v>
      </c>
      <c r="BD106">
        <v>21</v>
      </c>
      <c r="BE106">
        <v>27</v>
      </c>
      <c r="BF106">
        <v>48</v>
      </c>
      <c r="BG106">
        <v>88</v>
      </c>
      <c r="BH106">
        <v>77</v>
      </c>
      <c r="BI106">
        <v>165</v>
      </c>
      <c r="BJ106">
        <v>20</v>
      </c>
      <c r="BK106">
        <v>21</v>
      </c>
      <c r="BL106">
        <v>41</v>
      </c>
      <c r="BP106">
        <v>106</v>
      </c>
      <c r="BR106">
        <v>96</v>
      </c>
      <c r="BS106">
        <v>11</v>
      </c>
      <c r="BT106">
        <v>16</v>
      </c>
      <c r="BV106">
        <v>0</v>
      </c>
      <c r="BW106">
        <v>229</v>
      </c>
      <c r="BX106">
        <f>IF(C106=C105,IF((CI106-1)=CI105,BW105,"no data"))</f>
        <v>148</v>
      </c>
      <c r="BY106" s="5">
        <f t="shared" si="8"/>
        <v>0.54729729729729726</v>
      </c>
      <c r="BZ106" s="6">
        <f t="shared" si="7"/>
        <v>0.54729729729729726</v>
      </c>
      <c r="CA106" s="7">
        <v>43051</v>
      </c>
      <c r="CE106">
        <v>70</v>
      </c>
      <c r="CF106">
        <v>52</v>
      </c>
      <c r="CG106">
        <v>61</v>
      </c>
      <c r="CH106">
        <v>46</v>
      </c>
      <c r="CI106">
        <f t="shared" si="5"/>
        <v>2017</v>
      </c>
      <c r="CJ106" t="str">
        <f t="shared" si="6"/>
        <v>4291_2017</v>
      </c>
    </row>
    <row r="107" spans="1:88" x14ac:dyDescent="0.25">
      <c r="A107" t="s">
        <v>111</v>
      </c>
      <c r="B107" t="s">
        <v>117</v>
      </c>
      <c r="C107">
        <v>4292</v>
      </c>
      <c r="D107">
        <v>-38.164299999999997</v>
      </c>
      <c r="E107">
        <v>144.35329999999999</v>
      </c>
      <c r="F107">
        <v>3</v>
      </c>
      <c r="G107" t="s">
        <v>123</v>
      </c>
      <c r="H107">
        <v>67</v>
      </c>
      <c r="I107">
        <v>247</v>
      </c>
      <c r="J107">
        <v>112</v>
      </c>
      <c r="K107">
        <v>292</v>
      </c>
      <c r="L107">
        <v>292</v>
      </c>
      <c r="M107">
        <v>112</v>
      </c>
      <c r="T107">
        <v>0</v>
      </c>
      <c r="U107">
        <v>10</v>
      </c>
      <c r="Y107">
        <v>0</v>
      </c>
      <c r="Z107">
        <v>95</v>
      </c>
      <c r="AD107">
        <v>11</v>
      </c>
      <c r="AE107">
        <v>97</v>
      </c>
      <c r="AX107">
        <v>10</v>
      </c>
      <c r="AY107">
        <v>11</v>
      </c>
      <c r="AZ107">
        <v>21</v>
      </c>
      <c r="BA107">
        <v>95</v>
      </c>
      <c r="BB107">
        <v>97</v>
      </c>
      <c r="BC107">
        <v>192</v>
      </c>
      <c r="BD107">
        <v>108</v>
      </c>
      <c r="BE107">
        <v>105</v>
      </c>
      <c r="BF107">
        <v>213</v>
      </c>
      <c r="BP107">
        <v>103</v>
      </c>
      <c r="BR107">
        <v>45</v>
      </c>
      <c r="BS107">
        <v>45</v>
      </c>
      <c r="BT107">
        <v>18</v>
      </c>
      <c r="BV107">
        <v>2</v>
      </c>
      <c r="BW107">
        <v>213</v>
      </c>
      <c r="BX107" t="s">
        <v>82</v>
      </c>
      <c r="BY107" s="5"/>
      <c r="BZ107" s="6"/>
      <c r="CA107" s="7">
        <v>41588</v>
      </c>
      <c r="CI107">
        <f t="shared" si="5"/>
        <v>2013</v>
      </c>
      <c r="CJ107" t="str">
        <f t="shared" si="6"/>
        <v>4292_2013</v>
      </c>
    </row>
    <row r="108" spans="1:88" x14ac:dyDescent="0.25">
      <c r="A108" t="s">
        <v>111</v>
      </c>
      <c r="B108" t="s">
        <v>117</v>
      </c>
      <c r="C108">
        <v>4292</v>
      </c>
      <c r="D108">
        <v>-38.164299999999997</v>
      </c>
      <c r="E108">
        <v>144.35329999999999</v>
      </c>
      <c r="F108">
        <v>3</v>
      </c>
      <c r="G108" t="s">
        <v>123</v>
      </c>
      <c r="H108">
        <v>67</v>
      </c>
      <c r="I108">
        <v>247</v>
      </c>
      <c r="J108">
        <v>112</v>
      </c>
      <c r="K108">
        <v>292</v>
      </c>
      <c r="L108">
        <v>292</v>
      </c>
      <c r="M108">
        <v>112</v>
      </c>
      <c r="T108">
        <v>10</v>
      </c>
      <c r="U108">
        <v>5</v>
      </c>
      <c r="Y108">
        <v>6</v>
      </c>
      <c r="Z108">
        <v>125</v>
      </c>
      <c r="AD108">
        <v>4</v>
      </c>
      <c r="AE108">
        <v>154</v>
      </c>
      <c r="AX108">
        <v>15</v>
      </c>
      <c r="AY108">
        <v>10</v>
      </c>
      <c r="AZ108">
        <v>25</v>
      </c>
      <c r="BA108">
        <v>131</v>
      </c>
      <c r="BB108">
        <v>164</v>
      </c>
      <c r="BC108">
        <v>295</v>
      </c>
      <c r="BD108">
        <v>158</v>
      </c>
      <c r="BE108">
        <v>130</v>
      </c>
      <c r="BF108">
        <v>288</v>
      </c>
      <c r="BP108">
        <v>140</v>
      </c>
      <c r="BR108">
        <v>81</v>
      </c>
      <c r="BS108">
        <v>42</v>
      </c>
      <c r="BT108">
        <v>39</v>
      </c>
      <c r="BV108">
        <v>2</v>
      </c>
      <c r="BW108">
        <v>304</v>
      </c>
      <c r="BX108">
        <f>IF(C108=C107,IF((CI108-1)=CI107,BW107,"no data"))</f>
        <v>213</v>
      </c>
      <c r="BY108" s="5">
        <f t="shared" si="8"/>
        <v>0.42723004694835681</v>
      </c>
      <c r="BZ108" s="6">
        <f t="shared" si="7"/>
        <v>0.42723004694835681</v>
      </c>
      <c r="CA108" s="7">
        <v>41952</v>
      </c>
      <c r="CI108">
        <f t="shared" si="5"/>
        <v>2014</v>
      </c>
      <c r="CJ108" t="str">
        <f t="shared" si="6"/>
        <v>4292_2014</v>
      </c>
    </row>
    <row r="109" spans="1:88" x14ac:dyDescent="0.25">
      <c r="A109" t="s">
        <v>111</v>
      </c>
      <c r="B109" t="s">
        <v>117</v>
      </c>
      <c r="C109">
        <v>4294</v>
      </c>
      <c r="D109">
        <v>-38.166800000000002</v>
      </c>
      <c r="E109">
        <v>144.33009999999999</v>
      </c>
      <c r="F109">
        <v>4</v>
      </c>
      <c r="G109" t="s">
        <v>124</v>
      </c>
      <c r="H109">
        <v>45</v>
      </c>
      <c r="I109">
        <v>225</v>
      </c>
      <c r="J109">
        <v>157</v>
      </c>
      <c r="K109">
        <v>337</v>
      </c>
      <c r="L109">
        <v>292</v>
      </c>
      <c r="M109">
        <v>112</v>
      </c>
      <c r="N109">
        <v>337</v>
      </c>
      <c r="O109">
        <v>157</v>
      </c>
      <c r="T109">
        <v>116</v>
      </c>
      <c r="U109">
        <v>79</v>
      </c>
      <c r="V109">
        <v>2</v>
      </c>
      <c r="Y109">
        <v>34</v>
      </c>
      <c r="Z109">
        <v>32</v>
      </c>
      <c r="AA109">
        <v>6</v>
      </c>
      <c r="AD109">
        <v>96</v>
      </c>
      <c r="AE109">
        <v>75</v>
      </c>
      <c r="AF109">
        <v>10</v>
      </c>
      <c r="AI109">
        <v>4</v>
      </c>
      <c r="AJ109">
        <v>17</v>
      </c>
      <c r="AK109">
        <v>0</v>
      </c>
      <c r="AX109">
        <v>197</v>
      </c>
      <c r="AY109">
        <v>134</v>
      </c>
      <c r="AZ109">
        <v>331</v>
      </c>
      <c r="BA109">
        <v>72</v>
      </c>
      <c r="BB109">
        <v>208</v>
      </c>
      <c r="BC109">
        <v>280</v>
      </c>
      <c r="BD109">
        <v>181</v>
      </c>
      <c r="BE109">
        <v>111</v>
      </c>
      <c r="BF109">
        <v>292</v>
      </c>
      <c r="BG109">
        <v>21</v>
      </c>
      <c r="BH109">
        <v>18</v>
      </c>
      <c r="BI109">
        <v>39</v>
      </c>
      <c r="BP109">
        <v>134</v>
      </c>
      <c r="BR109">
        <v>192</v>
      </c>
      <c r="BS109">
        <v>105</v>
      </c>
      <c r="BT109">
        <v>38</v>
      </c>
      <c r="BV109">
        <v>2</v>
      </c>
      <c r="BW109">
        <v>471</v>
      </c>
      <c r="BX109" t="s">
        <v>82</v>
      </c>
      <c r="BY109" s="5"/>
      <c r="BZ109" s="6"/>
      <c r="CA109" s="7">
        <v>41588</v>
      </c>
      <c r="CI109">
        <f t="shared" si="5"/>
        <v>2013</v>
      </c>
      <c r="CJ109" t="str">
        <f t="shared" si="6"/>
        <v>4294_2013</v>
      </c>
    </row>
    <row r="110" spans="1:88" x14ac:dyDescent="0.25">
      <c r="A110" t="s">
        <v>111</v>
      </c>
      <c r="B110" t="s">
        <v>117</v>
      </c>
      <c r="C110">
        <v>4294</v>
      </c>
      <c r="D110">
        <v>-38.166800000000002</v>
      </c>
      <c r="E110">
        <v>144.33009999999999</v>
      </c>
      <c r="F110">
        <v>4</v>
      </c>
      <c r="G110" t="s">
        <v>124</v>
      </c>
      <c r="H110">
        <v>45</v>
      </c>
      <c r="I110">
        <v>225</v>
      </c>
      <c r="J110">
        <v>157</v>
      </c>
      <c r="K110">
        <v>337</v>
      </c>
      <c r="L110">
        <v>292</v>
      </c>
      <c r="M110">
        <v>112</v>
      </c>
      <c r="N110">
        <v>337</v>
      </c>
      <c r="O110">
        <v>157</v>
      </c>
      <c r="T110">
        <v>215</v>
      </c>
      <c r="U110">
        <v>169</v>
      </c>
      <c r="V110">
        <v>0</v>
      </c>
      <c r="Y110">
        <v>104</v>
      </c>
      <c r="Z110">
        <v>89</v>
      </c>
      <c r="AA110">
        <v>18</v>
      </c>
      <c r="AD110">
        <v>159</v>
      </c>
      <c r="AE110">
        <v>171</v>
      </c>
      <c r="AF110">
        <v>0</v>
      </c>
      <c r="AI110">
        <v>0</v>
      </c>
      <c r="AJ110">
        <v>36</v>
      </c>
      <c r="AK110">
        <v>0</v>
      </c>
      <c r="AX110">
        <v>384</v>
      </c>
      <c r="AY110">
        <v>263</v>
      </c>
      <c r="AZ110">
        <v>647</v>
      </c>
      <c r="BA110">
        <v>211</v>
      </c>
      <c r="BB110">
        <v>422</v>
      </c>
      <c r="BC110">
        <v>633</v>
      </c>
      <c r="BD110">
        <v>330</v>
      </c>
      <c r="BE110">
        <v>258</v>
      </c>
      <c r="BF110">
        <v>588</v>
      </c>
      <c r="BG110">
        <v>36</v>
      </c>
      <c r="BH110">
        <v>18</v>
      </c>
      <c r="BI110">
        <v>54</v>
      </c>
      <c r="BP110">
        <v>262</v>
      </c>
      <c r="BR110">
        <v>339</v>
      </c>
      <c r="BS110">
        <v>264</v>
      </c>
      <c r="BT110">
        <v>81</v>
      </c>
      <c r="BV110">
        <v>15</v>
      </c>
      <c r="BW110">
        <v>961</v>
      </c>
      <c r="BX110">
        <f>IF(C110=C109,IF((CI110-1)=CI109,BW109,"no data"))</f>
        <v>471</v>
      </c>
      <c r="BY110" s="5">
        <f t="shared" si="8"/>
        <v>1.0403397027600849</v>
      </c>
      <c r="BZ110" s="6">
        <f t="shared" si="7"/>
        <v>1.0403397027600849</v>
      </c>
      <c r="CA110" s="7">
        <v>41952</v>
      </c>
      <c r="CI110">
        <f t="shared" si="5"/>
        <v>2014</v>
      </c>
      <c r="CJ110" t="str">
        <f t="shared" si="6"/>
        <v>4294_2014</v>
      </c>
    </row>
    <row r="111" spans="1:88" x14ac:dyDescent="0.25">
      <c r="A111" t="s">
        <v>111</v>
      </c>
      <c r="B111" t="s">
        <v>117</v>
      </c>
      <c r="C111">
        <v>4294</v>
      </c>
      <c r="D111">
        <v>-38.166800000000002</v>
      </c>
      <c r="E111">
        <v>144.33009999999999</v>
      </c>
      <c r="F111">
        <v>4</v>
      </c>
      <c r="G111" t="s">
        <v>124</v>
      </c>
      <c r="H111">
        <v>45</v>
      </c>
      <c r="I111">
        <v>225</v>
      </c>
      <c r="J111">
        <v>157</v>
      </c>
      <c r="K111">
        <v>337</v>
      </c>
      <c r="L111">
        <v>292</v>
      </c>
      <c r="M111">
        <v>112</v>
      </c>
      <c r="N111">
        <v>337</v>
      </c>
      <c r="O111">
        <v>157</v>
      </c>
      <c r="T111">
        <v>0</v>
      </c>
      <c r="U111">
        <v>141</v>
      </c>
      <c r="V111">
        <v>97</v>
      </c>
      <c r="Y111">
        <v>0</v>
      </c>
      <c r="Z111">
        <v>0</v>
      </c>
      <c r="AA111">
        <v>0</v>
      </c>
      <c r="AD111">
        <v>148</v>
      </c>
      <c r="AE111">
        <v>0</v>
      </c>
      <c r="AF111">
        <v>150</v>
      </c>
      <c r="AI111">
        <v>52</v>
      </c>
      <c r="AJ111">
        <v>0</v>
      </c>
      <c r="AK111">
        <v>106</v>
      </c>
      <c r="AX111">
        <v>238</v>
      </c>
      <c r="AY111">
        <v>200</v>
      </c>
      <c r="AZ111">
        <v>438</v>
      </c>
      <c r="BA111">
        <v>0</v>
      </c>
      <c r="BB111">
        <v>0</v>
      </c>
      <c r="BC111">
        <v>0</v>
      </c>
      <c r="BD111">
        <v>298</v>
      </c>
      <c r="BE111">
        <v>247</v>
      </c>
      <c r="BF111">
        <v>545</v>
      </c>
      <c r="BG111">
        <v>158</v>
      </c>
      <c r="BH111">
        <v>247</v>
      </c>
      <c r="BI111">
        <v>405</v>
      </c>
      <c r="BP111">
        <v>242</v>
      </c>
      <c r="BR111">
        <v>239</v>
      </c>
      <c r="BS111">
        <v>147</v>
      </c>
      <c r="BT111">
        <v>36</v>
      </c>
      <c r="BV111">
        <v>30</v>
      </c>
      <c r="BW111">
        <v>694</v>
      </c>
      <c r="BX111">
        <f>IF(C111=C110,IF((CI111-1)=CI110,BW110,"no data"))</f>
        <v>961</v>
      </c>
      <c r="BY111" s="5">
        <f t="shared" si="8"/>
        <v>-0.2778355879292404</v>
      </c>
      <c r="BZ111" s="6">
        <f t="shared" si="7"/>
        <v>-0.2778355879292404</v>
      </c>
      <c r="CA111" s="7">
        <v>42316</v>
      </c>
      <c r="CE111">
        <v>170</v>
      </c>
      <c r="CF111">
        <v>203</v>
      </c>
      <c r="CG111">
        <v>187</v>
      </c>
      <c r="CH111">
        <v>134</v>
      </c>
      <c r="CI111">
        <f t="shared" si="5"/>
        <v>2015</v>
      </c>
      <c r="CJ111" t="str">
        <f t="shared" si="6"/>
        <v>4294_2015</v>
      </c>
    </row>
    <row r="112" spans="1:88" x14ac:dyDescent="0.25">
      <c r="A112" t="s">
        <v>111</v>
      </c>
      <c r="B112" t="s">
        <v>117</v>
      </c>
      <c r="C112">
        <v>4294</v>
      </c>
      <c r="D112">
        <v>-38.166832999999997</v>
      </c>
      <c r="E112">
        <v>144.33008599999999</v>
      </c>
      <c r="F112">
        <v>4</v>
      </c>
      <c r="G112" t="s">
        <v>124</v>
      </c>
      <c r="H112">
        <v>45</v>
      </c>
      <c r="I112">
        <v>225</v>
      </c>
      <c r="J112">
        <v>157</v>
      </c>
      <c r="K112">
        <v>337</v>
      </c>
      <c r="L112">
        <v>292</v>
      </c>
      <c r="M112">
        <v>112</v>
      </c>
      <c r="N112">
        <v>337</v>
      </c>
      <c r="O112">
        <v>157</v>
      </c>
      <c r="T112">
        <v>115</v>
      </c>
      <c r="U112">
        <v>81</v>
      </c>
      <c r="V112">
        <v>0</v>
      </c>
      <c r="Y112">
        <v>53</v>
      </c>
      <c r="Z112">
        <v>39</v>
      </c>
      <c r="AA112">
        <v>0</v>
      </c>
      <c r="AD112">
        <v>119</v>
      </c>
      <c r="AE112">
        <v>108</v>
      </c>
      <c r="AF112">
        <v>0</v>
      </c>
      <c r="AI112">
        <v>0</v>
      </c>
      <c r="AJ112">
        <v>2</v>
      </c>
      <c r="AK112">
        <v>0</v>
      </c>
      <c r="AX112">
        <v>196</v>
      </c>
      <c r="AY112">
        <v>172</v>
      </c>
      <c r="AZ112">
        <v>368</v>
      </c>
      <c r="BA112">
        <v>92</v>
      </c>
      <c r="BB112">
        <v>225</v>
      </c>
      <c r="BC112">
        <v>317</v>
      </c>
      <c r="BD112">
        <v>227</v>
      </c>
      <c r="BE112">
        <v>120</v>
      </c>
      <c r="BF112">
        <v>347</v>
      </c>
      <c r="BG112">
        <v>2</v>
      </c>
      <c r="BH112">
        <v>0</v>
      </c>
      <c r="BI112">
        <v>2</v>
      </c>
      <c r="BP112">
        <v>148</v>
      </c>
      <c r="BR112">
        <v>193</v>
      </c>
      <c r="BS112">
        <v>103</v>
      </c>
      <c r="BT112">
        <v>56</v>
      </c>
      <c r="BV112">
        <v>17</v>
      </c>
      <c r="BW112">
        <v>517</v>
      </c>
      <c r="BX112">
        <f>IF(C112=C111,IF((CI112-1)=CI111,BW111,"no data"))</f>
        <v>694</v>
      </c>
      <c r="BY112" s="5">
        <f t="shared" si="8"/>
        <v>-0.25504322766570603</v>
      </c>
      <c r="BZ112" s="6">
        <f t="shared" si="7"/>
        <v>-0.25504322766570603</v>
      </c>
      <c r="CA112" s="7">
        <v>42687</v>
      </c>
      <c r="CE112">
        <v>130</v>
      </c>
      <c r="CF112">
        <v>103</v>
      </c>
      <c r="CG112">
        <v>156</v>
      </c>
      <c r="CH112">
        <v>128</v>
      </c>
      <c r="CI112">
        <f t="shared" si="5"/>
        <v>2016</v>
      </c>
      <c r="CJ112" t="str">
        <f t="shared" si="6"/>
        <v>4294_2016</v>
      </c>
    </row>
    <row r="113" spans="1:88" x14ac:dyDescent="0.25">
      <c r="A113" t="s">
        <v>111</v>
      </c>
      <c r="B113" t="s">
        <v>117</v>
      </c>
      <c r="C113">
        <v>4294</v>
      </c>
      <c r="D113">
        <v>-38.166832999999997</v>
      </c>
      <c r="E113">
        <v>144.33008599999999</v>
      </c>
      <c r="F113">
        <v>4</v>
      </c>
      <c r="G113" t="s">
        <v>124</v>
      </c>
      <c r="H113">
        <v>45</v>
      </c>
      <c r="I113">
        <v>225</v>
      </c>
      <c r="J113">
        <v>157</v>
      </c>
      <c r="K113">
        <v>337</v>
      </c>
      <c r="L113">
        <v>292</v>
      </c>
      <c r="M113">
        <v>112</v>
      </c>
      <c r="N113">
        <v>337</v>
      </c>
      <c r="O113">
        <v>157</v>
      </c>
      <c r="T113">
        <v>34</v>
      </c>
      <c r="U113">
        <v>145</v>
      </c>
      <c r="V113">
        <v>33</v>
      </c>
      <c r="Y113">
        <v>12</v>
      </c>
      <c r="Z113">
        <v>23</v>
      </c>
      <c r="AA113">
        <v>71</v>
      </c>
      <c r="AD113">
        <v>95</v>
      </c>
      <c r="AE113">
        <v>19</v>
      </c>
      <c r="AF113">
        <v>27</v>
      </c>
      <c r="AI113">
        <v>16</v>
      </c>
      <c r="AJ113">
        <v>122</v>
      </c>
      <c r="AK113">
        <v>33</v>
      </c>
      <c r="AX113">
        <v>212</v>
      </c>
      <c r="AY113">
        <v>123</v>
      </c>
      <c r="AZ113">
        <v>335</v>
      </c>
      <c r="BA113">
        <v>106</v>
      </c>
      <c r="BB113">
        <v>175</v>
      </c>
      <c r="BC113">
        <v>281</v>
      </c>
      <c r="BD113">
        <v>141</v>
      </c>
      <c r="BE113">
        <v>201</v>
      </c>
      <c r="BF113">
        <v>342</v>
      </c>
      <c r="BG113">
        <v>171</v>
      </c>
      <c r="BH113">
        <v>131</v>
      </c>
      <c r="BI113">
        <v>302</v>
      </c>
      <c r="BP113">
        <v>195</v>
      </c>
      <c r="BR113">
        <v>262</v>
      </c>
      <c r="BS113">
        <v>98</v>
      </c>
      <c r="BT113">
        <v>51</v>
      </c>
      <c r="BV113">
        <v>24</v>
      </c>
      <c r="BW113">
        <v>630</v>
      </c>
      <c r="BX113">
        <f>IF(C113=C112,IF((CI113-1)=CI112,BW112,"no data"))</f>
        <v>517</v>
      </c>
      <c r="BY113" s="5">
        <f t="shared" si="8"/>
        <v>0.21856866537717601</v>
      </c>
      <c r="BZ113" s="6">
        <f t="shared" si="7"/>
        <v>0.21856866537717601</v>
      </c>
      <c r="CA113" s="7">
        <v>43051</v>
      </c>
      <c r="CE113">
        <v>181</v>
      </c>
      <c r="CF113">
        <v>196</v>
      </c>
      <c r="CG113">
        <v>149</v>
      </c>
      <c r="CH113">
        <v>104</v>
      </c>
      <c r="CI113">
        <f t="shared" si="5"/>
        <v>2017</v>
      </c>
      <c r="CJ113" t="str">
        <f t="shared" si="6"/>
        <v>4294_2017</v>
      </c>
    </row>
    <row r="114" spans="1:88" x14ac:dyDescent="0.25">
      <c r="A114" t="s">
        <v>111</v>
      </c>
      <c r="B114" t="s">
        <v>117</v>
      </c>
      <c r="C114">
        <v>4296</v>
      </c>
      <c r="D114">
        <v>-38.170999999999999</v>
      </c>
      <c r="E114">
        <v>144.38409999999999</v>
      </c>
      <c r="F114">
        <v>4</v>
      </c>
      <c r="G114" t="s">
        <v>125</v>
      </c>
      <c r="H114">
        <v>9</v>
      </c>
      <c r="I114">
        <v>189</v>
      </c>
      <c r="J114">
        <v>105</v>
      </c>
      <c r="K114">
        <v>285</v>
      </c>
      <c r="L114">
        <v>189</v>
      </c>
      <c r="M114">
        <v>9</v>
      </c>
      <c r="N114">
        <v>285</v>
      </c>
      <c r="O114">
        <v>105</v>
      </c>
      <c r="T114">
        <v>6</v>
      </c>
      <c r="U114">
        <v>25</v>
      </c>
      <c r="V114">
        <v>4</v>
      </c>
      <c r="Y114">
        <v>3</v>
      </c>
      <c r="Z114">
        <v>7</v>
      </c>
      <c r="AA114">
        <v>34</v>
      </c>
      <c r="AD114">
        <v>21</v>
      </c>
      <c r="AE114">
        <v>3</v>
      </c>
      <c r="AF114">
        <v>17</v>
      </c>
      <c r="AI114">
        <v>1</v>
      </c>
      <c r="AJ114">
        <v>36</v>
      </c>
      <c r="AK114">
        <v>9</v>
      </c>
      <c r="AX114">
        <v>35</v>
      </c>
      <c r="AY114">
        <v>25</v>
      </c>
      <c r="AZ114">
        <v>60</v>
      </c>
      <c r="BA114">
        <v>44</v>
      </c>
      <c r="BB114">
        <v>45</v>
      </c>
      <c r="BC114">
        <v>89</v>
      </c>
      <c r="BD114">
        <v>41</v>
      </c>
      <c r="BE114">
        <v>41</v>
      </c>
      <c r="BF114">
        <v>82</v>
      </c>
      <c r="BG114">
        <v>46</v>
      </c>
      <c r="BH114">
        <v>55</v>
      </c>
      <c r="BI114">
        <v>101</v>
      </c>
      <c r="BP114">
        <v>62</v>
      </c>
      <c r="BR114">
        <v>67</v>
      </c>
      <c r="BS114">
        <v>8</v>
      </c>
      <c r="BT114">
        <v>23</v>
      </c>
      <c r="BV114">
        <v>6</v>
      </c>
      <c r="BW114">
        <v>166</v>
      </c>
      <c r="BX114" t="s">
        <v>82</v>
      </c>
      <c r="BY114" s="5"/>
      <c r="BZ114" s="6"/>
      <c r="CA114" s="7">
        <v>41588</v>
      </c>
      <c r="CI114">
        <f t="shared" si="5"/>
        <v>2013</v>
      </c>
      <c r="CJ114" t="str">
        <f t="shared" si="6"/>
        <v>4296_2013</v>
      </c>
    </row>
    <row r="115" spans="1:88" x14ac:dyDescent="0.25">
      <c r="A115" t="s">
        <v>111</v>
      </c>
      <c r="B115" t="s">
        <v>117</v>
      </c>
      <c r="C115">
        <v>4296</v>
      </c>
      <c r="D115">
        <v>-38.170999999999999</v>
      </c>
      <c r="E115">
        <v>144.38409999999999</v>
      </c>
      <c r="F115">
        <v>4</v>
      </c>
      <c r="G115" t="s">
        <v>125</v>
      </c>
      <c r="H115">
        <v>9</v>
      </c>
      <c r="I115">
        <v>189</v>
      </c>
      <c r="J115">
        <v>105</v>
      </c>
      <c r="K115">
        <v>285</v>
      </c>
      <c r="L115">
        <v>189</v>
      </c>
      <c r="M115">
        <v>9</v>
      </c>
      <c r="N115">
        <v>285</v>
      </c>
      <c r="O115">
        <v>105</v>
      </c>
      <c r="T115">
        <v>6</v>
      </c>
      <c r="U115">
        <v>23</v>
      </c>
      <c r="V115">
        <v>12</v>
      </c>
      <c r="Y115">
        <v>1</v>
      </c>
      <c r="Z115">
        <v>16</v>
      </c>
      <c r="AA115">
        <v>39</v>
      </c>
      <c r="AD115">
        <v>6</v>
      </c>
      <c r="AE115">
        <v>8</v>
      </c>
      <c r="AF115">
        <v>19</v>
      </c>
      <c r="AI115">
        <v>10</v>
      </c>
      <c r="AJ115">
        <v>28</v>
      </c>
      <c r="AK115">
        <v>9</v>
      </c>
      <c r="AX115">
        <v>41</v>
      </c>
      <c r="AY115">
        <v>17</v>
      </c>
      <c r="AZ115">
        <v>58</v>
      </c>
      <c r="BA115">
        <v>56</v>
      </c>
      <c r="BB115">
        <v>42</v>
      </c>
      <c r="BC115">
        <v>98</v>
      </c>
      <c r="BD115">
        <v>33</v>
      </c>
      <c r="BE115">
        <v>48</v>
      </c>
      <c r="BF115">
        <v>81</v>
      </c>
      <c r="BG115">
        <v>47</v>
      </c>
      <c r="BH115">
        <v>70</v>
      </c>
      <c r="BI115">
        <v>117</v>
      </c>
      <c r="BP115">
        <v>74</v>
      </c>
      <c r="BR115">
        <v>79</v>
      </c>
      <c r="BS115">
        <v>7</v>
      </c>
      <c r="BT115">
        <v>12</v>
      </c>
      <c r="BV115">
        <v>5</v>
      </c>
      <c r="BW115">
        <v>177</v>
      </c>
      <c r="BX115">
        <f>IF(C115=C114,IF((CI115-1)=CI114,BW114,"no data"))</f>
        <v>166</v>
      </c>
      <c r="BY115" s="5">
        <f t="shared" si="8"/>
        <v>6.6265060240963861E-2</v>
      </c>
      <c r="BZ115" s="6">
        <f t="shared" si="7"/>
        <v>6.6265060240963861E-2</v>
      </c>
      <c r="CA115" s="7">
        <v>41952</v>
      </c>
      <c r="CI115">
        <f t="shared" si="5"/>
        <v>2014</v>
      </c>
      <c r="CJ115" t="str">
        <f t="shared" si="6"/>
        <v>4296_2014</v>
      </c>
    </row>
    <row r="116" spans="1:88" x14ac:dyDescent="0.25">
      <c r="A116" t="s">
        <v>111</v>
      </c>
      <c r="B116" t="s">
        <v>117</v>
      </c>
      <c r="C116">
        <v>4296</v>
      </c>
      <c r="D116">
        <v>-38.170999999999999</v>
      </c>
      <c r="E116">
        <v>144.38409999999999</v>
      </c>
      <c r="F116">
        <v>4</v>
      </c>
      <c r="G116" t="s">
        <v>125</v>
      </c>
      <c r="H116">
        <v>9</v>
      </c>
      <c r="I116">
        <v>189</v>
      </c>
      <c r="J116">
        <v>105</v>
      </c>
      <c r="K116">
        <v>285</v>
      </c>
      <c r="L116">
        <v>189</v>
      </c>
      <c r="M116">
        <v>9</v>
      </c>
      <c r="N116">
        <v>285</v>
      </c>
      <c r="O116">
        <v>105</v>
      </c>
      <c r="T116">
        <v>6</v>
      </c>
      <c r="U116">
        <v>12</v>
      </c>
      <c r="V116">
        <v>20</v>
      </c>
      <c r="Y116">
        <v>3</v>
      </c>
      <c r="Z116">
        <v>1</v>
      </c>
      <c r="AA116">
        <v>46</v>
      </c>
      <c r="AD116">
        <v>12</v>
      </c>
      <c r="AE116">
        <v>12</v>
      </c>
      <c r="AF116">
        <v>7</v>
      </c>
      <c r="AI116">
        <v>24</v>
      </c>
      <c r="AJ116">
        <v>39</v>
      </c>
      <c r="AK116">
        <v>9</v>
      </c>
      <c r="AX116">
        <v>38</v>
      </c>
      <c r="AY116">
        <v>39</v>
      </c>
      <c r="AZ116">
        <v>77</v>
      </c>
      <c r="BA116">
        <v>50</v>
      </c>
      <c r="BB116">
        <v>57</v>
      </c>
      <c r="BC116">
        <v>107</v>
      </c>
      <c r="BD116">
        <v>31</v>
      </c>
      <c r="BE116">
        <v>22</v>
      </c>
      <c r="BF116">
        <v>53</v>
      </c>
      <c r="BG116">
        <v>72</v>
      </c>
      <c r="BH116">
        <v>73</v>
      </c>
      <c r="BI116">
        <v>145</v>
      </c>
      <c r="BP116">
        <v>92</v>
      </c>
      <c r="BR116">
        <v>62</v>
      </c>
      <c r="BS116">
        <v>8</v>
      </c>
      <c r="BT116">
        <v>16</v>
      </c>
      <c r="BV116">
        <v>13</v>
      </c>
      <c r="BW116">
        <v>191</v>
      </c>
      <c r="BX116">
        <f>IF(C116=C115,IF((CI116-1)=CI115,BW115,"no data"))</f>
        <v>177</v>
      </c>
      <c r="BY116" s="5">
        <f t="shared" si="8"/>
        <v>7.909604519774012E-2</v>
      </c>
      <c r="BZ116" s="6">
        <f t="shared" si="7"/>
        <v>7.909604519774012E-2</v>
      </c>
      <c r="CA116" s="7">
        <v>42316</v>
      </c>
      <c r="CE116">
        <v>47</v>
      </c>
      <c r="CF116">
        <v>56</v>
      </c>
      <c r="CG116">
        <v>48</v>
      </c>
      <c r="CH116">
        <v>40</v>
      </c>
      <c r="CI116">
        <f t="shared" si="5"/>
        <v>2015</v>
      </c>
      <c r="CJ116" t="str">
        <f t="shared" si="6"/>
        <v>4296_2015</v>
      </c>
    </row>
    <row r="117" spans="1:88" x14ac:dyDescent="0.25">
      <c r="A117" t="s">
        <v>111</v>
      </c>
      <c r="B117" t="s">
        <v>117</v>
      </c>
      <c r="C117">
        <v>4296</v>
      </c>
      <c r="D117">
        <v>-38.171019000000001</v>
      </c>
      <c r="E117">
        <v>144.38407100000001</v>
      </c>
      <c r="F117">
        <v>4</v>
      </c>
      <c r="G117" t="s">
        <v>125</v>
      </c>
      <c r="H117">
        <v>9</v>
      </c>
      <c r="I117">
        <v>189</v>
      </c>
      <c r="J117">
        <v>105</v>
      </c>
      <c r="K117">
        <v>285</v>
      </c>
      <c r="L117">
        <v>189</v>
      </c>
      <c r="M117">
        <v>9</v>
      </c>
      <c r="N117">
        <v>285</v>
      </c>
      <c r="O117">
        <v>105</v>
      </c>
      <c r="T117">
        <v>5</v>
      </c>
      <c r="U117">
        <v>23</v>
      </c>
      <c r="V117">
        <v>7</v>
      </c>
      <c r="Y117">
        <v>5</v>
      </c>
      <c r="Z117">
        <v>8</v>
      </c>
      <c r="AA117">
        <v>60</v>
      </c>
      <c r="AD117">
        <v>31</v>
      </c>
      <c r="AE117">
        <v>8</v>
      </c>
      <c r="AF117">
        <v>5</v>
      </c>
      <c r="AI117">
        <v>7</v>
      </c>
      <c r="AJ117">
        <v>36</v>
      </c>
      <c r="AK117">
        <v>20</v>
      </c>
      <c r="AX117">
        <v>35</v>
      </c>
      <c r="AY117">
        <v>43</v>
      </c>
      <c r="AZ117">
        <v>78</v>
      </c>
      <c r="BA117">
        <v>73</v>
      </c>
      <c r="BB117">
        <v>49</v>
      </c>
      <c r="BC117">
        <v>122</v>
      </c>
      <c r="BD117">
        <v>44</v>
      </c>
      <c r="BE117">
        <v>51</v>
      </c>
      <c r="BF117">
        <v>95</v>
      </c>
      <c r="BG117">
        <v>63</v>
      </c>
      <c r="BH117">
        <v>72</v>
      </c>
      <c r="BI117">
        <v>135</v>
      </c>
      <c r="BP117">
        <v>84</v>
      </c>
      <c r="BR117">
        <v>101</v>
      </c>
      <c r="BS117">
        <v>7</v>
      </c>
      <c r="BT117">
        <v>18</v>
      </c>
      <c r="BV117">
        <v>5</v>
      </c>
      <c r="BW117">
        <v>215</v>
      </c>
      <c r="BX117">
        <f>IF(C117=C116,IF((CI117-1)=CI116,BW116,"no data"))</f>
        <v>191</v>
      </c>
      <c r="BY117" s="5">
        <f t="shared" si="8"/>
        <v>0.1256544502617801</v>
      </c>
      <c r="BZ117" s="6">
        <f t="shared" si="7"/>
        <v>0.1256544502617801</v>
      </c>
      <c r="CA117" s="7">
        <v>42687</v>
      </c>
      <c r="CE117">
        <v>57</v>
      </c>
      <c r="CF117">
        <v>64</v>
      </c>
      <c r="CG117">
        <v>67</v>
      </c>
      <c r="CH117">
        <v>27</v>
      </c>
      <c r="CI117">
        <f t="shared" si="5"/>
        <v>2016</v>
      </c>
      <c r="CJ117" t="str">
        <f t="shared" si="6"/>
        <v>4296_2016</v>
      </c>
    </row>
    <row r="118" spans="1:88" x14ac:dyDescent="0.25">
      <c r="A118" t="s">
        <v>111</v>
      </c>
      <c r="B118" t="s">
        <v>117</v>
      </c>
      <c r="C118">
        <v>4296</v>
      </c>
      <c r="D118">
        <v>-38.171019000000001</v>
      </c>
      <c r="E118">
        <v>144.38407100000001</v>
      </c>
      <c r="F118">
        <v>4</v>
      </c>
      <c r="G118" t="s">
        <v>125</v>
      </c>
      <c r="H118">
        <v>9</v>
      </c>
      <c r="I118">
        <v>189</v>
      </c>
      <c r="J118">
        <v>105</v>
      </c>
      <c r="K118">
        <v>285</v>
      </c>
      <c r="L118">
        <v>189</v>
      </c>
      <c r="M118">
        <v>9</v>
      </c>
      <c r="N118">
        <v>285</v>
      </c>
      <c r="O118">
        <v>105</v>
      </c>
      <c r="T118">
        <v>6</v>
      </c>
      <c r="U118">
        <v>41</v>
      </c>
      <c r="V118">
        <v>15</v>
      </c>
      <c r="Y118">
        <v>4</v>
      </c>
      <c r="Z118">
        <v>4</v>
      </c>
      <c r="AA118">
        <v>53</v>
      </c>
      <c r="AD118">
        <v>39</v>
      </c>
      <c r="AE118">
        <v>11</v>
      </c>
      <c r="AF118">
        <v>10</v>
      </c>
      <c r="AI118">
        <v>10</v>
      </c>
      <c r="AJ118">
        <v>61</v>
      </c>
      <c r="AK118">
        <v>17</v>
      </c>
      <c r="AX118">
        <v>62</v>
      </c>
      <c r="AY118">
        <v>53</v>
      </c>
      <c r="AZ118">
        <v>115</v>
      </c>
      <c r="BA118">
        <v>61</v>
      </c>
      <c r="BB118">
        <v>78</v>
      </c>
      <c r="BC118">
        <v>139</v>
      </c>
      <c r="BD118">
        <v>60</v>
      </c>
      <c r="BE118">
        <v>62</v>
      </c>
      <c r="BF118">
        <v>122</v>
      </c>
      <c r="BG118">
        <v>88</v>
      </c>
      <c r="BH118">
        <v>78</v>
      </c>
      <c r="BI118">
        <v>166</v>
      </c>
      <c r="BP118">
        <v>110</v>
      </c>
      <c r="BR118">
        <v>97</v>
      </c>
      <c r="BS118">
        <v>13</v>
      </c>
      <c r="BT118">
        <v>27</v>
      </c>
      <c r="BV118">
        <v>24</v>
      </c>
      <c r="BW118">
        <v>271</v>
      </c>
      <c r="BX118">
        <f>IF(C118=C117,IF((CI118-1)=CI117,BW117,"no data"))</f>
        <v>215</v>
      </c>
      <c r="BY118" s="5">
        <f t="shared" si="8"/>
        <v>0.26046511627906976</v>
      </c>
      <c r="BZ118" s="6">
        <f t="shared" si="7"/>
        <v>0.26046511627906976</v>
      </c>
      <c r="CA118" s="7">
        <v>43051</v>
      </c>
      <c r="CE118">
        <v>71</v>
      </c>
      <c r="CF118">
        <v>68</v>
      </c>
      <c r="CG118">
        <v>82</v>
      </c>
      <c r="CH118">
        <v>50</v>
      </c>
      <c r="CI118">
        <f t="shared" si="5"/>
        <v>2017</v>
      </c>
      <c r="CJ118" t="str">
        <f t="shared" si="6"/>
        <v>4296_2017</v>
      </c>
    </row>
    <row r="119" spans="1:88" x14ac:dyDescent="0.25">
      <c r="A119" t="s">
        <v>111</v>
      </c>
      <c r="B119" t="s">
        <v>117</v>
      </c>
      <c r="C119">
        <v>4297</v>
      </c>
      <c r="D119">
        <v>-38.176200000000001</v>
      </c>
      <c r="E119">
        <v>144.42070000000001</v>
      </c>
      <c r="F119">
        <v>4</v>
      </c>
      <c r="G119" t="s">
        <v>126</v>
      </c>
      <c r="H119">
        <v>8</v>
      </c>
      <c r="I119">
        <v>188</v>
      </c>
      <c r="J119">
        <v>93</v>
      </c>
      <c r="K119">
        <v>273</v>
      </c>
      <c r="L119">
        <v>188</v>
      </c>
      <c r="M119">
        <v>8</v>
      </c>
      <c r="N119">
        <v>273</v>
      </c>
      <c r="O119">
        <v>93</v>
      </c>
      <c r="T119">
        <v>2</v>
      </c>
      <c r="U119">
        <v>4</v>
      </c>
      <c r="V119">
        <v>0</v>
      </c>
      <c r="Y119">
        <v>4</v>
      </c>
      <c r="Z119">
        <v>1</v>
      </c>
      <c r="AA119">
        <v>27</v>
      </c>
      <c r="AD119">
        <v>2</v>
      </c>
      <c r="AE119">
        <v>1</v>
      </c>
      <c r="AF119">
        <v>4</v>
      </c>
      <c r="AI119">
        <v>0</v>
      </c>
      <c r="AJ119">
        <v>24</v>
      </c>
      <c r="AK119">
        <v>3</v>
      </c>
      <c r="AX119">
        <v>6</v>
      </c>
      <c r="AY119">
        <v>6</v>
      </c>
      <c r="AZ119">
        <v>12</v>
      </c>
      <c r="BA119">
        <v>32</v>
      </c>
      <c r="BB119">
        <v>27</v>
      </c>
      <c r="BC119">
        <v>59</v>
      </c>
      <c r="BD119">
        <v>7</v>
      </c>
      <c r="BE119">
        <v>8</v>
      </c>
      <c r="BF119">
        <v>15</v>
      </c>
      <c r="BG119">
        <v>27</v>
      </c>
      <c r="BH119">
        <v>31</v>
      </c>
      <c r="BI119">
        <v>58</v>
      </c>
      <c r="BP119">
        <v>56</v>
      </c>
      <c r="BR119">
        <v>4</v>
      </c>
      <c r="BS119">
        <v>6</v>
      </c>
      <c r="BT119">
        <v>6</v>
      </c>
      <c r="BV119">
        <v>0</v>
      </c>
      <c r="BW119">
        <v>72</v>
      </c>
      <c r="BX119" t="s">
        <v>82</v>
      </c>
      <c r="BY119" s="5"/>
      <c r="BZ119" s="6"/>
      <c r="CA119" s="7">
        <v>41588</v>
      </c>
      <c r="CI119">
        <f t="shared" si="5"/>
        <v>2013</v>
      </c>
      <c r="CJ119" t="str">
        <f t="shared" si="6"/>
        <v>4297_2013</v>
      </c>
    </row>
    <row r="120" spans="1:88" x14ac:dyDescent="0.25">
      <c r="A120" t="s">
        <v>111</v>
      </c>
      <c r="B120" t="s">
        <v>117</v>
      </c>
      <c r="C120">
        <v>4297</v>
      </c>
      <c r="D120">
        <v>-38.176200000000001</v>
      </c>
      <c r="E120">
        <v>144.42070000000001</v>
      </c>
      <c r="F120">
        <v>4</v>
      </c>
      <c r="G120" t="s">
        <v>126</v>
      </c>
      <c r="H120">
        <v>8</v>
      </c>
      <c r="I120">
        <v>188</v>
      </c>
      <c r="J120">
        <v>93</v>
      </c>
      <c r="K120">
        <v>273</v>
      </c>
      <c r="L120">
        <v>188</v>
      </c>
      <c r="M120">
        <v>8</v>
      </c>
      <c r="N120">
        <v>273</v>
      </c>
      <c r="O120">
        <v>93</v>
      </c>
      <c r="T120">
        <v>2</v>
      </c>
      <c r="U120">
        <v>0</v>
      </c>
      <c r="V120">
        <v>0</v>
      </c>
      <c r="Y120">
        <v>3</v>
      </c>
      <c r="Z120">
        <v>0</v>
      </c>
      <c r="AA120">
        <v>48</v>
      </c>
      <c r="AD120">
        <v>0</v>
      </c>
      <c r="AE120">
        <v>0</v>
      </c>
      <c r="AF120">
        <v>0</v>
      </c>
      <c r="AI120">
        <v>1</v>
      </c>
      <c r="AJ120">
        <v>27</v>
      </c>
      <c r="AK120">
        <v>0</v>
      </c>
      <c r="AX120">
        <v>2</v>
      </c>
      <c r="AY120">
        <v>4</v>
      </c>
      <c r="AZ120">
        <v>6</v>
      </c>
      <c r="BA120">
        <v>51</v>
      </c>
      <c r="BB120">
        <v>29</v>
      </c>
      <c r="BC120">
        <v>80</v>
      </c>
      <c r="BD120">
        <v>0</v>
      </c>
      <c r="BE120">
        <v>0</v>
      </c>
      <c r="BF120">
        <v>0</v>
      </c>
      <c r="BG120">
        <v>28</v>
      </c>
      <c r="BH120">
        <v>48</v>
      </c>
      <c r="BI120">
        <v>76</v>
      </c>
      <c r="BP120">
        <v>74</v>
      </c>
      <c r="BR120">
        <v>2</v>
      </c>
      <c r="BS120">
        <v>4</v>
      </c>
      <c r="BT120">
        <v>0</v>
      </c>
      <c r="BV120">
        <v>1</v>
      </c>
      <c r="BW120">
        <v>81</v>
      </c>
      <c r="BX120">
        <f>IF(C120=C119,IF((CI120-1)=CI119,BW119,"no data"))</f>
        <v>72</v>
      </c>
      <c r="BY120" s="5">
        <f t="shared" si="8"/>
        <v>0.125</v>
      </c>
      <c r="BZ120" s="6">
        <f t="shared" si="7"/>
        <v>0.125</v>
      </c>
      <c r="CA120" s="7">
        <v>41952</v>
      </c>
      <c r="CI120">
        <f t="shared" si="5"/>
        <v>2014</v>
      </c>
      <c r="CJ120" t="str">
        <f t="shared" si="6"/>
        <v>4297_2014</v>
      </c>
    </row>
    <row r="121" spans="1:88" x14ac:dyDescent="0.25">
      <c r="A121" t="s">
        <v>111</v>
      </c>
      <c r="B121" t="s">
        <v>117</v>
      </c>
      <c r="C121">
        <v>4298</v>
      </c>
      <c r="D121">
        <v>-38.180799999999998</v>
      </c>
      <c r="E121">
        <v>144.35409999999999</v>
      </c>
      <c r="F121">
        <v>4</v>
      </c>
      <c r="G121" t="s">
        <v>127</v>
      </c>
      <c r="H121">
        <v>98</v>
      </c>
      <c r="I121">
        <v>278</v>
      </c>
      <c r="J121">
        <v>175</v>
      </c>
      <c r="K121">
        <v>355</v>
      </c>
      <c r="L121">
        <v>278</v>
      </c>
      <c r="M121">
        <v>98</v>
      </c>
      <c r="N121">
        <v>355</v>
      </c>
      <c r="O121">
        <v>175</v>
      </c>
      <c r="T121">
        <v>6</v>
      </c>
      <c r="U121">
        <v>5</v>
      </c>
      <c r="V121">
        <v>6</v>
      </c>
      <c r="Y121">
        <v>9</v>
      </c>
      <c r="Z121">
        <v>3</v>
      </c>
      <c r="AA121">
        <v>35</v>
      </c>
      <c r="AD121">
        <v>9</v>
      </c>
      <c r="AE121">
        <v>5</v>
      </c>
      <c r="AF121">
        <v>0</v>
      </c>
      <c r="AI121">
        <v>3</v>
      </c>
      <c r="AJ121">
        <v>23</v>
      </c>
      <c r="AK121">
        <v>0</v>
      </c>
      <c r="AX121">
        <v>17</v>
      </c>
      <c r="AY121">
        <v>21</v>
      </c>
      <c r="AZ121">
        <v>38</v>
      </c>
      <c r="BA121">
        <v>47</v>
      </c>
      <c r="BB121">
        <v>34</v>
      </c>
      <c r="BC121">
        <v>81</v>
      </c>
      <c r="BD121">
        <v>14</v>
      </c>
      <c r="BE121">
        <v>8</v>
      </c>
      <c r="BF121">
        <v>22</v>
      </c>
      <c r="BG121">
        <v>26</v>
      </c>
      <c r="BH121">
        <v>41</v>
      </c>
      <c r="BI121">
        <v>67</v>
      </c>
      <c r="BP121">
        <v>86</v>
      </c>
      <c r="BR121">
        <v>12</v>
      </c>
      <c r="BS121">
        <v>0</v>
      </c>
      <c r="BT121">
        <v>6</v>
      </c>
      <c r="BV121">
        <v>0</v>
      </c>
      <c r="BW121">
        <v>104</v>
      </c>
      <c r="BX121" t="s">
        <v>82</v>
      </c>
      <c r="BY121" s="5"/>
      <c r="BZ121" s="6"/>
      <c r="CA121" s="7">
        <v>42316</v>
      </c>
      <c r="CE121">
        <v>43</v>
      </c>
      <c r="CF121">
        <v>17</v>
      </c>
      <c r="CG121">
        <v>29</v>
      </c>
      <c r="CH121">
        <v>15</v>
      </c>
      <c r="CI121">
        <f t="shared" si="5"/>
        <v>2015</v>
      </c>
      <c r="CJ121" t="str">
        <f t="shared" si="6"/>
        <v>4298_2015</v>
      </c>
    </row>
    <row r="122" spans="1:88" x14ac:dyDescent="0.25">
      <c r="A122" t="s">
        <v>111</v>
      </c>
      <c r="B122" t="s">
        <v>117</v>
      </c>
      <c r="C122">
        <v>4298</v>
      </c>
      <c r="D122">
        <v>-38.180821000000002</v>
      </c>
      <c r="E122">
        <v>144.35405800000001</v>
      </c>
      <c r="F122">
        <v>4</v>
      </c>
      <c r="G122" t="s">
        <v>127</v>
      </c>
      <c r="H122">
        <v>98</v>
      </c>
      <c r="I122">
        <v>278</v>
      </c>
      <c r="J122">
        <v>175</v>
      </c>
      <c r="K122">
        <v>355</v>
      </c>
      <c r="L122">
        <v>278</v>
      </c>
      <c r="M122">
        <v>98</v>
      </c>
      <c r="N122">
        <v>355</v>
      </c>
      <c r="O122">
        <v>175</v>
      </c>
      <c r="T122">
        <v>6</v>
      </c>
      <c r="U122">
        <v>1</v>
      </c>
      <c r="V122">
        <v>1</v>
      </c>
      <c r="Y122">
        <v>2</v>
      </c>
      <c r="Z122">
        <v>6</v>
      </c>
      <c r="AA122">
        <v>13</v>
      </c>
      <c r="AD122">
        <v>3</v>
      </c>
      <c r="AE122">
        <v>4</v>
      </c>
      <c r="AF122">
        <v>1</v>
      </c>
      <c r="AI122">
        <v>0</v>
      </c>
      <c r="AJ122">
        <v>4</v>
      </c>
      <c r="AK122">
        <v>0</v>
      </c>
      <c r="AX122">
        <v>8</v>
      </c>
      <c r="AY122">
        <v>5</v>
      </c>
      <c r="AZ122">
        <v>13</v>
      </c>
      <c r="BA122">
        <v>21</v>
      </c>
      <c r="BB122">
        <v>14</v>
      </c>
      <c r="BC122">
        <v>35</v>
      </c>
      <c r="BD122">
        <v>8</v>
      </c>
      <c r="BE122">
        <v>7</v>
      </c>
      <c r="BF122">
        <v>15</v>
      </c>
      <c r="BG122">
        <v>4</v>
      </c>
      <c r="BH122">
        <v>15</v>
      </c>
      <c r="BI122">
        <v>19</v>
      </c>
      <c r="BP122">
        <v>30</v>
      </c>
      <c r="BR122">
        <v>8</v>
      </c>
      <c r="BS122">
        <v>1</v>
      </c>
      <c r="BT122">
        <v>1</v>
      </c>
      <c r="BV122">
        <v>1</v>
      </c>
      <c r="BW122">
        <v>41</v>
      </c>
      <c r="BX122">
        <f>IF(C122=C121,IF((CI122-1)=CI121,BW121,"no data"))</f>
        <v>104</v>
      </c>
      <c r="BY122" s="5">
        <f t="shared" si="8"/>
        <v>-0.60576923076923073</v>
      </c>
      <c r="BZ122" s="6">
        <f t="shared" si="7"/>
        <v>-0.60576923076923073</v>
      </c>
      <c r="CA122" s="7">
        <v>42687</v>
      </c>
      <c r="CE122">
        <v>14</v>
      </c>
      <c r="CF122">
        <v>6</v>
      </c>
      <c r="CG122">
        <v>8</v>
      </c>
      <c r="CH122">
        <v>13</v>
      </c>
      <c r="CI122">
        <f t="shared" si="5"/>
        <v>2016</v>
      </c>
      <c r="CJ122" t="str">
        <f t="shared" si="6"/>
        <v>4298_2016</v>
      </c>
    </row>
    <row r="123" spans="1:88" x14ac:dyDescent="0.25">
      <c r="A123" t="s">
        <v>111</v>
      </c>
      <c r="B123" t="s">
        <v>117</v>
      </c>
      <c r="C123">
        <v>4298</v>
      </c>
      <c r="D123">
        <v>-38.180821000000002</v>
      </c>
      <c r="E123">
        <v>144.35405800000001</v>
      </c>
      <c r="F123">
        <v>4</v>
      </c>
      <c r="G123" t="s">
        <v>127</v>
      </c>
      <c r="H123">
        <v>98</v>
      </c>
      <c r="I123">
        <v>278</v>
      </c>
      <c r="J123">
        <v>175</v>
      </c>
      <c r="K123">
        <v>355</v>
      </c>
      <c r="L123">
        <v>278</v>
      </c>
      <c r="M123">
        <v>98</v>
      </c>
      <c r="N123">
        <v>355</v>
      </c>
      <c r="O123">
        <v>175</v>
      </c>
      <c r="T123">
        <v>46</v>
      </c>
      <c r="U123">
        <v>5</v>
      </c>
      <c r="V123">
        <v>8</v>
      </c>
      <c r="Y123">
        <v>64</v>
      </c>
      <c r="Z123">
        <v>2</v>
      </c>
      <c r="AA123">
        <v>56</v>
      </c>
      <c r="AD123">
        <v>5</v>
      </c>
      <c r="AE123">
        <v>2</v>
      </c>
      <c r="AF123">
        <v>0</v>
      </c>
      <c r="AI123">
        <v>0</v>
      </c>
      <c r="AJ123">
        <v>18</v>
      </c>
      <c r="AK123">
        <v>1</v>
      </c>
      <c r="AX123">
        <v>59</v>
      </c>
      <c r="AY123">
        <v>69</v>
      </c>
      <c r="AZ123">
        <v>128</v>
      </c>
      <c r="BA123">
        <v>122</v>
      </c>
      <c r="BB123">
        <v>66</v>
      </c>
      <c r="BC123">
        <v>188</v>
      </c>
      <c r="BD123">
        <v>7</v>
      </c>
      <c r="BE123">
        <v>8</v>
      </c>
      <c r="BF123">
        <v>15</v>
      </c>
      <c r="BG123">
        <v>19</v>
      </c>
      <c r="BH123">
        <v>64</v>
      </c>
      <c r="BI123">
        <v>83</v>
      </c>
      <c r="BP123">
        <v>174</v>
      </c>
      <c r="BR123">
        <v>23</v>
      </c>
      <c r="BS123">
        <v>2</v>
      </c>
      <c r="BT123">
        <v>5</v>
      </c>
      <c r="BV123">
        <v>3</v>
      </c>
      <c r="BW123">
        <v>207</v>
      </c>
      <c r="BX123">
        <f>IF(C123=C122,IF((CI123-1)=CI122,BW122,"no data"))</f>
        <v>41</v>
      </c>
      <c r="BY123" s="5">
        <f t="shared" si="8"/>
        <v>4.0487804878048781</v>
      </c>
      <c r="BZ123" s="6">
        <f t="shared" si="7"/>
        <v>4.0487804878048781</v>
      </c>
      <c r="CA123" s="7">
        <v>43051</v>
      </c>
      <c r="CE123">
        <v>79</v>
      </c>
      <c r="CF123">
        <v>36</v>
      </c>
      <c r="CG123">
        <v>68</v>
      </c>
      <c r="CH123">
        <v>24</v>
      </c>
      <c r="CI123">
        <f t="shared" si="5"/>
        <v>2017</v>
      </c>
      <c r="CJ123" t="str">
        <f t="shared" si="6"/>
        <v>4298_2017</v>
      </c>
    </row>
    <row r="124" spans="1:88" x14ac:dyDescent="0.25">
      <c r="A124" t="s">
        <v>111</v>
      </c>
      <c r="B124" t="s">
        <v>117</v>
      </c>
      <c r="C124">
        <v>4302</v>
      </c>
      <c r="D124">
        <v>-38.272500000000001</v>
      </c>
      <c r="E124">
        <v>144.5112</v>
      </c>
      <c r="F124">
        <v>3</v>
      </c>
      <c r="G124" t="s">
        <v>128</v>
      </c>
      <c r="H124">
        <v>80</v>
      </c>
      <c r="I124">
        <v>260</v>
      </c>
      <c r="J124">
        <v>239</v>
      </c>
      <c r="K124">
        <v>59</v>
      </c>
      <c r="L124">
        <v>294</v>
      </c>
      <c r="M124">
        <v>114</v>
      </c>
      <c r="T124">
        <v>56</v>
      </c>
      <c r="U124">
        <v>2</v>
      </c>
      <c r="Y124">
        <v>40</v>
      </c>
      <c r="Z124">
        <v>0</v>
      </c>
      <c r="AD124">
        <v>11</v>
      </c>
      <c r="AE124">
        <v>0</v>
      </c>
      <c r="AX124">
        <v>58</v>
      </c>
      <c r="AY124">
        <v>51</v>
      </c>
      <c r="AZ124">
        <v>109</v>
      </c>
      <c r="BA124">
        <v>40</v>
      </c>
      <c r="BB124">
        <v>56</v>
      </c>
      <c r="BC124">
        <v>96</v>
      </c>
      <c r="BD124">
        <v>11</v>
      </c>
      <c r="BE124">
        <v>2</v>
      </c>
      <c r="BF124">
        <v>13</v>
      </c>
      <c r="BP124">
        <v>20</v>
      </c>
      <c r="BR124">
        <v>49</v>
      </c>
      <c r="BS124">
        <v>21</v>
      </c>
      <c r="BT124">
        <v>14</v>
      </c>
      <c r="BV124">
        <v>5</v>
      </c>
      <c r="BW124">
        <v>109</v>
      </c>
      <c r="BX124" t="s">
        <v>82</v>
      </c>
      <c r="BY124" s="5"/>
      <c r="BZ124" s="6"/>
      <c r="CA124" s="7">
        <v>41588</v>
      </c>
      <c r="CI124">
        <f t="shared" si="5"/>
        <v>2013</v>
      </c>
      <c r="CJ124" t="str">
        <f t="shared" si="6"/>
        <v>4302_2013</v>
      </c>
    </row>
    <row r="125" spans="1:88" x14ac:dyDescent="0.25">
      <c r="A125" t="s">
        <v>111</v>
      </c>
      <c r="B125" t="s">
        <v>117</v>
      </c>
      <c r="C125">
        <v>4302</v>
      </c>
      <c r="D125">
        <v>-38.272500000000001</v>
      </c>
      <c r="E125">
        <v>144.5112</v>
      </c>
      <c r="F125">
        <v>3</v>
      </c>
      <c r="G125" t="s">
        <v>128</v>
      </c>
      <c r="H125">
        <v>80</v>
      </c>
      <c r="I125">
        <v>260</v>
      </c>
      <c r="J125">
        <v>239</v>
      </c>
      <c r="K125">
        <v>59</v>
      </c>
      <c r="L125">
        <v>294</v>
      </c>
      <c r="M125">
        <v>114</v>
      </c>
      <c r="T125">
        <v>122</v>
      </c>
      <c r="U125">
        <v>30</v>
      </c>
      <c r="Y125">
        <v>118</v>
      </c>
      <c r="Z125">
        <v>0</v>
      </c>
      <c r="AD125">
        <v>29</v>
      </c>
      <c r="AE125">
        <v>0</v>
      </c>
      <c r="AX125">
        <v>152</v>
      </c>
      <c r="AY125">
        <v>147</v>
      </c>
      <c r="AZ125">
        <v>299</v>
      </c>
      <c r="BA125">
        <v>118</v>
      </c>
      <c r="BB125">
        <v>122</v>
      </c>
      <c r="BC125">
        <v>240</v>
      </c>
      <c r="BD125">
        <v>29</v>
      </c>
      <c r="BE125">
        <v>30</v>
      </c>
      <c r="BF125">
        <v>59</v>
      </c>
      <c r="BP125">
        <v>78</v>
      </c>
      <c r="BR125">
        <v>134</v>
      </c>
      <c r="BS125">
        <v>68</v>
      </c>
      <c r="BT125">
        <v>15</v>
      </c>
      <c r="BV125">
        <v>4</v>
      </c>
      <c r="BW125">
        <v>299</v>
      </c>
      <c r="BX125">
        <f>IF(C125=C124,IF((CI125-1)=CI124,BW124,"no data"))</f>
        <v>109</v>
      </c>
      <c r="BY125" s="5">
        <f t="shared" si="8"/>
        <v>1.7431192660550459</v>
      </c>
      <c r="BZ125" s="6">
        <f t="shared" si="7"/>
        <v>1.7431192660550459</v>
      </c>
      <c r="CA125" s="7">
        <v>41952</v>
      </c>
      <c r="CI125">
        <f t="shared" si="5"/>
        <v>2014</v>
      </c>
      <c r="CJ125" t="str">
        <f t="shared" si="6"/>
        <v>4302_2014</v>
      </c>
    </row>
    <row r="126" spans="1:88" x14ac:dyDescent="0.25">
      <c r="A126" t="s">
        <v>111</v>
      </c>
      <c r="B126" t="s">
        <v>117</v>
      </c>
      <c r="C126">
        <v>4302</v>
      </c>
      <c r="D126">
        <v>-38.272500000000001</v>
      </c>
      <c r="E126">
        <v>144.5112</v>
      </c>
      <c r="F126">
        <v>3</v>
      </c>
      <c r="G126" t="s">
        <v>128</v>
      </c>
      <c r="H126">
        <v>80</v>
      </c>
      <c r="I126">
        <v>260</v>
      </c>
      <c r="J126">
        <v>239</v>
      </c>
      <c r="K126">
        <v>59</v>
      </c>
      <c r="L126">
        <v>294</v>
      </c>
      <c r="M126">
        <v>114</v>
      </c>
      <c r="T126">
        <v>165</v>
      </c>
      <c r="U126">
        <v>9</v>
      </c>
      <c r="Y126">
        <v>177</v>
      </c>
      <c r="Z126">
        <v>2</v>
      </c>
      <c r="AD126">
        <v>23</v>
      </c>
      <c r="AE126">
        <v>0</v>
      </c>
      <c r="AX126">
        <v>174</v>
      </c>
      <c r="AY126">
        <v>200</v>
      </c>
      <c r="AZ126">
        <v>374</v>
      </c>
      <c r="BA126">
        <v>179</v>
      </c>
      <c r="BB126">
        <v>165</v>
      </c>
      <c r="BC126">
        <v>344</v>
      </c>
      <c r="BD126">
        <v>23</v>
      </c>
      <c r="BE126">
        <v>11</v>
      </c>
      <c r="BF126">
        <v>34</v>
      </c>
      <c r="BP126">
        <v>106</v>
      </c>
      <c r="BR126">
        <v>146</v>
      </c>
      <c r="BS126">
        <v>66</v>
      </c>
      <c r="BT126">
        <v>33</v>
      </c>
      <c r="BV126">
        <v>25</v>
      </c>
      <c r="BW126">
        <v>376</v>
      </c>
      <c r="BX126">
        <f>IF(C126=C125,IF((CI126-1)=CI125,BW125,"no data"))</f>
        <v>299</v>
      </c>
      <c r="BY126" s="5">
        <f t="shared" si="8"/>
        <v>0.25752508361204013</v>
      </c>
      <c r="BZ126" s="6">
        <f t="shared" si="7"/>
        <v>0.25752508361204013</v>
      </c>
      <c r="CA126" s="7">
        <v>42316</v>
      </c>
      <c r="CE126">
        <v>85</v>
      </c>
      <c r="CF126">
        <v>127</v>
      </c>
      <c r="CG126">
        <v>92</v>
      </c>
      <c r="CH126">
        <v>72</v>
      </c>
      <c r="CI126">
        <f t="shared" si="5"/>
        <v>2015</v>
      </c>
      <c r="CJ126" t="str">
        <f t="shared" si="6"/>
        <v>4302_2015</v>
      </c>
    </row>
    <row r="127" spans="1:88" x14ac:dyDescent="0.25">
      <c r="A127" t="s">
        <v>111</v>
      </c>
      <c r="B127" t="s">
        <v>117</v>
      </c>
      <c r="C127">
        <v>4302</v>
      </c>
      <c r="D127">
        <v>-38.272480000000002</v>
      </c>
      <c r="E127">
        <v>144.511211</v>
      </c>
      <c r="F127">
        <v>3</v>
      </c>
      <c r="G127" t="s">
        <v>128</v>
      </c>
      <c r="H127">
        <v>80</v>
      </c>
      <c r="I127">
        <v>260</v>
      </c>
      <c r="J127">
        <v>239</v>
      </c>
      <c r="K127">
        <v>59</v>
      </c>
      <c r="L127">
        <v>294</v>
      </c>
      <c r="M127">
        <v>114</v>
      </c>
      <c r="T127">
        <v>131</v>
      </c>
      <c r="U127">
        <v>5</v>
      </c>
      <c r="Y127">
        <v>119</v>
      </c>
      <c r="Z127">
        <v>0</v>
      </c>
      <c r="AD127">
        <v>22</v>
      </c>
      <c r="AE127">
        <v>2</v>
      </c>
      <c r="AX127">
        <v>136</v>
      </c>
      <c r="AY127">
        <v>141</v>
      </c>
      <c r="AZ127">
        <v>277</v>
      </c>
      <c r="BA127">
        <v>119</v>
      </c>
      <c r="BB127">
        <v>133</v>
      </c>
      <c r="BC127">
        <v>252</v>
      </c>
      <c r="BD127">
        <v>24</v>
      </c>
      <c r="BE127">
        <v>5</v>
      </c>
      <c r="BF127">
        <v>29</v>
      </c>
      <c r="BP127">
        <v>55</v>
      </c>
      <c r="BR127">
        <v>130</v>
      </c>
      <c r="BS127">
        <v>65</v>
      </c>
      <c r="BT127">
        <v>24</v>
      </c>
      <c r="BV127">
        <v>5</v>
      </c>
      <c r="BW127">
        <v>279</v>
      </c>
      <c r="BX127">
        <f>IF(C127=C126,IF((CI127-1)=CI126,BW126,"no data"))</f>
        <v>376</v>
      </c>
      <c r="BY127" s="5">
        <f t="shared" si="8"/>
        <v>-0.25797872340425532</v>
      </c>
      <c r="BZ127" s="6">
        <f t="shared" si="7"/>
        <v>-0.25797872340425532</v>
      </c>
      <c r="CA127" s="7">
        <v>42687</v>
      </c>
      <c r="CE127">
        <v>80</v>
      </c>
      <c r="CF127">
        <v>63</v>
      </c>
      <c r="CG127">
        <v>85</v>
      </c>
      <c r="CH127">
        <v>51</v>
      </c>
      <c r="CI127">
        <f t="shared" si="5"/>
        <v>2016</v>
      </c>
      <c r="CJ127" t="str">
        <f t="shared" si="6"/>
        <v>4302_2016</v>
      </c>
    </row>
    <row r="128" spans="1:88" x14ac:dyDescent="0.25">
      <c r="A128" t="s">
        <v>111</v>
      </c>
      <c r="B128" t="s">
        <v>117</v>
      </c>
      <c r="C128">
        <v>4302</v>
      </c>
      <c r="D128">
        <v>-38.272480000000002</v>
      </c>
      <c r="E128">
        <v>144.511211</v>
      </c>
      <c r="F128">
        <v>3</v>
      </c>
      <c r="G128" t="s">
        <v>128</v>
      </c>
      <c r="H128">
        <v>80</v>
      </c>
      <c r="I128">
        <v>260</v>
      </c>
      <c r="J128">
        <v>239</v>
      </c>
      <c r="K128">
        <v>59</v>
      </c>
      <c r="L128">
        <v>294</v>
      </c>
      <c r="M128">
        <v>114</v>
      </c>
      <c r="T128">
        <v>147</v>
      </c>
      <c r="U128">
        <v>17</v>
      </c>
      <c r="Y128">
        <v>146</v>
      </c>
      <c r="Z128">
        <v>0</v>
      </c>
      <c r="AD128">
        <v>30</v>
      </c>
      <c r="AE128">
        <v>11</v>
      </c>
      <c r="AX128">
        <v>164</v>
      </c>
      <c r="AY128">
        <v>176</v>
      </c>
      <c r="AZ128">
        <v>340</v>
      </c>
      <c r="BA128">
        <v>146</v>
      </c>
      <c r="BB128">
        <v>158</v>
      </c>
      <c r="BC128">
        <v>304</v>
      </c>
      <c r="BD128">
        <v>41</v>
      </c>
      <c r="BE128">
        <v>17</v>
      </c>
      <c r="BF128">
        <v>58</v>
      </c>
      <c r="BP128">
        <v>114</v>
      </c>
      <c r="BR128">
        <v>140</v>
      </c>
      <c r="BS128">
        <v>64</v>
      </c>
      <c r="BT128">
        <v>24</v>
      </c>
      <c r="BV128">
        <v>9</v>
      </c>
      <c r="BW128">
        <v>351</v>
      </c>
      <c r="BX128">
        <f>IF(C128=C127,IF((CI128-1)=CI127,BW127,"no data"))</f>
        <v>279</v>
      </c>
      <c r="BY128" s="5">
        <f t="shared" si="8"/>
        <v>0.25806451612903225</v>
      </c>
      <c r="BZ128" s="6">
        <f t="shared" si="7"/>
        <v>0.25806451612903225</v>
      </c>
      <c r="CA128" s="7">
        <v>43051</v>
      </c>
      <c r="CE128">
        <v>113</v>
      </c>
      <c r="CF128">
        <v>120</v>
      </c>
      <c r="CG128">
        <v>77</v>
      </c>
      <c r="CH128">
        <v>41</v>
      </c>
      <c r="CI128">
        <f t="shared" si="5"/>
        <v>2017</v>
      </c>
      <c r="CJ128" t="str">
        <f t="shared" si="6"/>
        <v>4302_2017</v>
      </c>
    </row>
    <row r="129" spans="1:88" x14ac:dyDescent="0.25">
      <c r="A129" t="s">
        <v>111</v>
      </c>
      <c r="B129" t="s">
        <v>129</v>
      </c>
      <c r="C129">
        <v>4326</v>
      </c>
      <c r="D129">
        <v>-37.823599999999999</v>
      </c>
      <c r="E129">
        <v>144.8484</v>
      </c>
      <c r="F129">
        <v>4</v>
      </c>
      <c r="G129" t="s">
        <v>130</v>
      </c>
      <c r="H129">
        <v>8</v>
      </c>
      <c r="I129">
        <v>188</v>
      </c>
      <c r="J129">
        <v>98</v>
      </c>
      <c r="K129">
        <v>278</v>
      </c>
      <c r="L129">
        <v>165</v>
      </c>
      <c r="M129">
        <v>345</v>
      </c>
      <c r="N129">
        <v>278</v>
      </c>
      <c r="O129">
        <v>98</v>
      </c>
      <c r="U129">
        <v>44</v>
      </c>
      <c r="V129">
        <v>1</v>
      </c>
      <c r="AD129">
        <v>26</v>
      </c>
      <c r="AF129">
        <v>20</v>
      </c>
      <c r="AI129">
        <v>11</v>
      </c>
      <c r="AK129">
        <v>36</v>
      </c>
      <c r="AX129">
        <v>45</v>
      </c>
      <c r="AY129">
        <v>37</v>
      </c>
      <c r="AZ129">
        <v>82</v>
      </c>
      <c r="BD129">
        <v>46</v>
      </c>
      <c r="BE129">
        <v>80</v>
      </c>
      <c r="BF129">
        <v>126</v>
      </c>
      <c r="BG129">
        <v>47</v>
      </c>
      <c r="BH129">
        <v>21</v>
      </c>
      <c r="BI129">
        <v>68</v>
      </c>
      <c r="BP129">
        <v>54</v>
      </c>
      <c r="BR129">
        <v>68</v>
      </c>
      <c r="BS129">
        <v>7</v>
      </c>
      <c r="BT129">
        <v>9</v>
      </c>
      <c r="BV129">
        <v>0</v>
      </c>
      <c r="BW129">
        <v>138</v>
      </c>
      <c r="BX129" t="s">
        <v>82</v>
      </c>
      <c r="BY129" s="5"/>
      <c r="BZ129" s="6"/>
      <c r="CA129" s="7">
        <v>41588</v>
      </c>
      <c r="CI129">
        <f t="shared" si="5"/>
        <v>2013</v>
      </c>
      <c r="CJ129" t="str">
        <f t="shared" si="6"/>
        <v>4326_2013</v>
      </c>
    </row>
    <row r="130" spans="1:88" x14ac:dyDescent="0.25">
      <c r="A130" t="s">
        <v>111</v>
      </c>
      <c r="B130" t="s">
        <v>129</v>
      </c>
      <c r="C130">
        <v>4326</v>
      </c>
      <c r="D130">
        <v>-37.823599999999999</v>
      </c>
      <c r="E130">
        <v>144.8484</v>
      </c>
      <c r="F130">
        <v>4</v>
      </c>
      <c r="G130" t="s">
        <v>130</v>
      </c>
      <c r="H130">
        <v>8</v>
      </c>
      <c r="I130">
        <v>188</v>
      </c>
      <c r="J130">
        <v>98</v>
      </c>
      <c r="K130">
        <v>278</v>
      </c>
      <c r="L130">
        <v>165</v>
      </c>
      <c r="M130">
        <v>345</v>
      </c>
      <c r="N130">
        <v>278</v>
      </c>
      <c r="O130">
        <v>98</v>
      </c>
      <c r="U130">
        <v>48</v>
      </c>
      <c r="V130">
        <v>6</v>
      </c>
      <c r="AD130">
        <v>32</v>
      </c>
      <c r="AF130">
        <v>19</v>
      </c>
      <c r="AI130">
        <v>14</v>
      </c>
      <c r="AK130">
        <v>28</v>
      </c>
      <c r="AX130">
        <v>54</v>
      </c>
      <c r="AY130">
        <v>46</v>
      </c>
      <c r="AZ130">
        <v>100</v>
      </c>
      <c r="BD130">
        <v>51</v>
      </c>
      <c r="BE130">
        <v>76</v>
      </c>
      <c r="BF130">
        <v>127</v>
      </c>
      <c r="BG130">
        <v>42</v>
      </c>
      <c r="BH130">
        <v>25</v>
      </c>
      <c r="BI130">
        <v>67</v>
      </c>
      <c r="BP130">
        <v>78</v>
      </c>
      <c r="BR130">
        <v>59</v>
      </c>
      <c r="BS130">
        <v>5</v>
      </c>
      <c r="BT130">
        <v>5</v>
      </c>
      <c r="BV130">
        <v>0</v>
      </c>
      <c r="BW130">
        <v>147</v>
      </c>
      <c r="BX130">
        <f t="shared" ref="BX130:BX136" si="9">IF(C130=C129,IF((CI130-1)=CI129,BW129,"no data"))</f>
        <v>138</v>
      </c>
      <c r="BY130" s="5">
        <f t="shared" si="8"/>
        <v>6.5217391304347824E-2</v>
      </c>
      <c r="BZ130" s="6">
        <f t="shared" si="7"/>
        <v>6.5217391304347824E-2</v>
      </c>
      <c r="CA130" s="7">
        <v>41952</v>
      </c>
      <c r="CI130">
        <f t="shared" si="5"/>
        <v>2014</v>
      </c>
      <c r="CJ130" t="str">
        <f t="shared" si="6"/>
        <v>4326_2014</v>
      </c>
    </row>
    <row r="131" spans="1:88" x14ac:dyDescent="0.25">
      <c r="A131" t="s">
        <v>111</v>
      </c>
      <c r="B131" t="s">
        <v>129</v>
      </c>
      <c r="C131">
        <v>4326</v>
      </c>
      <c r="D131">
        <v>-37.823599999999999</v>
      </c>
      <c r="E131">
        <v>144.8484</v>
      </c>
      <c r="F131">
        <v>4</v>
      </c>
      <c r="G131" t="s">
        <v>130</v>
      </c>
      <c r="H131">
        <v>8</v>
      </c>
      <c r="I131">
        <v>188</v>
      </c>
      <c r="J131">
        <v>98</v>
      </c>
      <c r="K131">
        <v>278</v>
      </c>
      <c r="L131">
        <v>165</v>
      </c>
      <c r="M131">
        <v>345</v>
      </c>
      <c r="N131">
        <v>278</v>
      </c>
      <c r="O131">
        <v>98</v>
      </c>
      <c r="T131">
        <v>1</v>
      </c>
      <c r="U131">
        <v>46</v>
      </c>
      <c r="V131">
        <v>14</v>
      </c>
      <c r="Y131">
        <v>4</v>
      </c>
      <c r="Z131">
        <v>4</v>
      </c>
      <c r="AA131">
        <v>38</v>
      </c>
      <c r="AD131">
        <v>18</v>
      </c>
      <c r="AE131">
        <v>5</v>
      </c>
      <c r="AF131">
        <v>14</v>
      </c>
      <c r="AI131">
        <v>6</v>
      </c>
      <c r="AJ131">
        <v>34</v>
      </c>
      <c r="AK131">
        <v>12</v>
      </c>
      <c r="AX131">
        <v>61</v>
      </c>
      <c r="AY131">
        <v>28</v>
      </c>
      <c r="AZ131">
        <v>89</v>
      </c>
      <c r="BA131">
        <v>46</v>
      </c>
      <c r="BB131">
        <v>40</v>
      </c>
      <c r="BC131">
        <v>86</v>
      </c>
      <c r="BD131">
        <v>37</v>
      </c>
      <c r="BE131">
        <v>62</v>
      </c>
      <c r="BF131">
        <v>99</v>
      </c>
      <c r="BG131">
        <v>52</v>
      </c>
      <c r="BH131">
        <v>66</v>
      </c>
      <c r="BI131">
        <v>118</v>
      </c>
      <c r="BP131">
        <v>128</v>
      </c>
      <c r="BR131">
        <v>56</v>
      </c>
      <c r="BS131">
        <v>3</v>
      </c>
      <c r="BT131">
        <v>6</v>
      </c>
      <c r="BV131">
        <v>3</v>
      </c>
      <c r="BW131">
        <v>196</v>
      </c>
      <c r="BX131">
        <f t="shared" si="9"/>
        <v>147</v>
      </c>
      <c r="BY131" s="5">
        <f t="shared" si="8"/>
        <v>0.33333333333333331</v>
      </c>
      <c r="BZ131" s="6">
        <f t="shared" si="7"/>
        <v>0.33333333333333331</v>
      </c>
      <c r="CA131" s="7">
        <v>42316</v>
      </c>
      <c r="CE131">
        <v>69</v>
      </c>
      <c r="CF131">
        <v>51</v>
      </c>
      <c r="CG131">
        <v>41</v>
      </c>
      <c r="CH131">
        <v>35</v>
      </c>
      <c r="CI131">
        <f t="shared" ref="CI131:CI194" si="10">YEAR(CA131)</f>
        <v>2015</v>
      </c>
      <c r="CJ131" t="str">
        <f t="shared" ref="CJ131:CJ194" si="11">_xlfn.CONCAT(C131,"_",CI131)</f>
        <v>4326_2015</v>
      </c>
    </row>
    <row r="132" spans="1:88" x14ac:dyDescent="0.25">
      <c r="A132" t="s">
        <v>111</v>
      </c>
      <c r="B132" t="s">
        <v>129</v>
      </c>
      <c r="C132">
        <v>4326</v>
      </c>
      <c r="D132">
        <v>-37.823593000000002</v>
      </c>
      <c r="E132">
        <v>144.84841700000001</v>
      </c>
      <c r="F132">
        <v>4</v>
      </c>
      <c r="G132" t="s">
        <v>130</v>
      </c>
      <c r="H132">
        <v>8</v>
      </c>
      <c r="I132">
        <v>188</v>
      </c>
      <c r="J132">
        <v>98</v>
      </c>
      <c r="K132">
        <v>278</v>
      </c>
      <c r="L132">
        <v>165</v>
      </c>
      <c r="M132">
        <v>345</v>
      </c>
      <c r="N132">
        <v>278</v>
      </c>
      <c r="O132">
        <v>98</v>
      </c>
      <c r="T132">
        <v>3</v>
      </c>
      <c r="U132">
        <v>20</v>
      </c>
      <c r="V132">
        <v>3</v>
      </c>
      <c r="Y132">
        <v>0</v>
      </c>
      <c r="Z132">
        <v>3</v>
      </c>
      <c r="AA132">
        <v>6</v>
      </c>
      <c r="AD132">
        <v>13</v>
      </c>
      <c r="AE132">
        <v>2</v>
      </c>
      <c r="AF132">
        <v>5</v>
      </c>
      <c r="AI132">
        <v>0</v>
      </c>
      <c r="AJ132">
        <v>8</v>
      </c>
      <c r="AK132">
        <v>11</v>
      </c>
      <c r="AX132">
        <v>26</v>
      </c>
      <c r="AY132">
        <v>13</v>
      </c>
      <c r="AZ132">
        <v>39</v>
      </c>
      <c r="BA132">
        <v>9</v>
      </c>
      <c r="BB132">
        <v>13</v>
      </c>
      <c r="BC132">
        <v>22</v>
      </c>
      <c r="BD132">
        <v>20</v>
      </c>
      <c r="BE132">
        <v>34</v>
      </c>
      <c r="BF132">
        <v>54</v>
      </c>
      <c r="BG132">
        <v>19</v>
      </c>
      <c r="BH132">
        <v>14</v>
      </c>
      <c r="BI132">
        <v>33</v>
      </c>
      <c r="BP132">
        <v>24</v>
      </c>
      <c r="BR132">
        <v>45</v>
      </c>
      <c r="BS132">
        <v>2</v>
      </c>
      <c r="BT132">
        <v>3</v>
      </c>
      <c r="BV132">
        <v>0</v>
      </c>
      <c r="BW132">
        <v>74</v>
      </c>
      <c r="BX132">
        <f t="shared" si="9"/>
        <v>196</v>
      </c>
      <c r="BY132" s="5">
        <f t="shared" si="8"/>
        <v>-0.62244897959183676</v>
      </c>
      <c r="BZ132" s="6">
        <f t="shared" si="7"/>
        <v>-0.62244897959183676</v>
      </c>
      <c r="CA132" s="7">
        <v>42687</v>
      </c>
      <c r="CE132">
        <v>24</v>
      </c>
      <c r="CF132">
        <v>14</v>
      </c>
      <c r="CG132">
        <v>19</v>
      </c>
      <c r="CH132">
        <v>17</v>
      </c>
      <c r="CI132">
        <f t="shared" si="10"/>
        <v>2016</v>
      </c>
      <c r="CJ132" t="str">
        <f t="shared" si="11"/>
        <v>4326_2016</v>
      </c>
    </row>
    <row r="133" spans="1:88" x14ac:dyDescent="0.25">
      <c r="A133" t="s">
        <v>111</v>
      </c>
      <c r="B133" t="s">
        <v>129</v>
      </c>
      <c r="C133">
        <v>4326</v>
      </c>
      <c r="D133">
        <v>-37.823593000000002</v>
      </c>
      <c r="E133">
        <v>144.84841700000001</v>
      </c>
      <c r="F133">
        <v>4</v>
      </c>
      <c r="G133" t="s">
        <v>130</v>
      </c>
      <c r="H133">
        <v>8</v>
      </c>
      <c r="I133">
        <v>188</v>
      </c>
      <c r="J133">
        <v>98</v>
      </c>
      <c r="K133">
        <v>278</v>
      </c>
      <c r="L133">
        <v>165</v>
      </c>
      <c r="M133">
        <v>345</v>
      </c>
      <c r="N133">
        <v>278</v>
      </c>
      <c r="O133">
        <v>98</v>
      </c>
      <c r="T133">
        <v>4</v>
      </c>
      <c r="U133">
        <v>28</v>
      </c>
      <c r="V133">
        <v>3</v>
      </c>
      <c r="Y133">
        <v>0</v>
      </c>
      <c r="Z133">
        <v>0</v>
      </c>
      <c r="AA133">
        <v>19</v>
      </c>
      <c r="AD133">
        <v>18</v>
      </c>
      <c r="AE133">
        <v>9</v>
      </c>
      <c r="AF133">
        <v>14</v>
      </c>
      <c r="AI133">
        <v>6</v>
      </c>
      <c r="AJ133">
        <v>32</v>
      </c>
      <c r="AK133">
        <v>13</v>
      </c>
      <c r="AX133">
        <v>35</v>
      </c>
      <c r="AY133">
        <v>24</v>
      </c>
      <c r="AZ133">
        <v>59</v>
      </c>
      <c r="BA133">
        <v>19</v>
      </c>
      <c r="BB133">
        <v>45</v>
      </c>
      <c r="BC133">
        <v>64</v>
      </c>
      <c r="BD133">
        <v>41</v>
      </c>
      <c r="BE133">
        <v>41</v>
      </c>
      <c r="BF133">
        <v>82</v>
      </c>
      <c r="BG133">
        <v>51</v>
      </c>
      <c r="BH133">
        <v>36</v>
      </c>
      <c r="BI133">
        <v>87</v>
      </c>
      <c r="BP133">
        <v>85</v>
      </c>
      <c r="BR133">
        <v>48</v>
      </c>
      <c r="BS133">
        <v>4</v>
      </c>
      <c r="BT133">
        <v>8</v>
      </c>
      <c r="BV133">
        <v>1</v>
      </c>
      <c r="BW133">
        <v>146</v>
      </c>
      <c r="BX133">
        <f t="shared" si="9"/>
        <v>74</v>
      </c>
      <c r="BY133" s="5">
        <f t="shared" si="8"/>
        <v>0.97297297297297303</v>
      </c>
      <c r="BZ133" s="6">
        <f t="shared" si="7"/>
        <v>0.97297297297297303</v>
      </c>
      <c r="CA133" s="7">
        <v>43051</v>
      </c>
      <c r="CE133">
        <v>46</v>
      </c>
      <c r="CF133">
        <v>40</v>
      </c>
      <c r="CG133">
        <v>39</v>
      </c>
      <c r="CH133">
        <v>21</v>
      </c>
      <c r="CI133">
        <f t="shared" si="10"/>
        <v>2017</v>
      </c>
      <c r="CJ133" t="str">
        <f t="shared" si="11"/>
        <v>4326_2017</v>
      </c>
    </row>
    <row r="134" spans="1:88" x14ac:dyDescent="0.25">
      <c r="A134" t="s">
        <v>111</v>
      </c>
      <c r="B134" t="s">
        <v>129</v>
      </c>
      <c r="C134">
        <v>4326</v>
      </c>
      <c r="D134">
        <v>-37.823593000000002</v>
      </c>
      <c r="E134">
        <v>144.84841700000001</v>
      </c>
      <c r="F134">
        <v>4</v>
      </c>
      <c r="G134" t="s">
        <v>130</v>
      </c>
      <c r="H134">
        <v>8</v>
      </c>
      <c r="I134">
        <v>188</v>
      </c>
      <c r="J134">
        <v>98</v>
      </c>
      <c r="K134">
        <v>278</v>
      </c>
      <c r="L134">
        <v>165</v>
      </c>
      <c r="M134">
        <v>345</v>
      </c>
      <c r="N134">
        <v>278</v>
      </c>
      <c r="O134">
        <v>98</v>
      </c>
      <c r="T134">
        <v>4</v>
      </c>
      <c r="U134">
        <v>17</v>
      </c>
      <c r="V134">
        <v>6</v>
      </c>
      <c r="Y134">
        <v>1</v>
      </c>
      <c r="Z134">
        <v>2</v>
      </c>
      <c r="AA134">
        <v>3</v>
      </c>
      <c r="AD134">
        <v>31</v>
      </c>
      <c r="AE134">
        <v>3</v>
      </c>
      <c r="AF134">
        <v>17</v>
      </c>
      <c r="AI134">
        <v>6</v>
      </c>
      <c r="AJ134">
        <v>7</v>
      </c>
      <c r="AK134">
        <v>21</v>
      </c>
      <c r="AX134">
        <v>27</v>
      </c>
      <c r="AY134">
        <v>38</v>
      </c>
      <c r="AZ134">
        <v>65</v>
      </c>
      <c r="BA134">
        <v>6</v>
      </c>
      <c r="BB134">
        <v>14</v>
      </c>
      <c r="BC134">
        <v>20</v>
      </c>
      <c r="BD134">
        <v>51</v>
      </c>
      <c r="BE134">
        <v>40</v>
      </c>
      <c r="BF134">
        <v>91</v>
      </c>
      <c r="BG134">
        <v>34</v>
      </c>
      <c r="BH134">
        <v>26</v>
      </c>
      <c r="BI134">
        <v>60</v>
      </c>
      <c r="BP134">
        <v>53</v>
      </c>
      <c r="BR134">
        <v>55</v>
      </c>
      <c r="BS134">
        <v>3</v>
      </c>
      <c r="BT134">
        <v>5</v>
      </c>
      <c r="BV134">
        <v>2</v>
      </c>
      <c r="BW134">
        <v>118</v>
      </c>
      <c r="BX134">
        <f t="shared" si="9"/>
        <v>146</v>
      </c>
      <c r="BY134" s="5">
        <f t="shared" si="8"/>
        <v>-0.19178082191780821</v>
      </c>
      <c r="BZ134" s="6">
        <f t="shared" ref="BZ134:BZ197" si="12">BY134</f>
        <v>-0.19178082191780821</v>
      </c>
      <c r="CA134" s="7">
        <v>43415</v>
      </c>
      <c r="CE134">
        <v>19</v>
      </c>
      <c r="CF134">
        <v>22</v>
      </c>
      <c r="CG134">
        <v>41</v>
      </c>
      <c r="CH134">
        <v>36</v>
      </c>
      <c r="CI134">
        <f t="shared" si="10"/>
        <v>2018</v>
      </c>
      <c r="CJ134" t="str">
        <f t="shared" si="11"/>
        <v>4326_2018</v>
      </c>
    </row>
    <row r="135" spans="1:88" x14ac:dyDescent="0.25">
      <c r="A135" t="s">
        <v>111</v>
      </c>
      <c r="B135" t="s">
        <v>129</v>
      </c>
      <c r="C135">
        <v>4326</v>
      </c>
      <c r="D135">
        <v>-37.823599999999999</v>
      </c>
      <c r="E135">
        <v>144.8484</v>
      </c>
      <c r="F135">
        <v>4</v>
      </c>
      <c r="G135" t="s">
        <v>130</v>
      </c>
      <c r="H135">
        <v>8</v>
      </c>
      <c r="I135">
        <v>188</v>
      </c>
      <c r="J135">
        <v>98</v>
      </c>
      <c r="K135">
        <v>278</v>
      </c>
      <c r="L135">
        <v>165</v>
      </c>
      <c r="M135">
        <v>345</v>
      </c>
      <c r="N135">
        <v>278</v>
      </c>
      <c r="O135">
        <v>98</v>
      </c>
      <c r="T135">
        <v>4</v>
      </c>
      <c r="U135">
        <v>34</v>
      </c>
      <c r="V135">
        <v>3</v>
      </c>
      <c r="Y135">
        <v>0</v>
      </c>
      <c r="Z135">
        <v>0</v>
      </c>
      <c r="AA135">
        <v>0</v>
      </c>
      <c r="AD135">
        <v>21</v>
      </c>
      <c r="AE135">
        <v>4</v>
      </c>
      <c r="AF135">
        <v>8</v>
      </c>
      <c r="AI135">
        <v>13</v>
      </c>
      <c r="AJ135">
        <v>1</v>
      </c>
      <c r="AK135">
        <v>5</v>
      </c>
      <c r="AX135">
        <v>41</v>
      </c>
      <c r="AY135">
        <v>34</v>
      </c>
      <c r="AZ135">
        <v>75</v>
      </c>
      <c r="BA135">
        <v>0</v>
      </c>
      <c r="BB135">
        <v>9</v>
      </c>
      <c r="BC135">
        <v>9</v>
      </c>
      <c r="BD135">
        <v>33</v>
      </c>
      <c r="BE135">
        <v>39</v>
      </c>
      <c r="BF135">
        <v>72</v>
      </c>
      <c r="BG135">
        <v>19</v>
      </c>
      <c r="BH135">
        <v>11</v>
      </c>
      <c r="BI135">
        <v>30</v>
      </c>
      <c r="BP135">
        <v>26</v>
      </c>
      <c r="BR135">
        <v>50</v>
      </c>
      <c r="BS135">
        <v>10</v>
      </c>
      <c r="BT135">
        <v>7</v>
      </c>
      <c r="BV135">
        <v>0</v>
      </c>
      <c r="BW135">
        <v>93</v>
      </c>
      <c r="BX135">
        <f t="shared" si="9"/>
        <v>118</v>
      </c>
      <c r="BY135" s="5">
        <f t="shared" si="8"/>
        <v>-0.21186440677966101</v>
      </c>
      <c r="BZ135" s="6">
        <f t="shared" si="12"/>
        <v>-0.21186440677966101</v>
      </c>
      <c r="CA135" s="7">
        <v>43779</v>
      </c>
      <c r="CE135">
        <v>21</v>
      </c>
      <c r="CF135">
        <v>27</v>
      </c>
      <c r="CG135">
        <v>25</v>
      </c>
      <c r="CH135">
        <v>20</v>
      </c>
      <c r="CI135">
        <f t="shared" si="10"/>
        <v>2019</v>
      </c>
      <c r="CJ135" t="str">
        <f t="shared" si="11"/>
        <v>4326_2019</v>
      </c>
    </row>
    <row r="136" spans="1:88" x14ac:dyDescent="0.25">
      <c r="A136" t="s">
        <v>111</v>
      </c>
      <c r="B136" t="s">
        <v>129</v>
      </c>
      <c r="C136">
        <v>4326</v>
      </c>
      <c r="D136">
        <v>-37.823599999999999</v>
      </c>
      <c r="E136">
        <v>144.8484</v>
      </c>
      <c r="F136">
        <v>4</v>
      </c>
      <c r="G136" t="s">
        <v>130</v>
      </c>
      <c r="H136">
        <v>8</v>
      </c>
      <c r="I136">
        <v>188</v>
      </c>
      <c r="J136">
        <v>98</v>
      </c>
      <c r="K136">
        <v>278</v>
      </c>
      <c r="L136">
        <v>165</v>
      </c>
      <c r="M136">
        <v>345</v>
      </c>
      <c r="N136">
        <v>278</v>
      </c>
      <c r="O136">
        <v>98</v>
      </c>
      <c r="T136">
        <v>0</v>
      </c>
      <c r="U136">
        <v>49</v>
      </c>
      <c r="V136">
        <v>22</v>
      </c>
      <c r="Y136">
        <v>0</v>
      </c>
      <c r="Z136">
        <v>0</v>
      </c>
      <c r="AA136">
        <v>1</v>
      </c>
      <c r="AD136">
        <v>25</v>
      </c>
      <c r="AE136">
        <v>3</v>
      </c>
      <c r="AF136">
        <v>22</v>
      </c>
      <c r="AI136">
        <v>15</v>
      </c>
      <c r="AJ136">
        <v>20</v>
      </c>
      <c r="AK136">
        <v>54</v>
      </c>
      <c r="AX136">
        <v>71</v>
      </c>
      <c r="AY136">
        <v>40</v>
      </c>
      <c r="AZ136">
        <v>111</v>
      </c>
      <c r="BA136">
        <v>1</v>
      </c>
      <c r="BB136">
        <v>23</v>
      </c>
      <c r="BC136">
        <v>24</v>
      </c>
      <c r="BD136">
        <v>50</v>
      </c>
      <c r="BE136">
        <v>103</v>
      </c>
      <c r="BF136">
        <v>153</v>
      </c>
      <c r="BG136">
        <v>89</v>
      </c>
      <c r="BH136">
        <v>45</v>
      </c>
      <c r="BI136">
        <v>134</v>
      </c>
      <c r="BP136">
        <v>118</v>
      </c>
      <c r="BR136">
        <v>63</v>
      </c>
      <c r="BS136">
        <v>9</v>
      </c>
      <c r="BT136">
        <v>13</v>
      </c>
      <c r="BV136">
        <v>8</v>
      </c>
      <c r="BW136">
        <v>211</v>
      </c>
      <c r="BX136">
        <f t="shared" si="9"/>
        <v>93</v>
      </c>
      <c r="BY136" s="5">
        <f t="shared" si="8"/>
        <v>1.2688172043010753</v>
      </c>
      <c r="BZ136" s="6">
        <f t="shared" si="12"/>
        <v>1.2688172043010753</v>
      </c>
      <c r="CA136" s="7">
        <v>44143</v>
      </c>
      <c r="CE136">
        <v>65</v>
      </c>
      <c r="CF136">
        <v>46</v>
      </c>
      <c r="CG136">
        <v>48</v>
      </c>
      <c r="CH136">
        <v>52</v>
      </c>
      <c r="CI136">
        <f t="shared" si="10"/>
        <v>2020</v>
      </c>
      <c r="CJ136" t="str">
        <f t="shared" si="11"/>
        <v>4326_2020</v>
      </c>
    </row>
    <row r="137" spans="1:88" x14ac:dyDescent="0.25">
      <c r="A137" t="s">
        <v>111</v>
      </c>
      <c r="B137" t="s">
        <v>129</v>
      </c>
      <c r="C137">
        <v>4346</v>
      </c>
      <c r="D137">
        <v>-37.874600000000001</v>
      </c>
      <c r="E137">
        <v>144.7585</v>
      </c>
      <c r="F137">
        <v>4</v>
      </c>
      <c r="G137" t="s">
        <v>131</v>
      </c>
      <c r="H137">
        <v>27</v>
      </c>
      <c r="I137">
        <v>207</v>
      </c>
      <c r="J137">
        <v>84</v>
      </c>
      <c r="K137">
        <v>264</v>
      </c>
      <c r="L137">
        <v>207</v>
      </c>
      <c r="M137">
        <v>27</v>
      </c>
      <c r="N137">
        <v>274</v>
      </c>
      <c r="O137">
        <v>94</v>
      </c>
      <c r="T137">
        <v>11</v>
      </c>
      <c r="U137">
        <v>17</v>
      </c>
      <c r="V137">
        <v>4</v>
      </c>
      <c r="Y137">
        <v>0</v>
      </c>
      <c r="Z137">
        <v>12</v>
      </c>
      <c r="AA137">
        <v>60</v>
      </c>
      <c r="AD137">
        <v>51</v>
      </c>
      <c r="AE137">
        <v>13</v>
      </c>
      <c r="AF137">
        <v>11</v>
      </c>
      <c r="AI137">
        <v>3</v>
      </c>
      <c r="AJ137">
        <v>44</v>
      </c>
      <c r="AK137">
        <v>13</v>
      </c>
      <c r="AX137">
        <v>32</v>
      </c>
      <c r="AY137">
        <v>54</v>
      </c>
      <c r="AZ137">
        <v>86</v>
      </c>
      <c r="BA137">
        <v>72</v>
      </c>
      <c r="BB137">
        <v>68</v>
      </c>
      <c r="BC137">
        <v>140</v>
      </c>
      <c r="BD137">
        <v>75</v>
      </c>
      <c r="BE137">
        <v>42</v>
      </c>
      <c r="BF137">
        <v>117</v>
      </c>
      <c r="BG137">
        <v>60</v>
      </c>
      <c r="BH137">
        <v>75</v>
      </c>
      <c r="BI137">
        <v>135</v>
      </c>
      <c r="BP137">
        <v>125</v>
      </c>
      <c r="BR137">
        <v>75</v>
      </c>
      <c r="BS137">
        <v>10</v>
      </c>
      <c r="BT137">
        <v>23</v>
      </c>
      <c r="BV137">
        <v>6</v>
      </c>
      <c r="BW137">
        <v>239</v>
      </c>
      <c r="BX137" t="s">
        <v>82</v>
      </c>
      <c r="BY137" s="5"/>
      <c r="BZ137" s="6"/>
      <c r="CA137" s="7">
        <v>41952</v>
      </c>
      <c r="CI137">
        <f t="shared" si="10"/>
        <v>2014</v>
      </c>
      <c r="CJ137" t="str">
        <f t="shared" si="11"/>
        <v>4346_2014</v>
      </c>
    </row>
    <row r="138" spans="1:88" x14ac:dyDescent="0.25">
      <c r="A138" t="s">
        <v>111</v>
      </c>
      <c r="B138" t="s">
        <v>129</v>
      </c>
      <c r="C138">
        <v>4346</v>
      </c>
      <c r="D138">
        <v>-37.874600000000001</v>
      </c>
      <c r="E138">
        <v>144.7585</v>
      </c>
      <c r="F138">
        <v>4</v>
      </c>
      <c r="G138" t="s">
        <v>131</v>
      </c>
      <c r="H138">
        <v>27</v>
      </c>
      <c r="I138">
        <v>207</v>
      </c>
      <c r="J138">
        <v>84</v>
      </c>
      <c r="K138">
        <v>264</v>
      </c>
      <c r="L138">
        <v>207</v>
      </c>
      <c r="M138">
        <v>27</v>
      </c>
      <c r="N138">
        <v>274</v>
      </c>
      <c r="O138">
        <v>94</v>
      </c>
      <c r="T138">
        <v>6</v>
      </c>
      <c r="U138">
        <v>50</v>
      </c>
      <c r="V138">
        <v>18</v>
      </c>
      <c r="Y138">
        <v>18</v>
      </c>
      <c r="Z138">
        <v>23</v>
      </c>
      <c r="AA138">
        <v>66</v>
      </c>
      <c r="AD138">
        <v>51</v>
      </c>
      <c r="AE138">
        <v>19</v>
      </c>
      <c r="AF138">
        <v>22</v>
      </c>
      <c r="AI138">
        <v>18</v>
      </c>
      <c r="AJ138">
        <v>55</v>
      </c>
      <c r="AK138">
        <v>21</v>
      </c>
      <c r="AX138">
        <v>74</v>
      </c>
      <c r="AY138">
        <v>87</v>
      </c>
      <c r="AZ138">
        <v>161</v>
      </c>
      <c r="BA138">
        <v>107</v>
      </c>
      <c r="BB138">
        <v>80</v>
      </c>
      <c r="BC138">
        <v>187</v>
      </c>
      <c r="BD138">
        <v>92</v>
      </c>
      <c r="BE138">
        <v>94</v>
      </c>
      <c r="BF138">
        <v>186</v>
      </c>
      <c r="BG138">
        <v>94</v>
      </c>
      <c r="BH138">
        <v>106</v>
      </c>
      <c r="BI138">
        <v>200</v>
      </c>
      <c r="BP138">
        <v>210</v>
      </c>
      <c r="BR138">
        <v>88</v>
      </c>
      <c r="BS138">
        <v>18</v>
      </c>
      <c r="BT138">
        <v>36</v>
      </c>
      <c r="BV138">
        <v>15</v>
      </c>
      <c r="BW138">
        <v>367</v>
      </c>
      <c r="BX138">
        <f t="shared" ref="BX138:BX144" si="13">IF(C138=C137,IF((CI138-1)=CI137,BW137,"no data"))</f>
        <v>239</v>
      </c>
      <c r="BY138" s="5">
        <f t="shared" si="8"/>
        <v>0.53556485355648531</v>
      </c>
      <c r="BZ138" s="6">
        <f t="shared" si="12"/>
        <v>0.53556485355648531</v>
      </c>
      <c r="CA138" s="7">
        <v>42316</v>
      </c>
      <c r="CE138">
        <v>116</v>
      </c>
      <c r="CF138">
        <v>106</v>
      </c>
      <c r="CG138">
        <v>85</v>
      </c>
      <c r="CH138">
        <v>60</v>
      </c>
      <c r="CI138">
        <f t="shared" si="10"/>
        <v>2015</v>
      </c>
      <c r="CJ138" t="str">
        <f t="shared" si="11"/>
        <v>4346_2015</v>
      </c>
    </row>
    <row r="139" spans="1:88" x14ac:dyDescent="0.25">
      <c r="A139" t="s">
        <v>111</v>
      </c>
      <c r="B139" t="s">
        <v>129</v>
      </c>
      <c r="C139">
        <v>4346</v>
      </c>
      <c r="D139">
        <v>-37.87462</v>
      </c>
      <c r="E139">
        <v>144.75850700000001</v>
      </c>
      <c r="F139">
        <v>4</v>
      </c>
      <c r="G139" t="s">
        <v>131</v>
      </c>
      <c r="H139">
        <v>27</v>
      </c>
      <c r="I139">
        <v>207</v>
      </c>
      <c r="J139">
        <v>84</v>
      </c>
      <c r="K139">
        <v>264</v>
      </c>
      <c r="L139">
        <v>207</v>
      </c>
      <c r="M139">
        <v>27</v>
      </c>
      <c r="N139">
        <v>274</v>
      </c>
      <c r="O139">
        <v>94</v>
      </c>
      <c r="T139">
        <v>2</v>
      </c>
      <c r="U139">
        <v>6</v>
      </c>
      <c r="V139">
        <v>3</v>
      </c>
      <c r="Y139">
        <v>13</v>
      </c>
      <c r="Z139">
        <v>4</v>
      </c>
      <c r="AA139">
        <v>9</v>
      </c>
      <c r="AD139">
        <v>7</v>
      </c>
      <c r="AE139">
        <v>5</v>
      </c>
      <c r="AF139">
        <v>1</v>
      </c>
      <c r="AI139">
        <v>4</v>
      </c>
      <c r="AJ139">
        <v>11</v>
      </c>
      <c r="AK139">
        <v>4</v>
      </c>
      <c r="AX139">
        <v>11</v>
      </c>
      <c r="AY139">
        <v>24</v>
      </c>
      <c r="AZ139">
        <v>35</v>
      </c>
      <c r="BA139">
        <v>26</v>
      </c>
      <c r="BB139">
        <v>18</v>
      </c>
      <c r="BC139">
        <v>44</v>
      </c>
      <c r="BD139">
        <v>13</v>
      </c>
      <c r="BE139">
        <v>14</v>
      </c>
      <c r="BF139">
        <v>27</v>
      </c>
      <c r="BG139">
        <v>19</v>
      </c>
      <c r="BH139">
        <v>13</v>
      </c>
      <c r="BI139">
        <v>32</v>
      </c>
      <c r="BP139">
        <v>32</v>
      </c>
      <c r="BR139">
        <v>22</v>
      </c>
      <c r="BS139">
        <v>9</v>
      </c>
      <c r="BT139">
        <v>6</v>
      </c>
      <c r="BV139">
        <v>0</v>
      </c>
      <c r="BW139">
        <v>69</v>
      </c>
      <c r="BX139">
        <f t="shared" si="13"/>
        <v>367</v>
      </c>
      <c r="BY139" s="5">
        <f t="shared" si="8"/>
        <v>-0.81198910081743869</v>
      </c>
      <c r="BZ139" s="6">
        <f t="shared" si="12"/>
        <v>-0.81198910081743869</v>
      </c>
      <c r="CA139" s="7">
        <v>42687</v>
      </c>
      <c r="CE139">
        <v>17</v>
      </c>
      <c r="CF139">
        <v>26</v>
      </c>
      <c r="CG139">
        <v>9</v>
      </c>
      <c r="CH139">
        <v>17</v>
      </c>
      <c r="CI139">
        <f t="shared" si="10"/>
        <v>2016</v>
      </c>
      <c r="CJ139" t="str">
        <f t="shared" si="11"/>
        <v>4346_2016</v>
      </c>
    </row>
    <row r="140" spans="1:88" x14ac:dyDescent="0.25">
      <c r="A140" t="s">
        <v>111</v>
      </c>
      <c r="B140" t="s">
        <v>129</v>
      </c>
      <c r="C140">
        <v>4346</v>
      </c>
      <c r="D140">
        <v>-37.87462</v>
      </c>
      <c r="E140">
        <v>144.75850700000001</v>
      </c>
      <c r="F140">
        <v>4</v>
      </c>
      <c r="G140" t="s">
        <v>131</v>
      </c>
      <c r="H140">
        <v>27</v>
      </c>
      <c r="I140">
        <v>207</v>
      </c>
      <c r="J140">
        <v>84</v>
      </c>
      <c r="K140">
        <v>264</v>
      </c>
      <c r="L140">
        <v>207</v>
      </c>
      <c r="M140">
        <v>27</v>
      </c>
      <c r="N140">
        <v>274</v>
      </c>
      <c r="O140">
        <v>94</v>
      </c>
      <c r="T140">
        <v>7</v>
      </c>
      <c r="U140">
        <v>18</v>
      </c>
      <c r="V140">
        <v>7</v>
      </c>
      <c r="Y140">
        <v>8</v>
      </c>
      <c r="Z140">
        <v>14</v>
      </c>
      <c r="AA140">
        <v>49</v>
      </c>
      <c r="AD140">
        <v>14</v>
      </c>
      <c r="AE140">
        <v>7</v>
      </c>
      <c r="AF140">
        <v>6</v>
      </c>
      <c r="AI140">
        <v>4</v>
      </c>
      <c r="AJ140">
        <v>54</v>
      </c>
      <c r="AK140">
        <v>7</v>
      </c>
      <c r="AX140">
        <v>32</v>
      </c>
      <c r="AY140">
        <v>26</v>
      </c>
      <c r="AZ140">
        <v>58</v>
      </c>
      <c r="BA140">
        <v>71</v>
      </c>
      <c r="BB140">
        <v>68</v>
      </c>
      <c r="BC140">
        <v>139</v>
      </c>
      <c r="BD140">
        <v>27</v>
      </c>
      <c r="BE140">
        <v>39</v>
      </c>
      <c r="BF140">
        <v>66</v>
      </c>
      <c r="BG140">
        <v>65</v>
      </c>
      <c r="BH140">
        <v>62</v>
      </c>
      <c r="BI140">
        <v>127</v>
      </c>
      <c r="BP140">
        <v>98</v>
      </c>
      <c r="BR140">
        <v>52</v>
      </c>
      <c r="BS140">
        <v>8</v>
      </c>
      <c r="BT140">
        <v>24</v>
      </c>
      <c r="BV140">
        <v>13</v>
      </c>
      <c r="BW140">
        <v>195</v>
      </c>
      <c r="BX140">
        <f t="shared" si="13"/>
        <v>69</v>
      </c>
      <c r="BY140" s="5">
        <f t="shared" si="8"/>
        <v>1.826086956521739</v>
      </c>
      <c r="BZ140" s="6">
        <f t="shared" si="12"/>
        <v>1.826086956521739</v>
      </c>
      <c r="CA140" s="7">
        <v>43051</v>
      </c>
      <c r="CE140">
        <v>55</v>
      </c>
      <c r="CF140">
        <v>69</v>
      </c>
      <c r="CG140">
        <v>38</v>
      </c>
      <c r="CH140">
        <v>33</v>
      </c>
      <c r="CI140">
        <f t="shared" si="10"/>
        <v>2017</v>
      </c>
      <c r="CJ140" t="str">
        <f t="shared" si="11"/>
        <v>4346_2017</v>
      </c>
    </row>
    <row r="141" spans="1:88" x14ac:dyDescent="0.25">
      <c r="A141" t="s">
        <v>111</v>
      </c>
      <c r="B141" t="s">
        <v>129</v>
      </c>
      <c r="C141">
        <v>4346</v>
      </c>
      <c r="D141">
        <v>-37.87462</v>
      </c>
      <c r="E141">
        <v>144.75850700000001</v>
      </c>
      <c r="F141">
        <v>4</v>
      </c>
      <c r="G141" t="s">
        <v>131</v>
      </c>
      <c r="H141">
        <v>27</v>
      </c>
      <c r="I141">
        <v>207</v>
      </c>
      <c r="J141">
        <v>84</v>
      </c>
      <c r="K141">
        <v>264</v>
      </c>
      <c r="L141">
        <v>207</v>
      </c>
      <c r="M141">
        <v>27</v>
      </c>
      <c r="N141">
        <v>274</v>
      </c>
      <c r="O141">
        <v>94</v>
      </c>
      <c r="T141">
        <v>32</v>
      </c>
      <c r="U141">
        <v>36</v>
      </c>
      <c r="V141">
        <v>14</v>
      </c>
      <c r="Y141">
        <v>33</v>
      </c>
      <c r="Z141">
        <v>10</v>
      </c>
      <c r="AA141">
        <v>74</v>
      </c>
      <c r="AD141">
        <v>21</v>
      </c>
      <c r="AE141">
        <v>12</v>
      </c>
      <c r="AF141">
        <v>11</v>
      </c>
      <c r="AI141">
        <v>12</v>
      </c>
      <c r="AJ141">
        <v>56</v>
      </c>
      <c r="AK141">
        <v>27</v>
      </c>
      <c r="AX141">
        <v>82</v>
      </c>
      <c r="AY141">
        <v>66</v>
      </c>
      <c r="AZ141">
        <v>148</v>
      </c>
      <c r="BA141">
        <v>117</v>
      </c>
      <c r="BB141">
        <v>100</v>
      </c>
      <c r="BC141">
        <v>217</v>
      </c>
      <c r="BD141">
        <v>44</v>
      </c>
      <c r="BE141">
        <v>73</v>
      </c>
      <c r="BF141">
        <v>117</v>
      </c>
      <c r="BG141">
        <v>95</v>
      </c>
      <c r="BH141">
        <v>99</v>
      </c>
      <c r="BI141">
        <v>194</v>
      </c>
      <c r="BP141">
        <v>166</v>
      </c>
      <c r="BR141">
        <v>111</v>
      </c>
      <c r="BS141">
        <v>18</v>
      </c>
      <c r="BT141">
        <v>41</v>
      </c>
      <c r="BV141">
        <v>2</v>
      </c>
      <c r="BW141">
        <v>338</v>
      </c>
      <c r="BX141">
        <f t="shared" si="13"/>
        <v>195</v>
      </c>
      <c r="BY141" s="5">
        <f t="shared" si="8"/>
        <v>0.73333333333333328</v>
      </c>
      <c r="BZ141" s="6">
        <f t="shared" si="12"/>
        <v>0.73333333333333328</v>
      </c>
      <c r="CA141" s="7">
        <v>43415</v>
      </c>
      <c r="CE141">
        <v>101</v>
      </c>
      <c r="CF141">
        <v>116</v>
      </c>
      <c r="CG141">
        <v>39</v>
      </c>
      <c r="CH141">
        <v>82</v>
      </c>
      <c r="CI141">
        <f t="shared" si="10"/>
        <v>2018</v>
      </c>
      <c r="CJ141" t="str">
        <f t="shared" si="11"/>
        <v>4346_2018</v>
      </c>
    </row>
    <row r="142" spans="1:88" x14ac:dyDescent="0.25">
      <c r="A142" t="s">
        <v>111</v>
      </c>
      <c r="B142" t="s">
        <v>129</v>
      </c>
      <c r="C142">
        <v>4346</v>
      </c>
      <c r="D142">
        <v>-37.874600000000001</v>
      </c>
      <c r="E142">
        <v>144.7585</v>
      </c>
      <c r="F142">
        <v>4</v>
      </c>
      <c r="G142" t="s">
        <v>131</v>
      </c>
      <c r="H142">
        <v>27</v>
      </c>
      <c r="I142">
        <v>207</v>
      </c>
      <c r="J142">
        <v>84</v>
      </c>
      <c r="K142">
        <v>264</v>
      </c>
      <c r="L142">
        <v>207</v>
      </c>
      <c r="M142">
        <v>27</v>
      </c>
      <c r="N142">
        <v>274</v>
      </c>
      <c r="O142">
        <v>94</v>
      </c>
      <c r="T142">
        <v>29</v>
      </c>
      <c r="U142">
        <v>30</v>
      </c>
      <c r="V142">
        <v>10</v>
      </c>
      <c r="Y142">
        <v>17</v>
      </c>
      <c r="Z142">
        <v>14</v>
      </c>
      <c r="AA142">
        <v>23</v>
      </c>
      <c r="AD142">
        <v>25</v>
      </c>
      <c r="AE142">
        <v>7</v>
      </c>
      <c r="AF142">
        <v>9</v>
      </c>
      <c r="AI142">
        <v>19</v>
      </c>
      <c r="AJ142">
        <v>28</v>
      </c>
      <c r="AK142">
        <v>11</v>
      </c>
      <c r="AX142">
        <v>69</v>
      </c>
      <c r="AY142">
        <v>61</v>
      </c>
      <c r="AZ142">
        <v>130</v>
      </c>
      <c r="BA142">
        <v>54</v>
      </c>
      <c r="BB142">
        <v>64</v>
      </c>
      <c r="BC142">
        <v>118</v>
      </c>
      <c r="BD142">
        <v>41</v>
      </c>
      <c r="BE142">
        <v>55</v>
      </c>
      <c r="BF142">
        <v>96</v>
      </c>
      <c r="BG142">
        <v>58</v>
      </c>
      <c r="BH142">
        <v>42</v>
      </c>
      <c r="BI142">
        <v>100</v>
      </c>
      <c r="BP142">
        <v>75</v>
      </c>
      <c r="BR142">
        <v>99</v>
      </c>
      <c r="BS142">
        <v>18</v>
      </c>
      <c r="BT142">
        <v>26</v>
      </c>
      <c r="BV142">
        <v>4</v>
      </c>
      <c r="BW142">
        <v>222</v>
      </c>
      <c r="BX142">
        <f t="shared" si="13"/>
        <v>338</v>
      </c>
      <c r="BY142" s="5">
        <f t="shared" si="8"/>
        <v>-0.34319526627218933</v>
      </c>
      <c r="BZ142" s="6">
        <f t="shared" si="12"/>
        <v>-0.34319526627218933</v>
      </c>
      <c r="CA142" s="7">
        <v>43779</v>
      </c>
      <c r="CE142">
        <v>57</v>
      </c>
      <c r="CF142">
        <v>53</v>
      </c>
      <c r="CG142">
        <v>46</v>
      </c>
      <c r="CH142">
        <v>66</v>
      </c>
      <c r="CI142">
        <f t="shared" si="10"/>
        <v>2019</v>
      </c>
      <c r="CJ142" t="str">
        <f t="shared" si="11"/>
        <v>4346_2019</v>
      </c>
    </row>
    <row r="143" spans="1:88" x14ac:dyDescent="0.25">
      <c r="A143" t="s">
        <v>111</v>
      </c>
      <c r="B143" t="s">
        <v>129</v>
      </c>
      <c r="C143">
        <v>4346</v>
      </c>
      <c r="D143">
        <v>-37.874600000000001</v>
      </c>
      <c r="E143">
        <v>144.7585</v>
      </c>
      <c r="F143">
        <v>4</v>
      </c>
      <c r="G143" t="s">
        <v>131</v>
      </c>
      <c r="H143">
        <v>27</v>
      </c>
      <c r="I143">
        <v>207</v>
      </c>
      <c r="J143">
        <v>84</v>
      </c>
      <c r="K143">
        <v>264</v>
      </c>
      <c r="L143">
        <v>207</v>
      </c>
      <c r="M143">
        <v>27</v>
      </c>
      <c r="N143">
        <v>274</v>
      </c>
      <c r="O143">
        <v>94</v>
      </c>
      <c r="T143">
        <v>79</v>
      </c>
      <c r="U143">
        <v>100</v>
      </c>
      <c r="V143">
        <v>65</v>
      </c>
      <c r="Y143">
        <v>76</v>
      </c>
      <c r="Z143">
        <v>23</v>
      </c>
      <c r="AA143">
        <v>72</v>
      </c>
      <c r="AD143">
        <v>40</v>
      </c>
      <c r="AE143">
        <v>21</v>
      </c>
      <c r="AF143">
        <v>8</v>
      </c>
      <c r="AI143">
        <v>56</v>
      </c>
      <c r="AJ143">
        <v>87</v>
      </c>
      <c r="AK143">
        <v>26</v>
      </c>
      <c r="AX143">
        <v>244</v>
      </c>
      <c r="AY143">
        <v>172</v>
      </c>
      <c r="AZ143">
        <v>416</v>
      </c>
      <c r="BA143">
        <v>171</v>
      </c>
      <c r="BB143">
        <v>187</v>
      </c>
      <c r="BC143">
        <v>358</v>
      </c>
      <c r="BD143">
        <v>69</v>
      </c>
      <c r="BE143">
        <v>149</v>
      </c>
      <c r="BF143">
        <v>218</v>
      </c>
      <c r="BG143">
        <v>169</v>
      </c>
      <c r="BH143">
        <v>145</v>
      </c>
      <c r="BI143">
        <v>314</v>
      </c>
      <c r="BP143">
        <v>335</v>
      </c>
      <c r="BR143">
        <v>217</v>
      </c>
      <c r="BS143">
        <v>32</v>
      </c>
      <c r="BT143">
        <v>61</v>
      </c>
      <c r="BV143">
        <v>8</v>
      </c>
      <c r="BW143">
        <v>653</v>
      </c>
      <c r="BX143">
        <f t="shared" si="13"/>
        <v>222</v>
      </c>
      <c r="BY143" s="5">
        <f t="shared" si="8"/>
        <v>1.9414414414414414</v>
      </c>
      <c r="BZ143" s="6">
        <f t="shared" si="12"/>
        <v>1.9414414414414414</v>
      </c>
      <c r="CA143" s="7">
        <v>44143</v>
      </c>
      <c r="CE143">
        <v>194</v>
      </c>
      <c r="CF143">
        <v>177</v>
      </c>
      <c r="CG143">
        <v>151</v>
      </c>
      <c r="CH143">
        <v>131</v>
      </c>
      <c r="CI143">
        <f t="shared" si="10"/>
        <v>2020</v>
      </c>
      <c r="CJ143" t="str">
        <f t="shared" si="11"/>
        <v>4346_2020</v>
      </c>
    </row>
    <row r="144" spans="1:88" x14ac:dyDescent="0.25">
      <c r="A144" t="s">
        <v>111</v>
      </c>
      <c r="B144" t="s">
        <v>129</v>
      </c>
      <c r="C144">
        <v>4346</v>
      </c>
      <c r="D144">
        <v>-37.87462</v>
      </c>
      <c r="E144">
        <v>144.75850700000001</v>
      </c>
      <c r="F144">
        <v>4</v>
      </c>
      <c r="G144" t="s">
        <v>131</v>
      </c>
      <c r="H144">
        <v>27</v>
      </c>
      <c r="I144">
        <v>207</v>
      </c>
      <c r="J144">
        <v>84</v>
      </c>
      <c r="K144">
        <v>264</v>
      </c>
      <c r="L144">
        <v>207</v>
      </c>
      <c r="M144">
        <v>27</v>
      </c>
      <c r="N144">
        <v>274</v>
      </c>
      <c r="O144">
        <v>94</v>
      </c>
      <c r="T144">
        <v>4</v>
      </c>
      <c r="U144">
        <v>27</v>
      </c>
      <c r="V144">
        <v>9</v>
      </c>
      <c r="Y144">
        <v>2</v>
      </c>
      <c r="Z144">
        <v>12</v>
      </c>
      <c r="AA144">
        <v>83</v>
      </c>
      <c r="AD144">
        <v>13</v>
      </c>
      <c r="AE144">
        <v>24</v>
      </c>
      <c r="AF144">
        <v>1</v>
      </c>
      <c r="AI144">
        <v>3</v>
      </c>
      <c r="AJ144">
        <v>72</v>
      </c>
      <c r="AK144">
        <v>6</v>
      </c>
      <c r="AX144">
        <v>40</v>
      </c>
      <c r="AY144">
        <v>18</v>
      </c>
      <c r="AZ144">
        <v>58</v>
      </c>
      <c r="BA144">
        <v>97</v>
      </c>
      <c r="BB144">
        <v>100</v>
      </c>
      <c r="BC144">
        <v>197</v>
      </c>
      <c r="BD144">
        <v>38</v>
      </c>
      <c r="BE144">
        <v>45</v>
      </c>
      <c r="BF144">
        <v>83</v>
      </c>
      <c r="BG144">
        <v>81</v>
      </c>
      <c r="BH144">
        <v>93</v>
      </c>
      <c r="BI144">
        <v>174</v>
      </c>
      <c r="BP144">
        <v>159</v>
      </c>
      <c r="BR144">
        <v>54</v>
      </c>
      <c r="BS144">
        <v>22</v>
      </c>
      <c r="BT144">
        <v>18</v>
      </c>
      <c r="BV144">
        <v>3</v>
      </c>
      <c r="BW144">
        <v>256</v>
      </c>
      <c r="BX144">
        <f t="shared" si="13"/>
        <v>653</v>
      </c>
      <c r="BY144" s="5">
        <f t="shared" si="8"/>
        <v>-0.60796324655436451</v>
      </c>
      <c r="BZ144" s="6">
        <f t="shared" si="12"/>
        <v>-0.60796324655436451</v>
      </c>
      <c r="CA144" s="7">
        <v>44528</v>
      </c>
      <c r="CE144">
        <v>111</v>
      </c>
      <c r="CF144">
        <v>65</v>
      </c>
      <c r="CG144">
        <v>80</v>
      </c>
      <c r="CI144">
        <f t="shared" si="10"/>
        <v>2021</v>
      </c>
      <c r="CJ144" t="str">
        <f t="shared" si="11"/>
        <v>4346_2021</v>
      </c>
    </row>
    <row r="145" spans="1:88" x14ac:dyDescent="0.25">
      <c r="A145" t="s">
        <v>111</v>
      </c>
      <c r="B145" t="s">
        <v>129</v>
      </c>
      <c r="C145">
        <v>4347</v>
      </c>
      <c r="D145">
        <v>-37.875599999999999</v>
      </c>
      <c r="E145">
        <v>144.7971</v>
      </c>
      <c r="F145">
        <v>4</v>
      </c>
      <c r="G145" t="s">
        <v>132</v>
      </c>
      <c r="H145">
        <v>32</v>
      </c>
      <c r="I145">
        <v>212</v>
      </c>
      <c r="J145">
        <v>98</v>
      </c>
      <c r="K145">
        <v>278</v>
      </c>
      <c r="L145">
        <v>153</v>
      </c>
      <c r="M145">
        <v>333</v>
      </c>
      <c r="N145">
        <v>278</v>
      </c>
      <c r="O145">
        <v>98</v>
      </c>
      <c r="T145">
        <v>0</v>
      </c>
      <c r="U145">
        <v>6</v>
      </c>
      <c r="V145">
        <v>3</v>
      </c>
      <c r="Y145">
        <v>3</v>
      </c>
      <c r="Z145">
        <v>1</v>
      </c>
      <c r="AA145">
        <v>42</v>
      </c>
      <c r="AD145">
        <v>5</v>
      </c>
      <c r="AE145">
        <v>2</v>
      </c>
      <c r="AF145">
        <v>3</v>
      </c>
      <c r="AI145">
        <v>2</v>
      </c>
      <c r="AJ145">
        <v>74</v>
      </c>
      <c r="AK145">
        <v>1</v>
      </c>
      <c r="AX145">
        <v>9</v>
      </c>
      <c r="AY145">
        <v>10</v>
      </c>
      <c r="AZ145">
        <v>19</v>
      </c>
      <c r="BA145">
        <v>46</v>
      </c>
      <c r="BB145">
        <v>76</v>
      </c>
      <c r="BC145">
        <v>122</v>
      </c>
      <c r="BD145">
        <v>10</v>
      </c>
      <c r="BE145">
        <v>8</v>
      </c>
      <c r="BF145">
        <v>18</v>
      </c>
      <c r="BG145">
        <v>77</v>
      </c>
      <c r="BH145">
        <v>48</v>
      </c>
      <c r="BI145">
        <v>125</v>
      </c>
      <c r="BP145">
        <v>124</v>
      </c>
      <c r="BR145">
        <v>9</v>
      </c>
      <c r="BS145">
        <v>4</v>
      </c>
      <c r="BT145">
        <v>5</v>
      </c>
      <c r="BV145">
        <v>0</v>
      </c>
      <c r="BW145">
        <v>142</v>
      </c>
      <c r="BX145" t="s">
        <v>82</v>
      </c>
      <c r="BY145" s="5"/>
      <c r="BZ145" s="6"/>
      <c r="CA145" s="7">
        <v>41952</v>
      </c>
      <c r="CI145">
        <f t="shared" si="10"/>
        <v>2014</v>
      </c>
      <c r="CJ145" t="str">
        <f t="shared" si="11"/>
        <v>4347_2014</v>
      </c>
    </row>
    <row r="146" spans="1:88" x14ac:dyDescent="0.25">
      <c r="A146" t="s">
        <v>111</v>
      </c>
      <c r="B146" t="s">
        <v>129</v>
      </c>
      <c r="C146">
        <v>4347</v>
      </c>
      <c r="D146">
        <v>-37.875599999999999</v>
      </c>
      <c r="E146">
        <v>144.7971</v>
      </c>
      <c r="F146">
        <v>4</v>
      </c>
      <c r="G146" t="s">
        <v>132</v>
      </c>
      <c r="H146">
        <v>32</v>
      </c>
      <c r="I146">
        <v>212</v>
      </c>
      <c r="J146">
        <v>98</v>
      </c>
      <c r="K146">
        <v>278</v>
      </c>
      <c r="L146">
        <v>153</v>
      </c>
      <c r="M146">
        <v>333</v>
      </c>
      <c r="N146">
        <v>278</v>
      </c>
      <c r="O146">
        <v>98</v>
      </c>
      <c r="T146">
        <v>7</v>
      </c>
      <c r="U146">
        <v>11</v>
      </c>
      <c r="V146">
        <v>2</v>
      </c>
      <c r="Y146">
        <v>7</v>
      </c>
      <c r="Z146">
        <v>3</v>
      </c>
      <c r="AA146">
        <v>93</v>
      </c>
      <c r="AD146">
        <v>6</v>
      </c>
      <c r="AE146">
        <v>2</v>
      </c>
      <c r="AF146">
        <v>15</v>
      </c>
      <c r="AI146">
        <v>9</v>
      </c>
      <c r="AJ146">
        <v>83</v>
      </c>
      <c r="AK146">
        <v>10</v>
      </c>
      <c r="AX146">
        <v>20</v>
      </c>
      <c r="AY146">
        <v>22</v>
      </c>
      <c r="AZ146">
        <v>42</v>
      </c>
      <c r="BA146">
        <v>103</v>
      </c>
      <c r="BB146">
        <v>92</v>
      </c>
      <c r="BC146">
        <v>195</v>
      </c>
      <c r="BD146">
        <v>23</v>
      </c>
      <c r="BE146">
        <v>24</v>
      </c>
      <c r="BF146">
        <v>47</v>
      </c>
      <c r="BG146">
        <v>102</v>
      </c>
      <c r="BH146">
        <v>110</v>
      </c>
      <c r="BI146">
        <v>212</v>
      </c>
      <c r="BP146">
        <v>187</v>
      </c>
      <c r="BR146">
        <v>33</v>
      </c>
      <c r="BS146">
        <v>6</v>
      </c>
      <c r="BT146">
        <v>11</v>
      </c>
      <c r="BV146">
        <v>11</v>
      </c>
      <c r="BW146">
        <v>248</v>
      </c>
      <c r="BX146">
        <f t="shared" ref="BX146:BX152" si="14">IF(C146=C145,IF((CI146-1)=CI145,BW145,"no data"))</f>
        <v>142</v>
      </c>
      <c r="BY146" s="5">
        <f t="shared" ref="BY146:BY209" si="15">(BW146-BX146)/BX146</f>
        <v>0.74647887323943662</v>
      </c>
      <c r="BZ146" s="6">
        <f t="shared" si="12"/>
        <v>0.74647887323943662</v>
      </c>
      <c r="CA146" s="7">
        <v>42316</v>
      </c>
      <c r="CE146">
        <v>70</v>
      </c>
      <c r="CF146">
        <v>62</v>
      </c>
      <c r="CG146">
        <v>66</v>
      </c>
      <c r="CH146">
        <v>50</v>
      </c>
      <c r="CI146">
        <f t="shared" si="10"/>
        <v>2015</v>
      </c>
      <c r="CJ146" t="str">
        <f t="shared" si="11"/>
        <v>4347_2015</v>
      </c>
    </row>
    <row r="147" spans="1:88" x14ac:dyDescent="0.25">
      <c r="A147" t="s">
        <v>111</v>
      </c>
      <c r="B147" t="s">
        <v>129</v>
      </c>
      <c r="C147">
        <v>4347</v>
      </c>
      <c r="D147">
        <v>-37.875635000000003</v>
      </c>
      <c r="E147">
        <v>144.79709</v>
      </c>
      <c r="F147">
        <v>4</v>
      </c>
      <c r="G147" t="s">
        <v>132</v>
      </c>
      <c r="H147">
        <v>32</v>
      </c>
      <c r="I147">
        <v>212</v>
      </c>
      <c r="J147">
        <v>98</v>
      </c>
      <c r="K147">
        <v>278</v>
      </c>
      <c r="L147">
        <v>153</v>
      </c>
      <c r="M147">
        <v>333</v>
      </c>
      <c r="N147">
        <v>278</v>
      </c>
      <c r="O147">
        <v>98</v>
      </c>
      <c r="T147">
        <v>1</v>
      </c>
      <c r="U147">
        <v>2</v>
      </c>
      <c r="V147">
        <v>0</v>
      </c>
      <c r="Y147">
        <v>1</v>
      </c>
      <c r="Z147">
        <v>5</v>
      </c>
      <c r="AA147">
        <v>20</v>
      </c>
      <c r="AD147">
        <v>0</v>
      </c>
      <c r="AE147">
        <v>0</v>
      </c>
      <c r="AF147">
        <v>20</v>
      </c>
      <c r="AI147">
        <v>0</v>
      </c>
      <c r="AJ147">
        <v>19</v>
      </c>
      <c r="AK147">
        <v>3</v>
      </c>
      <c r="AX147">
        <v>3</v>
      </c>
      <c r="AY147">
        <v>1</v>
      </c>
      <c r="AZ147">
        <v>4</v>
      </c>
      <c r="BA147">
        <v>26</v>
      </c>
      <c r="BB147">
        <v>20</v>
      </c>
      <c r="BC147">
        <v>46</v>
      </c>
      <c r="BD147">
        <v>20</v>
      </c>
      <c r="BE147">
        <v>10</v>
      </c>
      <c r="BF147">
        <v>30</v>
      </c>
      <c r="BG147">
        <v>22</v>
      </c>
      <c r="BH147">
        <v>40</v>
      </c>
      <c r="BI147">
        <v>62</v>
      </c>
      <c r="BP147">
        <v>30</v>
      </c>
      <c r="BR147">
        <v>26</v>
      </c>
      <c r="BS147">
        <v>5</v>
      </c>
      <c r="BT147">
        <v>7</v>
      </c>
      <c r="BV147">
        <v>3</v>
      </c>
      <c r="BW147">
        <v>71</v>
      </c>
      <c r="BX147">
        <f t="shared" si="14"/>
        <v>248</v>
      </c>
      <c r="BY147" s="5">
        <f t="shared" si="15"/>
        <v>-0.71370967741935487</v>
      </c>
      <c r="BZ147" s="6">
        <f t="shared" si="12"/>
        <v>-0.71370967741935487</v>
      </c>
      <c r="CA147" s="7">
        <v>42687</v>
      </c>
      <c r="CE147">
        <v>20</v>
      </c>
      <c r="CF147">
        <v>26</v>
      </c>
      <c r="CG147">
        <v>11</v>
      </c>
      <c r="CH147">
        <v>14</v>
      </c>
      <c r="CI147">
        <f t="shared" si="10"/>
        <v>2016</v>
      </c>
      <c r="CJ147" t="str">
        <f t="shared" si="11"/>
        <v>4347_2016</v>
      </c>
    </row>
    <row r="148" spans="1:88" x14ac:dyDescent="0.25">
      <c r="A148" t="s">
        <v>111</v>
      </c>
      <c r="B148" t="s">
        <v>129</v>
      </c>
      <c r="C148">
        <v>4347</v>
      </c>
      <c r="D148">
        <v>-37.875635000000003</v>
      </c>
      <c r="E148">
        <v>144.79709</v>
      </c>
      <c r="F148">
        <v>4</v>
      </c>
      <c r="G148" t="s">
        <v>132</v>
      </c>
      <c r="H148">
        <v>32</v>
      </c>
      <c r="I148">
        <v>212</v>
      </c>
      <c r="J148">
        <v>98</v>
      </c>
      <c r="K148">
        <v>278</v>
      </c>
      <c r="L148">
        <v>153</v>
      </c>
      <c r="M148">
        <v>333</v>
      </c>
      <c r="N148">
        <v>278</v>
      </c>
      <c r="O148">
        <v>98</v>
      </c>
      <c r="T148">
        <v>0</v>
      </c>
      <c r="U148">
        <v>6</v>
      </c>
      <c r="V148">
        <v>0</v>
      </c>
      <c r="Y148">
        <v>9</v>
      </c>
      <c r="Z148">
        <v>1</v>
      </c>
      <c r="AA148">
        <v>22</v>
      </c>
      <c r="AD148">
        <v>4</v>
      </c>
      <c r="AE148">
        <v>0</v>
      </c>
      <c r="AF148">
        <v>9</v>
      </c>
      <c r="AI148">
        <v>3</v>
      </c>
      <c r="AJ148">
        <v>13</v>
      </c>
      <c r="AK148">
        <v>6</v>
      </c>
      <c r="AX148">
        <v>6</v>
      </c>
      <c r="AY148">
        <v>16</v>
      </c>
      <c r="AZ148">
        <v>22</v>
      </c>
      <c r="BA148">
        <v>32</v>
      </c>
      <c r="BB148">
        <v>13</v>
      </c>
      <c r="BC148">
        <v>45</v>
      </c>
      <c r="BD148">
        <v>13</v>
      </c>
      <c r="BE148">
        <v>13</v>
      </c>
      <c r="BF148">
        <v>26</v>
      </c>
      <c r="BG148">
        <v>22</v>
      </c>
      <c r="BH148">
        <v>31</v>
      </c>
      <c r="BI148">
        <v>53</v>
      </c>
      <c r="BP148">
        <v>53</v>
      </c>
      <c r="BR148">
        <v>13</v>
      </c>
      <c r="BS148">
        <v>3</v>
      </c>
      <c r="BT148">
        <v>4</v>
      </c>
      <c r="BV148">
        <v>0</v>
      </c>
      <c r="BW148">
        <v>73</v>
      </c>
      <c r="BX148">
        <f t="shared" si="14"/>
        <v>71</v>
      </c>
      <c r="BY148" s="5">
        <f t="shared" si="15"/>
        <v>2.8169014084507043E-2</v>
      </c>
      <c r="BZ148" s="6">
        <f t="shared" si="12"/>
        <v>2.8169014084507043E-2</v>
      </c>
      <c r="CA148" s="7">
        <v>43051</v>
      </c>
      <c r="CE148">
        <v>42</v>
      </c>
      <c r="CF148">
        <v>31</v>
      </c>
      <c r="CG148">
        <v>0</v>
      </c>
      <c r="CH148">
        <v>0</v>
      </c>
      <c r="CI148">
        <f t="shared" si="10"/>
        <v>2017</v>
      </c>
      <c r="CJ148" t="str">
        <f t="shared" si="11"/>
        <v>4347_2017</v>
      </c>
    </row>
    <row r="149" spans="1:88" x14ac:dyDescent="0.25">
      <c r="A149" t="s">
        <v>111</v>
      </c>
      <c r="B149" t="s">
        <v>129</v>
      </c>
      <c r="C149">
        <v>4347</v>
      </c>
      <c r="D149">
        <v>-37.875635000000003</v>
      </c>
      <c r="E149">
        <v>144.79709</v>
      </c>
      <c r="F149">
        <v>4</v>
      </c>
      <c r="G149" t="s">
        <v>132</v>
      </c>
      <c r="H149">
        <v>32</v>
      </c>
      <c r="I149">
        <v>212</v>
      </c>
      <c r="J149">
        <v>98</v>
      </c>
      <c r="K149">
        <v>278</v>
      </c>
      <c r="L149">
        <v>153</v>
      </c>
      <c r="M149">
        <v>333</v>
      </c>
      <c r="N149">
        <v>278</v>
      </c>
      <c r="O149">
        <v>98</v>
      </c>
      <c r="T149">
        <v>2</v>
      </c>
      <c r="U149">
        <v>11</v>
      </c>
      <c r="V149">
        <v>0</v>
      </c>
      <c r="Y149">
        <v>2</v>
      </c>
      <c r="Z149">
        <v>4</v>
      </c>
      <c r="AA149">
        <v>63</v>
      </c>
      <c r="AD149">
        <v>6</v>
      </c>
      <c r="AE149">
        <v>0</v>
      </c>
      <c r="AF149">
        <v>22</v>
      </c>
      <c r="AI149">
        <v>5</v>
      </c>
      <c r="AJ149">
        <v>38</v>
      </c>
      <c r="AK149">
        <v>15</v>
      </c>
      <c r="AX149">
        <v>13</v>
      </c>
      <c r="AY149">
        <v>13</v>
      </c>
      <c r="AZ149">
        <v>26</v>
      </c>
      <c r="BA149">
        <v>69</v>
      </c>
      <c r="BB149">
        <v>40</v>
      </c>
      <c r="BC149">
        <v>109</v>
      </c>
      <c r="BD149">
        <v>28</v>
      </c>
      <c r="BE149">
        <v>30</v>
      </c>
      <c r="BF149">
        <v>58</v>
      </c>
      <c r="BG149">
        <v>58</v>
      </c>
      <c r="BH149">
        <v>85</v>
      </c>
      <c r="BI149">
        <v>143</v>
      </c>
      <c r="BP149">
        <v>108</v>
      </c>
      <c r="BR149">
        <v>36</v>
      </c>
      <c r="BS149">
        <v>12</v>
      </c>
      <c r="BT149">
        <v>7</v>
      </c>
      <c r="BV149">
        <v>5</v>
      </c>
      <c r="BW149">
        <v>168</v>
      </c>
      <c r="BX149">
        <f t="shared" si="14"/>
        <v>73</v>
      </c>
      <c r="BY149" s="5">
        <f t="shared" si="15"/>
        <v>1.3013698630136987</v>
      </c>
      <c r="BZ149" s="6">
        <f t="shared" si="12"/>
        <v>1.3013698630136987</v>
      </c>
      <c r="CA149" s="7">
        <v>43415</v>
      </c>
      <c r="CE149">
        <v>72</v>
      </c>
      <c r="CF149">
        <v>34</v>
      </c>
      <c r="CG149">
        <v>33</v>
      </c>
      <c r="CH149">
        <v>29</v>
      </c>
      <c r="CI149">
        <f t="shared" si="10"/>
        <v>2018</v>
      </c>
      <c r="CJ149" t="str">
        <f t="shared" si="11"/>
        <v>4347_2018</v>
      </c>
    </row>
    <row r="150" spans="1:88" x14ac:dyDescent="0.25">
      <c r="A150" t="s">
        <v>111</v>
      </c>
      <c r="B150" t="s">
        <v>129</v>
      </c>
      <c r="C150">
        <v>4347</v>
      </c>
      <c r="D150">
        <v>-37.875599999999999</v>
      </c>
      <c r="E150">
        <v>144.7971</v>
      </c>
      <c r="F150">
        <v>4</v>
      </c>
      <c r="G150" t="s">
        <v>132</v>
      </c>
      <c r="H150">
        <v>32</v>
      </c>
      <c r="I150">
        <v>212</v>
      </c>
      <c r="J150">
        <v>98</v>
      </c>
      <c r="K150">
        <v>278</v>
      </c>
      <c r="L150">
        <v>153</v>
      </c>
      <c r="M150">
        <v>333</v>
      </c>
      <c r="N150">
        <v>278</v>
      </c>
      <c r="O150">
        <v>98</v>
      </c>
      <c r="T150">
        <v>4</v>
      </c>
      <c r="U150">
        <v>2</v>
      </c>
      <c r="V150">
        <v>15</v>
      </c>
      <c r="Y150">
        <v>15</v>
      </c>
      <c r="Z150">
        <v>0</v>
      </c>
      <c r="AA150">
        <v>50</v>
      </c>
      <c r="AD150">
        <v>0</v>
      </c>
      <c r="AE150">
        <v>0</v>
      </c>
      <c r="AF150">
        <v>0</v>
      </c>
      <c r="AI150">
        <v>2</v>
      </c>
      <c r="AJ150">
        <v>39</v>
      </c>
      <c r="AK150">
        <v>0</v>
      </c>
      <c r="AX150">
        <v>21</v>
      </c>
      <c r="AY150">
        <v>17</v>
      </c>
      <c r="AZ150">
        <v>38</v>
      </c>
      <c r="BA150">
        <v>65</v>
      </c>
      <c r="BB150">
        <v>43</v>
      </c>
      <c r="BC150">
        <v>108</v>
      </c>
      <c r="BD150">
        <v>0</v>
      </c>
      <c r="BE150">
        <v>2</v>
      </c>
      <c r="BF150">
        <v>2</v>
      </c>
      <c r="BG150">
        <v>41</v>
      </c>
      <c r="BH150">
        <v>65</v>
      </c>
      <c r="BI150">
        <v>106</v>
      </c>
      <c r="BP150">
        <v>77</v>
      </c>
      <c r="BR150">
        <v>32</v>
      </c>
      <c r="BS150">
        <v>9</v>
      </c>
      <c r="BT150">
        <v>9</v>
      </c>
      <c r="BV150">
        <v>0</v>
      </c>
      <c r="BW150">
        <v>127</v>
      </c>
      <c r="BX150">
        <f t="shared" si="14"/>
        <v>168</v>
      </c>
      <c r="BY150" s="5">
        <f t="shared" si="15"/>
        <v>-0.24404761904761904</v>
      </c>
      <c r="BZ150" s="6">
        <f t="shared" si="12"/>
        <v>-0.24404761904761904</v>
      </c>
      <c r="CA150" s="7">
        <v>43779</v>
      </c>
      <c r="CE150">
        <v>43</v>
      </c>
      <c r="CF150">
        <v>24</v>
      </c>
      <c r="CG150">
        <v>35</v>
      </c>
      <c r="CH150">
        <v>25</v>
      </c>
      <c r="CI150">
        <f t="shared" si="10"/>
        <v>2019</v>
      </c>
      <c r="CJ150" t="str">
        <f t="shared" si="11"/>
        <v>4347_2019</v>
      </c>
    </row>
    <row r="151" spans="1:88" x14ac:dyDescent="0.25">
      <c r="A151" t="s">
        <v>111</v>
      </c>
      <c r="B151" t="s">
        <v>129</v>
      </c>
      <c r="C151">
        <v>4347</v>
      </c>
      <c r="D151">
        <v>-37.875599999999999</v>
      </c>
      <c r="E151">
        <v>144.7971</v>
      </c>
      <c r="F151">
        <v>4</v>
      </c>
      <c r="G151" t="s">
        <v>132</v>
      </c>
      <c r="H151">
        <v>32</v>
      </c>
      <c r="I151">
        <v>212</v>
      </c>
      <c r="J151">
        <v>98</v>
      </c>
      <c r="K151">
        <v>278</v>
      </c>
      <c r="L151">
        <v>153</v>
      </c>
      <c r="M151">
        <v>333</v>
      </c>
      <c r="N151">
        <v>278</v>
      </c>
      <c r="O151">
        <v>98</v>
      </c>
      <c r="T151">
        <v>22</v>
      </c>
      <c r="U151">
        <v>25</v>
      </c>
      <c r="V151">
        <v>12</v>
      </c>
      <c r="Y151">
        <v>12</v>
      </c>
      <c r="Z151">
        <v>2</v>
      </c>
      <c r="AA151">
        <v>132</v>
      </c>
      <c r="AD151">
        <v>19</v>
      </c>
      <c r="AE151">
        <v>7</v>
      </c>
      <c r="AF151">
        <v>24</v>
      </c>
      <c r="AI151">
        <v>13</v>
      </c>
      <c r="AJ151">
        <v>76</v>
      </c>
      <c r="AK151">
        <v>27</v>
      </c>
      <c r="AX151">
        <v>59</v>
      </c>
      <c r="AY151">
        <v>44</v>
      </c>
      <c r="AZ151">
        <v>103</v>
      </c>
      <c r="BA151">
        <v>146</v>
      </c>
      <c r="BB151">
        <v>105</v>
      </c>
      <c r="BC151">
        <v>251</v>
      </c>
      <c r="BD151">
        <v>50</v>
      </c>
      <c r="BE151">
        <v>54</v>
      </c>
      <c r="BF151">
        <v>104</v>
      </c>
      <c r="BG151">
        <v>116</v>
      </c>
      <c r="BH151">
        <v>168</v>
      </c>
      <c r="BI151">
        <v>284</v>
      </c>
      <c r="BP151">
        <v>277</v>
      </c>
      <c r="BR151">
        <v>65</v>
      </c>
      <c r="BS151">
        <v>14</v>
      </c>
      <c r="BT151">
        <v>13</v>
      </c>
      <c r="BV151">
        <v>2</v>
      </c>
      <c r="BW151">
        <v>371</v>
      </c>
      <c r="BX151">
        <f t="shared" si="14"/>
        <v>127</v>
      </c>
      <c r="BY151" s="5">
        <f t="shared" si="15"/>
        <v>1.921259842519685</v>
      </c>
      <c r="BZ151" s="6">
        <f t="shared" si="12"/>
        <v>1.921259842519685</v>
      </c>
      <c r="CA151" s="7">
        <v>44143</v>
      </c>
      <c r="CE151">
        <v>92</v>
      </c>
      <c r="CF151">
        <v>111</v>
      </c>
      <c r="CG151">
        <v>86</v>
      </c>
      <c r="CH151">
        <v>82</v>
      </c>
      <c r="CI151">
        <f t="shared" si="10"/>
        <v>2020</v>
      </c>
      <c r="CJ151" t="str">
        <f t="shared" si="11"/>
        <v>4347_2020</v>
      </c>
    </row>
    <row r="152" spans="1:88" x14ac:dyDescent="0.25">
      <c r="A152" t="s">
        <v>111</v>
      </c>
      <c r="B152" t="s">
        <v>129</v>
      </c>
      <c r="C152">
        <v>4347</v>
      </c>
      <c r="D152">
        <v>-37.875635000000003</v>
      </c>
      <c r="E152">
        <v>144.79709</v>
      </c>
      <c r="F152">
        <v>4</v>
      </c>
      <c r="G152" t="s">
        <v>132</v>
      </c>
      <c r="H152">
        <v>32</v>
      </c>
      <c r="I152">
        <v>212</v>
      </c>
      <c r="J152">
        <v>98</v>
      </c>
      <c r="K152">
        <v>278</v>
      </c>
      <c r="L152">
        <v>153</v>
      </c>
      <c r="M152">
        <v>333</v>
      </c>
      <c r="N152">
        <v>278</v>
      </c>
      <c r="O152">
        <v>98</v>
      </c>
      <c r="T152">
        <v>0</v>
      </c>
      <c r="U152">
        <v>3</v>
      </c>
      <c r="V152">
        <v>0</v>
      </c>
      <c r="Y152">
        <v>3</v>
      </c>
      <c r="Z152">
        <v>5</v>
      </c>
      <c r="AA152">
        <v>27</v>
      </c>
      <c r="AD152">
        <v>0</v>
      </c>
      <c r="AE152">
        <v>9</v>
      </c>
      <c r="AF152">
        <v>3</v>
      </c>
      <c r="AI152">
        <v>0</v>
      </c>
      <c r="AJ152">
        <v>21</v>
      </c>
      <c r="AK152">
        <v>0</v>
      </c>
      <c r="AX152">
        <v>3</v>
      </c>
      <c r="AY152">
        <v>3</v>
      </c>
      <c r="AZ152">
        <v>6</v>
      </c>
      <c r="BA152">
        <v>35</v>
      </c>
      <c r="BB152">
        <v>30</v>
      </c>
      <c r="BC152">
        <v>65</v>
      </c>
      <c r="BD152">
        <v>12</v>
      </c>
      <c r="BE152">
        <v>8</v>
      </c>
      <c r="BF152">
        <v>20</v>
      </c>
      <c r="BG152">
        <v>21</v>
      </c>
      <c r="BH152">
        <v>30</v>
      </c>
      <c r="BI152">
        <v>51</v>
      </c>
      <c r="BP152">
        <v>62</v>
      </c>
      <c r="BR152">
        <v>9</v>
      </c>
      <c r="BS152">
        <v>0</v>
      </c>
      <c r="BT152">
        <v>0</v>
      </c>
      <c r="BV152">
        <v>0</v>
      </c>
      <c r="BW152">
        <v>71</v>
      </c>
      <c r="BX152">
        <f t="shared" si="14"/>
        <v>371</v>
      </c>
      <c r="BY152" s="5">
        <f t="shared" si="15"/>
        <v>-0.80862533692722371</v>
      </c>
      <c r="BZ152" s="6">
        <f t="shared" si="12"/>
        <v>-0.80862533692722371</v>
      </c>
      <c r="CA152" s="7">
        <v>44528</v>
      </c>
      <c r="CE152">
        <v>71</v>
      </c>
      <c r="CF152">
        <v>0</v>
      </c>
      <c r="CG152">
        <v>0</v>
      </c>
      <c r="CI152">
        <f t="shared" si="10"/>
        <v>2021</v>
      </c>
      <c r="CJ152" t="str">
        <f t="shared" si="11"/>
        <v>4347_2021</v>
      </c>
    </row>
    <row r="153" spans="1:88" x14ac:dyDescent="0.25">
      <c r="A153" t="s">
        <v>111</v>
      </c>
      <c r="B153" t="s">
        <v>133</v>
      </c>
      <c r="C153">
        <v>4350</v>
      </c>
      <c r="D153">
        <v>-37.838000000000001</v>
      </c>
      <c r="E153">
        <v>145.3015</v>
      </c>
      <c r="F153">
        <v>4</v>
      </c>
      <c r="G153" t="s">
        <v>134</v>
      </c>
      <c r="H153">
        <v>5</v>
      </c>
      <c r="I153">
        <v>185</v>
      </c>
      <c r="J153">
        <v>119</v>
      </c>
      <c r="K153">
        <v>299</v>
      </c>
      <c r="L153">
        <v>189</v>
      </c>
      <c r="M153">
        <v>9</v>
      </c>
      <c r="N153">
        <v>311</v>
      </c>
      <c r="O153">
        <v>131</v>
      </c>
      <c r="T153">
        <v>50</v>
      </c>
      <c r="U153">
        <v>16</v>
      </c>
      <c r="V153">
        <v>5</v>
      </c>
      <c r="Y153">
        <v>0</v>
      </c>
      <c r="Z153">
        <v>7</v>
      </c>
      <c r="AA153">
        <v>33</v>
      </c>
      <c r="AD153">
        <v>13</v>
      </c>
      <c r="AE153">
        <v>4</v>
      </c>
      <c r="AF153">
        <v>47</v>
      </c>
      <c r="AI153">
        <v>3</v>
      </c>
      <c r="AJ153">
        <v>36</v>
      </c>
      <c r="AK153">
        <v>57</v>
      </c>
      <c r="AX153">
        <v>71</v>
      </c>
      <c r="AY153">
        <v>16</v>
      </c>
      <c r="AZ153">
        <v>87</v>
      </c>
      <c r="BA153">
        <v>40</v>
      </c>
      <c r="BB153">
        <v>90</v>
      </c>
      <c r="BC153">
        <v>130</v>
      </c>
      <c r="BD153">
        <v>64</v>
      </c>
      <c r="BE153">
        <v>80</v>
      </c>
      <c r="BF153">
        <v>144</v>
      </c>
      <c r="BG153">
        <v>96</v>
      </c>
      <c r="BH153">
        <v>85</v>
      </c>
      <c r="BI153">
        <v>181</v>
      </c>
      <c r="BP153">
        <v>184</v>
      </c>
      <c r="BR153">
        <v>50</v>
      </c>
      <c r="BS153">
        <v>9</v>
      </c>
      <c r="BT153">
        <v>11</v>
      </c>
      <c r="BV153">
        <v>17</v>
      </c>
      <c r="BW153">
        <v>271</v>
      </c>
      <c r="BX153" t="s">
        <v>82</v>
      </c>
      <c r="BY153" s="5"/>
      <c r="BZ153" s="6"/>
      <c r="CA153" s="7">
        <v>42316</v>
      </c>
      <c r="CE153">
        <v>52</v>
      </c>
      <c r="CF153">
        <v>111</v>
      </c>
      <c r="CG153">
        <v>79</v>
      </c>
      <c r="CH153">
        <v>29</v>
      </c>
      <c r="CI153">
        <f t="shared" si="10"/>
        <v>2015</v>
      </c>
      <c r="CJ153" t="str">
        <f t="shared" si="11"/>
        <v>4350_2015</v>
      </c>
    </row>
    <row r="154" spans="1:88" x14ac:dyDescent="0.25">
      <c r="A154" t="s">
        <v>111</v>
      </c>
      <c r="B154" t="s">
        <v>135</v>
      </c>
      <c r="C154">
        <v>4457</v>
      </c>
      <c r="D154">
        <v>-37.736722</v>
      </c>
      <c r="E154">
        <v>144.92858100000001</v>
      </c>
      <c r="F154">
        <v>5</v>
      </c>
      <c r="G154" t="s">
        <v>136</v>
      </c>
      <c r="H154">
        <v>85</v>
      </c>
      <c r="I154">
        <v>265</v>
      </c>
      <c r="J154">
        <v>157</v>
      </c>
      <c r="K154">
        <v>337</v>
      </c>
      <c r="L154">
        <v>218</v>
      </c>
      <c r="M154">
        <v>38</v>
      </c>
      <c r="N154">
        <v>297</v>
      </c>
      <c r="O154">
        <v>117</v>
      </c>
      <c r="P154">
        <v>355</v>
      </c>
      <c r="Q154">
        <v>175</v>
      </c>
      <c r="T154">
        <v>11</v>
      </c>
      <c r="U154">
        <v>11</v>
      </c>
      <c r="V154">
        <v>0</v>
      </c>
      <c r="W154">
        <v>9</v>
      </c>
      <c r="Y154">
        <v>9</v>
      </c>
      <c r="Z154">
        <v>11</v>
      </c>
      <c r="AA154">
        <v>0</v>
      </c>
      <c r="AB154">
        <v>64</v>
      </c>
      <c r="AD154">
        <v>4</v>
      </c>
      <c r="AE154">
        <v>3</v>
      </c>
      <c r="AF154">
        <v>9</v>
      </c>
      <c r="AG154">
        <v>2</v>
      </c>
      <c r="AI154">
        <v>1</v>
      </c>
      <c r="AJ154">
        <v>0</v>
      </c>
      <c r="AK154">
        <v>5</v>
      </c>
      <c r="AL154">
        <v>0</v>
      </c>
      <c r="AN154">
        <v>6</v>
      </c>
      <c r="AO154">
        <v>107</v>
      </c>
      <c r="AP154">
        <v>10</v>
      </c>
      <c r="AQ154">
        <v>0</v>
      </c>
      <c r="AX154">
        <v>31</v>
      </c>
      <c r="AY154">
        <v>20</v>
      </c>
      <c r="AZ154">
        <v>51</v>
      </c>
      <c r="BA154">
        <v>84</v>
      </c>
      <c r="BB154">
        <v>121</v>
      </c>
      <c r="BC154">
        <v>205</v>
      </c>
      <c r="BD154">
        <v>18</v>
      </c>
      <c r="BE154">
        <v>37</v>
      </c>
      <c r="BF154">
        <v>55</v>
      </c>
      <c r="BG154">
        <v>6</v>
      </c>
      <c r="BH154">
        <v>9</v>
      </c>
      <c r="BI154">
        <v>15</v>
      </c>
      <c r="BJ154">
        <v>123</v>
      </c>
      <c r="BK154">
        <v>75</v>
      </c>
      <c r="BL154">
        <v>198</v>
      </c>
      <c r="BP154">
        <v>162</v>
      </c>
      <c r="BR154">
        <v>45</v>
      </c>
      <c r="BS154">
        <v>37</v>
      </c>
      <c r="BT154">
        <v>15</v>
      </c>
      <c r="BV154">
        <v>3</v>
      </c>
      <c r="BW154">
        <v>262</v>
      </c>
      <c r="BX154" t="s">
        <v>82</v>
      </c>
      <c r="BY154" s="5"/>
      <c r="BZ154" s="6"/>
      <c r="CA154" s="7">
        <v>41952</v>
      </c>
      <c r="CI154">
        <f t="shared" si="10"/>
        <v>2014</v>
      </c>
      <c r="CJ154" t="str">
        <f t="shared" si="11"/>
        <v>4457_2014</v>
      </c>
    </row>
    <row r="155" spans="1:88" x14ac:dyDescent="0.25">
      <c r="A155" t="s">
        <v>111</v>
      </c>
      <c r="B155" t="s">
        <v>135</v>
      </c>
      <c r="C155">
        <v>4457</v>
      </c>
      <c r="D155">
        <v>-37.736722</v>
      </c>
      <c r="E155">
        <v>144.92858100000001</v>
      </c>
      <c r="F155">
        <v>5</v>
      </c>
      <c r="G155" t="s">
        <v>136</v>
      </c>
      <c r="H155">
        <v>85</v>
      </c>
      <c r="I155">
        <v>265</v>
      </c>
      <c r="J155">
        <v>157</v>
      </c>
      <c r="K155">
        <v>337</v>
      </c>
      <c r="L155">
        <v>218</v>
      </c>
      <c r="M155">
        <v>38</v>
      </c>
      <c r="N155">
        <v>297</v>
      </c>
      <c r="O155">
        <v>117</v>
      </c>
      <c r="P155">
        <v>355</v>
      </c>
      <c r="Q155">
        <v>175</v>
      </c>
      <c r="T155">
        <v>17</v>
      </c>
      <c r="U155">
        <v>16</v>
      </c>
      <c r="V155">
        <v>1</v>
      </c>
      <c r="W155">
        <v>7</v>
      </c>
      <c r="Y155">
        <v>22</v>
      </c>
      <c r="Z155">
        <v>0</v>
      </c>
      <c r="AA155">
        <v>4</v>
      </c>
      <c r="AB155">
        <v>90</v>
      </c>
      <c r="AD155">
        <v>11</v>
      </c>
      <c r="AE155">
        <v>8</v>
      </c>
      <c r="AF155">
        <v>0</v>
      </c>
      <c r="AG155">
        <v>5</v>
      </c>
      <c r="AI155">
        <v>6</v>
      </c>
      <c r="AJ155">
        <v>1</v>
      </c>
      <c r="AK155">
        <v>0</v>
      </c>
      <c r="AL155">
        <v>1</v>
      </c>
      <c r="AN155">
        <v>8</v>
      </c>
      <c r="AO155">
        <v>127</v>
      </c>
      <c r="AP155">
        <v>4</v>
      </c>
      <c r="AQ155">
        <v>2</v>
      </c>
      <c r="AX155">
        <v>41</v>
      </c>
      <c r="AY155">
        <v>47</v>
      </c>
      <c r="AZ155">
        <v>88</v>
      </c>
      <c r="BA155">
        <v>116</v>
      </c>
      <c r="BB155">
        <v>153</v>
      </c>
      <c r="BC155">
        <v>269</v>
      </c>
      <c r="BD155">
        <v>24</v>
      </c>
      <c r="BE155">
        <v>20</v>
      </c>
      <c r="BF155">
        <v>44</v>
      </c>
      <c r="BG155">
        <v>8</v>
      </c>
      <c r="BH155">
        <v>7</v>
      </c>
      <c r="BI155">
        <v>15</v>
      </c>
      <c r="BJ155">
        <v>141</v>
      </c>
      <c r="BK155">
        <v>103</v>
      </c>
      <c r="BL155">
        <v>244</v>
      </c>
      <c r="BP155">
        <v>231</v>
      </c>
      <c r="BR155">
        <v>41</v>
      </c>
      <c r="BS155">
        <v>34</v>
      </c>
      <c r="BT155">
        <v>22</v>
      </c>
      <c r="BV155">
        <v>2</v>
      </c>
      <c r="BW155">
        <v>330</v>
      </c>
      <c r="BX155">
        <f t="shared" ref="BX155:BX162" si="16">IF(C155=C154,IF((CI155-1)=CI154,BW154,"no data"))</f>
        <v>262</v>
      </c>
      <c r="BY155" s="5">
        <f t="shared" si="15"/>
        <v>0.25954198473282442</v>
      </c>
      <c r="BZ155" s="6">
        <f t="shared" si="12"/>
        <v>0.25954198473282442</v>
      </c>
      <c r="CA155" s="7">
        <v>42316</v>
      </c>
      <c r="CE155">
        <v>81</v>
      </c>
      <c r="CF155">
        <v>84</v>
      </c>
      <c r="CG155">
        <v>116</v>
      </c>
      <c r="CH155">
        <v>49</v>
      </c>
      <c r="CI155">
        <f t="shared" si="10"/>
        <v>2015</v>
      </c>
      <c r="CJ155" t="str">
        <f t="shared" si="11"/>
        <v>4457_2015</v>
      </c>
    </row>
    <row r="156" spans="1:88" x14ac:dyDescent="0.25">
      <c r="A156" t="s">
        <v>111</v>
      </c>
      <c r="B156" t="s">
        <v>135</v>
      </c>
      <c r="C156">
        <v>4457</v>
      </c>
      <c r="D156">
        <v>-37.736722</v>
      </c>
      <c r="E156">
        <v>144.92858100000001</v>
      </c>
      <c r="F156">
        <v>5</v>
      </c>
      <c r="G156" t="s">
        <v>136</v>
      </c>
      <c r="H156">
        <v>85</v>
      </c>
      <c r="I156">
        <v>265</v>
      </c>
      <c r="J156">
        <v>157</v>
      </c>
      <c r="K156">
        <v>337</v>
      </c>
      <c r="L156">
        <v>218</v>
      </c>
      <c r="M156">
        <v>38</v>
      </c>
      <c r="N156">
        <v>297</v>
      </c>
      <c r="O156">
        <v>117</v>
      </c>
      <c r="P156">
        <v>355</v>
      </c>
      <c r="Q156">
        <v>175</v>
      </c>
      <c r="T156">
        <v>17</v>
      </c>
      <c r="U156">
        <v>7</v>
      </c>
      <c r="V156">
        <v>6</v>
      </c>
      <c r="W156">
        <v>1</v>
      </c>
      <c r="Y156">
        <v>10</v>
      </c>
      <c r="Z156">
        <v>1</v>
      </c>
      <c r="AA156">
        <v>9</v>
      </c>
      <c r="AB156">
        <v>14</v>
      </c>
      <c r="AD156">
        <v>3</v>
      </c>
      <c r="AE156">
        <v>0</v>
      </c>
      <c r="AF156">
        <v>0</v>
      </c>
      <c r="AG156">
        <v>0</v>
      </c>
      <c r="AI156">
        <v>4</v>
      </c>
      <c r="AJ156">
        <v>4</v>
      </c>
      <c r="AK156">
        <v>1</v>
      </c>
      <c r="AL156">
        <v>0</v>
      </c>
      <c r="AN156">
        <v>3</v>
      </c>
      <c r="AO156">
        <v>21</v>
      </c>
      <c r="AP156">
        <v>1</v>
      </c>
      <c r="AQ156">
        <v>0</v>
      </c>
      <c r="AX156">
        <v>31</v>
      </c>
      <c r="AY156">
        <v>20</v>
      </c>
      <c r="AZ156">
        <v>51</v>
      </c>
      <c r="BA156">
        <v>34</v>
      </c>
      <c r="BB156">
        <v>42</v>
      </c>
      <c r="BC156">
        <v>76</v>
      </c>
      <c r="BD156">
        <v>3</v>
      </c>
      <c r="BE156">
        <v>10</v>
      </c>
      <c r="BF156">
        <v>13</v>
      </c>
      <c r="BG156">
        <v>9</v>
      </c>
      <c r="BH156">
        <v>15</v>
      </c>
      <c r="BI156">
        <v>24</v>
      </c>
      <c r="BJ156">
        <v>25</v>
      </c>
      <c r="BK156">
        <v>15</v>
      </c>
      <c r="BL156">
        <v>40</v>
      </c>
      <c r="BP156">
        <v>38</v>
      </c>
      <c r="BR156">
        <v>34</v>
      </c>
      <c r="BS156">
        <v>15</v>
      </c>
      <c r="BT156">
        <v>12</v>
      </c>
      <c r="BV156">
        <v>3</v>
      </c>
      <c r="BW156">
        <v>102</v>
      </c>
      <c r="BX156">
        <f t="shared" si="16"/>
        <v>330</v>
      </c>
      <c r="BY156" s="5">
        <f t="shared" si="15"/>
        <v>-0.69090909090909092</v>
      </c>
      <c r="BZ156" s="6">
        <f t="shared" si="12"/>
        <v>-0.69090909090909092</v>
      </c>
      <c r="CA156" s="7">
        <v>42715</v>
      </c>
      <c r="CE156">
        <v>58</v>
      </c>
      <c r="CF156">
        <v>44</v>
      </c>
      <c r="CG156">
        <v>0</v>
      </c>
      <c r="CH156">
        <v>0</v>
      </c>
      <c r="CI156">
        <f t="shared" si="10"/>
        <v>2016</v>
      </c>
      <c r="CJ156" t="str">
        <f t="shared" si="11"/>
        <v>4457_2016</v>
      </c>
    </row>
    <row r="157" spans="1:88" x14ac:dyDescent="0.25">
      <c r="A157" t="s">
        <v>111</v>
      </c>
      <c r="B157" t="s">
        <v>135</v>
      </c>
      <c r="C157">
        <v>4457</v>
      </c>
      <c r="D157">
        <v>-37.736722</v>
      </c>
      <c r="E157">
        <v>144.92858100000001</v>
      </c>
      <c r="F157">
        <v>5</v>
      </c>
      <c r="G157" t="s">
        <v>136</v>
      </c>
      <c r="H157">
        <v>85</v>
      </c>
      <c r="I157">
        <v>265</v>
      </c>
      <c r="J157">
        <v>157</v>
      </c>
      <c r="K157">
        <v>337</v>
      </c>
      <c r="L157">
        <v>218</v>
      </c>
      <c r="M157">
        <v>38</v>
      </c>
      <c r="N157">
        <v>297</v>
      </c>
      <c r="O157">
        <v>117</v>
      </c>
      <c r="P157">
        <v>355</v>
      </c>
      <c r="Q157">
        <v>175</v>
      </c>
      <c r="T157">
        <v>8</v>
      </c>
      <c r="U157">
        <v>2</v>
      </c>
      <c r="V157">
        <v>1</v>
      </c>
      <c r="W157">
        <v>6</v>
      </c>
      <c r="Y157">
        <v>11</v>
      </c>
      <c r="Z157">
        <v>1</v>
      </c>
      <c r="AA157">
        <v>13</v>
      </c>
      <c r="AB157">
        <v>65</v>
      </c>
      <c r="AD157">
        <v>1</v>
      </c>
      <c r="AE157">
        <v>1</v>
      </c>
      <c r="AF157">
        <v>0</v>
      </c>
      <c r="AG157">
        <v>0</v>
      </c>
      <c r="AI157">
        <v>0</v>
      </c>
      <c r="AJ157">
        <v>5</v>
      </c>
      <c r="AK157">
        <v>0</v>
      </c>
      <c r="AL157">
        <v>11</v>
      </c>
      <c r="AN157">
        <v>8</v>
      </c>
      <c r="AO157">
        <v>82</v>
      </c>
      <c r="AP157">
        <v>1</v>
      </c>
      <c r="AQ157">
        <v>0</v>
      </c>
      <c r="AX157">
        <v>17</v>
      </c>
      <c r="AY157">
        <v>20</v>
      </c>
      <c r="AZ157">
        <v>37</v>
      </c>
      <c r="BA157">
        <v>90</v>
      </c>
      <c r="BB157">
        <v>96</v>
      </c>
      <c r="BC157">
        <v>186</v>
      </c>
      <c r="BD157">
        <v>2</v>
      </c>
      <c r="BE157">
        <v>4</v>
      </c>
      <c r="BF157">
        <v>6</v>
      </c>
      <c r="BG157">
        <v>16</v>
      </c>
      <c r="BH157">
        <v>14</v>
      </c>
      <c r="BI157">
        <v>30</v>
      </c>
      <c r="BJ157">
        <v>91</v>
      </c>
      <c r="BK157">
        <v>82</v>
      </c>
      <c r="BL157">
        <v>173</v>
      </c>
      <c r="BP157">
        <v>146</v>
      </c>
      <c r="BR157">
        <v>30</v>
      </c>
      <c r="BS157">
        <v>26</v>
      </c>
      <c r="BT157">
        <v>9</v>
      </c>
      <c r="BV157">
        <v>5</v>
      </c>
      <c r="BW157">
        <v>216</v>
      </c>
      <c r="BX157">
        <f t="shared" si="16"/>
        <v>102</v>
      </c>
      <c r="BY157" s="5">
        <f t="shared" si="15"/>
        <v>1.1176470588235294</v>
      </c>
      <c r="BZ157" s="6">
        <f t="shared" si="12"/>
        <v>1.1176470588235294</v>
      </c>
      <c r="CA157" s="7">
        <v>43051</v>
      </c>
      <c r="CE157">
        <v>40</v>
      </c>
      <c r="CF157">
        <v>73</v>
      </c>
      <c r="CG157">
        <v>54</v>
      </c>
      <c r="CH157">
        <v>49</v>
      </c>
      <c r="CI157">
        <f t="shared" si="10"/>
        <v>2017</v>
      </c>
      <c r="CJ157" t="str">
        <f t="shared" si="11"/>
        <v>4457_2017</v>
      </c>
    </row>
    <row r="158" spans="1:88" x14ac:dyDescent="0.25">
      <c r="A158" t="s">
        <v>111</v>
      </c>
      <c r="B158" t="s">
        <v>135</v>
      </c>
      <c r="C158">
        <v>4457</v>
      </c>
      <c r="D158">
        <v>-37.736722</v>
      </c>
      <c r="E158">
        <v>144.92858100000001</v>
      </c>
      <c r="F158">
        <v>5</v>
      </c>
      <c r="G158" t="s">
        <v>136</v>
      </c>
      <c r="H158">
        <v>85</v>
      </c>
      <c r="I158">
        <v>265</v>
      </c>
      <c r="J158">
        <v>157</v>
      </c>
      <c r="K158">
        <v>337</v>
      </c>
      <c r="L158">
        <v>218</v>
      </c>
      <c r="M158">
        <v>38</v>
      </c>
      <c r="N158">
        <v>297</v>
      </c>
      <c r="O158">
        <v>117</v>
      </c>
      <c r="P158">
        <v>355</v>
      </c>
      <c r="Q158">
        <v>175</v>
      </c>
      <c r="T158">
        <v>9</v>
      </c>
      <c r="U158">
        <v>5</v>
      </c>
      <c r="V158">
        <v>7</v>
      </c>
      <c r="W158">
        <v>0</v>
      </c>
      <c r="Y158">
        <v>2</v>
      </c>
      <c r="Z158">
        <v>0</v>
      </c>
      <c r="AA158">
        <v>1</v>
      </c>
      <c r="AB158">
        <v>32</v>
      </c>
      <c r="AD158">
        <v>2</v>
      </c>
      <c r="AE158">
        <v>0</v>
      </c>
      <c r="AF158">
        <v>0</v>
      </c>
      <c r="AG158">
        <v>7</v>
      </c>
      <c r="AI158">
        <v>11</v>
      </c>
      <c r="AJ158">
        <v>4</v>
      </c>
      <c r="AK158">
        <v>1</v>
      </c>
      <c r="AL158">
        <v>0</v>
      </c>
      <c r="AN158">
        <v>0</v>
      </c>
      <c r="AO158">
        <v>29</v>
      </c>
      <c r="AP158">
        <v>0</v>
      </c>
      <c r="AQ158">
        <v>2</v>
      </c>
      <c r="AX158">
        <v>21</v>
      </c>
      <c r="AY158">
        <v>15</v>
      </c>
      <c r="AZ158">
        <v>36</v>
      </c>
      <c r="BA158">
        <v>35</v>
      </c>
      <c r="BB158">
        <v>42</v>
      </c>
      <c r="BC158">
        <v>77</v>
      </c>
      <c r="BD158">
        <v>9</v>
      </c>
      <c r="BE158">
        <v>6</v>
      </c>
      <c r="BF158">
        <v>15</v>
      </c>
      <c r="BG158">
        <v>16</v>
      </c>
      <c r="BH158">
        <v>10</v>
      </c>
      <c r="BI158">
        <v>26</v>
      </c>
      <c r="BJ158">
        <v>31</v>
      </c>
      <c r="BK158">
        <v>39</v>
      </c>
      <c r="BL158">
        <v>70</v>
      </c>
      <c r="BP158">
        <v>78</v>
      </c>
      <c r="BR158">
        <v>23</v>
      </c>
      <c r="BS158">
        <v>4</v>
      </c>
      <c r="BT158">
        <v>6</v>
      </c>
      <c r="BV158">
        <v>1</v>
      </c>
      <c r="BW158">
        <v>112</v>
      </c>
      <c r="BX158">
        <f t="shared" si="16"/>
        <v>216</v>
      </c>
      <c r="BY158" s="5">
        <f t="shared" si="15"/>
        <v>-0.48148148148148145</v>
      </c>
      <c r="BZ158" s="6">
        <f t="shared" si="12"/>
        <v>-0.48148148148148145</v>
      </c>
      <c r="CA158" s="7">
        <v>43415</v>
      </c>
      <c r="CE158">
        <v>17</v>
      </c>
      <c r="CF158">
        <v>25</v>
      </c>
      <c r="CG158">
        <v>41</v>
      </c>
      <c r="CH158">
        <v>29</v>
      </c>
      <c r="CI158">
        <f t="shared" si="10"/>
        <v>2018</v>
      </c>
      <c r="CJ158" t="str">
        <f t="shared" si="11"/>
        <v>4457_2018</v>
      </c>
    </row>
    <row r="159" spans="1:88" x14ac:dyDescent="0.25">
      <c r="A159" t="s">
        <v>111</v>
      </c>
      <c r="B159" t="s">
        <v>135</v>
      </c>
      <c r="C159">
        <v>4457</v>
      </c>
      <c r="D159">
        <v>-37.736722</v>
      </c>
      <c r="E159">
        <v>144.92858100000001</v>
      </c>
      <c r="F159">
        <v>5</v>
      </c>
      <c r="G159" t="s">
        <v>136</v>
      </c>
      <c r="H159">
        <v>85</v>
      </c>
      <c r="I159">
        <v>265</v>
      </c>
      <c r="J159">
        <v>157</v>
      </c>
      <c r="K159">
        <v>337</v>
      </c>
      <c r="L159">
        <v>218</v>
      </c>
      <c r="M159">
        <v>38</v>
      </c>
      <c r="N159">
        <v>297</v>
      </c>
      <c r="O159">
        <v>117</v>
      </c>
      <c r="P159">
        <v>355</v>
      </c>
      <c r="Q159">
        <v>175</v>
      </c>
      <c r="T159">
        <v>14</v>
      </c>
      <c r="U159">
        <v>0</v>
      </c>
      <c r="V159">
        <v>4</v>
      </c>
      <c r="W159">
        <v>5</v>
      </c>
      <c r="Y159">
        <v>7</v>
      </c>
      <c r="Z159">
        <v>3</v>
      </c>
      <c r="AA159">
        <v>0</v>
      </c>
      <c r="AB159">
        <v>66</v>
      </c>
      <c r="AD159">
        <v>5</v>
      </c>
      <c r="AE159">
        <v>2</v>
      </c>
      <c r="AF159">
        <v>0</v>
      </c>
      <c r="AG159">
        <v>2</v>
      </c>
      <c r="AI159">
        <v>0</v>
      </c>
      <c r="AJ159">
        <v>1</v>
      </c>
      <c r="AK159">
        <v>0</v>
      </c>
      <c r="AL159">
        <v>6</v>
      </c>
      <c r="AN159">
        <v>15</v>
      </c>
      <c r="AO159">
        <v>110</v>
      </c>
      <c r="AP159">
        <v>4</v>
      </c>
      <c r="AQ159">
        <v>2</v>
      </c>
      <c r="AX159">
        <v>23</v>
      </c>
      <c r="AY159">
        <v>27</v>
      </c>
      <c r="AZ159">
        <v>50</v>
      </c>
      <c r="BA159">
        <v>76</v>
      </c>
      <c r="BB159">
        <v>127</v>
      </c>
      <c r="BC159">
        <v>203</v>
      </c>
      <c r="BD159">
        <v>9</v>
      </c>
      <c r="BE159">
        <v>7</v>
      </c>
      <c r="BF159">
        <v>16</v>
      </c>
      <c r="BG159">
        <v>7</v>
      </c>
      <c r="BH159">
        <v>6</v>
      </c>
      <c r="BI159">
        <v>13</v>
      </c>
      <c r="BJ159">
        <v>131</v>
      </c>
      <c r="BK159">
        <v>79</v>
      </c>
      <c r="BL159">
        <v>210</v>
      </c>
      <c r="BP159">
        <v>148</v>
      </c>
      <c r="BR159">
        <v>45</v>
      </c>
      <c r="BS159">
        <v>32</v>
      </c>
      <c r="BT159">
        <v>19</v>
      </c>
      <c r="BV159">
        <v>2</v>
      </c>
      <c r="BW159">
        <v>246</v>
      </c>
      <c r="BX159">
        <f t="shared" si="16"/>
        <v>112</v>
      </c>
      <c r="BY159" s="5">
        <f t="shared" si="15"/>
        <v>1.1964285714285714</v>
      </c>
      <c r="BZ159" s="6">
        <f t="shared" si="12"/>
        <v>1.1964285714285714</v>
      </c>
      <c r="CA159" s="7">
        <v>43779</v>
      </c>
      <c r="CE159">
        <v>41</v>
      </c>
      <c r="CF159">
        <v>76</v>
      </c>
      <c r="CG159">
        <v>73</v>
      </c>
      <c r="CH159">
        <v>56</v>
      </c>
      <c r="CI159">
        <f t="shared" si="10"/>
        <v>2019</v>
      </c>
      <c r="CJ159" t="str">
        <f t="shared" si="11"/>
        <v>4457_2019</v>
      </c>
    </row>
    <row r="160" spans="1:88" x14ac:dyDescent="0.25">
      <c r="A160" t="s">
        <v>111</v>
      </c>
      <c r="B160" t="s">
        <v>135</v>
      </c>
      <c r="C160">
        <v>4457</v>
      </c>
      <c r="D160">
        <v>-37.736699999999999</v>
      </c>
      <c r="E160">
        <v>144.92859999999999</v>
      </c>
      <c r="F160">
        <v>5</v>
      </c>
      <c r="G160" t="s">
        <v>136</v>
      </c>
      <c r="H160">
        <v>85</v>
      </c>
      <c r="I160">
        <v>265</v>
      </c>
      <c r="J160">
        <v>157</v>
      </c>
      <c r="K160">
        <v>337</v>
      </c>
      <c r="L160">
        <v>218</v>
      </c>
      <c r="M160">
        <v>38</v>
      </c>
      <c r="N160">
        <v>297</v>
      </c>
      <c r="O160">
        <v>117</v>
      </c>
      <c r="P160">
        <v>355</v>
      </c>
      <c r="Q160">
        <v>175</v>
      </c>
      <c r="T160">
        <v>37</v>
      </c>
      <c r="U160">
        <v>0</v>
      </c>
      <c r="V160">
        <v>9</v>
      </c>
      <c r="W160">
        <v>15</v>
      </c>
      <c r="Y160">
        <v>42</v>
      </c>
      <c r="Z160">
        <v>0</v>
      </c>
      <c r="AA160">
        <v>15</v>
      </c>
      <c r="AB160">
        <v>248</v>
      </c>
      <c r="AD160">
        <v>0</v>
      </c>
      <c r="AE160">
        <v>0</v>
      </c>
      <c r="AF160">
        <v>0</v>
      </c>
      <c r="AG160">
        <v>0</v>
      </c>
      <c r="AI160">
        <v>11</v>
      </c>
      <c r="AJ160">
        <v>24</v>
      </c>
      <c r="AK160">
        <v>0</v>
      </c>
      <c r="AL160">
        <v>4</v>
      </c>
      <c r="AN160">
        <v>16</v>
      </c>
      <c r="AO160">
        <v>300</v>
      </c>
      <c r="AP160">
        <v>0</v>
      </c>
      <c r="AQ160">
        <v>6</v>
      </c>
      <c r="AX160">
        <v>61</v>
      </c>
      <c r="AY160">
        <v>69</v>
      </c>
      <c r="AZ160">
        <v>130</v>
      </c>
      <c r="BA160">
        <v>305</v>
      </c>
      <c r="BB160">
        <v>361</v>
      </c>
      <c r="BC160">
        <v>666</v>
      </c>
      <c r="BD160">
        <v>0</v>
      </c>
      <c r="BE160">
        <v>0</v>
      </c>
      <c r="BF160">
        <v>0</v>
      </c>
      <c r="BG160">
        <v>39</v>
      </c>
      <c r="BH160">
        <v>30</v>
      </c>
      <c r="BI160">
        <v>69</v>
      </c>
      <c r="BJ160">
        <v>322</v>
      </c>
      <c r="BK160">
        <v>267</v>
      </c>
      <c r="BL160">
        <v>589</v>
      </c>
      <c r="BP160">
        <v>467</v>
      </c>
      <c r="BR160">
        <v>145</v>
      </c>
      <c r="BS160">
        <v>90</v>
      </c>
      <c r="BT160">
        <v>22</v>
      </c>
      <c r="BV160">
        <v>3</v>
      </c>
      <c r="BW160">
        <v>727</v>
      </c>
      <c r="BX160">
        <f t="shared" si="16"/>
        <v>246</v>
      </c>
      <c r="BY160" s="5">
        <f t="shared" si="15"/>
        <v>1.9552845528455285</v>
      </c>
      <c r="BZ160" s="6">
        <f t="shared" si="12"/>
        <v>1.9552845528455285</v>
      </c>
      <c r="CA160" s="7">
        <v>44143</v>
      </c>
      <c r="CE160">
        <v>142</v>
      </c>
      <c r="CF160">
        <v>245</v>
      </c>
      <c r="CG160">
        <v>180</v>
      </c>
      <c r="CH160">
        <v>160</v>
      </c>
      <c r="CI160">
        <f t="shared" si="10"/>
        <v>2020</v>
      </c>
      <c r="CJ160" t="str">
        <f t="shared" si="11"/>
        <v>4457_2020</v>
      </c>
    </row>
    <row r="161" spans="1:88" x14ac:dyDescent="0.25">
      <c r="A161" t="s">
        <v>111</v>
      </c>
      <c r="B161" t="s">
        <v>135</v>
      </c>
      <c r="C161">
        <v>4457</v>
      </c>
      <c r="D161">
        <v>-37.736722</v>
      </c>
      <c r="E161">
        <v>144.92858100000001</v>
      </c>
      <c r="F161">
        <v>5</v>
      </c>
      <c r="G161" t="s">
        <v>136</v>
      </c>
      <c r="H161">
        <v>85</v>
      </c>
      <c r="I161">
        <v>265</v>
      </c>
      <c r="J161">
        <v>157</v>
      </c>
      <c r="K161">
        <v>337</v>
      </c>
      <c r="L161">
        <v>218</v>
      </c>
      <c r="M161">
        <v>38</v>
      </c>
      <c r="N161">
        <v>297</v>
      </c>
      <c r="O161">
        <v>117</v>
      </c>
      <c r="P161">
        <v>355</v>
      </c>
      <c r="Q161">
        <v>175</v>
      </c>
      <c r="T161">
        <v>13</v>
      </c>
      <c r="U161">
        <v>7</v>
      </c>
      <c r="V161">
        <v>9</v>
      </c>
      <c r="W161">
        <v>12</v>
      </c>
      <c r="Y161">
        <v>25</v>
      </c>
      <c r="Z161">
        <v>2</v>
      </c>
      <c r="AA161">
        <v>0</v>
      </c>
      <c r="AB161">
        <v>95</v>
      </c>
      <c r="AD161">
        <v>12</v>
      </c>
      <c r="AE161">
        <v>2</v>
      </c>
      <c r="AF161">
        <v>0</v>
      </c>
      <c r="AG161">
        <v>10</v>
      </c>
      <c r="AI161">
        <v>0</v>
      </c>
      <c r="AJ161">
        <v>0</v>
      </c>
      <c r="AK161">
        <v>0</v>
      </c>
      <c r="AL161">
        <v>0</v>
      </c>
      <c r="AN161">
        <v>16</v>
      </c>
      <c r="AO161">
        <v>113</v>
      </c>
      <c r="AP161">
        <v>10</v>
      </c>
      <c r="AQ161">
        <v>1</v>
      </c>
      <c r="AX161">
        <v>41</v>
      </c>
      <c r="AY161">
        <v>53</v>
      </c>
      <c r="AZ161">
        <v>94</v>
      </c>
      <c r="BA161">
        <v>122</v>
      </c>
      <c r="BB161">
        <v>128</v>
      </c>
      <c r="BC161">
        <v>250</v>
      </c>
      <c r="BD161">
        <v>24</v>
      </c>
      <c r="BE161">
        <v>19</v>
      </c>
      <c r="BF161">
        <v>43</v>
      </c>
      <c r="BG161">
        <v>0</v>
      </c>
      <c r="BH161">
        <v>10</v>
      </c>
      <c r="BI161">
        <v>10</v>
      </c>
      <c r="BJ161">
        <v>140</v>
      </c>
      <c r="BK161">
        <v>117</v>
      </c>
      <c r="BL161">
        <v>257</v>
      </c>
      <c r="BP161">
        <v>173</v>
      </c>
      <c r="BR161">
        <v>72</v>
      </c>
      <c r="BS161">
        <v>66</v>
      </c>
      <c r="BT161">
        <v>16</v>
      </c>
      <c r="BV161">
        <v>0</v>
      </c>
      <c r="BW161">
        <v>327</v>
      </c>
      <c r="BX161">
        <f t="shared" si="16"/>
        <v>727</v>
      </c>
      <c r="BY161" s="5">
        <f t="shared" si="15"/>
        <v>-0.55020632737276476</v>
      </c>
      <c r="BZ161" s="6">
        <f t="shared" si="12"/>
        <v>-0.55020632737276476</v>
      </c>
      <c r="CA161" s="7">
        <v>44528</v>
      </c>
      <c r="CE161">
        <v>121</v>
      </c>
      <c r="CF161">
        <v>117</v>
      </c>
      <c r="CG161">
        <v>89</v>
      </c>
      <c r="CI161">
        <f t="shared" si="10"/>
        <v>2021</v>
      </c>
      <c r="CJ161" t="str">
        <f t="shared" si="11"/>
        <v>4457_2021</v>
      </c>
    </row>
    <row r="162" spans="1:88" x14ac:dyDescent="0.25">
      <c r="A162" t="s">
        <v>111</v>
      </c>
      <c r="B162" t="s">
        <v>135</v>
      </c>
      <c r="C162">
        <v>4457</v>
      </c>
      <c r="D162">
        <v>-37.736722</v>
      </c>
      <c r="E162">
        <v>144.92858100000001</v>
      </c>
      <c r="F162">
        <v>5</v>
      </c>
      <c r="G162" t="s">
        <v>136</v>
      </c>
      <c r="H162">
        <v>85</v>
      </c>
      <c r="I162">
        <v>265</v>
      </c>
      <c r="J162">
        <v>157</v>
      </c>
      <c r="K162">
        <v>337</v>
      </c>
      <c r="L162">
        <v>218</v>
      </c>
      <c r="M162">
        <v>38</v>
      </c>
      <c r="N162">
        <v>297</v>
      </c>
      <c r="O162">
        <v>117</v>
      </c>
      <c r="P162">
        <v>355</v>
      </c>
      <c r="Q162">
        <v>175</v>
      </c>
      <c r="T162">
        <v>20</v>
      </c>
      <c r="U162">
        <v>4</v>
      </c>
      <c r="V162">
        <v>1</v>
      </c>
      <c r="W162">
        <v>9</v>
      </c>
      <c r="Y162">
        <v>19</v>
      </c>
      <c r="Z162">
        <v>0</v>
      </c>
      <c r="AA162">
        <v>7</v>
      </c>
      <c r="AB162">
        <v>96</v>
      </c>
      <c r="AD162">
        <v>0</v>
      </c>
      <c r="AE162">
        <v>0</v>
      </c>
      <c r="AF162">
        <v>2</v>
      </c>
      <c r="AG162">
        <v>0</v>
      </c>
      <c r="AI162">
        <v>0</v>
      </c>
      <c r="AJ162">
        <v>4</v>
      </c>
      <c r="AK162">
        <v>0</v>
      </c>
      <c r="AL162">
        <v>1</v>
      </c>
      <c r="AN162">
        <v>13</v>
      </c>
      <c r="AO162">
        <v>101</v>
      </c>
      <c r="AP162">
        <v>0</v>
      </c>
      <c r="AQ162">
        <v>5</v>
      </c>
      <c r="AX162">
        <v>34</v>
      </c>
      <c r="AY162">
        <v>32</v>
      </c>
      <c r="AZ162">
        <v>66</v>
      </c>
      <c r="BA162">
        <v>122</v>
      </c>
      <c r="BB162">
        <v>125</v>
      </c>
      <c r="BC162">
        <v>247</v>
      </c>
      <c r="BD162">
        <v>2</v>
      </c>
      <c r="BE162">
        <v>4</v>
      </c>
      <c r="BF162">
        <v>6</v>
      </c>
      <c r="BG162">
        <v>5</v>
      </c>
      <c r="BH162">
        <v>15</v>
      </c>
      <c r="BI162">
        <v>20</v>
      </c>
      <c r="BJ162">
        <v>119</v>
      </c>
      <c r="BK162">
        <v>106</v>
      </c>
      <c r="BL162">
        <v>225</v>
      </c>
      <c r="BP162">
        <v>133</v>
      </c>
      <c r="BR162">
        <v>81</v>
      </c>
      <c r="BS162">
        <v>47</v>
      </c>
      <c r="BT162">
        <v>18</v>
      </c>
      <c r="BU162">
        <v>3</v>
      </c>
      <c r="BV162">
        <v>0</v>
      </c>
      <c r="BW162">
        <v>282</v>
      </c>
      <c r="BX162">
        <f t="shared" si="16"/>
        <v>327</v>
      </c>
      <c r="BY162" s="5">
        <f t="shared" si="15"/>
        <v>-0.13761467889908258</v>
      </c>
      <c r="BZ162" s="6">
        <f t="shared" si="12"/>
        <v>-0.13761467889908258</v>
      </c>
      <c r="CA162" s="7">
        <v>44878</v>
      </c>
      <c r="CE162">
        <v>83</v>
      </c>
      <c r="CF162">
        <v>111</v>
      </c>
      <c r="CG162">
        <v>88</v>
      </c>
      <c r="CI162">
        <f t="shared" si="10"/>
        <v>2022</v>
      </c>
      <c r="CJ162" t="str">
        <f t="shared" si="11"/>
        <v>4457_2022</v>
      </c>
    </row>
    <row r="163" spans="1:88" x14ac:dyDescent="0.25">
      <c r="A163" t="s">
        <v>111</v>
      </c>
      <c r="B163" t="s">
        <v>135</v>
      </c>
      <c r="C163">
        <v>4469</v>
      </c>
      <c r="D163">
        <v>-37.778046000000003</v>
      </c>
      <c r="E163">
        <v>144.936646</v>
      </c>
      <c r="F163">
        <v>3</v>
      </c>
      <c r="G163" t="s">
        <v>137</v>
      </c>
      <c r="H163">
        <v>0</v>
      </c>
      <c r="I163">
        <v>180</v>
      </c>
      <c r="J163">
        <v>170</v>
      </c>
      <c r="K163">
        <v>350</v>
      </c>
      <c r="L163">
        <v>290</v>
      </c>
      <c r="M163">
        <v>110</v>
      </c>
      <c r="T163">
        <v>95</v>
      </c>
      <c r="U163">
        <v>15</v>
      </c>
      <c r="Y163">
        <v>70</v>
      </c>
      <c r="Z163">
        <v>12</v>
      </c>
      <c r="AD163">
        <v>6</v>
      </c>
      <c r="AE163">
        <v>39</v>
      </c>
      <c r="AX163">
        <v>110</v>
      </c>
      <c r="AY163">
        <v>76</v>
      </c>
      <c r="AZ163">
        <v>186</v>
      </c>
      <c r="BA163">
        <v>82</v>
      </c>
      <c r="BB163">
        <v>134</v>
      </c>
      <c r="BC163">
        <v>216</v>
      </c>
      <c r="BD163">
        <v>45</v>
      </c>
      <c r="BE163">
        <v>27</v>
      </c>
      <c r="BF163">
        <v>72</v>
      </c>
      <c r="BP163">
        <v>131</v>
      </c>
      <c r="BR163">
        <v>52</v>
      </c>
      <c r="BS163">
        <v>22</v>
      </c>
      <c r="BT163">
        <v>32</v>
      </c>
      <c r="BV163">
        <v>0</v>
      </c>
      <c r="BW163">
        <v>237</v>
      </c>
      <c r="BX163" t="s">
        <v>82</v>
      </c>
      <c r="BY163" s="5"/>
      <c r="BZ163" s="6"/>
      <c r="CA163" s="7">
        <v>41952</v>
      </c>
      <c r="CI163">
        <f t="shared" si="10"/>
        <v>2014</v>
      </c>
      <c r="CJ163" t="str">
        <f t="shared" si="11"/>
        <v>4469_2014</v>
      </c>
    </row>
    <row r="164" spans="1:88" x14ac:dyDescent="0.25">
      <c r="A164" t="s">
        <v>111</v>
      </c>
      <c r="B164" t="s">
        <v>135</v>
      </c>
      <c r="C164">
        <v>4469</v>
      </c>
      <c r="D164">
        <v>-37.778046000000003</v>
      </c>
      <c r="E164">
        <v>144.936646</v>
      </c>
      <c r="F164">
        <v>3</v>
      </c>
      <c r="G164" t="s">
        <v>137</v>
      </c>
      <c r="H164">
        <v>0</v>
      </c>
      <c r="I164">
        <v>180</v>
      </c>
      <c r="J164">
        <v>170</v>
      </c>
      <c r="K164">
        <v>350</v>
      </c>
      <c r="L164">
        <v>290</v>
      </c>
      <c r="M164">
        <v>110</v>
      </c>
      <c r="T164">
        <v>121</v>
      </c>
      <c r="U164">
        <v>10</v>
      </c>
      <c r="Y164">
        <v>146</v>
      </c>
      <c r="Z164">
        <v>36</v>
      </c>
      <c r="AD164">
        <v>12</v>
      </c>
      <c r="AE164">
        <v>68</v>
      </c>
      <c r="AX164">
        <v>131</v>
      </c>
      <c r="AY164">
        <v>158</v>
      </c>
      <c r="AZ164">
        <v>289</v>
      </c>
      <c r="BA164">
        <v>182</v>
      </c>
      <c r="BB164">
        <v>189</v>
      </c>
      <c r="BC164">
        <v>371</v>
      </c>
      <c r="BD164">
        <v>80</v>
      </c>
      <c r="BE164">
        <v>46</v>
      </c>
      <c r="BF164">
        <v>126</v>
      </c>
      <c r="BP164">
        <v>157</v>
      </c>
      <c r="BR164">
        <v>111</v>
      </c>
      <c r="BS164">
        <v>37</v>
      </c>
      <c r="BT164">
        <v>88</v>
      </c>
      <c r="BV164">
        <v>0</v>
      </c>
      <c r="BW164">
        <v>393</v>
      </c>
      <c r="BX164">
        <f t="shared" ref="BX164:BX171" si="17">IF(C164=C163,IF((CI164-1)=CI163,BW163,"no data"))</f>
        <v>237</v>
      </c>
      <c r="BY164" s="5">
        <f t="shared" si="15"/>
        <v>0.65822784810126578</v>
      </c>
      <c r="BZ164" s="6">
        <f t="shared" si="12"/>
        <v>0.65822784810126578</v>
      </c>
      <c r="CA164" s="7">
        <v>42316</v>
      </c>
      <c r="CE164">
        <v>119</v>
      </c>
      <c r="CF164">
        <v>118</v>
      </c>
      <c r="CG164">
        <v>93</v>
      </c>
      <c r="CH164">
        <v>63</v>
      </c>
      <c r="CI164">
        <f t="shared" si="10"/>
        <v>2015</v>
      </c>
      <c r="CJ164" t="str">
        <f t="shared" si="11"/>
        <v>4469_2015</v>
      </c>
    </row>
    <row r="165" spans="1:88" x14ac:dyDescent="0.25">
      <c r="A165" t="s">
        <v>111</v>
      </c>
      <c r="B165" t="s">
        <v>135</v>
      </c>
      <c r="C165">
        <v>4469</v>
      </c>
      <c r="D165">
        <v>-37.778046000000003</v>
      </c>
      <c r="E165">
        <v>144.936646</v>
      </c>
      <c r="F165">
        <v>3</v>
      </c>
      <c r="G165" t="s">
        <v>137</v>
      </c>
      <c r="H165">
        <v>0</v>
      </c>
      <c r="I165">
        <v>180</v>
      </c>
      <c r="J165">
        <v>170</v>
      </c>
      <c r="K165">
        <v>350</v>
      </c>
      <c r="L165">
        <v>290</v>
      </c>
      <c r="M165">
        <v>110</v>
      </c>
      <c r="T165">
        <v>19</v>
      </c>
      <c r="U165">
        <v>0</v>
      </c>
      <c r="Y165">
        <v>22</v>
      </c>
      <c r="Z165">
        <v>29</v>
      </c>
      <c r="AD165">
        <v>1</v>
      </c>
      <c r="AE165">
        <v>25</v>
      </c>
      <c r="AX165">
        <v>19</v>
      </c>
      <c r="AY165">
        <v>23</v>
      </c>
      <c r="AZ165">
        <v>42</v>
      </c>
      <c r="BA165">
        <v>51</v>
      </c>
      <c r="BB165">
        <v>44</v>
      </c>
      <c r="BC165">
        <v>95</v>
      </c>
      <c r="BD165">
        <v>26</v>
      </c>
      <c r="BE165">
        <v>29</v>
      </c>
      <c r="BF165">
        <v>55</v>
      </c>
      <c r="BP165">
        <v>20</v>
      </c>
      <c r="BR165">
        <v>40</v>
      </c>
      <c r="BS165">
        <v>11</v>
      </c>
      <c r="BT165">
        <v>25</v>
      </c>
      <c r="BV165">
        <v>0</v>
      </c>
      <c r="BW165">
        <v>96</v>
      </c>
      <c r="BX165">
        <f t="shared" si="17"/>
        <v>393</v>
      </c>
      <c r="BY165" s="5">
        <f t="shared" si="15"/>
        <v>-0.75572519083969469</v>
      </c>
      <c r="BZ165" s="6">
        <f t="shared" si="12"/>
        <v>-0.75572519083969469</v>
      </c>
      <c r="CA165" s="7">
        <v>42687</v>
      </c>
      <c r="CE165">
        <v>22</v>
      </c>
      <c r="CF165">
        <v>23</v>
      </c>
      <c r="CG165">
        <v>31</v>
      </c>
      <c r="CH165">
        <v>20</v>
      </c>
      <c r="CI165">
        <f t="shared" si="10"/>
        <v>2016</v>
      </c>
      <c r="CJ165" t="str">
        <f t="shared" si="11"/>
        <v>4469_2016</v>
      </c>
    </row>
    <row r="166" spans="1:88" x14ac:dyDescent="0.25">
      <c r="A166" t="s">
        <v>111</v>
      </c>
      <c r="B166" t="s">
        <v>135</v>
      </c>
      <c r="C166">
        <v>4469</v>
      </c>
      <c r="D166">
        <v>-37.778046000000003</v>
      </c>
      <c r="E166">
        <v>144.936646</v>
      </c>
      <c r="F166">
        <v>3</v>
      </c>
      <c r="G166" t="s">
        <v>137</v>
      </c>
      <c r="H166">
        <v>0</v>
      </c>
      <c r="I166">
        <v>180</v>
      </c>
      <c r="J166">
        <v>170</v>
      </c>
      <c r="K166">
        <v>350</v>
      </c>
      <c r="L166">
        <v>290</v>
      </c>
      <c r="M166">
        <v>110</v>
      </c>
      <c r="T166">
        <v>110</v>
      </c>
      <c r="U166">
        <v>23</v>
      </c>
      <c r="Y166">
        <v>67</v>
      </c>
      <c r="Z166">
        <v>8</v>
      </c>
      <c r="AD166">
        <v>15</v>
      </c>
      <c r="AE166">
        <v>7</v>
      </c>
      <c r="AX166">
        <v>133</v>
      </c>
      <c r="AY166">
        <v>82</v>
      </c>
      <c r="AZ166">
        <v>215</v>
      </c>
      <c r="BA166">
        <v>75</v>
      </c>
      <c r="BB166">
        <v>117</v>
      </c>
      <c r="BC166">
        <v>192</v>
      </c>
      <c r="BD166">
        <v>22</v>
      </c>
      <c r="BE166">
        <v>31</v>
      </c>
      <c r="BF166">
        <v>53</v>
      </c>
      <c r="BP166">
        <v>169</v>
      </c>
      <c r="BR166">
        <v>31</v>
      </c>
      <c r="BS166">
        <v>15</v>
      </c>
      <c r="BT166">
        <v>15</v>
      </c>
      <c r="BV166">
        <v>0</v>
      </c>
      <c r="BW166">
        <v>230</v>
      </c>
      <c r="BX166">
        <f t="shared" si="17"/>
        <v>96</v>
      </c>
      <c r="BY166" s="5">
        <f t="shared" si="15"/>
        <v>1.3958333333333333</v>
      </c>
      <c r="BZ166" s="6">
        <f t="shared" si="12"/>
        <v>1.3958333333333333</v>
      </c>
      <c r="CA166" s="7">
        <v>43051</v>
      </c>
      <c r="CE166">
        <v>54</v>
      </c>
      <c r="CF166">
        <v>68</v>
      </c>
      <c r="CG166">
        <v>47</v>
      </c>
      <c r="CH166">
        <v>61</v>
      </c>
      <c r="CI166">
        <f t="shared" si="10"/>
        <v>2017</v>
      </c>
      <c r="CJ166" t="str">
        <f t="shared" si="11"/>
        <v>4469_2017</v>
      </c>
    </row>
    <row r="167" spans="1:88" x14ac:dyDescent="0.25">
      <c r="A167" t="s">
        <v>111</v>
      </c>
      <c r="B167" t="s">
        <v>135</v>
      </c>
      <c r="C167">
        <v>4469</v>
      </c>
      <c r="D167">
        <v>-37.778046000000003</v>
      </c>
      <c r="E167">
        <v>144.936646</v>
      </c>
      <c r="F167">
        <v>3</v>
      </c>
      <c r="G167" t="s">
        <v>137</v>
      </c>
      <c r="H167">
        <v>0</v>
      </c>
      <c r="I167">
        <v>180</v>
      </c>
      <c r="J167">
        <v>170</v>
      </c>
      <c r="K167">
        <v>350</v>
      </c>
      <c r="L167">
        <v>290</v>
      </c>
      <c r="M167">
        <v>110</v>
      </c>
      <c r="T167">
        <v>186</v>
      </c>
      <c r="U167">
        <v>19</v>
      </c>
      <c r="Y167">
        <v>127</v>
      </c>
      <c r="Z167">
        <v>1</v>
      </c>
      <c r="AD167">
        <v>17</v>
      </c>
      <c r="AE167">
        <v>7</v>
      </c>
      <c r="AX167">
        <v>205</v>
      </c>
      <c r="AY167">
        <v>144</v>
      </c>
      <c r="AZ167">
        <v>349</v>
      </c>
      <c r="BA167">
        <v>128</v>
      </c>
      <c r="BB167">
        <v>193</v>
      </c>
      <c r="BC167">
        <v>321</v>
      </c>
      <c r="BD167">
        <v>24</v>
      </c>
      <c r="BE167">
        <v>20</v>
      </c>
      <c r="BF167">
        <v>44</v>
      </c>
      <c r="BP167">
        <v>239</v>
      </c>
      <c r="BR167">
        <v>50</v>
      </c>
      <c r="BS167">
        <v>45</v>
      </c>
      <c r="BT167">
        <v>21</v>
      </c>
      <c r="BV167">
        <v>2</v>
      </c>
      <c r="BW167">
        <v>357</v>
      </c>
      <c r="BX167">
        <f t="shared" si="17"/>
        <v>230</v>
      </c>
      <c r="BY167" s="5">
        <f t="shared" si="15"/>
        <v>0.55217391304347829</v>
      </c>
      <c r="BZ167" s="6">
        <f t="shared" si="12"/>
        <v>0.55217391304347829</v>
      </c>
      <c r="CA167" s="7">
        <v>43415</v>
      </c>
      <c r="CE167">
        <v>81</v>
      </c>
      <c r="CF167">
        <v>93</v>
      </c>
      <c r="CG167">
        <v>78</v>
      </c>
      <c r="CH167">
        <v>105</v>
      </c>
      <c r="CI167">
        <f t="shared" si="10"/>
        <v>2018</v>
      </c>
      <c r="CJ167" t="str">
        <f t="shared" si="11"/>
        <v>4469_2018</v>
      </c>
    </row>
    <row r="168" spans="1:88" x14ac:dyDescent="0.25">
      <c r="A168" t="s">
        <v>111</v>
      </c>
      <c r="B168" t="s">
        <v>135</v>
      </c>
      <c r="C168">
        <v>4469</v>
      </c>
      <c r="D168">
        <v>-37.778046000000003</v>
      </c>
      <c r="E168">
        <v>144.936646</v>
      </c>
      <c r="F168">
        <v>3</v>
      </c>
      <c r="G168" t="s">
        <v>137</v>
      </c>
      <c r="H168">
        <v>0</v>
      </c>
      <c r="I168">
        <v>180</v>
      </c>
      <c r="J168">
        <v>170</v>
      </c>
      <c r="K168">
        <v>350</v>
      </c>
      <c r="L168">
        <v>290</v>
      </c>
      <c r="M168">
        <v>110</v>
      </c>
      <c r="T168">
        <v>147</v>
      </c>
      <c r="U168">
        <v>34</v>
      </c>
      <c r="Y168">
        <v>123</v>
      </c>
      <c r="Z168">
        <v>6</v>
      </c>
      <c r="AD168">
        <v>23</v>
      </c>
      <c r="AE168">
        <v>4</v>
      </c>
      <c r="AX168">
        <v>181</v>
      </c>
      <c r="AY168">
        <v>146</v>
      </c>
      <c r="AZ168">
        <v>327</v>
      </c>
      <c r="BA168">
        <v>129</v>
      </c>
      <c r="BB168">
        <v>151</v>
      </c>
      <c r="BC168">
        <v>280</v>
      </c>
      <c r="BD168">
        <v>27</v>
      </c>
      <c r="BE168">
        <v>40</v>
      </c>
      <c r="BF168">
        <v>67</v>
      </c>
      <c r="BP168">
        <v>204</v>
      </c>
      <c r="BR168">
        <v>74</v>
      </c>
      <c r="BS168">
        <v>20</v>
      </c>
      <c r="BT168">
        <v>33</v>
      </c>
      <c r="BV168">
        <v>6</v>
      </c>
      <c r="BW168">
        <v>337</v>
      </c>
      <c r="BX168">
        <f t="shared" si="17"/>
        <v>357</v>
      </c>
      <c r="BY168" s="5">
        <f t="shared" si="15"/>
        <v>-5.6022408963585436E-2</v>
      </c>
      <c r="BZ168" s="6">
        <f t="shared" si="12"/>
        <v>-5.6022408963585436E-2</v>
      </c>
      <c r="CA168" s="7">
        <v>43779</v>
      </c>
      <c r="CE168">
        <v>86</v>
      </c>
      <c r="CF168">
        <v>88</v>
      </c>
      <c r="CG168">
        <v>90</v>
      </c>
      <c r="CH168">
        <v>73</v>
      </c>
      <c r="CI168">
        <f t="shared" si="10"/>
        <v>2019</v>
      </c>
      <c r="CJ168" t="str">
        <f t="shared" si="11"/>
        <v>4469_2019</v>
      </c>
    </row>
    <row r="169" spans="1:88" x14ac:dyDescent="0.25">
      <c r="A169" t="s">
        <v>111</v>
      </c>
      <c r="B169" t="s">
        <v>135</v>
      </c>
      <c r="C169">
        <v>4469</v>
      </c>
      <c r="D169">
        <v>-37.777999999999999</v>
      </c>
      <c r="E169">
        <v>144.9366</v>
      </c>
      <c r="F169">
        <v>3</v>
      </c>
      <c r="G169" t="s">
        <v>137</v>
      </c>
      <c r="H169">
        <v>0</v>
      </c>
      <c r="I169">
        <v>180</v>
      </c>
      <c r="J169">
        <v>170</v>
      </c>
      <c r="K169">
        <v>350</v>
      </c>
      <c r="L169">
        <v>290</v>
      </c>
      <c r="M169">
        <v>110</v>
      </c>
      <c r="T169">
        <v>459</v>
      </c>
      <c r="U169">
        <v>34</v>
      </c>
      <c r="Y169">
        <v>328</v>
      </c>
      <c r="Z169">
        <v>12</v>
      </c>
      <c r="AD169">
        <v>32</v>
      </c>
      <c r="AE169">
        <v>10</v>
      </c>
      <c r="AX169">
        <v>493</v>
      </c>
      <c r="AY169">
        <v>360</v>
      </c>
      <c r="AZ169">
        <v>853</v>
      </c>
      <c r="BA169">
        <v>340</v>
      </c>
      <c r="BB169">
        <v>469</v>
      </c>
      <c r="BC169">
        <v>809</v>
      </c>
      <c r="BD169">
        <v>42</v>
      </c>
      <c r="BE169">
        <v>46</v>
      </c>
      <c r="BF169">
        <v>88</v>
      </c>
      <c r="BP169">
        <v>603</v>
      </c>
      <c r="BR169">
        <v>133</v>
      </c>
      <c r="BS169">
        <v>80</v>
      </c>
      <c r="BT169">
        <v>51</v>
      </c>
      <c r="BV169">
        <v>8</v>
      </c>
      <c r="BW169">
        <v>875</v>
      </c>
      <c r="BX169">
        <f t="shared" si="17"/>
        <v>337</v>
      </c>
      <c r="BY169" s="5">
        <f t="shared" si="15"/>
        <v>1.5964391691394659</v>
      </c>
      <c r="BZ169" s="6">
        <f t="shared" si="12"/>
        <v>1.5964391691394659</v>
      </c>
      <c r="CA169" s="7">
        <v>44143</v>
      </c>
      <c r="CE169">
        <v>229</v>
      </c>
      <c r="CF169">
        <v>209</v>
      </c>
      <c r="CG169">
        <v>214</v>
      </c>
      <c r="CH169">
        <v>223</v>
      </c>
      <c r="CI169">
        <f t="shared" si="10"/>
        <v>2020</v>
      </c>
      <c r="CJ169" t="str">
        <f t="shared" si="11"/>
        <v>4469_2020</v>
      </c>
    </row>
    <row r="170" spans="1:88" x14ac:dyDescent="0.25">
      <c r="A170" t="s">
        <v>111</v>
      </c>
      <c r="B170" t="s">
        <v>135</v>
      </c>
      <c r="C170">
        <v>4469</v>
      </c>
      <c r="D170">
        <v>-37.778046000000003</v>
      </c>
      <c r="E170">
        <v>144.936646</v>
      </c>
      <c r="F170">
        <v>3</v>
      </c>
      <c r="G170" t="s">
        <v>137</v>
      </c>
      <c r="H170">
        <v>0</v>
      </c>
      <c r="I170">
        <v>180</v>
      </c>
      <c r="J170">
        <v>170</v>
      </c>
      <c r="K170">
        <v>350</v>
      </c>
      <c r="L170">
        <v>290</v>
      </c>
      <c r="M170">
        <v>110</v>
      </c>
      <c r="T170">
        <v>165</v>
      </c>
      <c r="U170">
        <v>26</v>
      </c>
      <c r="Y170">
        <v>166</v>
      </c>
      <c r="Z170">
        <v>6</v>
      </c>
      <c r="AD170">
        <v>17</v>
      </c>
      <c r="AE170">
        <v>3</v>
      </c>
      <c r="AX170">
        <v>191</v>
      </c>
      <c r="AY170">
        <v>183</v>
      </c>
      <c r="AZ170">
        <v>374</v>
      </c>
      <c r="BA170">
        <v>172</v>
      </c>
      <c r="BB170">
        <v>168</v>
      </c>
      <c r="BC170">
        <v>340</v>
      </c>
      <c r="BD170">
        <v>20</v>
      </c>
      <c r="BE170">
        <v>32</v>
      </c>
      <c r="BF170">
        <v>52</v>
      </c>
      <c r="BP170">
        <v>217</v>
      </c>
      <c r="BR170">
        <v>81</v>
      </c>
      <c r="BS170">
        <v>59</v>
      </c>
      <c r="BT170">
        <v>23</v>
      </c>
      <c r="BV170">
        <v>3</v>
      </c>
      <c r="BW170">
        <v>383</v>
      </c>
      <c r="BX170">
        <f t="shared" si="17"/>
        <v>875</v>
      </c>
      <c r="BY170" s="5">
        <f t="shared" si="15"/>
        <v>-0.56228571428571428</v>
      </c>
      <c r="BZ170" s="6">
        <f t="shared" si="12"/>
        <v>-0.56228571428571428</v>
      </c>
      <c r="CA170" s="7">
        <v>44528</v>
      </c>
      <c r="CE170">
        <v>97</v>
      </c>
      <c r="CF170">
        <v>149</v>
      </c>
      <c r="CG170">
        <v>137</v>
      </c>
      <c r="CI170">
        <f t="shared" si="10"/>
        <v>2021</v>
      </c>
      <c r="CJ170" t="str">
        <f t="shared" si="11"/>
        <v>4469_2021</v>
      </c>
    </row>
    <row r="171" spans="1:88" x14ac:dyDescent="0.25">
      <c r="A171" t="s">
        <v>111</v>
      </c>
      <c r="B171" t="s">
        <v>135</v>
      </c>
      <c r="C171">
        <v>4469</v>
      </c>
      <c r="D171">
        <v>-37.778046000000003</v>
      </c>
      <c r="E171">
        <v>144.936646</v>
      </c>
      <c r="F171">
        <v>3</v>
      </c>
      <c r="G171" t="s">
        <v>137</v>
      </c>
      <c r="H171">
        <v>0</v>
      </c>
      <c r="I171">
        <v>180</v>
      </c>
      <c r="J171">
        <v>170</v>
      </c>
      <c r="K171">
        <v>350</v>
      </c>
      <c r="L171">
        <v>290</v>
      </c>
      <c r="M171">
        <v>110</v>
      </c>
      <c r="T171">
        <v>113</v>
      </c>
      <c r="U171">
        <v>12</v>
      </c>
      <c r="Y171">
        <v>103</v>
      </c>
      <c r="Z171">
        <v>65</v>
      </c>
      <c r="AD171">
        <v>11</v>
      </c>
      <c r="AE171">
        <v>29</v>
      </c>
      <c r="AX171">
        <v>125</v>
      </c>
      <c r="AY171">
        <v>114</v>
      </c>
      <c r="AZ171">
        <v>239</v>
      </c>
      <c r="BA171">
        <v>168</v>
      </c>
      <c r="BB171">
        <v>142</v>
      </c>
      <c r="BC171">
        <v>310</v>
      </c>
      <c r="BD171">
        <v>40</v>
      </c>
      <c r="BE171">
        <v>77</v>
      </c>
      <c r="BF171">
        <v>117</v>
      </c>
      <c r="BP171">
        <v>141</v>
      </c>
      <c r="BR171">
        <v>60</v>
      </c>
      <c r="BS171">
        <v>57</v>
      </c>
      <c r="BT171">
        <v>63</v>
      </c>
      <c r="BU171">
        <v>12</v>
      </c>
      <c r="BV171">
        <v>0</v>
      </c>
      <c r="BW171">
        <v>333</v>
      </c>
      <c r="BX171">
        <f t="shared" si="17"/>
        <v>383</v>
      </c>
      <c r="BY171" s="5">
        <f t="shared" si="15"/>
        <v>-0.13054830287206268</v>
      </c>
      <c r="BZ171" s="6">
        <f t="shared" si="12"/>
        <v>-0.13054830287206268</v>
      </c>
      <c r="CA171" s="7">
        <v>44878</v>
      </c>
      <c r="CE171">
        <v>148</v>
      </c>
      <c r="CF171">
        <v>119</v>
      </c>
      <c r="CG171">
        <v>66</v>
      </c>
      <c r="CI171">
        <f t="shared" si="10"/>
        <v>2022</v>
      </c>
      <c r="CJ171" t="str">
        <f t="shared" si="11"/>
        <v>4469_2022</v>
      </c>
    </row>
    <row r="172" spans="1:88" x14ac:dyDescent="0.25">
      <c r="A172" t="s">
        <v>111</v>
      </c>
      <c r="B172" t="s">
        <v>138</v>
      </c>
      <c r="C172">
        <v>4524</v>
      </c>
      <c r="D172">
        <v>-37.688499999999998</v>
      </c>
      <c r="E172">
        <v>145.15610000000001</v>
      </c>
      <c r="F172">
        <v>3</v>
      </c>
      <c r="G172" t="s">
        <v>139</v>
      </c>
      <c r="H172">
        <v>100</v>
      </c>
      <c r="I172">
        <v>280</v>
      </c>
      <c r="J172">
        <v>200</v>
      </c>
      <c r="K172">
        <v>20</v>
      </c>
      <c r="L172">
        <v>280</v>
      </c>
      <c r="M172">
        <v>100</v>
      </c>
      <c r="T172">
        <v>6</v>
      </c>
      <c r="U172">
        <v>15</v>
      </c>
      <c r="Y172">
        <v>370</v>
      </c>
      <c r="Z172">
        <v>589</v>
      </c>
      <c r="AD172">
        <v>9</v>
      </c>
      <c r="AE172">
        <v>624</v>
      </c>
      <c r="AX172">
        <v>21</v>
      </c>
      <c r="AY172">
        <v>379</v>
      </c>
      <c r="AZ172">
        <v>400</v>
      </c>
      <c r="BA172">
        <v>959</v>
      </c>
      <c r="BB172">
        <v>630</v>
      </c>
      <c r="BC172">
        <v>1589</v>
      </c>
      <c r="BD172">
        <v>633</v>
      </c>
      <c r="BE172">
        <v>604</v>
      </c>
      <c r="BF172">
        <v>1237</v>
      </c>
      <c r="BP172">
        <v>145</v>
      </c>
      <c r="BR172">
        <v>547</v>
      </c>
      <c r="BS172">
        <v>877</v>
      </c>
      <c r="BT172">
        <v>41</v>
      </c>
      <c r="BV172">
        <v>3</v>
      </c>
      <c r="BW172">
        <v>1613</v>
      </c>
      <c r="BX172" t="s">
        <v>82</v>
      </c>
      <c r="BY172" s="5"/>
      <c r="BZ172" s="6"/>
      <c r="CA172" s="7">
        <v>41588</v>
      </c>
      <c r="CI172">
        <f t="shared" si="10"/>
        <v>2013</v>
      </c>
      <c r="CJ172" t="str">
        <f t="shared" si="11"/>
        <v>4524_2013</v>
      </c>
    </row>
    <row r="173" spans="1:88" x14ac:dyDescent="0.25">
      <c r="A173" t="s">
        <v>111</v>
      </c>
      <c r="B173" t="s">
        <v>138</v>
      </c>
      <c r="C173">
        <v>4524</v>
      </c>
      <c r="D173">
        <v>-37.688499999999998</v>
      </c>
      <c r="E173">
        <v>145.15610000000001</v>
      </c>
      <c r="F173">
        <v>3</v>
      </c>
      <c r="G173" t="s">
        <v>139</v>
      </c>
      <c r="H173">
        <v>100</v>
      </c>
      <c r="I173">
        <v>280</v>
      </c>
      <c r="J173">
        <v>200</v>
      </c>
      <c r="K173">
        <v>20</v>
      </c>
      <c r="L173">
        <v>280</v>
      </c>
      <c r="M173">
        <v>100</v>
      </c>
      <c r="T173">
        <v>25</v>
      </c>
      <c r="U173">
        <v>22</v>
      </c>
      <c r="Y173">
        <v>256</v>
      </c>
      <c r="Z173">
        <v>547</v>
      </c>
      <c r="AD173">
        <v>17</v>
      </c>
      <c r="AE173">
        <v>543</v>
      </c>
      <c r="AX173">
        <v>47</v>
      </c>
      <c r="AY173">
        <v>273</v>
      </c>
      <c r="AZ173">
        <v>320</v>
      </c>
      <c r="BA173">
        <v>803</v>
      </c>
      <c r="BB173">
        <v>568</v>
      </c>
      <c r="BC173">
        <v>1371</v>
      </c>
      <c r="BD173">
        <v>560</v>
      </c>
      <c r="BE173">
        <v>569</v>
      </c>
      <c r="BF173">
        <v>1129</v>
      </c>
      <c r="BP173">
        <v>238</v>
      </c>
      <c r="BR173">
        <v>115</v>
      </c>
      <c r="BS173">
        <v>967</v>
      </c>
      <c r="BT173">
        <v>51</v>
      </c>
      <c r="BV173">
        <v>39</v>
      </c>
      <c r="BW173">
        <v>1410</v>
      </c>
      <c r="BX173">
        <f>IF(C173=C172,IF((CI173-1)=CI172,BW172,"no data"))</f>
        <v>1613</v>
      </c>
      <c r="BY173" s="5">
        <f t="shared" si="15"/>
        <v>-0.12585244885306882</v>
      </c>
      <c r="BZ173" s="6">
        <f t="shared" si="12"/>
        <v>-0.12585244885306882</v>
      </c>
      <c r="CA173" s="7">
        <v>41952</v>
      </c>
      <c r="CI173">
        <f t="shared" si="10"/>
        <v>2014</v>
      </c>
      <c r="CJ173" t="str">
        <f t="shared" si="11"/>
        <v>4524_2014</v>
      </c>
    </row>
    <row r="174" spans="1:88" x14ac:dyDescent="0.25">
      <c r="A174" t="s">
        <v>111</v>
      </c>
      <c r="B174" t="s">
        <v>138</v>
      </c>
      <c r="C174">
        <v>4524</v>
      </c>
      <c r="D174">
        <v>-37.688499999999998</v>
      </c>
      <c r="E174">
        <v>145.15610000000001</v>
      </c>
      <c r="F174">
        <v>3</v>
      </c>
      <c r="G174" t="s">
        <v>139</v>
      </c>
      <c r="H174">
        <v>100</v>
      </c>
      <c r="I174">
        <v>280</v>
      </c>
      <c r="J174">
        <v>200</v>
      </c>
      <c r="K174">
        <v>20</v>
      </c>
      <c r="L174">
        <v>280</v>
      </c>
      <c r="M174">
        <v>100</v>
      </c>
      <c r="T174">
        <v>401</v>
      </c>
      <c r="U174">
        <v>45</v>
      </c>
      <c r="Y174">
        <v>260</v>
      </c>
      <c r="Z174">
        <v>11</v>
      </c>
      <c r="AD174">
        <v>42</v>
      </c>
      <c r="AE174">
        <v>7</v>
      </c>
      <c r="AX174">
        <v>446</v>
      </c>
      <c r="AY174">
        <v>302</v>
      </c>
      <c r="AZ174">
        <v>748</v>
      </c>
      <c r="BA174">
        <v>271</v>
      </c>
      <c r="BB174">
        <v>408</v>
      </c>
      <c r="BC174">
        <v>679</v>
      </c>
      <c r="BD174">
        <v>49</v>
      </c>
      <c r="BE174">
        <v>56</v>
      </c>
      <c r="BF174">
        <v>105</v>
      </c>
      <c r="BP174">
        <v>326</v>
      </c>
      <c r="BR174">
        <v>291</v>
      </c>
      <c r="BS174">
        <v>88</v>
      </c>
      <c r="BT174">
        <v>55</v>
      </c>
      <c r="BV174">
        <v>6</v>
      </c>
      <c r="BW174">
        <v>766</v>
      </c>
      <c r="BX174">
        <f>IF(C174=C173,IF((CI174-1)=CI173,BW173,"no data"))</f>
        <v>1410</v>
      </c>
      <c r="BY174" s="5">
        <f t="shared" si="15"/>
        <v>-0.45673758865248226</v>
      </c>
      <c r="BZ174" s="6">
        <f t="shared" si="12"/>
        <v>-0.45673758865248226</v>
      </c>
      <c r="CA174" s="7">
        <v>42316</v>
      </c>
      <c r="CE174">
        <v>157</v>
      </c>
      <c r="CF174">
        <v>378</v>
      </c>
      <c r="CG174">
        <v>133</v>
      </c>
      <c r="CH174">
        <v>98</v>
      </c>
      <c r="CI174">
        <f t="shared" si="10"/>
        <v>2015</v>
      </c>
      <c r="CJ174" t="str">
        <f t="shared" si="11"/>
        <v>4524_2015</v>
      </c>
    </row>
    <row r="175" spans="1:88" x14ac:dyDescent="0.25">
      <c r="A175" t="s">
        <v>111</v>
      </c>
      <c r="B175" t="s">
        <v>138</v>
      </c>
      <c r="C175">
        <v>4524</v>
      </c>
      <c r="D175">
        <v>-37.688476999999999</v>
      </c>
      <c r="E175">
        <v>145.15609900000001</v>
      </c>
      <c r="F175">
        <v>3</v>
      </c>
      <c r="G175" t="s">
        <v>139</v>
      </c>
      <c r="H175">
        <v>100</v>
      </c>
      <c r="I175">
        <v>280</v>
      </c>
      <c r="J175">
        <v>200</v>
      </c>
      <c r="K175">
        <v>20</v>
      </c>
      <c r="L175">
        <v>280</v>
      </c>
      <c r="M175">
        <v>100</v>
      </c>
      <c r="T175">
        <v>5</v>
      </c>
      <c r="U175">
        <v>5</v>
      </c>
      <c r="Y175">
        <v>2</v>
      </c>
      <c r="Z175">
        <v>53</v>
      </c>
      <c r="AD175">
        <v>8</v>
      </c>
      <c r="AE175">
        <v>45</v>
      </c>
      <c r="AX175">
        <v>10</v>
      </c>
      <c r="AY175">
        <v>10</v>
      </c>
      <c r="AZ175">
        <v>20</v>
      </c>
      <c r="BA175">
        <v>55</v>
      </c>
      <c r="BB175">
        <v>50</v>
      </c>
      <c r="BC175">
        <v>105</v>
      </c>
      <c r="BD175">
        <v>53</v>
      </c>
      <c r="BE175">
        <v>58</v>
      </c>
      <c r="BF175">
        <v>111</v>
      </c>
      <c r="BP175">
        <v>19</v>
      </c>
      <c r="BR175">
        <v>46</v>
      </c>
      <c r="BS175">
        <v>38</v>
      </c>
      <c r="BT175">
        <v>15</v>
      </c>
      <c r="BV175">
        <v>0</v>
      </c>
      <c r="BW175">
        <v>118</v>
      </c>
      <c r="BX175">
        <f>IF(C175=C174,IF((CI175-1)=CI174,BW174,"no data"))</f>
        <v>766</v>
      </c>
      <c r="BY175" s="5">
        <f t="shared" si="15"/>
        <v>-0.84595300261096606</v>
      </c>
      <c r="BZ175" s="6">
        <f t="shared" si="12"/>
        <v>-0.84595300261096606</v>
      </c>
      <c r="CA175" s="7">
        <v>42687</v>
      </c>
      <c r="CE175">
        <v>27</v>
      </c>
      <c r="CF175">
        <v>52</v>
      </c>
      <c r="CG175">
        <v>30</v>
      </c>
      <c r="CH175">
        <v>9</v>
      </c>
      <c r="CI175">
        <f t="shared" si="10"/>
        <v>2016</v>
      </c>
      <c r="CJ175" t="str">
        <f t="shared" si="11"/>
        <v>4524_2016</v>
      </c>
    </row>
    <row r="176" spans="1:88" x14ac:dyDescent="0.25">
      <c r="A176" t="s">
        <v>111</v>
      </c>
      <c r="B176" t="s">
        <v>138</v>
      </c>
      <c r="C176">
        <v>4524</v>
      </c>
      <c r="D176">
        <v>-37.688476999999999</v>
      </c>
      <c r="E176">
        <v>145.15609900000001</v>
      </c>
      <c r="F176">
        <v>3</v>
      </c>
      <c r="G176" t="s">
        <v>139</v>
      </c>
      <c r="H176">
        <v>100</v>
      </c>
      <c r="I176">
        <v>280</v>
      </c>
      <c r="J176">
        <v>200</v>
      </c>
      <c r="K176">
        <v>20</v>
      </c>
      <c r="L176">
        <v>280</v>
      </c>
      <c r="M176">
        <v>100</v>
      </c>
      <c r="T176">
        <v>23</v>
      </c>
      <c r="U176">
        <v>36</v>
      </c>
      <c r="Y176">
        <v>10</v>
      </c>
      <c r="Z176">
        <v>128</v>
      </c>
      <c r="AD176">
        <v>29</v>
      </c>
      <c r="AE176">
        <v>158</v>
      </c>
      <c r="AX176">
        <v>59</v>
      </c>
      <c r="AY176">
        <v>39</v>
      </c>
      <c r="AZ176">
        <v>98</v>
      </c>
      <c r="BA176">
        <v>138</v>
      </c>
      <c r="BB176">
        <v>181</v>
      </c>
      <c r="BC176">
        <v>319</v>
      </c>
      <c r="BD176">
        <v>187</v>
      </c>
      <c r="BE176">
        <v>164</v>
      </c>
      <c r="BF176">
        <v>351</v>
      </c>
      <c r="BP176">
        <v>187</v>
      </c>
      <c r="BR176">
        <v>118</v>
      </c>
      <c r="BS176">
        <v>32</v>
      </c>
      <c r="BT176">
        <v>44</v>
      </c>
      <c r="BV176">
        <v>3</v>
      </c>
      <c r="BW176">
        <v>384</v>
      </c>
      <c r="BX176">
        <f>IF(C176=C175,IF((CI176-1)=CI175,BW175,"no data"))</f>
        <v>118</v>
      </c>
      <c r="BY176" s="5">
        <f t="shared" si="15"/>
        <v>2.2542372881355934</v>
      </c>
      <c r="BZ176" s="6">
        <f t="shared" si="12"/>
        <v>2.2542372881355934</v>
      </c>
      <c r="CA176" s="7">
        <v>43051</v>
      </c>
      <c r="CE176">
        <v>97</v>
      </c>
      <c r="CF176">
        <v>106</v>
      </c>
      <c r="CG176">
        <v>97</v>
      </c>
      <c r="CH176">
        <v>84</v>
      </c>
      <c r="CI176">
        <f t="shared" si="10"/>
        <v>2017</v>
      </c>
      <c r="CJ176" t="str">
        <f t="shared" si="11"/>
        <v>4524_2017</v>
      </c>
    </row>
    <row r="177" spans="1:88" x14ac:dyDescent="0.25">
      <c r="A177" t="s">
        <v>140</v>
      </c>
      <c r="B177" t="s">
        <v>141</v>
      </c>
      <c r="C177">
        <v>4726</v>
      </c>
      <c r="D177">
        <v>-31.958780999999998</v>
      </c>
      <c r="E177">
        <v>115.858358</v>
      </c>
      <c r="F177">
        <v>3</v>
      </c>
      <c r="G177" t="s">
        <v>142</v>
      </c>
      <c r="H177">
        <v>22</v>
      </c>
      <c r="I177">
        <v>202</v>
      </c>
      <c r="J177">
        <v>114</v>
      </c>
      <c r="K177">
        <v>294</v>
      </c>
      <c r="L177">
        <v>267</v>
      </c>
      <c r="M177">
        <v>87</v>
      </c>
      <c r="T177">
        <v>92</v>
      </c>
      <c r="U177">
        <v>637</v>
      </c>
      <c r="Y177">
        <v>202</v>
      </c>
      <c r="Z177">
        <v>501</v>
      </c>
      <c r="AD177">
        <v>380</v>
      </c>
      <c r="AE177">
        <v>180</v>
      </c>
      <c r="AX177">
        <v>729</v>
      </c>
      <c r="AY177">
        <v>582</v>
      </c>
      <c r="AZ177">
        <v>1311</v>
      </c>
      <c r="BA177">
        <v>703</v>
      </c>
      <c r="BB177">
        <v>272</v>
      </c>
      <c r="BC177">
        <v>975</v>
      </c>
      <c r="BD177">
        <v>560</v>
      </c>
      <c r="BE177">
        <v>1138</v>
      </c>
      <c r="BF177">
        <v>1698</v>
      </c>
      <c r="BP177">
        <v>473</v>
      </c>
      <c r="BR177">
        <v>1433</v>
      </c>
      <c r="BS177">
        <v>26</v>
      </c>
      <c r="BT177">
        <v>9</v>
      </c>
      <c r="BV177">
        <v>51</v>
      </c>
      <c r="BW177">
        <v>1992</v>
      </c>
      <c r="BX177" t="s">
        <v>82</v>
      </c>
      <c r="BY177" s="5"/>
      <c r="BZ177" s="6"/>
      <c r="CA177" s="7">
        <v>42687</v>
      </c>
      <c r="CE177">
        <v>359</v>
      </c>
      <c r="CF177">
        <v>435</v>
      </c>
      <c r="CG177">
        <v>603</v>
      </c>
      <c r="CH177">
        <v>595</v>
      </c>
      <c r="CI177">
        <f t="shared" si="10"/>
        <v>2016</v>
      </c>
      <c r="CJ177" t="str">
        <f t="shared" si="11"/>
        <v>4726_2016</v>
      </c>
    </row>
    <row r="178" spans="1:88" x14ac:dyDescent="0.25">
      <c r="A178" t="s">
        <v>140</v>
      </c>
      <c r="B178" t="s">
        <v>141</v>
      </c>
      <c r="C178">
        <v>4726</v>
      </c>
      <c r="D178">
        <v>-31.958725999999999</v>
      </c>
      <c r="E178">
        <v>115.85833700000001</v>
      </c>
      <c r="F178">
        <v>3</v>
      </c>
      <c r="G178" t="s">
        <v>142</v>
      </c>
      <c r="H178">
        <v>22</v>
      </c>
      <c r="I178">
        <v>202</v>
      </c>
      <c r="J178">
        <v>114</v>
      </c>
      <c r="K178">
        <v>294</v>
      </c>
      <c r="L178">
        <v>267</v>
      </c>
      <c r="M178">
        <v>87</v>
      </c>
      <c r="T178">
        <v>1</v>
      </c>
      <c r="U178">
        <v>173</v>
      </c>
      <c r="Y178">
        <v>10</v>
      </c>
      <c r="Z178">
        <v>163</v>
      </c>
      <c r="AD178">
        <v>135</v>
      </c>
      <c r="AE178">
        <v>210</v>
      </c>
      <c r="AX178">
        <v>174</v>
      </c>
      <c r="AY178">
        <v>145</v>
      </c>
      <c r="AZ178">
        <v>319</v>
      </c>
      <c r="BA178">
        <v>173</v>
      </c>
      <c r="BB178">
        <v>211</v>
      </c>
      <c r="BC178">
        <v>384</v>
      </c>
      <c r="BD178">
        <v>345</v>
      </c>
      <c r="BE178">
        <v>336</v>
      </c>
      <c r="BF178">
        <v>681</v>
      </c>
      <c r="BP178">
        <v>581</v>
      </c>
      <c r="BR178">
        <v>0</v>
      </c>
      <c r="BS178">
        <v>73</v>
      </c>
      <c r="BT178">
        <v>23</v>
      </c>
      <c r="BV178">
        <v>15</v>
      </c>
      <c r="BW178">
        <v>692</v>
      </c>
      <c r="BX178" t="str">
        <f>IF(C178=C177,IF((CI178-1)=CI177,BW177,"no data"))</f>
        <v>no data</v>
      </c>
      <c r="BY178" s="5"/>
      <c r="BZ178" s="6"/>
      <c r="CA178" s="7">
        <v>43415</v>
      </c>
      <c r="CE178">
        <v>203</v>
      </c>
      <c r="CF178">
        <v>199</v>
      </c>
      <c r="CG178">
        <v>165</v>
      </c>
      <c r="CH178">
        <v>125</v>
      </c>
      <c r="CI178">
        <f t="shared" si="10"/>
        <v>2018</v>
      </c>
      <c r="CJ178" t="str">
        <f t="shared" si="11"/>
        <v>4726_2018</v>
      </c>
    </row>
    <row r="179" spans="1:88" x14ac:dyDescent="0.25">
      <c r="A179" t="s">
        <v>140</v>
      </c>
      <c r="B179" t="s">
        <v>141</v>
      </c>
      <c r="C179">
        <v>4726</v>
      </c>
      <c r="D179">
        <v>-31.9587</v>
      </c>
      <c r="E179">
        <v>115.8583</v>
      </c>
      <c r="F179">
        <v>3</v>
      </c>
      <c r="G179" t="s">
        <v>142</v>
      </c>
      <c r="H179">
        <v>22</v>
      </c>
      <c r="I179">
        <v>202</v>
      </c>
      <c r="J179">
        <v>114</v>
      </c>
      <c r="K179">
        <v>294</v>
      </c>
      <c r="L179">
        <v>267</v>
      </c>
      <c r="M179">
        <v>87</v>
      </c>
      <c r="T179">
        <v>150</v>
      </c>
      <c r="U179">
        <v>463</v>
      </c>
      <c r="Y179">
        <v>92</v>
      </c>
      <c r="Z179">
        <v>1064</v>
      </c>
      <c r="AD179">
        <v>266</v>
      </c>
      <c r="AE179">
        <v>616</v>
      </c>
      <c r="AX179">
        <v>613</v>
      </c>
      <c r="AY179">
        <v>358</v>
      </c>
      <c r="AZ179">
        <v>971</v>
      </c>
      <c r="BA179">
        <v>1156</v>
      </c>
      <c r="BB179">
        <v>766</v>
      </c>
      <c r="BC179">
        <v>1922</v>
      </c>
      <c r="BD179">
        <v>882</v>
      </c>
      <c r="BE179">
        <v>1527</v>
      </c>
      <c r="BF179">
        <v>2409</v>
      </c>
      <c r="BP179">
        <v>731</v>
      </c>
      <c r="BR179">
        <v>1817</v>
      </c>
      <c r="BS179">
        <v>61</v>
      </c>
      <c r="BT179">
        <v>20</v>
      </c>
      <c r="BV179">
        <v>22</v>
      </c>
      <c r="BW179">
        <v>2651</v>
      </c>
      <c r="BX179">
        <f>IF(C179=C178,IF((CI179-1)=CI178,BW178,"no data"))</f>
        <v>692</v>
      </c>
      <c r="BY179" s="5">
        <f t="shared" si="15"/>
        <v>2.8309248554913293</v>
      </c>
      <c r="BZ179" s="6">
        <f t="shared" si="12"/>
        <v>2.8309248554913293</v>
      </c>
      <c r="CA179" s="7">
        <v>43779</v>
      </c>
      <c r="CE179">
        <v>659</v>
      </c>
      <c r="CF179">
        <v>690</v>
      </c>
      <c r="CG179">
        <v>655</v>
      </c>
      <c r="CH179">
        <v>647</v>
      </c>
      <c r="CI179">
        <f t="shared" si="10"/>
        <v>2019</v>
      </c>
      <c r="CJ179" t="str">
        <f t="shared" si="11"/>
        <v>4726_2019</v>
      </c>
    </row>
    <row r="180" spans="1:88" x14ac:dyDescent="0.25">
      <c r="A180" t="s">
        <v>140</v>
      </c>
      <c r="B180" t="s">
        <v>141</v>
      </c>
      <c r="C180">
        <v>4726</v>
      </c>
      <c r="D180">
        <v>-31.9587</v>
      </c>
      <c r="E180">
        <v>115.8583</v>
      </c>
      <c r="F180">
        <v>3</v>
      </c>
      <c r="G180" t="s">
        <v>142</v>
      </c>
      <c r="H180">
        <v>22</v>
      </c>
      <c r="I180">
        <v>202</v>
      </c>
      <c r="J180">
        <v>114</v>
      </c>
      <c r="K180">
        <v>294</v>
      </c>
      <c r="L180">
        <v>267</v>
      </c>
      <c r="M180">
        <v>87</v>
      </c>
      <c r="T180">
        <v>14</v>
      </c>
      <c r="U180">
        <v>150</v>
      </c>
      <c r="Y180">
        <v>36</v>
      </c>
      <c r="Z180">
        <v>540</v>
      </c>
      <c r="AD180">
        <v>76</v>
      </c>
      <c r="AE180">
        <v>358</v>
      </c>
      <c r="AX180">
        <v>164</v>
      </c>
      <c r="AY180">
        <v>112</v>
      </c>
      <c r="AZ180">
        <v>276</v>
      </c>
      <c r="BA180">
        <v>576</v>
      </c>
      <c r="BB180">
        <v>372</v>
      </c>
      <c r="BC180">
        <v>948</v>
      </c>
      <c r="BD180">
        <v>434</v>
      </c>
      <c r="BE180">
        <v>690</v>
      </c>
      <c r="BF180">
        <v>1124</v>
      </c>
      <c r="BP180">
        <v>458</v>
      </c>
      <c r="BR180">
        <v>658</v>
      </c>
      <c r="BS180">
        <v>26</v>
      </c>
      <c r="BT180">
        <v>12</v>
      </c>
      <c r="BV180">
        <v>20</v>
      </c>
      <c r="BW180">
        <v>1174</v>
      </c>
      <c r="BX180">
        <f>IF(C180=C179,IF((CI180-1)=CI179,BW179,"no data"))</f>
        <v>2651</v>
      </c>
      <c r="BY180" s="5">
        <f t="shared" si="15"/>
        <v>-0.5571482459449264</v>
      </c>
      <c r="BZ180" s="6">
        <f t="shared" si="12"/>
        <v>-0.5571482459449264</v>
      </c>
      <c r="CA180" s="7">
        <v>44143</v>
      </c>
      <c r="CE180">
        <v>320</v>
      </c>
      <c r="CF180">
        <v>292</v>
      </c>
      <c r="CG180">
        <v>372</v>
      </c>
      <c r="CH180">
        <v>190</v>
      </c>
      <c r="CI180">
        <f t="shared" si="10"/>
        <v>2020</v>
      </c>
      <c r="CJ180" t="str">
        <f t="shared" si="11"/>
        <v>4726_2020</v>
      </c>
    </row>
    <row r="181" spans="1:88" x14ac:dyDescent="0.25">
      <c r="A181" t="s">
        <v>140</v>
      </c>
      <c r="B181" t="s">
        <v>141</v>
      </c>
      <c r="C181">
        <v>4726</v>
      </c>
      <c r="D181">
        <v>-31.958725999999999</v>
      </c>
      <c r="E181">
        <v>115.85833700000001</v>
      </c>
      <c r="F181">
        <v>3</v>
      </c>
      <c r="G181" t="s">
        <v>142</v>
      </c>
      <c r="H181">
        <v>22</v>
      </c>
      <c r="I181">
        <v>202</v>
      </c>
      <c r="J181">
        <v>114</v>
      </c>
      <c r="K181">
        <v>294</v>
      </c>
      <c r="L181">
        <v>267</v>
      </c>
      <c r="M181">
        <v>87</v>
      </c>
      <c r="T181">
        <v>133</v>
      </c>
      <c r="U181">
        <v>222</v>
      </c>
      <c r="Y181">
        <v>109</v>
      </c>
      <c r="Z181">
        <v>289</v>
      </c>
      <c r="AD181">
        <v>97</v>
      </c>
      <c r="AE181">
        <v>195</v>
      </c>
      <c r="AX181">
        <v>355</v>
      </c>
      <c r="AY181">
        <v>206</v>
      </c>
      <c r="AZ181">
        <v>561</v>
      </c>
      <c r="BA181">
        <v>398</v>
      </c>
      <c r="BB181">
        <v>328</v>
      </c>
      <c r="BC181">
        <v>726</v>
      </c>
      <c r="BD181">
        <v>292</v>
      </c>
      <c r="BE181">
        <v>511</v>
      </c>
      <c r="BF181">
        <v>803</v>
      </c>
      <c r="BP181">
        <v>254</v>
      </c>
      <c r="BR181">
        <v>723</v>
      </c>
      <c r="BS181">
        <v>4</v>
      </c>
      <c r="BT181">
        <v>9</v>
      </c>
      <c r="BV181">
        <v>55</v>
      </c>
      <c r="BW181">
        <v>1045</v>
      </c>
      <c r="BX181">
        <f>IF(C181=C180,IF((CI181-1)=CI180,BW180,"no data"))</f>
        <v>1174</v>
      </c>
      <c r="BY181" s="5">
        <f t="shared" si="15"/>
        <v>-0.10988074957410562</v>
      </c>
      <c r="BZ181" s="6">
        <f t="shared" si="12"/>
        <v>-0.10988074957410562</v>
      </c>
      <c r="CA181" s="7">
        <v>44528</v>
      </c>
      <c r="CE181">
        <v>360</v>
      </c>
      <c r="CF181">
        <v>343</v>
      </c>
      <c r="CG181">
        <v>342</v>
      </c>
      <c r="CI181">
        <f t="shared" si="10"/>
        <v>2021</v>
      </c>
      <c r="CJ181" t="str">
        <f t="shared" si="11"/>
        <v>4726_2021</v>
      </c>
    </row>
    <row r="182" spans="1:88" x14ac:dyDescent="0.25">
      <c r="A182" t="s">
        <v>140</v>
      </c>
      <c r="B182" t="s">
        <v>141</v>
      </c>
      <c r="C182">
        <v>4726</v>
      </c>
      <c r="D182">
        <v>-31.958725999999999</v>
      </c>
      <c r="E182">
        <v>115.85833700000001</v>
      </c>
      <c r="F182">
        <v>3</v>
      </c>
      <c r="G182" t="s">
        <v>142</v>
      </c>
      <c r="H182">
        <v>22</v>
      </c>
      <c r="I182">
        <v>202</v>
      </c>
      <c r="J182">
        <v>114</v>
      </c>
      <c r="K182">
        <v>294</v>
      </c>
      <c r="L182">
        <v>267</v>
      </c>
      <c r="M182">
        <v>87</v>
      </c>
      <c r="T182">
        <v>49</v>
      </c>
      <c r="U182">
        <v>217</v>
      </c>
      <c r="Y182">
        <v>66</v>
      </c>
      <c r="Z182">
        <v>435</v>
      </c>
      <c r="AD182">
        <v>58</v>
      </c>
      <c r="AE182">
        <v>319</v>
      </c>
      <c r="AX182">
        <v>266</v>
      </c>
      <c r="AY182">
        <v>124</v>
      </c>
      <c r="AZ182">
        <v>390</v>
      </c>
      <c r="BA182">
        <v>501</v>
      </c>
      <c r="BB182">
        <v>368</v>
      </c>
      <c r="BC182">
        <v>869</v>
      </c>
      <c r="BD182">
        <v>377</v>
      </c>
      <c r="BE182">
        <v>652</v>
      </c>
      <c r="BF182">
        <v>1029</v>
      </c>
      <c r="BP182">
        <v>365</v>
      </c>
      <c r="BR182">
        <v>696</v>
      </c>
      <c r="BS182">
        <v>24</v>
      </c>
      <c r="BT182">
        <v>6</v>
      </c>
      <c r="BU182">
        <v>35</v>
      </c>
      <c r="BV182">
        <v>18</v>
      </c>
      <c r="BW182">
        <v>1144</v>
      </c>
      <c r="BX182">
        <f>IF(C182=C181,IF((CI182-1)=CI181,BW181,"no data"))</f>
        <v>1045</v>
      </c>
      <c r="BY182" s="5">
        <f t="shared" si="15"/>
        <v>9.4736842105263161E-2</v>
      </c>
      <c r="BZ182" s="6">
        <f t="shared" si="12"/>
        <v>9.4736842105263161E-2</v>
      </c>
      <c r="CA182" s="7">
        <v>44878</v>
      </c>
      <c r="CE182">
        <v>373</v>
      </c>
      <c r="CF182">
        <v>421</v>
      </c>
      <c r="CG182">
        <v>350</v>
      </c>
      <c r="CI182">
        <f t="shared" si="10"/>
        <v>2022</v>
      </c>
      <c r="CJ182" t="str">
        <f t="shared" si="11"/>
        <v>4726_2022</v>
      </c>
    </row>
    <row r="183" spans="1:88" x14ac:dyDescent="0.25">
      <c r="A183" t="s">
        <v>140</v>
      </c>
      <c r="B183" t="s">
        <v>143</v>
      </c>
      <c r="C183">
        <v>4897</v>
      </c>
      <c r="D183">
        <v>-32.100909000000001</v>
      </c>
      <c r="E183">
        <v>115.77574199999999</v>
      </c>
      <c r="F183">
        <v>5</v>
      </c>
      <c r="G183" t="s">
        <v>144</v>
      </c>
      <c r="H183">
        <v>3</v>
      </c>
      <c r="I183">
        <v>183</v>
      </c>
      <c r="J183">
        <v>111</v>
      </c>
      <c r="K183">
        <v>291</v>
      </c>
      <c r="L183">
        <v>201</v>
      </c>
      <c r="M183">
        <v>21</v>
      </c>
      <c r="N183">
        <v>235</v>
      </c>
      <c r="O183">
        <v>55</v>
      </c>
      <c r="P183">
        <v>291</v>
      </c>
      <c r="Q183">
        <v>111</v>
      </c>
      <c r="T183">
        <v>5</v>
      </c>
      <c r="U183">
        <v>11</v>
      </c>
      <c r="V183">
        <v>1</v>
      </c>
      <c r="W183">
        <v>12</v>
      </c>
      <c r="Y183">
        <v>9</v>
      </c>
      <c r="Z183">
        <v>10</v>
      </c>
      <c r="AA183">
        <v>2</v>
      </c>
      <c r="AB183">
        <v>2</v>
      </c>
      <c r="AD183">
        <v>11</v>
      </c>
      <c r="AE183">
        <v>6</v>
      </c>
      <c r="AF183">
        <v>0</v>
      </c>
      <c r="AG183">
        <v>2</v>
      </c>
      <c r="AI183">
        <v>2</v>
      </c>
      <c r="AJ183">
        <v>5</v>
      </c>
      <c r="AK183">
        <v>2</v>
      </c>
      <c r="AL183">
        <v>0</v>
      </c>
      <c r="AN183">
        <v>0</v>
      </c>
      <c r="AO183">
        <v>8</v>
      </c>
      <c r="AP183">
        <v>1</v>
      </c>
      <c r="AQ183">
        <v>0</v>
      </c>
      <c r="AX183">
        <v>29</v>
      </c>
      <c r="AY183">
        <v>22</v>
      </c>
      <c r="AZ183">
        <v>51</v>
      </c>
      <c r="BA183">
        <v>23</v>
      </c>
      <c r="BB183">
        <v>24</v>
      </c>
      <c r="BC183">
        <v>47</v>
      </c>
      <c r="BD183">
        <v>19</v>
      </c>
      <c r="BE183">
        <v>24</v>
      </c>
      <c r="BF183">
        <v>43</v>
      </c>
      <c r="BG183">
        <v>9</v>
      </c>
      <c r="BH183">
        <v>3</v>
      </c>
      <c r="BI183">
        <v>12</v>
      </c>
      <c r="BJ183">
        <v>9</v>
      </c>
      <c r="BK183">
        <v>16</v>
      </c>
      <c r="BL183">
        <v>25</v>
      </c>
      <c r="BP183">
        <v>32</v>
      </c>
      <c r="BR183">
        <v>41</v>
      </c>
      <c r="BS183">
        <v>3</v>
      </c>
      <c r="BT183">
        <v>9</v>
      </c>
      <c r="BV183">
        <v>4</v>
      </c>
      <c r="BW183">
        <v>89</v>
      </c>
      <c r="BX183" t="s">
        <v>82</v>
      </c>
      <c r="BY183" s="5"/>
      <c r="BZ183" s="6"/>
      <c r="CA183" s="7">
        <v>42687</v>
      </c>
      <c r="CE183">
        <v>26</v>
      </c>
      <c r="CF183">
        <v>22</v>
      </c>
      <c r="CG183">
        <v>22</v>
      </c>
      <c r="CH183">
        <v>19</v>
      </c>
      <c r="CI183">
        <f t="shared" si="10"/>
        <v>2016</v>
      </c>
      <c r="CJ183" t="str">
        <f t="shared" si="11"/>
        <v>4897_2016</v>
      </c>
    </row>
    <row r="184" spans="1:88" x14ac:dyDescent="0.25">
      <c r="A184" t="s">
        <v>140</v>
      </c>
      <c r="B184" t="s">
        <v>143</v>
      </c>
      <c r="C184">
        <v>4897</v>
      </c>
      <c r="D184">
        <v>-32.100900000000003</v>
      </c>
      <c r="E184">
        <v>115.7757</v>
      </c>
      <c r="F184">
        <v>5</v>
      </c>
      <c r="G184" t="s">
        <v>144</v>
      </c>
      <c r="H184">
        <v>3</v>
      </c>
      <c r="I184">
        <v>183</v>
      </c>
      <c r="J184">
        <v>111</v>
      </c>
      <c r="K184">
        <v>291</v>
      </c>
      <c r="L184">
        <v>201</v>
      </c>
      <c r="M184">
        <v>21</v>
      </c>
      <c r="N184">
        <v>235</v>
      </c>
      <c r="O184">
        <v>55</v>
      </c>
      <c r="P184">
        <v>291</v>
      </c>
      <c r="Q184">
        <v>111</v>
      </c>
      <c r="T184">
        <v>17</v>
      </c>
      <c r="U184">
        <v>18</v>
      </c>
      <c r="V184">
        <v>0</v>
      </c>
      <c r="W184">
        <v>2</v>
      </c>
      <c r="Y184">
        <v>12</v>
      </c>
      <c r="Z184">
        <v>7</v>
      </c>
      <c r="AA184">
        <v>1</v>
      </c>
      <c r="AB184">
        <v>9</v>
      </c>
      <c r="AD184">
        <v>14</v>
      </c>
      <c r="AE184">
        <v>11</v>
      </c>
      <c r="AF184">
        <v>4</v>
      </c>
      <c r="AG184">
        <v>2</v>
      </c>
      <c r="AI184">
        <v>2</v>
      </c>
      <c r="AJ184">
        <v>0</v>
      </c>
      <c r="AK184">
        <v>3</v>
      </c>
      <c r="AL184">
        <v>0</v>
      </c>
      <c r="AN184">
        <v>2</v>
      </c>
      <c r="AO184">
        <v>5</v>
      </c>
      <c r="AP184">
        <v>1</v>
      </c>
      <c r="AQ184">
        <v>0</v>
      </c>
      <c r="AX184">
        <v>37</v>
      </c>
      <c r="AY184">
        <v>30</v>
      </c>
      <c r="AZ184">
        <v>67</v>
      </c>
      <c r="BA184">
        <v>29</v>
      </c>
      <c r="BB184">
        <v>33</v>
      </c>
      <c r="BC184">
        <v>62</v>
      </c>
      <c r="BD184">
        <v>31</v>
      </c>
      <c r="BE184">
        <v>29</v>
      </c>
      <c r="BF184">
        <v>60</v>
      </c>
      <c r="BG184">
        <v>5</v>
      </c>
      <c r="BH184">
        <v>5</v>
      </c>
      <c r="BI184">
        <v>10</v>
      </c>
      <c r="BJ184">
        <v>8</v>
      </c>
      <c r="BK184">
        <v>13</v>
      </c>
      <c r="BL184">
        <v>21</v>
      </c>
      <c r="BP184">
        <v>38</v>
      </c>
      <c r="BR184">
        <v>41</v>
      </c>
      <c r="BS184">
        <v>9</v>
      </c>
      <c r="BT184">
        <v>18</v>
      </c>
      <c r="BV184">
        <v>4</v>
      </c>
      <c r="BW184">
        <v>110</v>
      </c>
      <c r="BX184" t="str">
        <f>IF(C184=C183,IF((CI184-1)=CI183,BW183,"no data"))</f>
        <v>no data</v>
      </c>
      <c r="BY184" s="5"/>
      <c r="BZ184" s="6"/>
      <c r="CA184" s="7">
        <v>43779</v>
      </c>
      <c r="CC184">
        <v>30</v>
      </c>
      <c r="CD184">
        <v>40</v>
      </c>
      <c r="CE184">
        <v>22</v>
      </c>
      <c r="CF184">
        <v>18</v>
      </c>
      <c r="CI184">
        <f t="shared" si="10"/>
        <v>2019</v>
      </c>
      <c r="CJ184" t="str">
        <f t="shared" si="11"/>
        <v>4897_2019</v>
      </c>
    </row>
    <row r="185" spans="1:88" x14ac:dyDescent="0.25">
      <c r="A185" t="s">
        <v>140</v>
      </c>
      <c r="B185" t="s">
        <v>143</v>
      </c>
      <c r="C185">
        <v>4897</v>
      </c>
      <c r="D185">
        <v>-32.100900000000003</v>
      </c>
      <c r="E185">
        <v>115.7757</v>
      </c>
      <c r="F185">
        <v>5</v>
      </c>
      <c r="G185" t="s">
        <v>144</v>
      </c>
      <c r="H185">
        <v>3</v>
      </c>
      <c r="I185">
        <v>183</v>
      </c>
      <c r="J185">
        <v>111</v>
      </c>
      <c r="K185">
        <v>291</v>
      </c>
      <c r="L185">
        <v>201</v>
      </c>
      <c r="M185">
        <v>21</v>
      </c>
      <c r="N185">
        <v>235</v>
      </c>
      <c r="O185">
        <v>55</v>
      </c>
      <c r="P185">
        <v>291</v>
      </c>
      <c r="Q185">
        <v>111</v>
      </c>
      <c r="T185">
        <v>6</v>
      </c>
      <c r="U185">
        <v>19</v>
      </c>
      <c r="V185">
        <v>2</v>
      </c>
      <c r="W185">
        <v>1</v>
      </c>
      <c r="Y185">
        <v>5</v>
      </c>
      <c r="Z185">
        <v>4</v>
      </c>
      <c r="AA185">
        <v>5</v>
      </c>
      <c r="AB185">
        <v>8</v>
      </c>
      <c r="AD185">
        <v>21</v>
      </c>
      <c r="AE185">
        <v>1</v>
      </c>
      <c r="AF185">
        <v>6</v>
      </c>
      <c r="AG185">
        <v>5</v>
      </c>
      <c r="AI185">
        <v>4</v>
      </c>
      <c r="AJ185">
        <v>3</v>
      </c>
      <c r="AK185">
        <v>1</v>
      </c>
      <c r="AL185">
        <v>1</v>
      </c>
      <c r="AN185">
        <v>2</v>
      </c>
      <c r="AO185">
        <v>6</v>
      </c>
      <c r="AP185">
        <v>1</v>
      </c>
      <c r="AQ185">
        <v>2</v>
      </c>
      <c r="AX185">
        <v>28</v>
      </c>
      <c r="AY185">
        <v>32</v>
      </c>
      <c r="AZ185">
        <v>60</v>
      </c>
      <c r="BA185">
        <v>22</v>
      </c>
      <c r="BB185">
        <v>16</v>
      </c>
      <c r="BC185">
        <v>38</v>
      </c>
      <c r="BD185">
        <v>33</v>
      </c>
      <c r="BE185">
        <v>25</v>
      </c>
      <c r="BF185">
        <v>58</v>
      </c>
      <c r="BG185">
        <v>9</v>
      </c>
      <c r="BH185">
        <v>15</v>
      </c>
      <c r="BI185">
        <v>24</v>
      </c>
      <c r="BJ185">
        <v>11</v>
      </c>
      <c r="BK185">
        <v>15</v>
      </c>
      <c r="BL185">
        <v>26</v>
      </c>
      <c r="BP185">
        <v>57</v>
      </c>
      <c r="BR185">
        <v>25</v>
      </c>
      <c r="BS185">
        <v>9</v>
      </c>
      <c r="BT185">
        <v>12</v>
      </c>
      <c r="BV185">
        <v>0</v>
      </c>
      <c r="BW185">
        <v>103</v>
      </c>
      <c r="BX185">
        <f>IF(C185=C184,IF((CI185-1)=CI184,BW184,"no data"))</f>
        <v>110</v>
      </c>
      <c r="BY185" s="5">
        <f t="shared" si="15"/>
        <v>-6.363636363636363E-2</v>
      </c>
      <c r="BZ185" s="6">
        <f t="shared" si="12"/>
        <v>-6.363636363636363E-2</v>
      </c>
      <c r="CA185" s="7">
        <v>44143</v>
      </c>
      <c r="CC185">
        <v>16</v>
      </c>
      <c r="CD185">
        <v>35</v>
      </c>
      <c r="CE185">
        <v>39</v>
      </c>
      <c r="CF185">
        <v>13</v>
      </c>
      <c r="CI185">
        <f t="shared" si="10"/>
        <v>2020</v>
      </c>
      <c r="CJ185" t="str">
        <f t="shared" si="11"/>
        <v>4897_2020</v>
      </c>
    </row>
    <row r="186" spans="1:88" x14ac:dyDescent="0.25">
      <c r="A186" t="s">
        <v>140</v>
      </c>
      <c r="B186" t="s">
        <v>143</v>
      </c>
      <c r="C186">
        <v>4897</v>
      </c>
      <c r="D186">
        <v>-32.100906999999999</v>
      </c>
      <c r="E186">
        <v>115.77572000000001</v>
      </c>
      <c r="F186">
        <v>5</v>
      </c>
      <c r="G186" t="s">
        <v>144</v>
      </c>
      <c r="H186">
        <v>3</v>
      </c>
      <c r="I186">
        <v>183</v>
      </c>
      <c r="J186">
        <v>111</v>
      </c>
      <c r="K186">
        <v>291</v>
      </c>
      <c r="L186">
        <v>201</v>
      </c>
      <c r="M186">
        <v>21</v>
      </c>
      <c r="N186">
        <v>235</v>
      </c>
      <c r="O186">
        <v>55</v>
      </c>
      <c r="P186">
        <v>291</v>
      </c>
      <c r="Q186">
        <v>111</v>
      </c>
      <c r="T186">
        <v>3</v>
      </c>
      <c r="U186">
        <v>7</v>
      </c>
      <c r="V186">
        <v>0</v>
      </c>
      <c r="W186">
        <v>1</v>
      </c>
      <c r="Y186">
        <v>0</v>
      </c>
      <c r="Z186">
        <v>8</v>
      </c>
      <c r="AA186">
        <v>3</v>
      </c>
      <c r="AB186">
        <v>3</v>
      </c>
      <c r="AD186">
        <v>7</v>
      </c>
      <c r="AE186">
        <v>6</v>
      </c>
      <c r="AF186">
        <v>3</v>
      </c>
      <c r="AG186">
        <v>1</v>
      </c>
      <c r="AI186">
        <v>0</v>
      </c>
      <c r="AJ186">
        <v>2</v>
      </c>
      <c r="AK186">
        <v>2</v>
      </c>
      <c r="AL186">
        <v>0</v>
      </c>
      <c r="AN186">
        <v>2</v>
      </c>
      <c r="AO186">
        <v>1</v>
      </c>
      <c r="AP186">
        <v>2</v>
      </c>
      <c r="AQ186">
        <v>0</v>
      </c>
      <c r="AX186">
        <v>11</v>
      </c>
      <c r="AY186">
        <v>9</v>
      </c>
      <c r="AZ186">
        <v>20</v>
      </c>
      <c r="BA186">
        <v>14</v>
      </c>
      <c r="BB186">
        <v>12</v>
      </c>
      <c r="BC186">
        <v>26</v>
      </c>
      <c r="BD186">
        <v>17</v>
      </c>
      <c r="BE186">
        <v>19</v>
      </c>
      <c r="BF186">
        <v>36</v>
      </c>
      <c r="BG186">
        <v>4</v>
      </c>
      <c r="BH186">
        <v>6</v>
      </c>
      <c r="BI186">
        <v>10</v>
      </c>
      <c r="BJ186">
        <v>5</v>
      </c>
      <c r="BK186">
        <v>5</v>
      </c>
      <c r="BL186">
        <v>10</v>
      </c>
      <c r="BP186">
        <v>25</v>
      </c>
      <c r="BR186">
        <v>15</v>
      </c>
      <c r="BS186">
        <v>7</v>
      </c>
      <c r="BT186">
        <v>4</v>
      </c>
      <c r="BV186">
        <v>0</v>
      </c>
      <c r="BW186">
        <v>51</v>
      </c>
      <c r="BX186">
        <f>IF(C186=C185,IF((CI186-1)=CI185,BW185,"no data"))</f>
        <v>103</v>
      </c>
      <c r="BY186" s="5">
        <f t="shared" si="15"/>
        <v>-0.50485436893203883</v>
      </c>
      <c r="BZ186" s="6">
        <f t="shared" si="12"/>
        <v>-0.50485436893203883</v>
      </c>
      <c r="CA186" s="7">
        <v>44528</v>
      </c>
      <c r="CC186">
        <v>26</v>
      </c>
      <c r="CD186">
        <v>11</v>
      </c>
      <c r="CE186">
        <v>14</v>
      </c>
      <c r="CI186">
        <f t="shared" si="10"/>
        <v>2021</v>
      </c>
      <c r="CJ186" t="str">
        <f t="shared" si="11"/>
        <v>4897_2021</v>
      </c>
    </row>
    <row r="187" spans="1:88" x14ac:dyDescent="0.25">
      <c r="A187" t="s">
        <v>111</v>
      </c>
      <c r="B187" t="s">
        <v>114</v>
      </c>
      <c r="C187">
        <v>4927</v>
      </c>
      <c r="D187">
        <v>-37.779286999999997</v>
      </c>
      <c r="E187">
        <v>145.09397300000001</v>
      </c>
      <c r="F187">
        <v>4</v>
      </c>
      <c r="G187" t="s">
        <v>145</v>
      </c>
      <c r="H187">
        <v>3</v>
      </c>
      <c r="I187">
        <v>183</v>
      </c>
      <c r="J187">
        <v>115</v>
      </c>
      <c r="K187">
        <v>295</v>
      </c>
      <c r="L187">
        <v>180</v>
      </c>
      <c r="M187">
        <v>360</v>
      </c>
      <c r="N187">
        <v>299</v>
      </c>
      <c r="O187">
        <v>119</v>
      </c>
      <c r="T187">
        <v>30</v>
      </c>
      <c r="U187">
        <v>6</v>
      </c>
      <c r="V187">
        <v>28</v>
      </c>
      <c r="Y187">
        <v>22</v>
      </c>
      <c r="Z187">
        <v>5</v>
      </c>
      <c r="AA187">
        <v>154</v>
      </c>
      <c r="AD187">
        <v>9</v>
      </c>
      <c r="AE187">
        <v>12</v>
      </c>
      <c r="AF187">
        <v>27</v>
      </c>
      <c r="AI187">
        <v>30</v>
      </c>
      <c r="AJ187">
        <v>146</v>
      </c>
      <c r="AK187">
        <v>20</v>
      </c>
      <c r="AX187">
        <v>64</v>
      </c>
      <c r="AY187">
        <v>61</v>
      </c>
      <c r="AZ187">
        <v>125</v>
      </c>
      <c r="BA187">
        <v>181</v>
      </c>
      <c r="BB187">
        <v>188</v>
      </c>
      <c r="BC187">
        <v>369</v>
      </c>
      <c r="BD187">
        <v>48</v>
      </c>
      <c r="BE187">
        <v>31</v>
      </c>
      <c r="BF187">
        <v>79</v>
      </c>
      <c r="BG187">
        <v>196</v>
      </c>
      <c r="BH187">
        <v>209</v>
      </c>
      <c r="BI187">
        <v>405</v>
      </c>
      <c r="BP187">
        <v>146</v>
      </c>
      <c r="BR187">
        <v>189</v>
      </c>
      <c r="BS187">
        <v>69</v>
      </c>
      <c r="BT187">
        <v>85</v>
      </c>
      <c r="BV187">
        <v>0</v>
      </c>
      <c r="BW187">
        <v>489</v>
      </c>
      <c r="BX187" t="s">
        <v>82</v>
      </c>
      <c r="BY187" s="5"/>
      <c r="BZ187" s="6"/>
      <c r="CA187" s="7">
        <v>42687</v>
      </c>
      <c r="CE187">
        <v>145</v>
      </c>
      <c r="CF187">
        <v>157</v>
      </c>
      <c r="CG187">
        <v>109</v>
      </c>
      <c r="CH187">
        <v>78</v>
      </c>
      <c r="CI187">
        <f t="shared" si="10"/>
        <v>2016</v>
      </c>
      <c r="CJ187" t="str">
        <f t="shared" si="11"/>
        <v>4927_2016</v>
      </c>
    </row>
    <row r="188" spans="1:88" x14ac:dyDescent="0.25">
      <c r="A188" t="s">
        <v>111</v>
      </c>
      <c r="B188" t="s">
        <v>114</v>
      </c>
      <c r="C188">
        <v>4927</v>
      </c>
      <c r="D188">
        <v>-37.780675000000002</v>
      </c>
      <c r="E188">
        <v>145.093906</v>
      </c>
      <c r="F188">
        <v>4</v>
      </c>
      <c r="G188" t="s">
        <v>145</v>
      </c>
      <c r="H188">
        <v>3</v>
      </c>
      <c r="I188">
        <v>183</v>
      </c>
      <c r="J188">
        <v>115</v>
      </c>
      <c r="K188">
        <v>295</v>
      </c>
      <c r="L188">
        <v>180</v>
      </c>
      <c r="M188">
        <v>360</v>
      </c>
      <c r="N188">
        <v>299</v>
      </c>
      <c r="O188">
        <v>119</v>
      </c>
      <c r="T188">
        <v>48</v>
      </c>
      <c r="U188">
        <v>14</v>
      </c>
      <c r="V188">
        <v>60</v>
      </c>
      <c r="Y188">
        <v>28</v>
      </c>
      <c r="Z188">
        <v>2</v>
      </c>
      <c r="AA188">
        <v>409</v>
      </c>
      <c r="AD188">
        <v>16</v>
      </c>
      <c r="AE188">
        <v>9</v>
      </c>
      <c r="AF188">
        <v>31</v>
      </c>
      <c r="AI188">
        <v>36</v>
      </c>
      <c r="AJ188">
        <v>404</v>
      </c>
      <c r="AK188">
        <v>21</v>
      </c>
      <c r="AX188">
        <v>122</v>
      </c>
      <c r="AY188">
        <v>80</v>
      </c>
      <c r="AZ188">
        <v>202</v>
      </c>
      <c r="BA188">
        <v>439</v>
      </c>
      <c r="BB188">
        <v>461</v>
      </c>
      <c r="BC188">
        <v>900</v>
      </c>
      <c r="BD188">
        <v>56</v>
      </c>
      <c r="BE188">
        <v>37</v>
      </c>
      <c r="BF188">
        <v>93</v>
      </c>
      <c r="BG188">
        <v>461</v>
      </c>
      <c r="BH188">
        <v>500</v>
      </c>
      <c r="BI188">
        <v>961</v>
      </c>
      <c r="BP188">
        <v>588</v>
      </c>
      <c r="BR188">
        <v>308</v>
      </c>
      <c r="BS188">
        <v>70</v>
      </c>
      <c r="BT188">
        <v>108</v>
      </c>
      <c r="BV188">
        <v>4</v>
      </c>
      <c r="BW188">
        <v>1078</v>
      </c>
      <c r="BX188" t="str">
        <f>IF(C188=C187,IF((CI188-1)=CI187,BW187,"no data"))</f>
        <v>no data</v>
      </c>
      <c r="BY188" s="5"/>
      <c r="BZ188" s="6"/>
      <c r="CA188" s="7">
        <v>43415</v>
      </c>
      <c r="CE188">
        <v>313</v>
      </c>
      <c r="CF188">
        <v>307</v>
      </c>
      <c r="CG188">
        <v>271</v>
      </c>
      <c r="CH188">
        <v>187</v>
      </c>
      <c r="CI188">
        <f t="shared" si="10"/>
        <v>2018</v>
      </c>
      <c r="CJ188" t="str">
        <f t="shared" si="11"/>
        <v>4927_2018</v>
      </c>
    </row>
    <row r="189" spans="1:88" x14ac:dyDescent="0.25">
      <c r="A189" t="s">
        <v>111</v>
      </c>
      <c r="B189" t="s">
        <v>114</v>
      </c>
      <c r="C189">
        <v>4927</v>
      </c>
      <c r="D189">
        <v>-37.780700000000003</v>
      </c>
      <c r="E189">
        <v>145.09389999999999</v>
      </c>
      <c r="F189">
        <v>4</v>
      </c>
      <c r="G189" t="s">
        <v>145</v>
      </c>
      <c r="H189">
        <v>3</v>
      </c>
      <c r="I189">
        <v>183</v>
      </c>
      <c r="J189">
        <v>115</v>
      </c>
      <c r="K189">
        <v>295</v>
      </c>
      <c r="L189">
        <v>180</v>
      </c>
      <c r="M189">
        <v>360</v>
      </c>
      <c r="N189">
        <v>299</v>
      </c>
      <c r="O189">
        <v>119</v>
      </c>
      <c r="T189">
        <v>37</v>
      </c>
      <c r="U189">
        <v>12</v>
      </c>
      <c r="V189">
        <v>23</v>
      </c>
      <c r="Y189">
        <v>18</v>
      </c>
      <c r="Z189">
        <v>13</v>
      </c>
      <c r="AA189">
        <v>323</v>
      </c>
      <c r="AD189">
        <v>12</v>
      </c>
      <c r="AE189">
        <v>18</v>
      </c>
      <c r="AF189">
        <v>6</v>
      </c>
      <c r="AI189">
        <v>20</v>
      </c>
      <c r="AJ189">
        <v>294</v>
      </c>
      <c r="AK189">
        <v>4</v>
      </c>
      <c r="AX189">
        <v>72</v>
      </c>
      <c r="AY189">
        <v>50</v>
      </c>
      <c r="AZ189">
        <v>122</v>
      </c>
      <c r="BA189">
        <v>354</v>
      </c>
      <c r="BB189">
        <v>349</v>
      </c>
      <c r="BC189">
        <v>703</v>
      </c>
      <c r="BD189">
        <v>36</v>
      </c>
      <c r="BE189">
        <v>29</v>
      </c>
      <c r="BF189">
        <v>65</v>
      </c>
      <c r="BG189">
        <v>318</v>
      </c>
      <c r="BH189">
        <v>352</v>
      </c>
      <c r="BI189">
        <v>670</v>
      </c>
      <c r="BP189">
        <v>369</v>
      </c>
      <c r="BR189">
        <v>186</v>
      </c>
      <c r="BS189">
        <v>99</v>
      </c>
      <c r="BT189">
        <v>122</v>
      </c>
      <c r="BV189">
        <v>4</v>
      </c>
      <c r="BW189">
        <v>780</v>
      </c>
      <c r="BX189">
        <f>IF(C189=C188,IF((CI189-1)=CI188,BW188,"no data"))</f>
        <v>1078</v>
      </c>
      <c r="BY189" s="5">
        <f t="shared" si="15"/>
        <v>-0.27643784786641928</v>
      </c>
      <c r="BZ189" s="6">
        <f t="shared" si="12"/>
        <v>-0.27643784786641928</v>
      </c>
      <c r="CA189" s="7">
        <v>43779</v>
      </c>
      <c r="CE189">
        <v>200</v>
      </c>
      <c r="CF189">
        <v>207</v>
      </c>
      <c r="CG189">
        <v>197</v>
      </c>
      <c r="CH189">
        <v>176</v>
      </c>
      <c r="CI189">
        <f t="shared" si="10"/>
        <v>2019</v>
      </c>
      <c r="CJ189" t="str">
        <f t="shared" si="11"/>
        <v>4927_2019</v>
      </c>
    </row>
    <row r="190" spans="1:88" x14ac:dyDescent="0.25">
      <c r="A190" t="s">
        <v>111</v>
      </c>
      <c r="B190" t="s">
        <v>114</v>
      </c>
      <c r="C190">
        <v>4927</v>
      </c>
      <c r="D190">
        <v>-37.780700000000003</v>
      </c>
      <c r="E190">
        <v>145.09389999999999</v>
      </c>
      <c r="F190">
        <v>4</v>
      </c>
      <c r="G190" t="s">
        <v>145</v>
      </c>
      <c r="H190">
        <v>3</v>
      </c>
      <c r="I190">
        <v>183</v>
      </c>
      <c r="J190">
        <v>115</v>
      </c>
      <c r="K190">
        <v>295</v>
      </c>
      <c r="L190">
        <v>180</v>
      </c>
      <c r="M190">
        <v>360</v>
      </c>
      <c r="N190">
        <v>299</v>
      </c>
      <c r="O190">
        <v>119</v>
      </c>
      <c r="T190">
        <v>63</v>
      </c>
      <c r="U190">
        <v>29</v>
      </c>
      <c r="V190">
        <v>84</v>
      </c>
      <c r="Y190">
        <v>86</v>
      </c>
      <c r="Z190">
        <v>24</v>
      </c>
      <c r="AA190">
        <v>550</v>
      </c>
      <c r="AD190">
        <v>23</v>
      </c>
      <c r="AE190">
        <v>15</v>
      </c>
      <c r="AF190">
        <v>14</v>
      </c>
      <c r="AI190">
        <v>76</v>
      </c>
      <c r="AJ190">
        <v>491</v>
      </c>
      <c r="AK190">
        <v>15</v>
      </c>
      <c r="AX190">
        <v>176</v>
      </c>
      <c r="AY190">
        <v>185</v>
      </c>
      <c r="AZ190">
        <v>361</v>
      </c>
      <c r="BA190">
        <v>660</v>
      </c>
      <c r="BB190">
        <v>569</v>
      </c>
      <c r="BC190">
        <v>1229</v>
      </c>
      <c r="BD190">
        <v>52</v>
      </c>
      <c r="BE190">
        <v>68</v>
      </c>
      <c r="BF190">
        <v>120</v>
      </c>
      <c r="BG190">
        <v>582</v>
      </c>
      <c r="BH190">
        <v>648</v>
      </c>
      <c r="BI190">
        <v>1230</v>
      </c>
      <c r="BP190">
        <v>897</v>
      </c>
      <c r="BR190">
        <v>380</v>
      </c>
      <c r="BS190">
        <v>138</v>
      </c>
      <c r="BT190">
        <v>50</v>
      </c>
      <c r="BV190">
        <v>5</v>
      </c>
      <c r="BW190">
        <v>1470</v>
      </c>
      <c r="BX190">
        <f>IF(C190=C189,IF((CI190-1)=CI189,BW189,"no data"))</f>
        <v>780</v>
      </c>
      <c r="BY190" s="5">
        <f t="shared" si="15"/>
        <v>0.88461538461538458</v>
      </c>
      <c r="BZ190" s="6">
        <f t="shared" si="12"/>
        <v>0.88461538461538458</v>
      </c>
      <c r="CA190" s="7">
        <v>44143</v>
      </c>
      <c r="CE190">
        <v>358</v>
      </c>
      <c r="CF190">
        <v>366</v>
      </c>
      <c r="CG190">
        <v>419</v>
      </c>
      <c r="CH190">
        <v>327</v>
      </c>
      <c r="CI190">
        <f t="shared" si="10"/>
        <v>2020</v>
      </c>
      <c r="CJ190" t="str">
        <f t="shared" si="11"/>
        <v>4927_2020</v>
      </c>
    </row>
    <row r="191" spans="1:88" x14ac:dyDescent="0.25">
      <c r="A191" t="s">
        <v>111</v>
      </c>
      <c r="B191" t="s">
        <v>114</v>
      </c>
      <c r="C191">
        <v>4927</v>
      </c>
      <c r="D191">
        <v>-37.780675000000002</v>
      </c>
      <c r="E191">
        <v>145.093906</v>
      </c>
      <c r="F191">
        <v>4</v>
      </c>
      <c r="G191" t="s">
        <v>145</v>
      </c>
      <c r="H191">
        <v>3</v>
      </c>
      <c r="I191">
        <v>183</v>
      </c>
      <c r="J191">
        <v>115</v>
      </c>
      <c r="K191">
        <v>295</v>
      </c>
      <c r="L191">
        <v>180</v>
      </c>
      <c r="M191">
        <v>360</v>
      </c>
      <c r="N191">
        <v>299</v>
      </c>
      <c r="O191">
        <v>119</v>
      </c>
      <c r="T191">
        <v>53</v>
      </c>
      <c r="U191">
        <v>9</v>
      </c>
      <c r="V191">
        <v>29</v>
      </c>
      <c r="Y191">
        <v>25</v>
      </c>
      <c r="Z191">
        <v>6</v>
      </c>
      <c r="AA191">
        <v>301</v>
      </c>
      <c r="AD191">
        <v>5</v>
      </c>
      <c r="AE191">
        <v>2</v>
      </c>
      <c r="AF191">
        <v>8</v>
      </c>
      <c r="AI191">
        <v>35</v>
      </c>
      <c r="AJ191">
        <v>267</v>
      </c>
      <c r="AK191">
        <v>6</v>
      </c>
      <c r="AX191">
        <v>91</v>
      </c>
      <c r="AY191">
        <v>65</v>
      </c>
      <c r="AZ191">
        <v>156</v>
      </c>
      <c r="BA191">
        <v>332</v>
      </c>
      <c r="BB191">
        <v>322</v>
      </c>
      <c r="BC191">
        <v>654</v>
      </c>
      <c r="BD191">
        <v>15</v>
      </c>
      <c r="BE191">
        <v>21</v>
      </c>
      <c r="BF191">
        <v>36</v>
      </c>
      <c r="BG191">
        <v>308</v>
      </c>
      <c r="BH191">
        <v>338</v>
      </c>
      <c r="BI191">
        <v>646</v>
      </c>
      <c r="BP191">
        <v>419</v>
      </c>
      <c r="BR191">
        <v>220</v>
      </c>
      <c r="BS191">
        <v>59</v>
      </c>
      <c r="BT191">
        <v>29</v>
      </c>
      <c r="BV191">
        <v>19</v>
      </c>
      <c r="BW191">
        <v>746</v>
      </c>
      <c r="BX191">
        <f>IF(C191=C190,IF((CI191-1)=CI190,BW190,"no data"))</f>
        <v>1470</v>
      </c>
      <c r="BY191" s="5">
        <f t="shared" si="15"/>
        <v>-0.49251700680272109</v>
      </c>
      <c r="BZ191" s="6">
        <f t="shared" si="12"/>
        <v>-0.49251700680272109</v>
      </c>
      <c r="CA191" s="7">
        <v>44528</v>
      </c>
      <c r="CE191">
        <v>202</v>
      </c>
      <c r="CF191">
        <v>268</v>
      </c>
      <c r="CG191">
        <v>276</v>
      </c>
      <c r="CI191">
        <f t="shared" si="10"/>
        <v>2021</v>
      </c>
      <c r="CJ191" t="str">
        <f t="shared" si="11"/>
        <v>4927_2021</v>
      </c>
    </row>
    <row r="192" spans="1:88" x14ac:dyDescent="0.25">
      <c r="A192" t="s">
        <v>111</v>
      </c>
      <c r="B192" t="s">
        <v>114</v>
      </c>
      <c r="C192">
        <v>4927</v>
      </c>
      <c r="D192">
        <v>-37.780675000000002</v>
      </c>
      <c r="E192">
        <v>145.093906</v>
      </c>
      <c r="F192">
        <v>4</v>
      </c>
      <c r="G192" t="s">
        <v>145</v>
      </c>
      <c r="H192">
        <v>3</v>
      </c>
      <c r="I192">
        <v>183</v>
      </c>
      <c r="J192">
        <v>115</v>
      </c>
      <c r="K192">
        <v>295</v>
      </c>
      <c r="L192">
        <v>180</v>
      </c>
      <c r="M192">
        <v>360</v>
      </c>
      <c r="N192">
        <v>299</v>
      </c>
      <c r="O192">
        <v>119</v>
      </c>
      <c r="T192">
        <v>32</v>
      </c>
      <c r="U192">
        <v>14</v>
      </c>
      <c r="V192">
        <v>36</v>
      </c>
      <c r="Y192">
        <v>16</v>
      </c>
      <c r="Z192">
        <v>5</v>
      </c>
      <c r="AA192">
        <v>243</v>
      </c>
      <c r="AD192">
        <v>18</v>
      </c>
      <c r="AE192">
        <v>7</v>
      </c>
      <c r="AF192">
        <v>9</v>
      </c>
      <c r="AI192">
        <v>31</v>
      </c>
      <c r="AJ192">
        <v>209</v>
      </c>
      <c r="AK192">
        <v>15</v>
      </c>
      <c r="AX192">
        <v>82</v>
      </c>
      <c r="AY192">
        <v>65</v>
      </c>
      <c r="AZ192">
        <v>147</v>
      </c>
      <c r="BA192">
        <v>264</v>
      </c>
      <c r="BB192">
        <v>248</v>
      </c>
      <c r="BC192">
        <v>512</v>
      </c>
      <c r="BD192">
        <v>34</v>
      </c>
      <c r="BE192">
        <v>34</v>
      </c>
      <c r="BF192">
        <v>68</v>
      </c>
      <c r="BG192">
        <v>255</v>
      </c>
      <c r="BH192">
        <v>288</v>
      </c>
      <c r="BI192">
        <v>543</v>
      </c>
      <c r="BP192">
        <v>252</v>
      </c>
      <c r="BR192">
        <v>216</v>
      </c>
      <c r="BS192">
        <v>72</v>
      </c>
      <c r="BT192">
        <v>82</v>
      </c>
      <c r="BU192">
        <v>9</v>
      </c>
      <c r="BV192">
        <v>4</v>
      </c>
      <c r="BW192">
        <v>635</v>
      </c>
      <c r="BX192">
        <f>IF(C192=C191,IF((CI192-1)=CI191,BW191,"no data"))</f>
        <v>746</v>
      </c>
      <c r="BY192" s="5">
        <f t="shared" si="15"/>
        <v>-0.1487935656836461</v>
      </c>
      <c r="BZ192" s="6">
        <f t="shared" si="12"/>
        <v>-0.1487935656836461</v>
      </c>
      <c r="CA192" s="7">
        <v>44878</v>
      </c>
      <c r="CE192">
        <v>213</v>
      </c>
      <c r="CF192">
        <v>222</v>
      </c>
      <c r="CG192">
        <v>200</v>
      </c>
      <c r="CI192">
        <f t="shared" si="10"/>
        <v>2022</v>
      </c>
      <c r="CJ192" t="str">
        <f t="shared" si="11"/>
        <v>4927_2022</v>
      </c>
    </row>
    <row r="193" spans="1:88" x14ac:dyDescent="0.25">
      <c r="A193" t="s">
        <v>111</v>
      </c>
      <c r="B193" t="s">
        <v>146</v>
      </c>
      <c r="C193">
        <v>4929</v>
      </c>
      <c r="D193">
        <v>-37.543300000000002</v>
      </c>
      <c r="E193">
        <v>143.83070000000001</v>
      </c>
      <c r="F193">
        <v>3</v>
      </c>
      <c r="G193" t="s">
        <v>147</v>
      </c>
      <c r="H193">
        <v>8</v>
      </c>
      <c r="I193">
        <v>188</v>
      </c>
      <c r="J193">
        <v>98</v>
      </c>
      <c r="K193">
        <v>278</v>
      </c>
      <c r="L193">
        <v>264</v>
      </c>
      <c r="M193">
        <v>84</v>
      </c>
      <c r="T193">
        <v>8</v>
      </c>
      <c r="U193">
        <v>16</v>
      </c>
      <c r="Y193">
        <v>19</v>
      </c>
      <c r="Z193">
        <v>318</v>
      </c>
      <c r="AD193">
        <v>13</v>
      </c>
      <c r="AE193">
        <v>140</v>
      </c>
      <c r="AX193">
        <v>24</v>
      </c>
      <c r="AY193">
        <v>32</v>
      </c>
      <c r="AZ193">
        <v>56</v>
      </c>
      <c r="BA193">
        <v>337</v>
      </c>
      <c r="BB193">
        <v>148</v>
      </c>
      <c r="BC193">
        <v>485</v>
      </c>
      <c r="BD193">
        <v>153</v>
      </c>
      <c r="BE193">
        <v>334</v>
      </c>
      <c r="BF193">
        <v>487</v>
      </c>
      <c r="BP193">
        <v>136</v>
      </c>
      <c r="BR193">
        <v>237</v>
      </c>
      <c r="BS193">
        <v>77</v>
      </c>
      <c r="BT193">
        <v>52</v>
      </c>
      <c r="BV193">
        <v>12</v>
      </c>
      <c r="BW193">
        <v>514</v>
      </c>
      <c r="BX193" t="s">
        <v>82</v>
      </c>
      <c r="BY193" s="5"/>
      <c r="BZ193" s="6"/>
      <c r="CA193" s="7">
        <v>41588</v>
      </c>
      <c r="CI193">
        <f t="shared" si="10"/>
        <v>2013</v>
      </c>
      <c r="CJ193" t="str">
        <f t="shared" si="11"/>
        <v>4929_2013</v>
      </c>
    </row>
    <row r="194" spans="1:88" x14ac:dyDescent="0.25">
      <c r="A194" t="s">
        <v>111</v>
      </c>
      <c r="B194" t="s">
        <v>146</v>
      </c>
      <c r="C194">
        <v>4929</v>
      </c>
      <c r="D194">
        <v>-37.543300000000002</v>
      </c>
      <c r="E194">
        <v>143.83070000000001</v>
      </c>
      <c r="F194">
        <v>3</v>
      </c>
      <c r="G194" t="s">
        <v>147</v>
      </c>
      <c r="H194">
        <v>8</v>
      </c>
      <c r="I194">
        <v>188</v>
      </c>
      <c r="J194">
        <v>98</v>
      </c>
      <c r="K194">
        <v>278</v>
      </c>
      <c r="L194">
        <v>264</v>
      </c>
      <c r="M194">
        <v>84</v>
      </c>
      <c r="T194">
        <v>26</v>
      </c>
      <c r="U194">
        <v>36</v>
      </c>
      <c r="Y194">
        <v>26</v>
      </c>
      <c r="Z194">
        <v>97</v>
      </c>
      <c r="AD194">
        <v>30</v>
      </c>
      <c r="AE194">
        <v>12</v>
      </c>
      <c r="AX194">
        <v>62</v>
      </c>
      <c r="AY194">
        <v>56</v>
      </c>
      <c r="AZ194">
        <v>118</v>
      </c>
      <c r="BA194">
        <v>123</v>
      </c>
      <c r="BB194">
        <v>38</v>
      </c>
      <c r="BC194">
        <v>161</v>
      </c>
      <c r="BD194">
        <v>42</v>
      </c>
      <c r="BE194">
        <v>133</v>
      </c>
      <c r="BF194">
        <v>175</v>
      </c>
      <c r="BP194">
        <v>134</v>
      </c>
      <c r="BR194">
        <v>69</v>
      </c>
      <c r="BS194">
        <v>15</v>
      </c>
      <c r="BT194">
        <v>6</v>
      </c>
      <c r="BV194">
        <v>3</v>
      </c>
      <c r="BW194">
        <v>227</v>
      </c>
      <c r="BX194">
        <f>IF(C194=C193,IF((CI194-1)=CI193,BW193,"no data"))</f>
        <v>514</v>
      </c>
      <c r="BY194" s="5">
        <f t="shared" si="15"/>
        <v>-0.55836575875486383</v>
      </c>
      <c r="BZ194" s="6">
        <f t="shared" si="12"/>
        <v>-0.55836575875486383</v>
      </c>
      <c r="CA194" s="7">
        <v>41952</v>
      </c>
      <c r="CI194">
        <f t="shared" si="10"/>
        <v>2014</v>
      </c>
      <c r="CJ194" t="str">
        <f t="shared" si="11"/>
        <v>4929_2014</v>
      </c>
    </row>
    <row r="195" spans="1:88" x14ac:dyDescent="0.25">
      <c r="A195" t="s">
        <v>111</v>
      </c>
      <c r="B195" t="s">
        <v>146</v>
      </c>
      <c r="C195">
        <v>4929</v>
      </c>
      <c r="D195">
        <v>-37.543300000000002</v>
      </c>
      <c r="E195">
        <v>143.83070000000001</v>
      </c>
      <c r="F195">
        <v>3</v>
      </c>
      <c r="G195" t="s">
        <v>147</v>
      </c>
      <c r="H195">
        <v>8</v>
      </c>
      <c r="I195">
        <v>188</v>
      </c>
      <c r="J195">
        <v>98</v>
      </c>
      <c r="K195">
        <v>278</v>
      </c>
      <c r="L195">
        <v>264</v>
      </c>
      <c r="M195">
        <v>84</v>
      </c>
      <c r="T195">
        <v>32</v>
      </c>
      <c r="U195">
        <v>41</v>
      </c>
      <c r="Y195">
        <v>53</v>
      </c>
      <c r="Z195">
        <v>1121</v>
      </c>
      <c r="AD195">
        <v>42</v>
      </c>
      <c r="AE195">
        <v>347</v>
      </c>
      <c r="AX195">
        <v>73</v>
      </c>
      <c r="AY195">
        <v>95</v>
      </c>
      <c r="AZ195">
        <v>168</v>
      </c>
      <c r="BA195">
        <v>1174</v>
      </c>
      <c r="BB195">
        <v>379</v>
      </c>
      <c r="BC195">
        <v>1553</v>
      </c>
      <c r="BD195">
        <v>389</v>
      </c>
      <c r="BE195">
        <v>1162</v>
      </c>
      <c r="BF195">
        <v>1551</v>
      </c>
      <c r="BP195">
        <v>361</v>
      </c>
      <c r="BR195">
        <v>1016</v>
      </c>
      <c r="BS195">
        <v>112</v>
      </c>
      <c r="BT195">
        <v>93</v>
      </c>
      <c r="BV195">
        <v>54</v>
      </c>
      <c r="BW195">
        <v>1636</v>
      </c>
      <c r="BX195">
        <f>IF(C195=C194,IF((CI195-1)=CI194,BW194,"no data"))</f>
        <v>227</v>
      </c>
      <c r="BY195" s="5">
        <f t="shared" si="15"/>
        <v>6.2070484581497798</v>
      </c>
      <c r="BZ195" s="6">
        <f t="shared" si="12"/>
        <v>6.2070484581497798</v>
      </c>
      <c r="CA195" s="7">
        <v>42316</v>
      </c>
      <c r="CE195">
        <v>310</v>
      </c>
      <c r="CF195">
        <v>502</v>
      </c>
      <c r="CG195">
        <v>576</v>
      </c>
      <c r="CH195">
        <v>248</v>
      </c>
      <c r="CI195">
        <f t="shared" ref="CI195:CI258" si="18">YEAR(CA195)</f>
        <v>2015</v>
      </c>
      <c r="CJ195" t="str">
        <f t="shared" ref="CJ195:CJ258" si="19">_xlfn.CONCAT(C195,"_",CI195)</f>
        <v>4929_2015</v>
      </c>
    </row>
    <row r="196" spans="1:88" x14ac:dyDescent="0.25">
      <c r="A196" t="s">
        <v>111</v>
      </c>
      <c r="B196" t="s">
        <v>146</v>
      </c>
      <c r="C196">
        <v>4929</v>
      </c>
      <c r="D196">
        <v>-37.543334999999999</v>
      </c>
      <c r="E196">
        <v>143.83072300000001</v>
      </c>
      <c r="F196">
        <v>3</v>
      </c>
      <c r="G196" t="s">
        <v>147</v>
      </c>
      <c r="H196">
        <v>8</v>
      </c>
      <c r="I196">
        <v>188</v>
      </c>
      <c r="J196">
        <v>98</v>
      </c>
      <c r="K196">
        <v>278</v>
      </c>
      <c r="L196">
        <v>264</v>
      </c>
      <c r="M196">
        <v>84</v>
      </c>
      <c r="T196">
        <v>9</v>
      </c>
      <c r="U196">
        <v>24</v>
      </c>
      <c r="Y196">
        <v>11</v>
      </c>
      <c r="Z196">
        <v>65</v>
      </c>
      <c r="AD196">
        <v>15</v>
      </c>
      <c r="AE196">
        <v>67</v>
      </c>
      <c r="AX196">
        <v>33</v>
      </c>
      <c r="AY196">
        <v>26</v>
      </c>
      <c r="AZ196">
        <v>59</v>
      </c>
      <c r="BA196">
        <v>76</v>
      </c>
      <c r="BB196">
        <v>76</v>
      </c>
      <c r="BC196">
        <v>152</v>
      </c>
      <c r="BD196">
        <v>82</v>
      </c>
      <c r="BE196">
        <v>89</v>
      </c>
      <c r="BF196">
        <v>171</v>
      </c>
      <c r="BP196">
        <v>21</v>
      </c>
      <c r="BR196">
        <v>98</v>
      </c>
      <c r="BS196">
        <v>51</v>
      </c>
      <c r="BT196">
        <v>17</v>
      </c>
      <c r="BV196">
        <v>4</v>
      </c>
      <c r="BW196">
        <v>191</v>
      </c>
      <c r="BX196">
        <f>IF(C196=C195,IF((CI196-1)=CI195,BW195,"no data"))</f>
        <v>1636</v>
      </c>
      <c r="BY196" s="5">
        <f t="shared" si="15"/>
        <v>-0.88325183374083127</v>
      </c>
      <c r="BZ196" s="6">
        <f t="shared" si="12"/>
        <v>-0.88325183374083127</v>
      </c>
      <c r="CA196" s="7">
        <v>42687</v>
      </c>
      <c r="CE196">
        <v>80</v>
      </c>
      <c r="CF196">
        <v>29</v>
      </c>
      <c r="CG196">
        <v>34</v>
      </c>
      <c r="CH196">
        <v>48</v>
      </c>
      <c r="CI196">
        <f t="shared" si="18"/>
        <v>2016</v>
      </c>
      <c r="CJ196" t="str">
        <f t="shared" si="19"/>
        <v>4929_2016</v>
      </c>
    </row>
    <row r="197" spans="1:88" x14ac:dyDescent="0.25">
      <c r="A197" t="s">
        <v>111</v>
      </c>
      <c r="B197" t="s">
        <v>146</v>
      </c>
      <c r="C197">
        <v>4929</v>
      </c>
      <c r="D197">
        <v>-37.543334999999999</v>
      </c>
      <c r="E197">
        <v>143.83072300000001</v>
      </c>
      <c r="F197">
        <v>3</v>
      </c>
      <c r="G197" t="s">
        <v>147</v>
      </c>
      <c r="H197">
        <v>8</v>
      </c>
      <c r="I197">
        <v>188</v>
      </c>
      <c r="J197">
        <v>98</v>
      </c>
      <c r="K197">
        <v>278</v>
      </c>
      <c r="L197">
        <v>264</v>
      </c>
      <c r="M197">
        <v>84</v>
      </c>
      <c r="T197">
        <v>32</v>
      </c>
      <c r="U197">
        <v>63</v>
      </c>
      <c r="Y197">
        <v>7</v>
      </c>
      <c r="Z197">
        <v>760</v>
      </c>
      <c r="AD197">
        <v>46</v>
      </c>
      <c r="AE197">
        <v>349</v>
      </c>
      <c r="AX197">
        <v>95</v>
      </c>
      <c r="AY197">
        <v>53</v>
      </c>
      <c r="AZ197">
        <v>148</v>
      </c>
      <c r="BA197">
        <v>767</v>
      </c>
      <c r="BB197">
        <v>381</v>
      </c>
      <c r="BC197">
        <v>1148</v>
      </c>
      <c r="BD197">
        <v>395</v>
      </c>
      <c r="BE197">
        <v>823</v>
      </c>
      <c r="BF197">
        <v>1218</v>
      </c>
      <c r="BP197">
        <v>307</v>
      </c>
      <c r="BR197">
        <v>668</v>
      </c>
      <c r="BS197">
        <v>104</v>
      </c>
      <c r="BT197">
        <v>123</v>
      </c>
      <c r="BV197">
        <v>55</v>
      </c>
      <c r="BW197">
        <v>1257</v>
      </c>
      <c r="BX197">
        <f>IF(C197=C196,IF((CI197-1)=CI196,BW196,"no data"))</f>
        <v>191</v>
      </c>
      <c r="BY197" s="5">
        <f t="shared" si="15"/>
        <v>5.5811518324607325</v>
      </c>
      <c r="BZ197" s="6">
        <f t="shared" si="12"/>
        <v>5.5811518324607325</v>
      </c>
      <c r="CA197" s="7">
        <v>43051</v>
      </c>
      <c r="CE197">
        <v>397</v>
      </c>
      <c r="CF197">
        <v>341</v>
      </c>
      <c r="CG197">
        <v>289</v>
      </c>
      <c r="CH197">
        <v>230</v>
      </c>
      <c r="CI197">
        <f t="shared" si="18"/>
        <v>2017</v>
      </c>
      <c r="CJ197" t="str">
        <f t="shared" si="19"/>
        <v>4929_2017</v>
      </c>
    </row>
    <row r="198" spans="1:88" x14ac:dyDescent="0.25">
      <c r="A198" t="s">
        <v>111</v>
      </c>
      <c r="B198" t="s">
        <v>146</v>
      </c>
      <c r="C198">
        <v>4931</v>
      </c>
      <c r="D198">
        <v>-37.553699999999999</v>
      </c>
      <c r="E198">
        <v>143.82220000000001</v>
      </c>
      <c r="F198">
        <v>3</v>
      </c>
      <c r="G198" t="s">
        <v>148</v>
      </c>
      <c r="H198">
        <v>10</v>
      </c>
      <c r="I198">
        <v>190</v>
      </c>
      <c r="J198">
        <v>172</v>
      </c>
      <c r="K198">
        <v>352</v>
      </c>
      <c r="L198">
        <v>278</v>
      </c>
      <c r="M198">
        <v>98</v>
      </c>
      <c r="T198">
        <v>419</v>
      </c>
      <c r="U198">
        <v>22</v>
      </c>
      <c r="Y198">
        <v>251</v>
      </c>
      <c r="Z198">
        <v>4</v>
      </c>
      <c r="AD198">
        <v>14</v>
      </c>
      <c r="AE198">
        <v>15</v>
      </c>
      <c r="AX198">
        <v>441</v>
      </c>
      <c r="AY198">
        <v>265</v>
      </c>
      <c r="AZ198">
        <v>706</v>
      </c>
      <c r="BA198">
        <v>255</v>
      </c>
      <c r="BB198">
        <v>434</v>
      </c>
      <c r="BC198">
        <v>689</v>
      </c>
      <c r="BD198">
        <v>29</v>
      </c>
      <c r="BE198">
        <v>26</v>
      </c>
      <c r="BF198">
        <v>55</v>
      </c>
      <c r="BP198">
        <v>175</v>
      </c>
      <c r="BR198">
        <v>378</v>
      </c>
      <c r="BS198">
        <v>97</v>
      </c>
      <c r="BT198">
        <v>62</v>
      </c>
      <c r="BV198">
        <v>13</v>
      </c>
      <c r="BW198">
        <v>725</v>
      </c>
      <c r="BX198" t="s">
        <v>82</v>
      </c>
      <c r="BY198" s="5"/>
      <c r="BZ198" s="6"/>
      <c r="CA198" s="7">
        <v>41588</v>
      </c>
      <c r="CI198">
        <f t="shared" si="18"/>
        <v>2013</v>
      </c>
      <c r="CJ198" t="str">
        <f t="shared" si="19"/>
        <v>4931_2013</v>
      </c>
    </row>
    <row r="199" spans="1:88" x14ac:dyDescent="0.25">
      <c r="A199" t="s">
        <v>111</v>
      </c>
      <c r="B199" t="s">
        <v>146</v>
      </c>
      <c r="C199">
        <v>4931</v>
      </c>
      <c r="D199">
        <v>-37.553699999999999</v>
      </c>
      <c r="E199">
        <v>143.82220000000001</v>
      </c>
      <c r="F199">
        <v>3</v>
      </c>
      <c r="G199" t="s">
        <v>148</v>
      </c>
      <c r="H199">
        <v>10</v>
      </c>
      <c r="I199">
        <v>190</v>
      </c>
      <c r="J199">
        <v>172</v>
      </c>
      <c r="K199">
        <v>352</v>
      </c>
      <c r="L199">
        <v>278</v>
      </c>
      <c r="M199">
        <v>98</v>
      </c>
      <c r="T199">
        <v>641</v>
      </c>
      <c r="U199">
        <v>34</v>
      </c>
      <c r="Y199">
        <v>324</v>
      </c>
      <c r="Z199">
        <v>41</v>
      </c>
      <c r="AD199">
        <v>39</v>
      </c>
      <c r="AE199">
        <v>22</v>
      </c>
      <c r="AX199">
        <v>675</v>
      </c>
      <c r="AY199">
        <v>363</v>
      </c>
      <c r="AZ199">
        <v>1038</v>
      </c>
      <c r="BA199">
        <v>365</v>
      </c>
      <c r="BB199">
        <v>663</v>
      </c>
      <c r="BC199">
        <v>1028</v>
      </c>
      <c r="BD199">
        <v>61</v>
      </c>
      <c r="BE199">
        <v>75</v>
      </c>
      <c r="BF199">
        <v>136</v>
      </c>
      <c r="BP199">
        <v>288</v>
      </c>
      <c r="BR199">
        <v>616</v>
      </c>
      <c r="BS199">
        <v>121</v>
      </c>
      <c r="BT199">
        <v>76</v>
      </c>
      <c r="BV199">
        <v>0</v>
      </c>
      <c r="BW199">
        <v>1101</v>
      </c>
      <c r="BX199">
        <f>IF(C199=C198,IF((CI199-1)=CI198,BW198,"no data"))</f>
        <v>725</v>
      </c>
      <c r="BY199" s="5">
        <f t="shared" si="15"/>
        <v>0.51862068965517238</v>
      </c>
      <c r="BZ199" s="6">
        <f t="shared" ref="BZ199:BZ259" si="20">BY199</f>
        <v>0.51862068965517238</v>
      </c>
      <c r="CA199" s="7">
        <v>41952</v>
      </c>
      <c r="CI199">
        <f t="shared" si="18"/>
        <v>2014</v>
      </c>
      <c r="CJ199" t="str">
        <f t="shared" si="19"/>
        <v>4931_2014</v>
      </c>
    </row>
    <row r="200" spans="1:88" x14ac:dyDescent="0.25">
      <c r="A200" t="s">
        <v>111</v>
      </c>
      <c r="B200" t="s">
        <v>146</v>
      </c>
      <c r="C200">
        <v>4931</v>
      </c>
      <c r="D200">
        <v>-37.553699999999999</v>
      </c>
      <c r="E200">
        <v>143.82220000000001</v>
      </c>
      <c r="F200">
        <v>3</v>
      </c>
      <c r="G200" t="s">
        <v>148</v>
      </c>
      <c r="H200">
        <v>10</v>
      </c>
      <c r="I200">
        <v>190</v>
      </c>
      <c r="J200">
        <v>172</v>
      </c>
      <c r="K200">
        <v>352</v>
      </c>
      <c r="L200">
        <v>278</v>
      </c>
      <c r="M200">
        <v>98</v>
      </c>
      <c r="T200">
        <v>846</v>
      </c>
      <c r="U200">
        <v>79</v>
      </c>
      <c r="Y200">
        <v>493</v>
      </c>
      <c r="Z200">
        <v>60</v>
      </c>
      <c r="AD200">
        <v>62</v>
      </c>
      <c r="AE200">
        <v>65</v>
      </c>
      <c r="AX200">
        <v>925</v>
      </c>
      <c r="AY200">
        <v>555</v>
      </c>
      <c r="AZ200">
        <v>1480</v>
      </c>
      <c r="BA200">
        <v>553</v>
      </c>
      <c r="BB200">
        <v>911</v>
      </c>
      <c r="BC200">
        <v>1464</v>
      </c>
      <c r="BD200">
        <v>127</v>
      </c>
      <c r="BE200">
        <v>139</v>
      </c>
      <c r="BF200">
        <v>266</v>
      </c>
      <c r="BP200">
        <v>330</v>
      </c>
      <c r="BR200">
        <v>570</v>
      </c>
      <c r="BS200">
        <v>119</v>
      </c>
      <c r="BT200">
        <v>101</v>
      </c>
      <c r="BV200">
        <v>485</v>
      </c>
      <c r="BW200">
        <v>1605</v>
      </c>
      <c r="BX200">
        <f>IF(C200=C199,IF((CI200-1)=CI199,BW199,"no data"))</f>
        <v>1101</v>
      </c>
      <c r="BY200" s="5">
        <f t="shared" si="15"/>
        <v>0.45776566757493187</v>
      </c>
      <c r="BZ200" s="6">
        <f t="shared" si="20"/>
        <v>0.45776566757493187</v>
      </c>
      <c r="CA200" s="7">
        <v>42316</v>
      </c>
      <c r="CE200">
        <v>468</v>
      </c>
      <c r="CF200">
        <v>473</v>
      </c>
      <c r="CG200">
        <v>343</v>
      </c>
      <c r="CH200">
        <v>321</v>
      </c>
      <c r="CI200">
        <f t="shared" si="18"/>
        <v>2015</v>
      </c>
      <c r="CJ200" t="str">
        <f t="shared" si="19"/>
        <v>4931_2015</v>
      </c>
    </row>
    <row r="201" spans="1:88" x14ac:dyDescent="0.25">
      <c r="A201" t="s">
        <v>111</v>
      </c>
      <c r="B201" t="s">
        <v>146</v>
      </c>
      <c r="C201">
        <v>4931</v>
      </c>
      <c r="D201">
        <v>-37.553671999999999</v>
      </c>
      <c r="E201">
        <v>143.82220699999999</v>
      </c>
      <c r="F201">
        <v>3</v>
      </c>
      <c r="G201" t="s">
        <v>148</v>
      </c>
      <c r="H201">
        <v>10</v>
      </c>
      <c r="I201">
        <v>190</v>
      </c>
      <c r="J201">
        <v>172</v>
      </c>
      <c r="K201">
        <v>352</v>
      </c>
      <c r="L201">
        <v>278</v>
      </c>
      <c r="M201">
        <v>98</v>
      </c>
      <c r="T201">
        <v>139</v>
      </c>
      <c r="U201">
        <v>8</v>
      </c>
      <c r="Y201">
        <v>56</v>
      </c>
      <c r="Z201">
        <v>4</v>
      </c>
      <c r="AD201">
        <v>6</v>
      </c>
      <c r="AE201">
        <v>3</v>
      </c>
      <c r="AX201">
        <v>147</v>
      </c>
      <c r="AY201">
        <v>62</v>
      </c>
      <c r="AZ201">
        <v>209</v>
      </c>
      <c r="BA201">
        <v>60</v>
      </c>
      <c r="BB201">
        <v>142</v>
      </c>
      <c r="BC201">
        <v>202</v>
      </c>
      <c r="BD201">
        <v>9</v>
      </c>
      <c r="BE201">
        <v>12</v>
      </c>
      <c r="BF201">
        <v>21</v>
      </c>
      <c r="BP201">
        <v>50</v>
      </c>
      <c r="BR201">
        <v>94</v>
      </c>
      <c r="BS201">
        <v>53</v>
      </c>
      <c r="BT201">
        <v>13</v>
      </c>
      <c r="BV201">
        <v>6</v>
      </c>
      <c r="BW201">
        <v>216</v>
      </c>
      <c r="BX201">
        <f>IF(C201=C200,IF((CI201-1)=CI200,BW200,"no data"))</f>
        <v>1605</v>
      </c>
      <c r="BY201" s="5">
        <f t="shared" si="15"/>
        <v>-0.8654205607476636</v>
      </c>
      <c r="BZ201" s="6">
        <f t="shared" si="20"/>
        <v>-0.8654205607476636</v>
      </c>
      <c r="CA201" s="7">
        <v>42687</v>
      </c>
      <c r="CE201">
        <v>73</v>
      </c>
      <c r="CF201">
        <v>26</v>
      </c>
      <c r="CG201">
        <v>60</v>
      </c>
      <c r="CH201">
        <v>57</v>
      </c>
      <c r="CI201">
        <f t="shared" si="18"/>
        <v>2016</v>
      </c>
      <c r="CJ201" t="str">
        <f t="shared" si="19"/>
        <v>4931_2016</v>
      </c>
    </row>
    <row r="202" spans="1:88" x14ac:dyDescent="0.25">
      <c r="A202" t="s">
        <v>111</v>
      </c>
      <c r="B202" t="s">
        <v>146</v>
      </c>
      <c r="C202">
        <v>4931</v>
      </c>
      <c r="D202">
        <v>-37.553671999999999</v>
      </c>
      <c r="E202">
        <v>143.82220699999999</v>
      </c>
      <c r="F202">
        <v>3</v>
      </c>
      <c r="G202" t="s">
        <v>148</v>
      </c>
      <c r="H202">
        <v>10</v>
      </c>
      <c r="I202">
        <v>190</v>
      </c>
      <c r="J202">
        <v>172</v>
      </c>
      <c r="K202">
        <v>352</v>
      </c>
      <c r="L202">
        <v>278</v>
      </c>
      <c r="M202">
        <v>98</v>
      </c>
      <c r="T202">
        <v>705</v>
      </c>
      <c r="U202">
        <v>28</v>
      </c>
      <c r="Y202">
        <v>337</v>
      </c>
      <c r="Z202">
        <v>10</v>
      </c>
      <c r="AD202">
        <v>26</v>
      </c>
      <c r="AE202">
        <v>6</v>
      </c>
      <c r="AX202">
        <v>733</v>
      </c>
      <c r="AY202">
        <v>363</v>
      </c>
      <c r="AZ202">
        <v>1096</v>
      </c>
      <c r="BA202">
        <v>347</v>
      </c>
      <c r="BB202">
        <v>711</v>
      </c>
      <c r="BC202">
        <v>1058</v>
      </c>
      <c r="BD202">
        <v>32</v>
      </c>
      <c r="BE202">
        <v>38</v>
      </c>
      <c r="BF202">
        <v>70</v>
      </c>
      <c r="BP202">
        <v>287</v>
      </c>
      <c r="BR202">
        <v>596</v>
      </c>
      <c r="BS202">
        <v>97</v>
      </c>
      <c r="BT202">
        <v>79</v>
      </c>
      <c r="BV202">
        <v>53</v>
      </c>
      <c r="BW202">
        <v>1112</v>
      </c>
      <c r="BX202">
        <f>IF(C202=C201,IF((CI202-1)=CI201,BW201,"no data"))</f>
        <v>216</v>
      </c>
      <c r="BY202" s="5">
        <f t="shared" si="15"/>
        <v>4.1481481481481479</v>
      </c>
      <c r="BZ202" s="6">
        <f t="shared" si="20"/>
        <v>4.1481481481481479</v>
      </c>
      <c r="CA202" s="7">
        <v>43051</v>
      </c>
      <c r="CE202">
        <v>290</v>
      </c>
      <c r="CF202">
        <v>322</v>
      </c>
      <c r="CG202">
        <v>287</v>
      </c>
      <c r="CH202">
        <v>213</v>
      </c>
      <c r="CI202">
        <f t="shared" si="18"/>
        <v>2017</v>
      </c>
      <c r="CJ202" t="str">
        <f t="shared" si="19"/>
        <v>4931_2017</v>
      </c>
    </row>
    <row r="203" spans="1:88" x14ac:dyDescent="0.25">
      <c r="A203" t="s">
        <v>111</v>
      </c>
      <c r="B203" t="s">
        <v>146</v>
      </c>
      <c r="C203">
        <v>4936</v>
      </c>
      <c r="D203">
        <v>-37.5565</v>
      </c>
      <c r="E203">
        <v>143.86500000000001</v>
      </c>
      <c r="F203">
        <v>5</v>
      </c>
      <c r="G203" t="s">
        <v>149</v>
      </c>
      <c r="H203">
        <v>8</v>
      </c>
      <c r="I203">
        <v>188</v>
      </c>
      <c r="J203">
        <v>71</v>
      </c>
      <c r="K203">
        <v>251</v>
      </c>
      <c r="L203">
        <v>146</v>
      </c>
      <c r="M203">
        <v>326</v>
      </c>
      <c r="N203">
        <v>189</v>
      </c>
      <c r="O203">
        <v>9</v>
      </c>
      <c r="P203">
        <v>320</v>
      </c>
      <c r="Q203">
        <v>140</v>
      </c>
      <c r="T203">
        <v>0</v>
      </c>
      <c r="U203">
        <v>3</v>
      </c>
      <c r="V203">
        <v>13</v>
      </c>
      <c r="W203">
        <v>1</v>
      </c>
      <c r="Y203">
        <v>0</v>
      </c>
      <c r="Z203">
        <v>2</v>
      </c>
      <c r="AA203">
        <v>4</v>
      </c>
      <c r="AB203">
        <v>1</v>
      </c>
      <c r="AD203">
        <v>0</v>
      </c>
      <c r="AE203">
        <v>0</v>
      </c>
      <c r="AF203">
        <v>8</v>
      </c>
      <c r="AG203">
        <v>2</v>
      </c>
      <c r="AI203">
        <v>10</v>
      </c>
      <c r="AJ203">
        <v>6</v>
      </c>
      <c r="AK203">
        <v>1</v>
      </c>
      <c r="AL203">
        <v>1</v>
      </c>
      <c r="AN203">
        <v>0</v>
      </c>
      <c r="AO203">
        <v>6</v>
      </c>
      <c r="AP203">
        <v>2</v>
      </c>
      <c r="AQ203">
        <v>3</v>
      </c>
      <c r="AX203">
        <v>17</v>
      </c>
      <c r="AY203">
        <v>10</v>
      </c>
      <c r="AZ203">
        <v>27</v>
      </c>
      <c r="BA203">
        <v>7</v>
      </c>
      <c r="BB203">
        <v>12</v>
      </c>
      <c r="BC203">
        <v>19</v>
      </c>
      <c r="BD203">
        <v>10</v>
      </c>
      <c r="BE203">
        <v>8</v>
      </c>
      <c r="BF203">
        <v>18</v>
      </c>
      <c r="BG203">
        <v>18</v>
      </c>
      <c r="BH203">
        <v>28</v>
      </c>
      <c r="BI203">
        <v>46</v>
      </c>
      <c r="BJ203">
        <v>11</v>
      </c>
      <c r="BK203">
        <v>5</v>
      </c>
      <c r="BL203">
        <v>16</v>
      </c>
      <c r="BP203">
        <v>15</v>
      </c>
      <c r="BR203">
        <v>35</v>
      </c>
      <c r="BS203">
        <v>9</v>
      </c>
      <c r="BT203">
        <v>4</v>
      </c>
      <c r="BV203">
        <v>0</v>
      </c>
      <c r="BW203">
        <v>63</v>
      </c>
      <c r="BX203" t="s">
        <v>82</v>
      </c>
      <c r="BY203" s="5"/>
      <c r="BZ203" s="6"/>
      <c r="CA203" s="7">
        <v>41588</v>
      </c>
      <c r="CI203">
        <f t="shared" si="18"/>
        <v>2013</v>
      </c>
      <c r="CJ203" t="str">
        <f t="shared" si="19"/>
        <v>4936_2013</v>
      </c>
    </row>
    <row r="204" spans="1:88" x14ac:dyDescent="0.25">
      <c r="A204" t="s">
        <v>111</v>
      </c>
      <c r="B204" t="s">
        <v>146</v>
      </c>
      <c r="C204">
        <v>4936</v>
      </c>
      <c r="D204">
        <v>-37.5565</v>
      </c>
      <c r="E204">
        <v>143.86500000000001</v>
      </c>
      <c r="F204">
        <v>5</v>
      </c>
      <c r="G204" t="s">
        <v>149</v>
      </c>
      <c r="H204">
        <v>8</v>
      </c>
      <c r="I204">
        <v>188</v>
      </c>
      <c r="J204">
        <v>71</v>
      </c>
      <c r="K204">
        <v>251</v>
      </c>
      <c r="L204">
        <v>146</v>
      </c>
      <c r="M204">
        <v>326</v>
      </c>
      <c r="N204">
        <v>189</v>
      </c>
      <c r="O204">
        <v>9</v>
      </c>
      <c r="P204">
        <v>320</v>
      </c>
      <c r="Q204">
        <v>140</v>
      </c>
      <c r="T204">
        <v>4</v>
      </c>
      <c r="U204">
        <v>5</v>
      </c>
      <c r="V204">
        <v>25</v>
      </c>
      <c r="W204">
        <v>0</v>
      </c>
      <c r="Y204">
        <v>5</v>
      </c>
      <c r="Z204">
        <v>0</v>
      </c>
      <c r="AA204">
        <v>10</v>
      </c>
      <c r="AB204">
        <v>3</v>
      </c>
      <c r="AD204">
        <v>7</v>
      </c>
      <c r="AE204">
        <v>0</v>
      </c>
      <c r="AF204">
        <v>6</v>
      </c>
      <c r="AG204">
        <v>5</v>
      </c>
      <c r="AI204">
        <v>21</v>
      </c>
      <c r="AJ204">
        <v>5</v>
      </c>
      <c r="AK204">
        <v>4</v>
      </c>
      <c r="AL204">
        <v>2</v>
      </c>
      <c r="AN204">
        <v>0</v>
      </c>
      <c r="AO204">
        <v>7</v>
      </c>
      <c r="AP204">
        <v>3</v>
      </c>
      <c r="AQ204">
        <v>3</v>
      </c>
      <c r="AX204">
        <v>34</v>
      </c>
      <c r="AY204">
        <v>33</v>
      </c>
      <c r="AZ204">
        <v>67</v>
      </c>
      <c r="BA204">
        <v>18</v>
      </c>
      <c r="BB204">
        <v>16</v>
      </c>
      <c r="BC204">
        <v>34</v>
      </c>
      <c r="BD204">
        <v>18</v>
      </c>
      <c r="BE204">
        <v>12</v>
      </c>
      <c r="BF204">
        <v>30</v>
      </c>
      <c r="BG204">
        <v>32</v>
      </c>
      <c r="BH204">
        <v>44</v>
      </c>
      <c r="BI204">
        <v>76</v>
      </c>
      <c r="BJ204">
        <v>13</v>
      </c>
      <c r="BK204">
        <v>10</v>
      </c>
      <c r="BL204">
        <v>23</v>
      </c>
      <c r="BP204">
        <v>34</v>
      </c>
      <c r="BR204">
        <v>63</v>
      </c>
      <c r="BS204">
        <v>5</v>
      </c>
      <c r="BT204">
        <v>11</v>
      </c>
      <c r="BV204">
        <v>2</v>
      </c>
      <c r="BW204">
        <v>115</v>
      </c>
      <c r="BX204">
        <f>IF(C204=C203,IF((CI204-1)=CI203,BW203,"no data"))</f>
        <v>63</v>
      </c>
      <c r="BY204" s="5">
        <f t="shared" si="15"/>
        <v>0.82539682539682535</v>
      </c>
      <c r="BZ204" s="6">
        <f t="shared" si="20"/>
        <v>0.82539682539682535</v>
      </c>
      <c r="CA204" s="7">
        <v>41952</v>
      </c>
      <c r="CI204">
        <f t="shared" si="18"/>
        <v>2014</v>
      </c>
      <c r="CJ204" t="str">
        <f t="shared" si="19"/>
        <v>4936_2014</v>
      </c>
    </row>
    <row r="205" spans="1:88" x14ac:dyDescent="0.25">
      <c r="A205" t="s">
        <v>111</v>
      </c>
      <c r="B205" t="s">
        <v>146</v>
      </c>
      <c r="C205">
        <v>4936</v>
      </c>
      <c r="D205">
        <v>-37.5565</v>
      </c>
      <c r="E205">
        <v>143.86500000000001</v>
      </c>
      <c r="F205">
        <v>5</v>
      </c>
      <c r="G205" t="s">
        <v>149</v>
      </c>
      <c r="H205">
        <v>8</v>
      </c>
      <c r="I205">
        <v>188</v>
      </c>
      <c r="J205">
        <v>71</v>
      </c>
      <c r="K205">
        <v>251</v>
      </c>
      <c r="L205">
        <v>146</v>
      </c>
      <c r="M205">
        <v>326</v>
      </c>
      <c r="N205">
        <v>189</v>
      </c>
      <c r="O205">
        <v>9</v>
      </c>
      <c r="P205">
        <v>320</v>
      </c>
      <c r="Q205">
        <v>140</v>
      </c>
      <c r="T205">
        <v>9</v>
      </c>
      <c r="U205">
        <v>4</v>
      </c>
      <c r="V205">
        <v>20</v>
      </c>
      <c r="W205">
        <v>2</v>
      </c>
      <c r="Y205">
        <v>5</v>
      </c>
      <c r="Z205">
        <v>0</v>
      </c>
      <c r="AA205">
        <v>6</v>
      </c>
      <c r="AB205">
        <v>4</v>
      </c>
      <c r="AD205">
        <v>2</v>
      </c>
      <c r="AE205">
        <v>0</v>
      </c>
      <c r="AF205">
        <v>7</v>
      </c>
      <c r="AG205">
        <v>3</v>
      </c>
      <c r="AI205">
        <v>15</v>
      </c>
      <c r="AJ205">
        <v>4</v>
      </c>
      <c r="AK205">
        <v>13</v>
      </c>
      <c r="AL205">
        <v>1</v>
      </c>
      <c r="AN205">
        <v>5</v>
      </c>
      <c r="AO205">
        <v>7</v>
      </c>
      <c r="AP205">
        <v>0</v>
      </c>
      <c r="AQ205">
        <v>3</v>
      </c>
      <c r="AX205">
        <v>35</v>
      </c>
      <c r="AY205">
        <v>27</v>
      </c>
      <c r="AZ205">
        <v>62</v>
      </c>
      <c r="BA205">
        <v>15</v>
      </c>
      <c r="BB205">
        <v>20</v>
      </c>
      <c r="BC205">
        <v>35</v>
      </c>
      <c r="BD205">
        <v>12</v>
      </c>
      <c r="BE205">
        <v>17</v>
      </c>
      <c r="BF205">
        <v>29</v>
      </c>
      <c r="BG205">
        <v>33</v>
      </c>
      <c r="BH205">
        <v>36</v>
      </c>
      <c r="BI205">
        <v>69</v>
      </c>
      <c r="BJ205">
        <v>15</v>
      </c>
      <c r="BK205">
        <v>10</v>
      </c>
      <c r="BL205">
        <v>25</v>
      </c>
      <c r="BP205">
        <v>32</v>
      </c>
      <c r="BR205">
        <v>59</v>
      </c>
      <c r="BS205">
        <v>4</v>
      </c>
      <c r="BT205">
        <v>12</v>
      </c>
      <c r="BV205">
        <v>3</v>
      </c>
      <c r="BW205">
        <v>110</v>
      </c>
      <c r="BX205">
        <f>IF(C205=C204,IF((CI205-1)=CI204,BW204,"no data"))</f>
        <v>115</v>
      </c>
      <c r="BY205" s="5">
        <f t="shared" si="15"/>
        <v>-4.3478260869565216E-2</v>
      </c>
      <c r="BZ205" s="6">
        <f t="shared" si="20"/>
        <v>-4.3478260869565216E-2</v>
      </c>
      <c r="CA205" s="7">
        <v>42316</v>
      </c>
      <c r="CE205">
        <v>14</v>
      </c>
      <c r="CF205">
        <v>54</v>
      </c>
      <c r="CG205">
        <v>21</v>
      </c>
      <c r="CH205">
        <v>21</v>
      </c>
      <c r="CI205">
        <f t="shared" si="18"/>
        <v>2015</v>
      </c>
      <c r="CJ205" t="str">
        <f t="shared" si="19"/>
        <v>4936_2015</v>
      </c>
    </row>
    <row r="206" spans="1:88" x14ac:dyDescent="0.25">
      <c r="A206" t="s">
        <v>111</v>
      </c>
      <c r="B206" t="s">
        <v>146</v>
      </c>
      <c r="C206">
        <v>4936</v>
      </c>
      <c r="D206">
        <v>-37.556544000000002</v>
      </c>
      <c r="E206">
        <v>143.86497</v>
      </c>
      <c r="F206">
        <v>5</v>
      </c>
      <c r="G206" t="s">
        <v>149</v>
      </c>
      <c r="H206">
        <v>8</v>
      </c>
      <c r="I206">
        <v>188</v>
      </c>
      <c r="J206">
        <v>71</v>
      </c>
      <c r="K206">
        <v>251</v>
      </c>
      <c r="L206">
        <v>146</v>
      </c>
      <c r="M206">
        <v>326</v>
      </c>
      <c r="N206">
        <v>189</v>
      </c>
      <c r="O206">
        <v>9</v>
      </c>
      <c r="P206">
        <v>320</v>
      </c>
      <c r="Q206">
        <v>140</v>
      </c>
      <c r="T206">
        <v>0</v>
      </c>
      <c r="U206">
        <v>1</v>
      </c>
      <c r="V206">
        <v>12</v>
      </c>
      <c r="W206">
        <v>0</v>
      </c>
      <c r="Y206">
        <v>0</v>
      </c>
      <c r="Z206">
        <v>0</v>
      </c>
      <c r="AA206">
        <v>1</v>
      </c>
      <c r="AB206">
        <v>9</v>
      </c>
      <c r="AD206">
        <v>1</v>
      </c>
      <c r="AE206">
        <v>0</v>
      </c>
      <c r="AF206">
        <v>2</v>
      </c>
      <c r="AG206">
        <v>6</v>
      </c>
      <c r="AI206">
        <v>7</v>
      </c>
      <c r="AJ206">
        <v>2</v>
      </c>
      <c r="AK206">
        <v>0</v>
      </c>
      <c r="AL206">
        <v>1</v>
      </c>
      <c r="AN206">
        <v>0</v>
      </c>
      <c r="AO206">
        <v>0</v>
      </c>
      <c r="AP206">
        <v>9</v>
      </c>
      <c r="AQ206">
        <v>1</v>
      </c>
      <c r="AX206">
        <v>13</v>
      </c>
      <c r="AY206">
        <v>8</v>
      </c>
      <c r="AZ206">
        <v>21</v>
      </c>
      <c r="BA206">
        <v>10</v>
      </c>
      <c r="BB206">
        <v>2</v>
      </c>
      <c r="BC206">
        <v>12</v>
      </c>
      <c r="BD206">
        <v>9</v>
      </c>
      <c r="BE206">
        <v>10</v>
      </c>
      <c r="BF206">
        <v>19</v>
      </c>
      <c r="BG206">
        <v>10</v>
      </c>
      <c r="BH206">
        <v>16</v>
      </c>
      <c r="BI206">
        <v>26</v>
      </c>
      <c r="BJ206">
        <v>10</v>
      </c>
      <c r="BK206">
        <v>16</v>
      </c>
      <c r="BL206">
        <v>26</v>
      </c>
      <c r="BP206">
        <v>3</v>
      </c>
      <c r="BR206">
        <v>41</v>
      </c>
      <c r="BS206">
        <v>3</v>
      </c>
      <c r="BT206">
        <v>5</v>
      </c>
      <c r="BV206">
        <v>0</v>
      </c>
      <c r="BW206">
        <v>52</v>
      </c>
      <c r="BX206">
        <f>IF(C206=C205,IF((CI206-1)=CI205,BW205,"no data"))</f>
        <v>110</v>
      </c>
      <c r="BY206" s="5">
        <f t="shared" si="15"/>
        <v>-0.52727272727272723</v>
      </c>
      <c r="BZ206" s="6">
        <f t="shared" si="20"/>
        <v>-0.52727272727272723</v>
      </c>
      <c r="CA206" s="7">
        <v>42687</v>
      </c>
      <c r="CE206">
        <v>23</v>
      </c>
      <c r="CF206">
        <v>12</v>
      </c>
      <c r="CG206">
        <v>12</v>
      </c>
      <c r="CH206">
        <v>5</v>
      </c>
      <c r="CI206">
        <f t="shared" si="18"/>
        <v>2016</v>
      </c>
      <c r="CJ206" t="str">
        <f t="shared" si="19"/>
        <v>4936_2016</v>
      </c>
    </row>
    <row r="207" spans="1:88" x14ac:dyDescent="0.25">
      <c r="A207" t="s">
        <v>111</v>
      </c>
      <c r="B207" t="s">
        <v>146</v>
      </c>
      <c r="C207">
        <v>4936</v>
      </c>
      <c r="D207">
        <v>-37.556544000000002</v>
      </c>
      <c r="E207">
        <v>143.86497</v>
      </c>
      <c r="F207">
        <v>5</v>
      </c>
      <c r="G207" t="s">
        <v>149</v>
      </c>
      <c r="H207">
        <v>8</v>
      </c>
      <c r="I207">
        <v>188</v>
      </c>
      <c r="J207">
        <v>71</v>
      </c>
      <c r="K207">
        <v>251</v>
      </c>
      <c r="L207">
        <v>146</v>
      </c>
      <c r="M207">
        <v>326</v>
      </c>
      <c r="N207">
        <v>189</v>
      </c>
      <c r="O207">
        <v>9</v>
      </c>
      <c r="P207">
        <v>320</v>
      </c>
      <c r="Q207">
        <v>140</v>
      </c>
      <c r="T207">
        <v>4</v>
      </c>
      <c r="U207">
        <v>5</v>
      </c>
      <c r="V207">
        <v>17</v>
      </c>
      <c r="W207">
        <v>0</v>
      </c>
      <c r="Y207">
        <v>8</v>
      </c>
      <c r="Z207">
        <v>1</v>
      </c>
      <c r="AA207">
        <v>7</v>
      </c>
      <c r="AB207">
        <v>7</v>
      </c>
      <c r="AD207">
        <v>4</v>
      </c>
      <c r="AE207">
        <v>0</v>
      </c>
      <c r="AF207">
        <v>16</v>
      </c>
      <c r="AG207">
        <v>7</v>
      </c>
      <c r="AI207">
        <v>29</v>
      </c>
      <c r="AJ207">
        <v>2</v>
      </c>
      <c r="AK207">
        <v>7</v>
      </c>
      <c r="AL207">
        <v>5</v>
      </c>
      <c r="AN207">
        <v>0</v>
      </c>
      <c r="AO207">
        <v>5</v>
      </c>
      <c r="AP207">
        <v>7</v>
      </c>
      <c r="AQ207">
        <v>7</v>
      </c>
      <c r="AX207">
        <v>26</v>
      </c>
      <c r="AY207">
        <v>41</v>
      </c>
      <c r="AZ207">
        <v>67</v>
      </c>
      <c r="BA207">
        <v>23</v>
      </c>
      <c r="BB207">
        <v>11</v>
      </c>
      <c r="BC207">
        <v>34</v>
      </c>
      <c r="BD207">
        <v>27</v>
      </c>
      <c r="BE207">
        <v>20</v>
      </c>
      <c r="BF207">
        <v>47</v>
      </c>
      <c r="BG207">
        <v>43</v>
      </c>
      <c r="BH207">
        <v>47</v>
      </c>
      <c r="BI207">
        <v>90</v>
      </c>
      <c r="BJ207">
        <v>19</v>
      </c>
      <c r="BK207">
        <v>19</v>
      </c>
      <c r="BL207">
        <v>38</v>
      </c>
      <c r="BP207">
        <v>41</v>
      </c>
      <c r="BR207">
        <v>70</v>
      </c>
      <c r="BS207">
        <v>8</v>
      </c>
      <c r="BT207">
        <v>14</v>
      </c>
      <c r="BV207">
        <v>5</v>
      </c>
      <c r="BW207">
        <v>138</v>
      </c>
      <c r="BX207">
        <f>IF(C207=C206,IF((CI207-1)=CI206,BW206,"no data"))</f>
        <v>52</v>
      </c>
      <c r="BY207" s="5">
        <f t="shared" si="15"/>
        <v>1.6538461538461537</v>
      </c>
      <c r="BZ207" s="6">
        <f t="shared" si="20"/>
        <v>1.6538461538461537</v>
      </c>
      <c r="CA207" s="7">
        <v>43051</v>
      </c>
      <c r="CE207">
        <v>35</v>
      </c>
      <c r="CF207">
        <v>28</v>
      </c>
      <c r="CG207">
        <v>41</v>
      </c>
      <c r="CH207">
        <v>34</v>
      </c>
      <c r="CI207">
        <f t="shared" si="18"/>
        <v>2017</v>
      </c>
      <c r="CJ207" t="str">
        <f t="shared" si="19"/>
        <v>4936_2017</v>
      </c>
    </row>
    <row r="208" spans="1:88" x14ac:dyDescent="0.25">
      <c r="A208" t="s">
        <v>111</v>
      </c>
      <c r="B208" t="s">
        <v>146</v>
      </c>
      <c r="C208">
        <v>4938</v>
      </c>
      <c r="D208">
        <v>-37.566800000000001</v>
      </c>
      <c r="E208">
        <v>143.86580000000001</v>
      </c>
      <c r="F208">
        <v>5</v>
      </c>
      <c r="G208" t="s">
        <v>150</v>
      </c>
      <c r="H208">
        <v>34</v>
      </c>
      <c r="I208">
        <v>214</v>
      </c>
      <c r="J208">
        <v>132</v>
      </c>
      <c r="K208">
        <v>312</v>
      </c>
      <c r="L208">
        <v>219</v>
      </c>
      <c r="M208">
        <v>39</v>
      </c>
      <c r="N208">
        <v>282</v>
      </c>
      <c r="O208">
        <v>102</v>
      </c>
      <c r="P208">
        <v>299</v>
      </c>
      <c r="Q208">
        <v>119</v>
      </c>
      <c r="T208">
        <v>3</v>
      </c>
      <c r="U208">
        <v>5</v>
      </c>
      <c r="V208">
        <v>0</v>
      </c>
      <c r="W208">
        <v>1</v>
      </c>
      <c r="Y208">
        <v>0</v>
      </c>
      <c r="Z208">
        <v>6</v>
      </c>
      <c r="AA208">
        <v>3</v>
      </c>
      <c r="AB208">
        <v>14</v>
      </c>
      <c r="AD208">
        <v>8</v>
      </c>
      <c r="AE208">
        <v>5</v>
      </c>
      <c r="AF208">
        <v>3</v>
      </c>
      <c r="AG208">
        <v>0</v>
      </c>
      <c r="AI208">
        <v>1</v>
      </c>
      <c r="AJ208">
        <v>2</v>
      </c>
      <c r="AK208">
        <v>4</v>
      </c>
      <c r="AL208">
        <v>2</v>
      </c>
      <c r="AN208">
        <v>7</v>
      </c>
      <c r="AO208">
        <v>5</v>
      </c>
      <c r="AP208">
        <v>0</v>
      </c>
      <c r="AQ208">
        <v>2</v>
      </c>
      <c r="AX208">
        <v>9</v>
      </c>
      <c r="AY208">
        <v>16</v>
      </c>
      <c r="AZ208">
        <v>25</v>
      </c>
      <c r="BA208">
        <v>23</v>
      </c>
      <c r="BB208">
        <v>15</v>
      </c>
      <c r="BC208">
        <v>38</v>
      </c>
      <c r="BD208">
        <v>16</v>
      </c>
      <c r="BE208">
        <v>15</v>
      </c>
      <c r="BF208">
        <v>31</v>
      </c>
      <c r="BG208">
        <v>9</v>
      </c>
      <c r="BH208">
        <v>8</v>
      </c>
      <c r="BI208">
        <v>17</v>
      </c>
      <c r="BJ208">
        <v>14</v>
      </c>
      <c r="BK208">
        <v>17</v>
      </c>
      <c r="BL208">
        <v>31</v>
      </c>
      <c r="BP208">
        <v>19</v>
      </c>
      <c r="BR208">
        <v>26</v>
      </c>
      <c r="BS208">
        <v>11</v>
      </c>
      <c r="BT208">
        <v>15</v>
      </c>
      <c r="BV208">
        <v>0</v>
      </c>
      <c r="BW208">
        <v>71</v>
      </c>
      <c r="BX208" t="s">
        <v>82</v>
      </c>
      <c r="BY208" s="5"/>
      <c r="BZ208" s="6"/>
      <c r="CA208" s="7">
        <v>41588</v>
      </c>
      <c r="CI208">
        <f t="shared" si="18"/>
        <v>2013</v>
      </c>
      <c r="CJ208" t="str">
        <f t="shared" si="19"/>
        <v>4938_2013</v>
      </c>
    </row>
    <row r="209" spans="1:88" x14ac:dyDescent="0.25">
      <c r="A209" t="s">
        <v>111</v>
      </c>
      <c r="B209" t="s">
        <v>146</v>
      </c>
      <c r="C209">
        <v>4938</v>
      </c>
      <c r="D209">
        <v>-37.566800000000001</v>
      </c>
      <c r="E209">
        <v>143.86580000000001</v>
      </c>
      <c r="F209">
        <v>5</v>
      </c>
      <c r="G209" t="s">
        <v>150</v>
      </c>
      <c r="H209">
        <v>34</v>
      </c>
      <c r="I209">
        <v>214</v>
      </c>
      <c r="J209">
        <v>132</v>
      </c>
      <c r="K209">
        <v>312</v>
      </c>
      <c r="L209">
        <v>219</v>
      </c>
      <c r="M209">
        <v>39</v>
      </c>
      <c r="N209">
        <v>282</v>
      </c>
      <c r="O209">
        <v>102</v>
      </c>
      <c r="P209">
        <v>299</v>
      </c>
      <c r="Q209">
        <v>119</v>
      </c>
      <c r="T209">
        <v>5</v>
      </c>
      <c r="U209">
        <v>9</v>
      </c>
      <c r="V209">
        <v>1</v>
      </c>
      <c r="W209">
        <v>1</v>
      </c>
      <c r="Y209">
        <v>2</v>
      </c>
      <c r="Z209">
        <v>2</v>
      </c>
      <c r="AA209">
        <v>0</v>
      </c>
      <c r="AB209">
        <v>7</v>
      </c>
      <c r="AD209">
        <v>18</v>
      </c>
      <c r="AE209">
        <v>5</v>
      </c>
      <c r="AF209">
        <v>6</v>
      </c>
      <c r="AG209">
        <v>0</v>
      </c>
      <c r="AI209">
        <v>2</v>
      </c>
      <c r="AJ209">
        <v>2</v>
      </c>
      <c r="AK209">
        <v>4</v>
      </c>
      <c r="AL209">
        <v>5</v>
      </c>
      <c r="AN209">
        <v>3</v>
      </c>
      <c r="AO209">
        <v>4</v>
      </c>
      <c r="AP209">
        <v>0</v>
      </c>
      <c r="AQ209">
        <v>2</v>
      </c>
      <c r="AX209">
        <v>16</v>
      </c>
      <c r="AY209">
        <v>25</v>
      </c>
      <c r="AZ209">
        <v>41</v>
      </c>
      <c r="BA209">
        <v>11</v>
      </c>
      <c r="BB209">
        <v>16</v>
      </c>
      <c r="BC209">
        <v>27</v>
      </c>
      <c r="BD209">
        <v>29</v>
      </c>
      <c r="BE209">
        <v>15</v>
      </c>
      <c r="BF209">
        <v>44</v>
      </c>
      <c r="BG209">
        <v>13</v>
      </c>
      <c r="BH209">
        <v>9</v>
      </c>
      <c r="BI209">
        <v>22</v>
      </c>
      <c r="BJ209">
        <v>9</v>
      </c>
      <c r="BK209">
        <v>13</v>
      </c>
      <c r="BL209">
        <v>22</v>
      </c>
      <c r="BP209">
        <v>18</v>
      </c>
      <c r="BR209">
        <v>37</v>
      </c>
      <c r="BS209">
        <v>8</v>
      </c>
      <c r="BT209">
        <v>12</v>
      </c>
      <c r="BV209">
        <v>3</v>
      </c>
      <c r="BW209">
        <v>78</v>
      </c>
      <c r="BX209">
        <f>IF(C209=C208,IF((CI209-1)=CI208,BW208,"no data"))</f>
        <v>71</v>
      </c>
      <c r="BY209" s="5">
        <f t="shared" si="15"/>
        <v>9.8591549295774641E-2</v>
      </c>
      <c r="BZ209" s="6">
        <f t="shared" si="20"/>
        <v>9.8591549295774641E-2</v>
      </c>
      <c r="CA209" s="7">
        <v>41952</v>
      </c>
      <c r="CI209">
        <f t="shared" si="18"/>
        <v>2014</v>
      </c>
      <c r="CJ209" t="str">
        <f t="shared" si="19"/>
        <v>4938_2014</v>
      </c>
    </row>
    <row r="210" spans="1:88" x14ac:dyDescent="0.25">
      <c r="A210" t="s">
        <v>111</v>
      </c>
      <c r="B210" t="s">
        <v>146</v>
      </c>
      <c r="C210">
        <v>4938</v>
      </c>
      <c r="D210">
        <v>-37.566800000000001</v>
      </c>
      <c r="E210">
        <v>143.86580000000001</v>
      </c>
      <c r="F210">
        <v>5</v>
      </c>
      <c r="G210" t="s">
        <v>150</v>
      </c>
      <c r="H210">
        <v>34</v>
      </c>
      <c r="I210">
        <v>214</v>
      </c>
      <c r="J210">
        <v>132</v>
      </c>
      <c r="K210">
        <v>312</v>
      </c>
      <c r="L210">
        <v>219</v>
      </c>
      <c r="M210">
        <v>39</v>
      </c>
      <c r="N210">
        <v>282</v>
      </c>
      <c r="O210">
        <v>102</v>
      </c>
      <c r="P210">
        <v>299</v>
      </c>
      <c r="Q210">
        <v>119</v>
      </c>
      <c r="T210">
        <v>2</v>
      </c>
      <c r="U210">
        <v>20</v>
      </c>
      <c r="V210">
        <v>1</v>
      </c>
      <c r="W210">
        <v>0</v>
      </c>
      <c r="Y210">
        <v>1</v>
      </c>
      <c r="Z210">
        <v>15</v>
      </c>
      <c r="AA210">
        <v>7</v>
      </c>
      <c r="AB210">
        <v>16</v>
      </c>
      <c r="AD210">
        <v>13</v>
      </c>
      <c r="AE210">
        <v>9</v>
      </c>
      <c r="AF210">
        <v>1</v>
      </c>
      <c r="AG210">
        <v>0</v>
      </c>
      <c r="AI210">
        <v>2</v>
      </c>
      <c r="AJ210">
        <v>8</v>
      </c>
      <c r="AK210">
        <v>4</v>
      </c>
      <c r="AL210">
        <v>3</v>
      </c>
      <c r="AN210">
        <v>2</v>
      </c>
      <c r="AO210">
        <v>10</v>
      </c>
      <c r="AP210">
        <v>3</v>
      </c>
      <c r="AQ210">
        <v>0</v>
      </c>
      <c r="AX210">
        <v>23</v>
      </c>
      <c r="AY210">
        <v>18</v>
      </c>
      <c r="AZ210">
        <v>41</v>
      </c>
      <c r="BA210">
        <v>39</v>
      </c>
      <c r="BB210">
        <v>29</v>
      </c>
      <c r="BC210">
        <v>68</v>
      </c>
      <c r="BD210">
        <v>23</v>
      </c>
      <c r="BE210">
        <v>42</v>
      </c>
      <c r="BF210">
        <v>65</v>
      </c>
      <c r="BG210">
        <v>17</v>
      </c>
      <c r="BH210">
        <v>9</v>
      </c>
      <c r="BI210">
        <v>26</v>
      </c>
      <c r="BJ210">
        <v>15</v>
      </c>
      <c r="BK210">
        <v>19</v>
      </c>
      <c r="BL210">
        <v>34</v>
      </c>
      <c r="BP210">
        <v>41</v>
      </c>
      <c r="BR210">
        <v>50</v>
      </c>
      <c r="BS210">
        <v>10</v>
      </c>
      <c r="BT210">
        <v>13</v>
      </c>
      <c r="BV210">
        <v>3</v>
      </c>
      <c r="BW210">
        <v>117</v>
      </c>
      <c r="BX210">
        <f>IF(C210=C209,IF((CI210-1)=CI209,BW209,"no data"))</f>
        <v>78</v>
      </c>
      <c r="BY210" s="5">
        <f t="shared" ref="BY210:BY268" si="21">(BW210-BX210)/BX210</f>
        <v>0.5</v>
      </c>
      <c r="BZ210" s="6">
        <f t="shared" si="20"/>
        <v>0.5</v>
      </c>
      <c r="CA210" s="7">
        <v>42316</v>
      </c>
      <c r="CE210">
        <v>19</v>
      </c>
      <c r="CF210">
        <v>35</v>
      </c>
      <c r="CG210">
        <v>40</v>
      </c>
      <c r="CH210">
        <v>23</v>
      </c>
      <c r="CI210">
        <f t="shared" si="18"/>
        <v>2015</v>
      </c>
      <c r="CJ210" t="str">
        <f t="shared" si="19"/>
        <v>4938_2015</v>
      </c>
    </row>
    <row r="211" spans="1:88" x14ac:dyDescent="0.25">
      <c r="A211" t="s">
        <v>111</v>
      </c>
      <c r="B211" t="s">
        <v>146</v>
      </c>
      <c r="C211">
        <v>4938</v>
      </c>
      <c r="D211">
        <v>-37.566758</v>
      </c>
      <c r="E211">
        <v>143.86584400000001</v>
      </c>
      <c r="F211">
        <v>5</v>
      </c>
      <c r="G211" t="s">
        <v>150</v>
      </c>
      <c r="H211">
        <v>34</v>
      </c>
      <c r="I211">
        <v>214</v>
      </c>
      <c r="J211">
        <v>132</v>
      </c>
      <c r="K211">
        <v>312</v>
      </c>
      <c r="L211">
        <v>219</v>
      </c>
      <c r="M211">
        <v>39</v>
      </c>
      <c r="N211">
        <v>282</v>
      </c>
      <c r="O211">
        <v>102</v>
      </c>
      <c r="P211">
        <v>299</v>
      </c>
      <c r="Q211">
        <v>119</v>
      </c>
      <c r="T211">
        <v>1</v>
      </c>
      <c r="U211">
        <v>8</v>
      </c>
      <c r="V211">
        <v>0</v>
      </c>
      <c r="W211">
        <v>0</v>
      </c>
      <c r="Y211">
        <v>0</v>
      </c>
      <c r="Z211">
        <v>0</v>
      </c>
      <c r="AA211">
        <v>0</v>
      </c>
      <c r="AB211">
        <v>1</v>
      </c>
      <c r="AD211">
        <v>11</v>
      </c>
      <c r="AE211">
        <v>1</v>
      </c>
      <c r="AF211">
        <v>0</v>
      </c>
      <c r="AG211">
        <v>1</v>
      </c>
      <c r="AI211">
        <v>0</v>
      </c>
      <c r="AJ211">
        <v>1</v>
      </c>
      <c r="AK211">
        <v>1</v>
      </c>
      <c r="AL211">
        <v>0</v>
      </c>
      <c r="AN211">
        <v>0</v>
      </c>
      <c r="AO211">
        <v>0</v>
      </c>
      <c r="AP211">
        <v>0</v>
      </c>
      <c r="AQ211">
        <v>0</v>
      </c>
      <c r="AX211">
        <v>9</v>
      </c>
      <c r="AY211">
        <v>11</v>
      </c>
      <c r="AZ211">
        <v>20</v>
      </c>
      <c r="BA211">
        <v>1</v>
      </c>
      <c r="BB211">
        <v>3</v>
      </c>
      <c r="BC211">
        <v>4</v>
      </c>
      <c r="BD211">
        <v>13</v>
      </c>
      <c r="BE211">
        <v>9</v>
      </c>
      <c r="BF211">
        <v>22</v>
      </c>
      <c r="BG211">
        <v>2</v>
      </c>
      <c r="BH211">
        <v>0</v>
      </c>
      <c r="BI211">
        <v>2</v>
      </c>
      <c r="BJ211">
        <v>0</v>
      </c>
      <c r="BK211">
        <v>2</v>
      </c>
      <c r="BL211">
        <v>2</v>
      </c>
      <c r="BP211">
        <v>13</v>
      </c>
      <c r="BR211">
        <v>5</v>
      </c>
      <c r="BS211">
        <v>3</v>
      </c>
      <c r="BT211">
        <v>4</v>
      </c>
      <c r="BV211">
        <v>0</v>
      </c>
      <c r="BW211">
        <v>25</v>
      </c>
      <c r="BX211">
        <f>IF(C211=C210,IF((CI211-1)=CI210,BW210,"no data"))</f>
        <v>117</v>
      </c>
      <c r="BY211" s="5">
        <f t="shared" si="21"/>
        <v>-0.78632478632478631</v>
      </c>
      <c r="BZ211" s="6">
        <f t="shared" si="20"/>
        <v>-0.78632478632478631</v>
      </c>
      <c r="CA211" s="7">
        <v>42687</v>
      </c>
      <c r="CE211">
        <v>1</v>
      </c>
      <c r="CF211">
        <v>13</v>
      </c>
      <c r="CG211">
        <v>3</v>
      </c>
      <c r="CH211">
        <v>8</v>
      </c>
      <c r="CI211">
        <f t="shared" si="18"/>
        <v>2016</v>
      </c>
      <c r="CJ211" t="str">
        <f t="shared" si="19"/>
        <v>4938_2016</v>
      </c>
    </row>
    <row r="212" spans="1:88" x14ac:dyDescent="0.25">
      <c r="A212" t="s">
        <v>111</v>
      </c>
      <c r="B212" t="s">
        <v>146</v>
      </c>
      <c r="C212">
        <v>4938</v>
      </c>
      <c r="D212">
        <v>-37.566758</v>
      </c>
      <c r="E212">
        <v>143.86584400000001</v>
      </c>
      <c r="F212">
        <v>5</v>
      </c>
      <c r="G212" t="s">
        <v>150</v>
      </c>
      <c r="H212">
        <v>34</v>
      </c>
      <c r="I212">
        <v>214</v>
      </c>
      <c r="J212">
        <v>132</v>
      </c>
      <c r="K212">
        <v>312</v>
      </c>
      <c r="L212">
        <v>219</v>
      </c>
      <c r="M212">
        <v>39</v>
      </c>
      <c r="N212">
        <v>282</v>
      </c>
      <c r="O212">
        <v>102</v>
      </c>
      <c r="P212">
        <v>299</v>
      </c>
      <c r="Q212">
        <v>119</v>
      </c>
      <c r="T212">
        <v>2</v>
      </c>
      <c r="U212">
        <v>14</v>
      </c>
      <c r="V212">
        <v>3</v>
      </c>
      <c r="W212">
        <v>0</v>
      </c>
      <c r="Y212">
        <v>3</v>
      </c>
      <c r="Z212">
        <v>9</v>
      </c>
      <c r="AA212">
        <v>8</v>
      </c>
      <c r="AB212">
        <v>23</v>
      </c>
      <c r="AD212">
        <v>16</v>
      </c>
      <c r="AE212">
        <v>8</v>
      </c>
      <c r="AF212">
        <v>0</v>
      </c>
      <c r="AG212">
        <v>4</v>
      </c>
      <c r="AI212">
        <v>0</v>
      </c>
      <c r="AJ212">
        <v>7</v>
      </c>
      <c r="AK212">
        <v>2</v>
      </c>
      <c r="AL212">
        <v>0</v>
      </c>
      <c r="AN212">
        <v>0</v>
      </c>
      <c r="AO212">
        <v>12</v>
      </c>
      <c r="AP212">
        <v>0</v>
      </c>
      <c r="AQ212">
        <v>0</v>
      </c>
      <c r="AX212">
        <v>19</v>
      </c>
      <c r="AY212">
        <v>19</v>
      </c>
      <c r="AZ212">
        <v>38</v>
      </c>
      <c r="BA212">
        <v>43</v>
      </c>
      <c r="BB212">
        <v>29</v>
      </c>
      <c r="BC212">
        <v>72</v>
      </c>
      <c r="BD212">
        <v>28</v>
      </c>
      <c r="BE212">
        <v>25</v>
      </c>
      <c r="BF212">
        <v>53</v>
      </c>
      <c r="BG212">
        <v>9</v>
      </c>
      <c r="BH212">
        <v>11</v>
      </c>
      <c r="BI212">
        <v>20</v>
      </c>
      <c r="BJ212">
        <v>12</v>
      </c>
      <c r="BK212">
        <v>27</v>
      </c>
      <c r="BL212">
        <v>39</v>
      </c>
      <c r="BP212">
        <v>38</v>
      </c>
      <c r="BR212">
        <v>52</v>
      </c>
      <c r="BS212">
        <v>4</v>
      </c>
      <c r="BT212">
        <v>13</v>
      </c>
      <c r="BV212">
        <v>4</v>
      </c>
      <c r="BW212">
        <v>111</v>
      </c>
      <c r="BX212">
        <f>IF(C212=C211,IF((CI212-1)=CI211,BW211,"no data"))</f>
        <v>25</v>
      </c>
      <c r="BY212" s="5">
        <f t="shared" si="21"/>
        <v>3.44</v>
      </c>
      <c r="BZ212" s="6">
        <f t="shared" si="20"/>
        <v>3.44</v>
      </c>
      <c r="CA212" s="7">
        <v>43051</v>
      </c>
      <c r="CE212">
        <v>38</v>
      </c>
      <c r="CF212">
        <v>21</v>
      </c>
      <c r="CG212">
        <v>23</v>
      </c>
      <c r="CH212">
        <v>29</v>
      </c>
      <c r="CI212">
        <f t="shared" si="18"/>
        <v>2017</v>
      </c>
      <c r="CJ212" t="str">
        <f t="shared" si="19"/>
        <v>4938_2017</v>
      </c>
    </row>
    <row r="213" spans="1:88" x14ac:dyDescent="0.25">
      <c r="A213" t="s">
        <v>111</v>
      </c>
      <c r="B213" t="s">
        <v>146</v>
      </c>
      <c r="C213">
        <v>4949</v>
      </c>
      <c r="D213">
        <v>-37.559399999999997</v>
      </c>
      <c r="E213">
        <v>143.86750000000001</v>
      </c>
      <c r="F213">
        <v>5</v>
      </c>
      <c r="G213" t="s">
        <v>151</v>
      </c>
      <c r="H213">
        <v>57</v>
      </c>
      <c r="I213">
        <v>237</v>
      </c>
      <c r="J213">
        <v>77</v>
      </c>
      <c r="K213">
        <v>257</v>
      </c>
      <c r="L213">
        <v>218</v>
      </c>
      <c r="M213">
        <v>38</v>
      </c>
      <c r="N213">
        <v>275</v>
      </c>
      <c r="O213">
        <v>95</v>
      </c>
      <c r="P213">
        <v>322</v>
      </c>
      <c r="Q213">
        <v>142</v>
      </c>
      <c r="T213">
        <v>1</v>
      </c>
      <c r="U213">
        <v>29</v>
      </c>
      <c r="V213">
        <v>19</v>
      </c>
      <c r="W213">
        <v>4</v>
      </c>
      <c r="Y213">
        <v>0</v>
      </c>
      <c r="Z213">
        <v>0</v>
      </c>
      <c r="AA213">
        <v>3</v>
      </c>
      <c r="AB213">
        <v>0</v>
      </c>
      <c r="AD213">
        <v>8</v>
      </c>
      <c r="AE213">
        <v>4</v>
      </c>
      <c r="AF213">
        <v>2</v>
      </c>
      <c r="AG213">
        <v>19</v>
      </c>
      <c r="AI213">
        <v>11</v>
      </c>
      <c r="AJ213">
        <v>1</v>
      </c>
      <c r="AK213">
        <v>0</v>
      </c>
      <c r="AL213">
        <v>0</v>
      </c>
      <c r="AN213">
        <v>11</v>
      </c>
      <c r="AO213">
        <v>0</v>
      </c>
      <c r="AP213">
        <v>18</v>
      </c>
      <c r="AQ213">
        <v>10</v>
      </c>
      <c r="AX213">
        <v>53</v>
      </c>
      <c r="AY213">
        <v>30</v>
      </c>
      <c r="AZ213">
        <v>83</v>
      </c>
      <c r="BA213">
        <v>3</v>
      </c>
      <c r="BB213">
        <v>6</v>
      </c>
      <c r="BC213">
        <v>9</v>
      </c>
      <c r="BD213">
        <v>33</v>
      </c>
      <c r="BE213">
        <v>47</v>
      </c>
      <c r="BF213">
        <v>80</v>
      </c>
      <c r="BG213">
        <v>12</v>
      </c>
      <c r="BH213">
        <v>34</v>
      </c>
      <c r="BI213">
        <v>46</v>
      </c>
      <c r="BJ213">
        <v>39</v>
      </c>
      <c r="BK213">
        <v>23</v>
      </c>
      <c r="BL213">
        <v>62</v>
      </c>
      <c r="BP213">
        <v>50</v>
      </c>
      <c r="BR213">
        <v>77</v>
      </c>
      <c r="BS213">
        <v>9</v>
      </c>
      <c r="BT213">
        <v>3</v>
      </c>
      <c r="BV213">
        <v>1</v>
      </c>
      <c r="BW213">
        <v>140</v>
      </c>
      <c r="BX213" t="s">
        <v>82</v>
      </c>
      <c r="BY213" s="5"/>
      <c r="BZ213" s="6"/>
      <c r="CA213" s="7">
        <v>41588</v>
      </c>
      <c r="CI213">
        <f t="shared" si="18"/>
        <v>2013</v>
      </c>
      <c r="CJ213" t="str">
        <f t="shared" si="19"/>
        <v>4949_2013</v>
      </c>
    </row>
    <row r="214" spans="1:88" x14ac:dyDescent="0.25">
      <c r="A214" t="s">
        <v>111</v>
      </c>
      <c r="B214" t="s">
        <v>146</v>
      </c>
      <c r="C214">
        <v>4949</v>
      </c>
      <c r="D214">
        <v>-37.559399999999997</v>
      </c>
      <c r="E214">
        <v>143.86750000000001</v>
      </c>
      <c r="F214">
        <v>5</v>
      </c>
      <c r="G214" t="s">
        <v>151</v>
      </c>
      <c r="H214">
        <v>57</v>
      </c>
      <c r="I214">
        <v>237</v>
      </c>
      <c r="J214">
        <v>77</v>
      </c>
      <c r="K214">
        <v>257</v>
      </c>
      <c r="L214">
        <v>218</v>
      </c>
      <c r="M214">
        <v>38</v>
      </c>
      <c r="N214">
        <v>275</v>
      </c>
      <c r="O214">
        <v>95</v>
      </c>
      <c r="P214">
        <v>322</v>
      </c>
      <c r="Q214">
        <v>142</v>
      </c>
      <c r="T214">
        <v>0</v>
      </c>
      <c r="U214">
        <v>29</v>
      </c>
      <c r="V214">
        <v>18</v>
      </c>
      <c r="W214">
        <v>5</v>
      </c>
      <c r="Y214">
        <v>0</v>
      </c>
      <c r="Z214">
        <v>6</v>
      </c>
      <c r="AA214">
        <v>0</v>
      </c>
      <c r="AB214">
        <v>0</v>
      </c>
      <c r="AD214">
        <v>43</v>
      </c>
      <c r="AE214">
        <v>2</v>
      </c>
      <c r="AF214">
        <v>1</v>
      </c>
      <c r="AG214">
        <v>19</v>
      </c>
      <c r="AI214">
        <v>2</v>
      </c>
      <c r="AJ214">
        <v>0</v>
      </c>
      <c r="AK214">
        <v>2</v>
      </c>
      <c r="AL214">
        <v>0</v>
      </c>
      <c r="AN214">
        <v>2</v>
      </c>
      <c r="AO214">
        <v>0</v>
      </c>
      <c r="AP214">
        <v>7</v>
      </c>
      <c r="AQ214">
        <v>0</v>
      </c>
      <c r="AX214">
        <v>52</v>
      </c>
      <c r="AY214">
        <v>47</v>
      </c>
      <c r="AZ214">
        <v>99</v>
      </c>
      <c r="BA214">
        <v>6</v>
      </c>
      <c r="BB214">
        <v>2</v>
      </c>
      <c r="BC214">
        <v>8</v>
      </c>
      <c r="BD214">
        <v>65</v>
      </c>
      <c r="BE214">
        <v>44</v>
      </c>
      <c r="BF214">
        <v>109</v>
      </c>
      <c r="BG214">
        <v>4</v>
      </c>
      <c r="BH214">
        <v>19</v>
      </c>
      <c r="BI214">
        <v>23</v>
      </c>
      <c r="BJ214">
        <v>9</v>
      </c>
      <c r="BK214">
        <v>24</v>
      </c>
      <c r="BL214">
        <v>33</v>
      </c>
      <c r="BP214">
        <v>31</v>
      </c>
      <c r="BR214">
        <v>47</v>
      </c>
      <c r="BS214">
        <v>51</v>
      </c>
      <c r="BT214">
        <v>7</v>
      </c>
      <c r="BV214">
        <v>0</v>
      </c>
      <c r="BW214">
        <v>136</v>
      </c>
      <c r="BX214">
        <f>IF(C214=C213,IF((CI214-1)=CI213,BW213,"no data"))</f>
        <v>140</v>
      </c>
      <c r="BY214" s="5">
        <f t="shared" si="21"/>
        <v>-2.8571428571428571E-2</v>
      </c>
      <c r="BZ214" s="6">
        <f t="shared" si="20"/>
        <v>-2.8571428571428571E-2</v>
      </c>
      <c r="CA214" s="7">
        <v>41952</v>
      </c>
      <c r="CI214">
        <f t="shared" si="18"/>
        <v>2014</v>
      </c>
      <c r="CJ214" t="str">
        <f t="shared" si="19"/>
        <v>4949_2014</v>
      </c>
    </row>
    <row r="215" spans="1:88" x14ac:dyDescent="0.25">
      <c r="A215" t="s">
        <v>111</v>
      </c>
      <c r="B215" t="s">
        <v>146</v>
      </c>
      <c r="C215">
        <v>4949</v>
      </c>
      <c r="D215">
        <v>-37.559399999999997</v>
      </c>
      <c r="E215">
        <v>143.86750000000001</v>
      </c>
      <c r="F215">
        <v>5</v>
      </c>
      <c r="G215" t="s">
        <v>151</v>
      </c>
      <c r="H215">
        <v>57</v>
      </c>
      <c r="I215">
        <v>237</v>
      </c>
      <c r="J215">
        <v>77</v>
      </c>
      <c r="K215">
        <v>257</v>
      </c>
      <c r="L215">
        <v>218</v>
      </c>
      <c r="M215">
        <v>38</v>
      </c>
      <c r="N215">
        <v>275</v>
      </c>
      <c r="O215">
        <v>95</v>
      </c>
      <c r="P215">
        <v>322</v>
      </c>
      <c r="Q215">
        <v>142</v>
      </c>
      <c r="T215">
        <v>0</v>
      </c>
      <c r="U215">
        <v>17</v>
      </c>
      <c r="V215">
        <v>41</v>
      </c>
      <c r="W215">
        <v>0</v>
      </c>
      <c r="Y215">
        <v>0</v>
      </c>
      <c r="Z215">
        <v>4</v>
      </c>
      <c r="AA215">
        <v>3</v>
      </c>
      <c r="AB215">
        <v>2</v>
      </c>
      <c r="AD215">
        <v>19</v>
      </c>
      <c r="AE215">
        <v>1</v>
      </c>
      <c r="AF215">
        <v>1</v>
      </c>
      <c r="AG215">
        <v>2</v>
      </c>
      <c r="AI215">
        <v>32</v>
      </c>
      <c r="AJ215">
        <v>0</v>
      </c>
      <c r="AK215">
        <v>2</v>
      </c>
      <c r="AL215">
        <v>0</v>
      </c>
      <c r="AN215">
        <v>10</v>
      </c>
      <c r="AO215">
        <v>2</v>
      </c>
      <c r="AP215">
        <v>7</v>
      </c>
      <c r="AQ215">
        <v>0</v>
      </c>
      <c r="AX215">
        <v>58</v>
      </c>
      <c r="AY215">
        <v>61</v>
      </c>
      <c r="AZ215">
        <v>119</v>
      </c>
      <c r="BA215">
        <v>9</v>
      </c>
      <c r="BB215">
        <v>3</v>
      </c>
      <c r="BC215">
        <v>12</v>
      </c>
      <c r="BD215">
        <v>23</v>
      </c>
      <c r="BE215">
        <v>30</v>
      </c>
      <c r="BF215">
        <v>53</v>
      </c>
      <c r="BG215">
        <v>34</v>
      </c>
      <c r="BH215">
        <v>45</v>
      </c>
      <c r="BI215">
        <v>79</v>
      </c>
      <c r="BJ215">
        <v>19</v>
      </c>
      <c r="BK215">
        <v>4</v>
      </c>
      <c r="BL215">
        <v>23</v>
      </c>
      <c r="BP215">
        <v>93</v>
      </c>
      <c r="BR215">
        <v>42</v>
      </c>
      <c r="BS215">
        <v>0</v>
      </c>
      <c r="BT215">
        <v>6</v>
      </c>
      <c r="BV215">
        <v>2</v>
      </c>
      <c r="BW215">
        <v>143</v>
      </c>
      <c r="BX215">
        <f>IF(C215=C214,IF((CI215-1)=CI214,BW214,"no data"))</f>
        <v>136</v>
      </c>
      <c r="BY215" s="5">
        <f t="shared" si="21"/>
        <v>5.1470588235294115E-2</v>
      </c>
      <c r="BZ215" s="6">
        <f t="shared" si="20"/>
        <v>5.1470588235294115E-2</v>
      </c>
      <c r="CA215" s="7">
        <v>42316</v>
      </c>
      <c r="CE215">
        <v>54</v>
      </c>
      <c r="CF215">
        <v>63</v>
      </c>
      <c r="CG215">
        <v>15</v>
      </c>
      <c r="CH215">
        <v>11</v>
      </c>
      <c r="CI215">
        <f t="shared" si="18"/>
        <v>2015</v>
      </c>
      <c r="CJ215" t="str">
        <f t="shared" si="19"/>
        <v>4949_2015</v>
      </c>
    </row>
    <row r="216" spans="1:88" x14ac:dyDescent="0.25">
      <c r="A216" t="s">
        <v>111</v>
      </c>
      <c r="B216" t="s">
        <v>146</v>
      </c>
      <c r="C216">
        <v>4949</v>
      </c>
      <c r="D216">
        <v>-37.559351999999997</v>
      </c>
      <c r="E216">
        <v>143.86754500000001</v>
      </c>
      <c r="F216">
        <v>5</v>
      </c>
      <c r="G216" t="s">
        <v>151</v>
      </c>
      <c r="H216">
        <v>57</v>
      </c>
      <c r="I216">
        <v>237</v>
      </c>
      <c r="J216">
        <v>77</v>
      </c>
      <c r="K216">
        <v>257</v>
      </c>
      <c r="L216">
        <v>218</v>
      </c>
      <c r="M216">
        <v>38</v>
      </c>
      <c r="N216">
        <v>275</v>
      </c>
      <c r="O216">
        <v>95</v>
      </c>
      <c r="P216">
        <v>322</v>
      </c>
      <c r="Q216">
        <v>142</v>
      </c>
      <c r="T216">
        <v>0</v>
      </c>
      <c r="U216">
        <v>14</v>
      </c>
      <c r="V216">
        <v>4</v>
      </c>
      <c r="W216">
        <v>0</v>
      </c>
      <c r="Y216">
        <v>0</v>
      </c>
      <c r="Z216">
        <v>3</v>
      </c>
      <c r="AA216">
        <v>1</v>
      </c>
      <c r="AB216">
        <v>0</v>
      </c>
      <c r="AD216">
        <v>9</v>
      </c>
      <c r="AE216">
        <v>1</v>
      </c>
      <c r="AF216">
        <v>1</v>
      </c>
      <c r="AG216">
        <v>6</v>
      </c>
      <c r="AI216">
        <v>3</v>
      </c>
      <c r="AJ216">
        <v>0</v>
      </c>
      <c r="AK216">
        <v>0</v>
      </c>
      <c r="AL216">
        <v>1</v>
      </c>
      <c r="AN216">
        <v>1</v>
      </c>
      <c r="AO216">
        <v>0</v>
      </c>
      <c r="AP216">
        <v>8</v>
      </c>
      <c r="AQ216">
        <v>1</v>
      </c>
      <c r="AX216">
        <v>18</v>
      </c>
      <c r="AY216">
        <v>13</v>
      </c>
      <c r="AZ216">
        <v>31</v>
      </c>
      <c r="BA216">
        <v>4</v>
      </c>
      <c r="BB216">
        <v>1</v>
      </c>
      <c r="BC216">
        <v>5</v>
      </c>
      <c r="BD216">
        <v>17</v>
      </c>
      <c r="BE216">
        <v>25</v>
      </c>
      <c r="BF216">
        <v>42</v>
      </c>
      <c r="BG216">
        <v>4</v>
      </c>
      <c r="BH216">
        <v>7</v>
      </c>
      <c r="BI216">
        <v>11</v>
      </c>
      <c r="BJ216">
        <v>10</v>
      </c>
      <c r="BK216">
        <v>7</v>
      </c>
      <c r="BL216">
        <v>17</v>
      </c>
      <c r="BP216">
        <v>11</v>
      </c>
      <c r="BR216">
        <v>37</v>
      </c>
      <c r="BS216">
        <v>1</v>
      </c>
      <c r="BT216">
        <v>4</v>
      </c>
      <c r="BV216">
        <v>0</v>
      </c>
      <c r="BW216">
        <v>53</v>
      </c>
      <c r="BX216">
        <f>IF(C216=C215,IF((CI216-1)=CI215,BW215,"no data"))</f>
        <v>143</v>
      </c>
      <c r="BY216" s="5">
        <f t="shared" si="21"/>
        <v>-0.62937062937062938</v>
      </c>
      <c r="BZ216" s="6">
        <f t="shared" si="20"/>
        <v>-0.62937062937062938</v>
      </c>
      <c r="CA216" s="7">
        <v>42687</v>
      </c>
      <c r="CE216">
        <v>15</v>
      </c>
      <c r="CF216">
        <v>12</v>
      </c>
      <c r="CG216">
        <v>6</v>
      </c>
      <c r="CH216">
        <v>20</v>
      </c>
      <c r="CI216">
        <f t="shared" si="18"/>
        <v>2016</v>
      </c>
      <c r="CJ216" t="str">
        <f t="shared" si="19"/>
        <v>4949_2016</v>
      </c>
    </row>
    <row r="217" spans="1:88" x14ac:dyDescent="0.25">
      <c r="A217" t="s">
        <v>111</v>
      </c>
      <c r="B217" t="s">
        <v>146</v>
      </c>
      <c r="C217">
        <v>4949</v>
      </c>
      <c r="D217">
        <v>-37.559351999999997</v>
      </c>
      <c r="E217">
        <v>143.86754500000001</v>
      </c>
      <c r="F217">
        <v>5</v>
      </c>
      <c r="G217" t="s">
        <v>151</v>
      </c>
      <c r="H217">
        <v>57</v>
      </c>
      <c r="I217">
        <v>237</v>
      </c>
      <c r="J217">
        <v>77</v>
      </c>
      <c r="K217">
        <v>257</v>
      </c>
      <c r="L217">
        <v>218</v>
      </c>
      <c r="M217">
        <v>38</v>
      </c>
      <c r="N217">
        <v>275</v>
      </c>
      <c r="O217">
        <v>95</v>
      </c>
      <c r="P217">
        <v>322</v>
      </c>
      <c r="Q217">
        <v>142</v>
      </c>
      <c r="T217">
        <v>0</v>
      </c>
      <c r="U217">
        <v>30</v>
      </c>
      <c r="V217">
        <v>11</v>
      </c>
      <c r="W217">
        <v>6</v>
      </c>
      <c r="Y217">
        <v>1</v>
      </c>
      <c r="Z217">
        <v>10</v>
      </c>
      <c r="AA217">
        <v>12</v>
      </c>
      <c r="AB217">
        <v>0</v>
      </c>
      <c r="AD217">
        <v>28</v>
      </c>
      <c r="AE217">
        <v>3</v>
      </c>
      <c r="AF217">
        <v>2</v>
      </c>
      <c r="AG217">
        <v>6</v>
      </c>
      <c r="AI217">
        <v>11</v>
      </c>
      <c r="AJ217">
        <v>8</v>
      </c>
      <c r="AK217">
        <v>3</v>
      </c>
      <c r="AL217">
        <v>3</v>
      </c>
      <c r="AN217">
        <v>11</v>
      </c>
      <c r="AO217">
        <v>4</v>
      </c>
      <c r="AP217">
        <v>10</v>
      </c>
      <c r="AQ217">
        <v>0</v>
      </c>
      <c r="AX217">
        <v>47</v>
      </c>
      <c r="AY217">
        <v>51</v>
      </c>
      <c r="AZ217">
        <v>98</v>
      </c>
      <c r="BA217">
        <v>23</v>
      </c>
      <c r="BB217">
        <v>15</v>
      </c>
      <c r="BC217">
        <v>38</v>
      </c>
      <c r="BD217">
        <v>39</v>
      </c>
      <c r="BE217">
        <v>53</v>
      </c>
      <c r="BF217">
        <v>92</v>
      </c>
      <c r="BG217">
        <v>25</v>
      </c>
      <c r="BH217">
        <v>25</v>
      </c>
      <c r="BI217">
        <v>50</v>
      </c>
      <c r="BJ217">
        <v>25</v>
      </c>
      <c r="BK217">
        <v>15</v>
      </c>
      <c r="BL217">
        <v>40</v>
      </c>
      <c r="BP217">
        <v>39</v>
      </c>
      <c r="BR217">
        <v>94</v>
      </c>
      <c r="BS217">
        <v>4</v>
      </c>
      <c r="BT217">
        <v>22</v>
      </c>
      <c r="BV217">
        <v>0</v>
      </c>
      <c r="BW217">
        <v>159</v>
      </c>
      <c r="BX217">
        <f>IF(C217=C216,IF((CI217-1)=CI216,BW216,"no data"))</f>
        <v>53</v>
      </c>
      <c r="BY217" s="5">
        <f t="shared" si="21"/>
        <v>2</v>
      </c>
      <c r="BZ217" s="6">
        <f t="shared" si="20"/>
        <v>2</v>
      </c>
      <c r="CA217" s="7">
        <v>43051</v>
      </c>
      <c r="CE217">
        <v>25</v>
      </c>
      <c r="CF217">
        <v>60</v>
      </c>
      <c r="CG217">
        <v>26</v>
      </c>
      <c r="CH217">
        <v>48</v>
      </c>
      <c r="CI217">
        <f t="shared" si="18"/>
        <v>2017</v>
      </c>
      <c r="CJ217" t="str">
        <f t="shared" si="19"/>
        <v>4949_2017</v>
      </c>
    </row>
    <row r="218" spans="1:88" x14ac:dyDescent="0.25">
      <c r="A218" t="s">
        <v>111</v>
      </c>
      <c r="B218" t="s">
        <v>152</v>
      </c>
      <c r="C218">
        <v>5016</v>
      </c>
      <c r="D218">
        <v>-37.653199999999998</v>
      </c>
      <c r="E218">
        <v>145.0351</v>
      </c>
      <c r="F218">
        <v>4</v>
      </c>
      <c r="G218" t="s">
        <v>153</v>
      </c>
      <c r="H218">
        <v>5</v>
      </c>
      <c r="I218">
        <v>185</v>
      </c>
      <c r="J218">
        <v>104</v>
      </c>
      <c r="K218">
        <v>284</v>
      </c>
      <c r="L218">
        <v>211</v>
      </c>
      <c r="M218">
        <v>31</v>
      </c>
      <c r="N218">
        <v>283</v>
      </c>
      <c r="O218">
        <v>103</v>
      </c>
      <c r="T218">
        <v>1</v>
      </c>
      <c r="U218">
        <v>5</v>
      </c>
      <c r="V218">
        <v>1</v>
      </c>
      <c r="Y218">
        <v>0</v>
      </c>
      <c r="Z218">
        <v>2</v>
      </c>
      <c r="AA218">
        <v>10</v>
      </c>
      <c r="AD218">
        <v>6</v>
      </c>
      <c r="AE218">
        <v>0</v>
      </c>
      <c r="AF218">
        <v>1</v>
      </c>
      <c r="AI218">
        <v>4</v>
      </c>
      <c r="AJ218">
        <v>4</v>
      </c>
      <c r="AK218">
        <v>0</v>
      </c>
      <c r="AX218">
        <v>7</v>
      </c>
      <c r="AY218">
        <v>10</v>
      </c>
      <c r="AZ218">
        <v>17</v>
      </c>
      <c r="BA218">
        <v>12</v>
      </c>
      <c r="BB218">
        <v>5</v>
      </c>
      <c r="BC218">
        <v>17</v>
      </c>
      <c r="BD218">
        <v>7</v>
      </c>
      <c r="BE218">
        <v>7</v>
      </c>
      <c r="BF218">
        <v>14</v>
      </c>
      <c r="BG218">
        <v>8</v>
      </c>
      <c r="BH218">
        <v>12</v>
      </c>
      <c r="BI218">
        <v>20</v>
      </c>
      <c r="BP218">
        <v>7</v>
      </c>
      <c r="BR218">
        <v>16</v>
      </c>
      <c r="BS218">
        <v>2</v>
      </c>
      <c r="BT218">
        <v>9</v>
      </c>
      <c r="BV218">
        <v>0</v>
      </c>
      <c r="BW218">
        <v>34</v>
      </c>
      <c r="BX218" t="s">
        <v>82</v>
      </c>
      <c r="BY218" s="5"/>
      <c r="BZ218" s="6"/>
      <c r="CA218" s="7">
        <v>41952</v>
      </c>
      <c r="CI218">
        <f t="shared" si="18"/>
        <v>2014</v>
      </c>
      <c r="CJ218" t="str">
        <f t="shared" si="19"/>
        <v>5016_2014</v>
      </c>
    </row>
    <row r="219" spans="1:88" x14ac:dyDescent="0.25">
      <c r="A219" t="s">
        <v>111</v>
      </c>
      <c r="B219" t="s">
        <v>152</v>
      </c>
      <c r="C219">
        <v>5016</v>
      </c>
      <c r="D219">
        <v>-37.653199999999998</v>
      </c>
      <c r="E219">
        <v>145.0351</v>
      </c>
      <c r="F219">
        <v>4</v>
      </c>
      <c r="G219" t="s">
        <v>153</v>
      </c>
      <c r="H219">
        <v>5</v>
      </c>
      <c r="I219">
        <v>185</v>
      </c>
      <c r="J219">
        <v>104</v>
      </c>
      <c r="K219">
        <v>284</v>
      </c>
      <c r="L219">
        <v>211</v>
      </c>
      <c r="M219">
        <v>31</v>
      </c>
      <c r="N219">
        <v>283</v>
      </c>
      <c r="O219">
        <v>103</v>
      </c>
      <c r="T219">
        <v>3</v>
      </c>
      <c r="U219">
        <v>4</v>
      </c>
      <c r="V219">
        <v>0</v>
      </c>
      <c r="Y219">
        <v>1</v>
      </c>
      <c r="Z219">
        <v>9</v>
      </c>
      <c r="AA219">
        <v>22</v>
      </c>
      <c r="AD219">
        <v>7</v>
      </c>
      <c r="AE219">
        <v>27</v>
      </c>
      <c r="AF219">
        <v>8</v>
      </c>
      <c r="AI219">
        <v>1</v>
      </c>
      <c r="AJ219">
        <v>45</v>
      </c>
      <c r="AK219">
        <v>10</v>
      </c>
      <c r="AX219">
        <v>7</v>
      </c>
      <c r="AY219">
        <v>9</v>
      </c>
      <c r="AZ219">
        <v>16</v>
      </c>
      <c r="BA219">
        <v>32</v>
      </c>
      <c r="BB219">
        <v>75</v>
      </c>
      <c r="BC219">
        <v>107</v>
      </c>
      <c r="BD219">
        <v>42</v>
      </c>
      <c r="BE219">
        <v>23</v>
      </c>
      <c r="BF219">
        <v>65</v>
      </c>
      <c r="BG219">
        <v>56</v>
      </c>
      <c r="BH219">
        <v>30</v>
      </c>
      <c r="BI219">
        <v>86</v>
      </c>
      <c r="BP219">
        <v>36</v>
      </c>
      <c r="BR219">
        <v>86</v>
      </c>
      <c r="BS219">
        <v>2</v>
      </c>
      <c r="BT219">
        <v>2</v>
      </c>
      <c r="BV219">
        <v>11</v>
      </c>
      <c r="BW219">
        <v>137</v>
      </c>
      <c r="BX219">
        <f>IF(C219=C218,IF((CI219-1)=CI218,BW218,"no data"))</f>
        <v>34</v>
      </c>
      <c r="BY219" s="5">
        <f t="shared" si="21"/>
        <v>3.0294117647058822</v>
      </c>
      <c r="BZ219" s="6">
        <f t="shared" si="20"/>
        <v>3.0294117647058822</v>
      </c>
      <c r="CA219" s="7">
        <v>42316</v>
      </c>
      <c r="CE219">
        <v>39</v>
      </c>
      <c r="CF219">
        <v>31</v>
      </c>
      <c r="CG219">
        <v>26</v>
      </c>
      <c r="CH219">
        <v>41</v>
      </c>
      <c r="CI219">
        <f t="shared" si="18"/>
        <v>2015</v>
      </c>
      <c r="CJ219" t="str">
        <f t="shared" si="19"/>
        <v>5016_2015</v>
      </c>
    </row>
    <row r="220" spans="1:88" x14ac:dyDescent="0.25">
      <c r="A220" t="s">
        <v>111</v>
      </c>
      <c r="B220" t="s">
        <v>152</v>
      </c>
      <c r="C220">
        <v>5016</v>
      </c>
      <c r="D220">
        <v>-37.653182999999999</v>
      </c>
      <c r="E220">
        <v>145.03505799999999</v>
      </c>
      <c r="F220">
        <v>4</v>
      </c>
      <c r="G220" t="s">
        <v>153</v>
      </c>
      <c r="H220">
        <v>5</v>
      </c>
      <c r="I220">
        <v>185</v>
      </c>
      <c r="J220">
        <v>104</v>
      </c>
      <c r="K220">
        <v>284</v>
      </c>
      <c r="L220">
        <v>211</v>
      </c>
      <c r="M220">
        <v>31</v>
      </c>
      <c r="N220">
        <v>283</v>
      </c>
      <c r="O220">
        <v>103</v>
      </c>
      <c r="T220">
        <v>4</v>
      </c>
      <c r="U220">
        <v>2</v>
      </c>
      <c r="V220">
        <v>13</v>
      </c>
      <c r="Y220">
        <v>0</v>
      </c>
      <c r="Z220">
        <v>0</v>
      </c>
      <c r="AA220">
        <v>19</v>
      </c>
      <c r="AD220">
        <v>0</v>
      </c>
      <c r="AE220">
        <v>0</v>
      </c>
      <c r="AF220">
        <v>0</v>
      </c>
      <c r="AI220">
        <v>1</v>
      </c>
      <c r="AJ220">
        <v>21</v>
      </c>
      <c r="AK220">
        <v>1</v>
      </c>
      <c r="AX220">
        <v>19</v>
      </c>
      <c r="AY220">
        <v>1</v>
      </c>
      <c r="AZ220">
        <v>20</v>
      </c>
      <c r="BA220">
        <v>19</v>
      </c>
      <c r="BB220">
        <v>25</v>
      </c>
      <c r="BC220">
        <v>44</v>
      </c>
      <c r="BD220">
        <v>0</v>
      </c>
      <c r="BE220">
        <v>3</v>
      </c>
      <c r="BF220">
        <v>3</v>
      </c>
      <c r="BG220">
        <v>23</v>
      </c>
      <c r="BH220">
        <v>32</v>
      </c>
      <c r="BI220">
        <v>55</v>
      </c>
      <c r="BP220">
        <v>11</v>
      </c>
      <c r="BR220">
        <v>42</v>
      </c>
      <c r="BS220">
        <v>0</v>
      </c>
      <c r="BT220">
        <v>6</v>
      </c>
      <c r="BV220">
        <v>2</v>
      </c>
      <c r="BW220">
        <v>61</v>
      </c>
      <c r="BX220">
        <f>IF(C220=C219,IF((CI220-1)=CI219,BW219,"no data"))</f>
        <v>137</v>
      </c>
      <c r="BY220" s="5">
        <f t="shared" si="21"/>
        <v>-0.55474452554744524</v>
      </c>
      <c r="BZ220" s="6">
        <f t="shared" si="20"/>
        <v>-0.55474452554744524</v>
      </c>
      <c r="CA220" s="7">
        <v>42687</v>
      </c>
      <c r="CE220">
        <v>8</v>
      </c>
      <c r="CF220">
        <v>18</v>
      </c>
      <c r="CG220">
        <v>14</v>
      </c>
      <c r="CH220">
        <v>21</v>
      </c>
      <c r="CI220">
        <f t="shared" si="18"/>
        <v>2016</v>
      </c>
      <c r="CJ220" t="str">
        <f t="shared" si="19"/>
        <v>5016_2016</v>
      </c>
    </row>
    <row r="221" spans="1:88" x14ac:dyDescent="0.25">
      <c r="A221" t="s">
        <v>111</v>
      </c>
      <c r="B221" t="s">
        <v>152</v>
      </c>
      <c r="C221">
        <v>5016</v>
      </c>
      <c r="D221">
        <v>-37.653182999999999</v>
      </c>
      <c r="E221">
        <v>145.03505799999999</v>
      </c>
      <c r="F221">
        <v>4</v>
      </c>
      <c r="G221" t="s">
        <v>153</v>
      </c>
      <c r="H221">
        <v>5</v>
      </c>
      <c r="I221">
        <v>185</v>
      </c>
      <c r="J221">
        <v>104</v>
      </c>
      <c r="K221">
        <v>284</v>
      </c>
      <c r="L221">
        <v>211</v>
      </c>
      <c r="M221">
        <v>31</v>
      </c>
      <c r="N221">
        <v>283</v>
      </c>
      <c r="O221">
        <v>103</v>
      </c>
      <c r="T221">
        <v>10</v>
      </c>
      <c r="U221">
        <v>11</v>
      </c>
      <c r="V221">
        <v>6</v>
      </c>
      <c r="Y221">
        <v>4</v>
      </c>
      <c r="Z221">
        <v>5</v>
      </c>
      <c r="AA221">
        <v>23</v>
      </c>
      <c r="AD221">
        <v>11</v>
      </c>
      <c r="AE221">
        <v>6</v>
      </c>
      <c r="AF221">
        <v>5</v>
      </c>
      <c r="AI221">
        <v>9</v>
      </c>
      <c r="AJ221">
        <v>13</v>
      </c>
      <c r="AK221">
        <v>10</v>
      </c>
      <c r="AX221">
        <v>27</v>
      </c>
      <c r="AY221">
        <v>24</v>
      </c>
      <c r="AZ221">
        <v>51</v>
      </c>
      <c r="BA221">
        <v>32</v>
      </c>
      <c r="BB221">
        <v>29</v>
      </c>
      <c r="BC221">
        <v>61</v>
      </c>
      <c r="BD221">
        <v>22</v>
      </c>
      <c r="BE221">
        <v>26</v>
      </c>
      <c r="BF221">
        <v>48</v>
      </c>
      <c r="BG221">
        <v>32</v>
      </c>
      <c r="BH221">
        <v>34</v>
      </c>
      <c r="BI221">
        <v>66</v>
      </c>
      <c r="BP221">
        <v>31</v>
      </c>
      <c r="BR221">
        <v>67</v>
      </c>
      <c r="BS221">
        <v>3</v>
      </c>
      <c r="BT221">
        <v>8</v>
      </c>
      <c r="BV221">
        <v>4</v>
      </c>
      <c r="BW221">
        <v>113</v>
      </c>
      <c r="BX221">
        <f>IF(C221=C220,IF((CI221-1)=CI220,BW220,"no data"))</f>
        <v>61</v>
      </c>
      <c r="BY221" s="5">
        <f t="shared" si="21"/>
        <v>0.85245901639344257</v>
      </c>
      <c r="BZ221" s="6">
        <f t="shared" si="20"/>
        <v>0.85245901639344257</v>
      </c>
      <c r="CA221" s="7">
        <v>43051</v>
      </c>
      <c r="CE221">
        <v>35</v>
      </c>
      <c r="CF221">
        <v>43</v>
      </c>
      <c r="CG221">
        <v>26</v>
      </c>
      <c r="CH221">
        <v>9</v>
      </c>
      <c r="CI221">
        <f t="shared" si="18"/>
        <v>2017</v>
      </c>
      <c r="CJ221" t="str">
        <f t="shared" si="19"/>
        <v>5016_2017</v>
      </c>
    </row>
    <row r="222" spans="1:88" x14ac:dyDescent="0.25">
      <c r="A222" t="s">
        <v>111</v>
      </c>
      <c r="B222" t="s">
        <v>152</v>
      </c>
      <c r="C222">
        <v>5016</v>
      </c>
      <c r="D222">
        <v>-37.653182999999999</v>
      </c>
      <c r="E222">
        <v>145.03505799999999</v>
      </c>
      <c r="F222">
        <v>4</v>
      </c>
      <c r="G222" t="s">
        <v>153</v>
      </c>
      <c r="H222">
        <v>5</v>
      </c>
      <c r="I222">
        <v>185</v>
      </c>
      <c r="J222">
        <v>104</v>
      </c>
      <c r="K222">
        <v>284</v>
      </c>
      <c r="L222">
        <v>211</v>
      </c>
      <c r="M222">
        <v>31</v>
      </c>
      <c r="N222">
        <v>283</v>
      </c>
      <c r="O222">
        <v>103</v>
      </c>
      <c r="T222">
        <v>13</v>
      </c>
      <c r="U222">
        <v>14</v>
      </c>
      <c r="V222">
        <v>17</v>
      </c>
      <c r="Y222">
        <v>1</v>
      </c>
      <c r="Z222">
        <v>1</v>
      </c>
      <c r="AA222">
        <v>31</v>
      </c>
      <c r="AD222">
        <v>4</v>
      </c>
      <c r="AE222">
        <v>4</v>
      </c>
      <c r="AF222">
        <v>5</v>
      </c>
      <c r="AI222">
        <v>6</v>
      </c>
      <c r="AJ222">
        <v>23</v>
      </c>
      <c r="AK222">
        <v>5</v>
      </c>
      <c r="AX222">
        <v>44</v>
      </c>
      <c r="AY222">
        <v>11</v>
      </c>
      <c r="AZ222">
        <v>55</v>
      </c>
      <c r="BA222">
        <v>33</v>
      </c>
      <c r="BB222">
        <v>40</v>
      </c>
      <c r="BC222">
        <v>73</v>
      </c>
      <c r="BD222">
        <v>13</v>
      </c>
      <c r="BE222">
        <v>20</v>
      </c>
      <c r="BF222">
        <v>33</v>
      </c>
      <c r="BG222">
        <v>34</v>
      </c>
      <c r="BH222">
        <v>53</v>
      </c>
      <c r="BI222">
        <v>87</v>
      </c>
      <c r="BP222">
        <v>38</v>
      </c>
      <c r="BR222">
        <v>66</v>
      </c>
      <c r="BS222">
        <v>0</v>
      </c>
      <c r="BT222">
        <v>7</v>
      </c>
      <c r="BV222">
        <v>13</v>
      </c>
      <c r="BW222">
        <v>124</v>
      </c>
      <c r="BX222">
        <f>IF(C222=C221,IF((CI222-1)=CI221,BW221,"no data"))</f>
        <v>113</v>
      </c>
      <c r="BY222" s="5">
        <f t="shared" si="21"/>
        <v>9.7345132743362831E-2</v>
      </c>
      <c r="BZ222" s="6">
        <f t="shared" si="20"/>
        <v>9.7345132743362831E-2</v>
      </c>
      <c r="CA222" s="7">
        <v>43443</v>
      </c>
      <c r="CE222">
        <v>26</v>
      </c>
      <c r="CF222">
        <v>44</v>
      </c>
      <c r="CG222">
        <v>40</v>
      </c>
      <c r="CH222">
        <v>14</v>
      </c>
      <c r="CI222">
        <f t="shared" si="18"/>
        <v>2018</v>
      </c>
      <c r="CJ222" t="str">
        <f t="shared" si="19"/>
        <v>5016_2018</v>
      </c>
    </row>
    <row r="223" spans="1:88" x14ac:dyDescent="0.25">
      <c r="A223" t="s">
        <v>111</v>
      </c>
      <c r="B223" t="s">
        <v>152</v>
      </c>
      <c r="C223">
        <v>5016</v>
      </c>
      <c r="D223">
        <v>-37.653199999999998</v>
      </c>
      <c r="E223">
        <v>145.0351</v>
      </c>
      <c r="F223">
        <v>4</v>
      </c>
      <c r="G223" t="s">
        <v>153</v>
      </c>
      <c r="H223">
        <v>5</v>
      </c>
      <c r="I223">
        <v>185</v>
      </c>
      <c r="J223">
        <v>104</v>
      </c>
      <c r="K223">
        <v>284</v>
      </c>
      <c r="L223">
        <v>211</v>
      </c>
      <c r="M223">
        <v>31</v>
      </c>
      <c r="N223">
        <v>283</v>
      </c>
      <c r="O223">
        <v>103</v>
      </c>
      <c r="T223">
        <v>2</v>
      </c>
      <c r="U223">
        <v>7</v>
      </c>
      <c r="V223">
        <v>1</v>
      </c>
      <c r="Y223">
        <v>1</v>
      </c>
      <c r="Z223">
        <v>5</v>
      </c>
      <c r="AA223">
        <v>17</v>
      </c>
      <c r="AD223">
        <v>6</v>
      </c>
      <c r="AE223">
        <v>2</v>
      </c>
      <c r="AF223">
        <v>2</v>
      </c>
      <c r="AI223">
        <v>2</v>
      </c>
      <c r="AJ223">
        <v>26</v>
      </c>
      <c r="AK223">
        <v>8</v>
      </c>
      <c r="AX223">
        <v>10</v>
      </c>
      <c r="AY223">
        <v>9</v>
      </c>
      <c r="AZ223">
        <v>19</v>
      </c>
      <c r="BA223">
        <v>23</v>
      </c>
      <c r="BB223">
        <v>30</v>
      </c>
      <c r="BC223">
        <v>53</v>
      </c>
      <c r="BD223">
        <v>10</v>
      </c>
      <c r="BE223">
        <v>20</v>
      </c>
      <c r="BF223">
        <v>30</v>
      </c>
      <c r="BG223">
        <v>36</v>
      </c>
      <c r="BH223">
        <v>20</v>
      </c>
      <c r="BI223">
        <v>56</v>
      </c>
      <c r="BP223">
        <v>30</v>
      </c>
      <c r="BR223">
        <v>49</v>
      </c>
      <c r="BS223">
        <v>0</v>
      </c>
      <c r="BT223">
        <v>0</v>
      </c>
      <c r="BV223">
        <v>0</v>
      </c>
      <c r="BW223">
        <v>79</v>
      </c>
      <c r="BX223">
        <f>IF(C223=C222,IF((CI223-1)=CI222,BW222,"no data"))</f>
        <v>124</v>
      </c>
      <c r="BY223" s="5">
        <f t="shared" si="21"/>
        <v>-0.36290322580645162</v>
      </c>
      <c r="BZ223" s="6">
        <f t="shared" si="20"/>
        <v>-0.36290322580645162</v>
      </c>
      <c r="CA223" s="7">
        <v>43779</v>
      </c>
      <c r="CE223">
        <v>20</v>
      </c>
      <c r="CF223">
        <v>19</v>
      </c>
      <c r="CG223">
        <v>29</v>
      </c>
      <c r="CH223">
        <v>11</v>
      </c>
      <c r="CI223">
        <f t="shared" si="18"/>
        <v>2019</v>
      </c>
      <c r="CJ223" t="str">
        <f t="shared" si="19"/>
        <v>5016_2019</v>
      </c>
    </row>
    <row r="224" spans="1:88" x14ac:dyDescent="0.25">
      <c r="A224" t="s">
        <v>111</v>
      </c>
      <c r="B224" t="s">
        <v>152</v>
      </c>
      <c r="C224">
        <v>5023</v>
      </c>
      <c r="D224">
        <v>-37.696100000000001</v>
      </c>
      <c r="E224">
        <v>145.0222</v>
      </c>
      <c r="F224">
        <v>4</v>
      </c>
      <c r="G224" t="s">
        <v>154</v>
      </c>
      <c r="H224">
        <v>36</v>
      </c>
      <c r="I224">
        <v>216</v>
      </c>
      <c r="J224">
        <v>125</v>
      </c>
      <c r="K224">
        <v>305</v>
      </c>
      <c r="L224">
        <v>213</v>
      </c>
      <c r="M224">
        <v>33</v>
      </c>
      <c r="N224">
        <v>277</v>
      </c>
      <c r="O224">
        <v>97</v>
      </c>
      <c r="T224">
        <v>11</v>
      </c>
      <c r="U224">
        <v>24</v>
      </c>
      <c r="V224">
        <v>10</v>
      </c>
      <c r="Y224">
        <v>4</v>
      </c>
      <c r="Z224">
        <v>21</v>
      </c>
      <c r="AA224">
        <v>2</v>
      </c>
      <c r="AD224">
        <v>29</v>
      </c>
      <c r="AE224">
        <v>15</v>
      </c>
      <c r="AF224">
        <v>10</v>
      </c>
      <c r="AI224">
        <v>8</v>
      </c>
      <c r="AJ224">
        <v>3</v>
      </c>
      <c r="AK224">
        <v>12</v>
      </c>
      <c r="AX224">
        <v>45</v>
      </c>
      <c r="AY224">
        <v>41</v>
      </c>
      <c r="AZ224">
        <v>86</v>
      </c>
      <c r="BA224">
        <v>27</v>
      </c>
      <c r="BB224">
        <v>29</v>
      </c>
      <c r="BC224">
        <v>56</v>
      </c>
      <c r="BD224">
        <v>54</v>
      </c>
      <c r="BE224">
        <v>57</v>
      </c>
      <c r="BF224">
        <v>111</v>
      </c>
      <c r="BG224">
        <v>23</v>
      </c>
      <c r="BH224">
        <v>22</v>
      </c>
      <c r="BI224">
        <v>45</v>
      </c>
      <c r="BP224">
        <v>47</v>
      </c>
      <c r="BR224">
        <v>85</v>
      </c>
      <c r="BS224">
        <v>3</v>
      </c>
      <c r="BT224">
        <v>11</v>
      </c>
      <c r="BV224">
        <v>3</v>
      </c>
      <c r="BW224">
        <v>149</v>
      </c>
      <c r="BX224" t="s">
        <v>82</v>
      </c>
      <c r="BY224" s="5"/>
      <c r="BZ224" s="6"/>
      <c r="CA224" s="7">
        <v>41952</v>
      </c>
      <c r="CI224">
        <f t="shared" si="18"/>
        <v>2014</v>
      </c>
      <c r="CJ224" t="str">
        <f t="shared" si="19"/>
        <v>5023_2014</v>
      </c>
    </row>
    <row r="225" spans="1:88" x14ac:dyDescent="0.25">
      <c r="A225" t="s">
        <v>111</v>
      </c>
      <c r="B225" t="s">
        <v>152</v>
      </c>
      <c r="C225">
        <v>5023</v>
      </c>
      <c r="D225">
        <v>-37.696100000000001</v>
      </c>
      <c r="E225">
        <v>145.0222</v>
      </c>
      <c r="F225">
        <v>4</v>
      </c>
      <c r="G225" t="s">
        <v>154</v>
      </c>
      <c r="H225">
        <v>36</v>
      </c>
      <c r="I225">
        <v>216</v>
      </c>
      <c r="J225">
        <v>125</v>
      </c>
      <c r="K225">
        <v>305</v>
      </c>
      <c r="L225">
        <v>213</v>
      </c>
      <c r="M225">
        <v>33</v>
      </c>
      <c r="N225">
        <v>277</v>
      </c>
      <c r="O225">
        <v>97</v>
      </c>
      <c r="T225">
        <v>21</v>
      </c>
      <c r="U225">
        <v>27</v>
      </c>
      <c r="V225">
        <v>21</v>
      </c>
      <c r="Y225">
        <v>13</v>
      </c>
      <c r="Z225">
        <v>28</v>
      </c>
      <c r="AA225">
        <v>12</v>
      </c>
      <c r="AD225">
        <v>31</v>
      </c>
      <c r="AE225">
        <v>26</v>
      </c>
      <c r="AF225">
        <v>8</v>
      </c>
      <c r="AI225">
        <v>20</v>
      </c>
      <c r="AJ225">
        <v>8</v>
      </c>
      <c r="AK225">
        <v>10</v>
      </c>
      <c r="AX225">
        <v>69</v>
      </c>
      <c r="AY225">
        <v>64</v>
      </c>
      <c r="AZ225">
        <v>133</v>
      </c>
      <c r="BA225">
        <v>53</v>
      </c>
      <c r="BB225">
        <v>55</v>
      </c>
      <c r="BC225">
        <v>108</v>
      </c>
      <c r="BD225">
        <v>65</v>
      </c>
      <c r="BE225">
        <v>65</v>
      </c>
      <c r="BF225">
        <v>130</v>
      </c>
      <c r="BG225">
        <v>38</v>
      </c>
      <c r="BH225">
        <v>41</v>
      </c>
      <c r="BI225">
        <v>79</v>
      </c>
      <c r="BP225">
        <v>65</v>
      </c>
      <c r="BR225">
        <v>135</v>
      </c>
      <c r="BS225">
        <v>3</v>
      </c>
      <c r="BT225">
        <v>16</v>
      </c>
      <c r="BV225">
        <v>6</v>
      </c>
      <c r="BW225">
        <v>225</v>
      </c>
      <c r="BX225">
        <f>IF(C225=C224,IF((CI225-1)=CI224,BW224,"no data"))</f>
        <v>149</v>
      </c>
      <c r="BY225" s="5">
        <f t="shared" si="21"/>
        <v>0.51006711409395977</v>
      </c>
      <c r="BZ225" s="6">
        <f t="shared" si="20"/>
        <v>0.51006711409395977</v>
      </c>
      <c r="CA225" s="7">
        <v>42316</v>
      </c>
      <c r="CE225">
        <v>52</v>
      </c>
      <c r="CF225">
        <v>55</v>
      </c>
      <c r="CG225">
        <v>60</v>
      </c>
      <c r="CH225">
        <v>58</v>
      </c>
      <c r="CI225">
        <f t="shared" si="18"/>
        <v>2015</v>
      </c>
      <c r="CJ225" t="str">
        <f t="shared" si="19"/>
        <v>5023_2015</v>
      </c>
    </row>
    <row r="226" spans="1:88" x14ac:dyDescent="0.25">
      <c r="A226" t="s">
        <v>111</v>
      </c>
      <c r="B226" t="s">
        <v>152</v>
      </c>
      <c r="C226">
        <v>5023</v>
      </c>
      <c r="D226">
        <v>-37.696097000000002</v>
      </c>
      <c r="E226">
        <v>145.022166</v>
      </c>
      <c r="F226">
        <v>4</v>
      </c>
      <c r="G226" t="s">
        <v>154</v>
      </c>
      <c r="H226">
        <v>36</v>
      </c>
      <c r="I226">
        <v>216</v>
      </c>
      <c r="J226">
        <v>125</v>
      </c>
      <c r="K226">
        <v>305</v>
      </c>
      <c r="L226">
        <v>213</v>
      </c>
      <c r="M226">
        <v>33</v>
      </c>
      <c r="N226">
        <v>277</v>
      </c>
      <c r="O226">
        <v>97</v>
      </c>
      <c r="T226">
        <v>6</v>
      </c>
      <c r="U226">
        <v>10</v>
      </c>
      <c r="V226">
        <v>10</v>
      </c>
      <c r="Y226">
        <v>3</v>
      </c>
      <c r="Z226">
        <v>7</v>
      </c>
      <c r="AA226">
        <v>8</v>
      </c>
      <c r="AD226">
        <v>5</v>
      </c>
      <c r="AE226">
        <v>6</v>
      </c>
      <c r="AF226">
        <v>0</v>
      </c>
      <c r="AI226">
        <v>6</v>
      </c>
      <c r="AJ226">
        <v>9</v>
      </c>
      <c r="AK226">
        <v>1</v>
      </c>
      <c r="AX226">
        <v>26</v>
      </c>
      <c r="AY226">
        <v>14</v>
      </c>
      <c r="AZ226">
        <v>40</v>
      </c>
      <c r="BA226">
        <v>18</v>
      </c>
      <c r="BB226">
        <v>21</v>
      </c>
      <c r="BC226">
        <v>39</v>
      </c>
      <c r="BD226">
        <v>11</v>
      </c>
      <c r="BE226">
        <v>18</v>
      </c>
      <c r="BF226">
        <v>29</v>
      </c>
      <c r="BG226">
        <v>16</v>
      </c>
      <c r="BH226">
        <v>18</v>
      </c>
      <c r="BI226">
        <v>34</v>
      </c>
      <c r="BP226">
        <v>15</v>
      </c>
      <c r="BR226">
        <v>45</v>
      </c>
      <c r="BS226">
        <v>4</v>
      </c>
      <c r="BT226">
        <v>5</v>
      </c>
      <c r="BV226">
        <v>2</v>
      </c>
      <c r="BW226">
        <v>71</v>
      </c>
      <c r="BX226">
        <f>IF(C226=C225,IF((CI226-1)=CI225,BW225,"no data"))</f>
        <v>225</v>
      </c>
      <c r="BY226" s="5">
        <f t="shared" si="21"/>
        <v>-0.68444444444444441</v>
      </c>
      <c r="BZ226" s="6">
        <f t="shared" si="20"/>
        <v>-0.68444444444444441</v>
      </c>
      <c r="CA226" s="7">
        <v>42687</v>
      </c>
      <c r="CE226">
        <v>18</v>
      </c>
      <c r="CF226">
        <v>20</v>
      </c>
      <c r="CG226">
        <v>11</v>
      </c>
      <c r="CH226">
        <v>22</v>
      </c>
      <c r="CI226">
        <f t="shared" si="18"/>
        <v>2016</v>
      </c>
      <c r="CJ226" t="str">
        <f t="shared" si="19"/>
        <v>5023_2016</v>
      </c>
    </row>
    <row r="227" spans="1:88" x14ac:dyDescent="0.25">
      <c r="A227" t="s">
        <v>111</v>
      </c>
      <c r="B227" t="s">
        <v>152</v>
      </c>
      <c r="C227">
        <v>5023</v>
      </c>
      <c r="D227">
        <v>-37.696097000000002</v>
      </c>
      <c r="E227">
        <v>145.022166</v>
      </c>
      <c r="F227">
        <v>4</v>
      </c>
      <c r="G227" t="s">
        <v>154</v>
      </c>
      <c r="H227">
        <v>36</v>
      </c>
      <c r="I227">
        <v>216</v>
      </c>
      <c r="J227">
        <v>125</v>
      </c>
      <c r="K227">
        <v>305</v>
      </c>
      <c r="L227">
        <v>213</v>
      </c>
      <c r="M227">
        <v>33</v>
      </c>
      <c r="N227">
        <v>277</v>
      </c>
      <c r="O227">
        <v>97</v>
      </c>
      <c r="T227">
        <v>13</v>
      </c>
      <c r="U227">
        <v>28</v>
      </c>
      <c r="V227">
        <v>12</v>
      </c>
      <c r="Y227">
        <v>5</v>
      </c>
      <c r="Z227">
        <v>12</v>
      </c>
      <c r="AA227">
        <v>6</v>
      </c>
      <c r="AD227">
        <v>26</v>
      </c>
      <c r="AE227">
        <v>8</v>
      </c>
      <c r="AF227">
        <v>15</v>
      </c>
      <c r="AI227">
        <v>11</v>
      </c>
      <c r="AJ227">
        <v>1</v>
      </c>
      <c r="AK227">
        <v>3</v>
      </c>
      <c r="AX227">
        <v>53</v>
      </c>
      <c r="AY227">
        <v>42</v>
      </c>
      <c r="AZ227">
        <v>95</v>
      </c>
      <c r="BA227">
        <v>23</v>
      </c>
      <c r="BB227">
        <v>22</v>
      </c>
      <c r="BC227">
        <v>45</v>
      </c>
      <c r="BD227">
        <v>49</v>
      </c>
      <c r="BE227">
        <v>43</v>
      </c>
      <c r="BF227">
        <v>92</v>
      </c>
      <c r="BG227">
        <v>15</v>
      </c>
      <c r="BH227">
        <v>33</v>
      </c>
      <c r="BI227">
        <v>48</v>
      </c>
      <c r="BP227">
        <v>49</v>
      </c>
      <c r="BR227">
        <v>74</v>
      </c>
      <c r="BS227">
        <v>1</v>
      </c>
      <c r="BT227">
        <v>11</v>
      </c>
      <c r="BV227">
        <v>5</v>
      </c>
      <c r="BW227">
        <v>140</v>
      </c>
      <c r="BX227">
        <f>IF(C227=C226,IF((CI227-1)=CI226,BW226,"no data"))</f>
        <v>71</v>
      </c>
      <c r="BY227" s="5">
        <f t="shared" si="21"/>
        <v>0.971830985915493</v>
      </c>
      <c r="BZ227" s="6">
        <f t="shared" si="20"/>
        <v>0.971830985915493</v>
      </c>
      <c r="CA227" s="7">
        <v>43051</v>
      </c>
      <c r="CE227">
        <v>54</v>
      </c>
      <c r="CF227">
        <v>30</v>
      </c>
      <c r="CG227">
        <v>28</v>
      </c>
      <c r="CH227">
        <v>28</v>
      </c>
      <c r="CI227">
        <f t="shared" si="18"/>
        <v>2017</v>
      </c>
      <c r="CJ227" t="str">
        <f t="shared" si="19"/>
        <v>5023_2017</v>
      </c>
    </row>
    <row r="228" spans="1:88" x14ac:dyDescent="0.25">
      <c r="A228" t="s">
        <v>111</v>
      </c>
      <c r="B228" t="s">
        <v>152</v>
      </c>
      <c r="C228">
        <v>5023</v>
      </c>
      <c r="D228">
        <v>-37.696097000000002</v>
      </c>
      <c r="E228">
        <v>145.022166</v>
      </c>
      <c r="F228">
        <v>4</v>
      </c>
      <c r="G228" t="s">
        <v>154</v>
      </c>
      <c r="H228">
        <v>36</v>
      </c>
      <c r="I228">
        <v>216</v>
      </c>
      <c r="J228">
        <v>125</v>
      </c>
      <c r="K228">
        <v>305</v>
      </c>
      <c r="L228">
        <v>213</v>
      </c>
      <c r="M228">
        <v>33</v>
      </c>
      <c r="N228">
        <v>277</v>
      </c>
      <c r="O228">
        <v>97</v>
      </c>
      <c r="T228">
        <v>17</v>
      </c>
      <c r="U228">
        <v>25</v>
      </c>
      <c r="V228">
        <v>10</v>
      </c>
      <c r="Y228">
        <v>10</v>
      </c>
      <c r="Z228">
        <v>22</v>
      </c>
      <c r="AA228">
        <v>9</v>
      </c>
      <c r="AD228">
        <v>19</v>
      </c>
      <c r="AE228">
        <v>29</v>
      </c>
      <c r="AF228">
        <v>8</v>
      </c>
      <c r="AI228">
        <v>6</v>
      </c>
      <c r="AJ228">
        <v>3</v>
      </c>
      <c r="AK228">
        <v>8</v>
      </c>
      <c r="AX228">
        <v>52</v>
      </c>
      <c r="AY228">
        <v>35</v>
      </c>
      <c r="AZ228">
        <v>87</v>
      </c>
      <c r="BA228">
        <v>41</v>
      </c>
      <c r="BB228">
        <v>49</v>
      </c>
      <c r="BC228">
        <v>90</v>
      </c>
      <c r="BD228">
        <v>56</v>
      </c>
      <c r="BE228">
        <v>55</v>
      </c>
      <c r="BF228">
        <v>111</v>
      </c>
      <c r="BG228">
        <v>17</v>
      </c>
      <c r="BH228">
        <v>27</v>
      </c>
      <c r="BI228">
        <v>44</v>
      </c>
      <c r="BP228">
        <v>55</v>
      </c>
      <c r="BR228">
        <v>90</v>
      </c>
      <c r="BS228">
        <v>4</v>
      </c>
      <c r="BT228">
        <v>6</v>
      </c>
      <c r="BV228">
        <v>11</v>
      </c>
      <c r="BW228">
        <v>166</v>
      </c>
      <c r="BX228">
        <f>IF(C228=C227,IF((CI228-1)=CI227,BW227,"no data"))</f>
        <v>140</v>
      </c>
      <c r="BY228" s="5">
        <f t="shared" si="21"/>
        <v>0.18571428571428572</v>
      </c>
      <c r="BZ228" s="6">
        <f t="shared" si="20"/>
        <v>0.18571428571428572</v>
      </c>
      <c r="CA228" s="7">
        <v>43415</v>
      </c>
      <c r="CE228">
        <v>39</v>
      </c>
      <c r="CF228">
        <v>42</v>
      </c>
      <c r="CG228">
        <v>53</v>
      </c>
      <c r="CH228">
        <v>32</v>
      </c>
      <c r="CI228">
        <f t="shared" si="18"/>
        <v>2018</v>
      </c>
      <c r="CJ228" t="str">
        <f t="shared" si="19"/>
        <v>5023_2018</v>
      </c>
    </row>
    <row r="229" spans="1:88" x14ac:dyDescent="0.25">
      <c r="A229" t="s">
        <v>111</v>
      </c>
      <c r="B229" t="s">
        <v>152</v>
      </c>
      <c r="C229">
        <v>5023</v>
      </c>
      <c r="D229">
        <v>-37.696100000000001</v>
      </c>
      <c r="E229">
        <v>145.0222</v>
      </c>
      <c r="F229">
        <v>4</v>
      </c>
      <c r="G229" t="s">
        <v>154</v>
      </c>
      <c r="H229">
        <v>36</v>
      </c>
      <c r="I229">
        <v>216</v>
      </c>
      <c r="J229">
        <v>125</v>
      </c>
      <c r="K229">
        <v>305</v>
      </c>
      <c r="L229">
        <v>213</v>
      </c>
      <c r="M229">
        <v>33</v>
      </c>
      <c r="N229">
        <v>277</v>
      </c>
      <c r="O229">
        <v>97</v>
      </c>
      <c r="T229">
        <v>9</v>
      </c>
      <c r="U229">
        <v>12</v>
      </c>
      <c r="V229">
        <v>4</v>
      </c>
      <c r="Y229">
        <v>7</v>
      </c>
      <c r="Z229">
        <v>11</v>
      </c>
      <c r="AA229">
        <v>13</v>
      </c>
      <c r="AD229">
        <v>9</v>
      </c>
      <c r="AE229">
        <v>8</v>
      </c>
      <c r="AF229">
        <v>2</v>
      </c>
      <c r="AI229">
        <v>1</v>
      </c>
      <c r="AJ229">
        <v>7</v>
      </c>
      <c r="AK229">
        <v>5</v>
      </c>
      <c r="AX229">
        <v>25</v>
      </c>
      <c r="AY229">
        <v>17</v>
      </c>
      <c r="AZ229">
        <v>42</v>
      </c>
      <c r="BA229">
        <v>31</v>
      </c>
      <c r="BB229">
        <v>24</v>
      </c>
      <c r="BC229">
        <v>55</v>
      </c>
      <c r="BD229">
        <v>19</v>
      </c>
      <c r="BE229">
        <v>28</v>
      </c>
      <c r="BF229">
        <v>47</v>
      </c>
      <c r="BG229">
        <v>13</v>
      </c>
      <c r="BH229">
        <v>19</v>
      </c>
      <c r="BI229">
        <v>32</v>
      </c>
      <c r="BP229">
        <v>22</v>
      </c>
      <c r="BR229">
        <v>59</v>
      </c>
      <c r="BS229">
        <v>2</v>
      </c>
      <c r="BT229">
        <v>2</v>
      </c>
      <c r="BV229">
        <v>3</v>
      </c>
      <c r="BW229">
        <v>88</v>
      </c>
      <c r="BX229">
        <f>IF(C229=C228,IF((CI229-1)=CI228,BW228,"no data"))</f>
        <v>166</v>
      </c>
      <c r="BY229" s="5">
        <f t="shared" si="21"/>
        <v>-0.46987951807228917</v>
      </c>
      <c r="BZ229" s="6">
        <f t="shared" si="20"/>
        <v>-0.46987951807228917</v>
      </c>
      <c r="CA229" s="7">
        <v>43779</v>
      </c>
      <c r="CE229">
        <v>22</v>
      </c>
      <c r="CF229">
        <v>22</v>
      </c>
      <c r="CG229">
        <v>25</v>
      </c>
      <c r="CH229">
        <v>19</v>
      </c>
      <c r="CI229">
        <f t="shared" si="18"/>
        <v>2019</v>
      </c>
      <c r="CJ229" t="str">
        <f t="shared" si="19"/>
        <v>5023_2019</v>
      </c>
    </row>
    <row r="230" spans="1:88" x14ac:dyDescent="0.25">
      <c r="A230" t="s">
        <v>111</v>
      </c>
      <c r="B230" t="s">
        <v>152</v>
      </c>
      <c r="C230">
        <v>5026</v>
      </c>
      <c r="D230">
        <v>-37.686199999999999</v>
      </c>
      <c r="E230">
        <v>145.0677</v>
      </c>
      <c r="F230">
        <v>4</v>
      </c>
      <c r="G230" t="s">
        <v>155</v>
      </c>
      <c r="H230">
        <v>13</v>
      </c>
      <c r="I230">
        <v>193</v>
      </c>
      <c r="J230">
        <v>96</v>
      </c>
      <c r="K230">
        <v>276</v>
      </c>
      <c r="L230">
        <v>215</v>
      </c>
      <c r="M230">
        <v>35</v>
      </c>
      <c r="N230">
        <v>280</v>
      </c>
      <c r="O230">
        <v>100</v>
      </c>
      <c r="T230">
        <v>8</v>
      </c>
      <c r="U230">
        <v>17</v>
      </c>
      <c r="V230">
        <v>0</v>
      </c>
      <c r="Y230">
        <v>7</v>
      </c>
      <c r="Z230">
        <v>17</v>
      </c>
      <c r="AA230">
        <v>0</v>
      </c>
      <c r="AD230">
        <v>26</v>
      </c>
      <c r="AE230">
        <v>13</v>
      </c>
      <c r="AF230">
        <v>0</v>
      </c>
      <c r="AI230">
        <v>0</v>
      </c>
      <c r="AJ230">
        <v>0</v>
      </c>
      <c r="AK230">
        <v>0</v>
      </c>
      <c r="AX230">
        <v>25</v>
      </c>
      <c r="AY230">
        <v>33</v>
      </c>
      <c r="AZ230">
        <v>58</v>
      </c>
      <c r="BA230">
        <v>24</v>
      </c>
      <c r="BB230">
        <v>21</v>
      </c>
      <c r="BC230">
        <v>45</v>
      </c>
      <c r="BD230">
        <v>39</v>
      </c>
      <c r="BE230">
        <v>34</v>
      </c>
      <c r="BF230">
        <v>73</v>
      </c>
      <c r="BG230">
        <v>0</v>
      </c>
      <c r="BH230">
        <v>0</v>
      </c>
      <c r="BI230">
        <v>0</v>
      </c>
      <c r="BP230">
        <v>37</v>
      </c>
      <c r="BR230">
        <v>32</v>
      </c>
      <c r="BS230">
        <v>15</v>
      </c>
      <c r="BT230">
        <v>3</v>
      </c>
      <c r="BV230">
        <v>1</v>
      </c>
      <c r="BW230">
        <v>88</v>
      </c>
      <c r="BX230" t="s">
        <v>82</v>
      </c>
      <c r="BY230" s="5"/>
      <c r="BZ230" s="6"/>
      <c r="CA230" s="7">
        <v>41588</v>
      </c>
      <c r="CI230">
        <f t="shared" si="18"/>
        <v>2013</v>
      </c>
      <c r="CJ230" t="str">
        <f t="shared" si="19"/>
        <v>5026_2013</v>
      </c>
    </row>
    <row r="231" spans="1:88" x14ac:dyDescent="0.25">
      <c r="A231" t="s">
        <v>111</v>
      </c>
      <c r="B231" t="s">
        <v>152</v>
      </c>
      <c r="C231">
        <v>5026</v>
      </c>
      <c r="D231">
        <v>-37.686199999999999</v>
      </c>
      <c r="E231">
        <v>145.0677</v>
      </c>
      <c r="F231">
        <v>4</v>
      </c>
      <c r="G231" t="s">
        <v>155</v>
      </c>
      <c r="H231">
        <v>13</v>
      </c>
      <c r="I231">
        <v>193</v>
      </c>
      <c r="J231">
        <v>96</v>
      </c>
      <c r="K231">
        <v>276</v>
      </c>
      <c r="L231">
        <v>215</v>
      </c>
      <c r="M231">
        <v>35</v>
      </c>
      <c r="N231">
        <v>280</v>
      </c>
      <c r="O231">
        <v>100</v>
      </c>
      <c r="T231">
        <v>16</v>
      </c>
      <c r="U231">
        <v>24</v>
      </c>
      <c r="V231">
        <v>7</v>
      </c>
      <c r="Y231">
        <v>10</v>
      </c>
      <c r="Z231">
        <v>9</v>
      </c>
      <c r="AA231">
        <v>18</v>
      </c>
      <c r="AD231">
        <v>17</v>
      </c>
      <c r="AE231">
        <v>11</v>
      </c>
      <c r="AF231">
        <v>1</v>
      </c>
      <c r="AI231">
        <v>13</v>
      </c>
      <c r="AJ231">
        <v>20</v>
      </c>
      <c r="AK231">
        <v>4</v>
      </c>
      <c r="AX231">
        <v>47</v>
      </c>
      <c r="AY231">
        <v>40</v>
      </c>
      <c r="AZ231">
        <v>87</v>
      </c>
      <c r="BA231">
        <v>37</v>
      </c>
      <c r="BB231">
        <v>47</v>
      </c>
      <c r="BC231">
        <v>84</v>
      </c>
      <c r="BD231">
        <v>29</v>
      </c>
      <c r="BE231">
        <v>37</v>
      </c>
      <c r="BF231">
        <v>66</v>
      </c>
      <c r="BG231">
        <v>37</v>
      </c>
      <c r="BH231">
        <v>26</v>
      </c>
      <c r="BI231">
        <v>63</v>
      </c>
      <c r="BP231">
        <v>90</v>
      </c>
      <c r="BR231">
        <v>34</v>
      </c>
      <c r="BS231">
        <v>18</v>
      </c>
      <c r="BT231">
        <v>3</v>
      </c>
      <c r="BV231">
        <v>5</v>
      </c>
      <c r="BW231">
        <v>150</v>
      </c>
      <c r="BX231">
        <f t="shared" ref="BX231:BX236" si="22">IF(C231=C230,IF((CI231-1)=CI230,BW230,"no data"))</f>
        <v>88</v>
      </c>
      <c r="BY231" s="5">
        <f t="shared" si="21"/>
        <v>0.70454545454545459</v>
      </c>
      <c r="BZ231" s="6">
        <f t="shared" si="20"/>
        <v>0.70454545454545459</v>
      </c>
      <c r="CA231" s="7">
        <v>41952</v>
      </c>
      <c r="CI231">
        <f t="shared" si="18"/>
        <v>2014</v>
      </c>
      <c r="CJ231" t="str">
        <f t="shared" si="19"/>
        <v>5026_2014</v>
      </c>
    </row>
    <row r="232" spans="1:88" x14ac:dyDescent="0.25">
      <c r="A232" t="s">
        <v>111</v>
      </c>
      <c r="B232" t="s">
        <v>152</v>
      </c>
      <c r="C232">
        <v>5026</v>
      </c>
      <c r="D232">
        <v>-37.686199999999999</v>
      </c>
      <c r="E232">
        <v>145.0677</v>
      </c>
      <c r="F232">
        <v>4</v>
      </c>
      <c r="G232" t="s">
        <v>155</v>
      </c>
      <c r="H232">
        <v>13</v>
      </c>
      <c r="I232">
        <v>193</v>
      </c>
      <c r="J232">
        <v>96</v>
      </c>
      <c r="K232">
        <v>276</v>
      </c>
      <c r="L232">
        <v>215</v>
      </c>
      <c r="M232">
        <v>35</v>
      </c>
      <c r="N232">
        <v>280</v>
      </c>
      <c r="O232">
        <v>100</v>
      </c>
      <c r="T232">
        <v>5</v>
      </c>
      <c r="U232">
        <v>34</v>
      </c>
      <c r="V232">
        <v>7</v>
      </c>
      <c r="Y232">
        <v>6</v>
      </c>
      <c r="Z232">
        <v>13</v>
      </c>
      <c r="AA232">
        <v>46</v>
      </c>
      <c r="AD232">
        <v>29</v>
      </c>
      <c r="AE232">
        <v>8</v>
      </c>
      <c r="AF232">
        <v>8</v>
      </c>
      <c r="AI232">
        <v>4</v>
      </c>
      <c r="AJ232">
        <v>37</v>
      </c>
      <c r="AK232">
        <v>6</v>
      </c>
      <c r="AX232">
        <v>46</v>
      </c>
      <c r="AY232">
        <v>39</v>
      </c>
      <c r="AZ232">
        <v>85</v>
      </c>
      <c r="BA232">
        <v>65</v>
      </c>
      <c r="BB232">
        <v>50</v>
      </c>
      <c r="BC232">
        <v>115</v>
      </c>
      <c r="BD232">
        <v>45</v>
      </c>
      <c r="BE232">
        <v>53</v>
      </c>
      <c r="BF232">
        <v>98</v>
      </c>
      <c r="BG232">
        <v>47</v>
      </c>
      <c r="BH232">
        <v>61</v>
      </c>
      <c r="BI232">
        <v>108</v>
      </c>
      <c r="BP232">
        <v>143</v>
      </c>
      <c r="BR232">
        <v>36</v>
      </c>
      <c r="BS232">
        <v>16</v>
      </c>
      <c r="BT232">
        <v>8</v>
      </c>
      <c r="BV232">
        <v>0</v>
      </c>
      <c r="BW232">
        <v>203</v>
      </c>
      <c r="BX232">
        <f t="shared" si="22"/>
        <v>150</v>
      </c>
      <c r="BY232" s="5">
        <f t="shared" si="21"/>
        <v>0.35333333333333333</v>
      </c>
      <c r="BZ232" s="6">
        <f t="shared" si="20"/>
        <v>0.35333333333333333</v>
      </c>
      <c r="CA232" s="7">
        <v>42316</v>
      </c>
      <c r="CE232">
        <v>67</v>
      </c>
      <c r="CF232">
        <v>51</v>
      </c>
      <c r="CG232">
        <v>44</v>
      </c>
      <c r="CH232">
        <v>41</v>
      </c>
      <c r="CI232">
        <f t="shared" si="18"/>
        <v>2015</v>
      </c>
      <c r="CJ232" t="str">
        <f t="shared" si="19"/>
        <v>5026_2015</v>
      </c>
    </row>
    <row r="233" spans="1:88" x14ac:dyDescent="0.25">
      <c r="A233" t="s">
        <v>111</v>
      </c>
      <c r="B233" t="s">
        <v>152</v>
      </c>
      <c r="C233">
        <v>5026</v>
      </c>
      <c r="D233">
        <v>-37.686172999999997</v>
      </c>
      <c r="E233">
        <v>145.06774899999999</v>
      </c>
      <c r="F233">
        <v>4</v>
      </c>
      <c r="G233" t="s">
        <v>155</v>
      </c>
      <c r="H233">
        <v>13</v>
      </c>
      <c r="I233">
        <v>193</v>
      </c>
      <c r="J233">
        <v>96</v>
      </c>
      <c r="K233">
        <v>276</v>
      </c>
      <c r="L233">
        <v>215</v>
      </c>
      <c r="M233">
        <v>35</v>
      </c>
      <c r="N233">
        <v>280</v>
      </c>
      <c r="O233">
        <v>100</v>
      </c>
      <c r="T233">
        <v>7</v>
      </c>
      <c r="U233">
        <v>39</v>
      </c>
      <c r="V233">
        <v>11</v>
      </c>
      <c r="Y233">
        <v>4</v>
      </c>
      <c r="Z233">
        <v>8</v>
      </c>
      <c r="AA233">
        <v>23</v>
      </c>
      <c r="AD233">
        <v>49</v>
      </c>
      <c r="AE233">
        <v>7</v>
      </c>
      <c r="AF233">
        <v>5</v>
      </c>
      <c r="AI233">
        <v>18</v>
      </c>
      <c r="AJ233">
        <v>17</v>
      </c>
      <c r="AK233">
        <v>11</v>
      </c>
      <c r="AX233">
        <v>57</v>
      </c>
      <c r="AY233">
        <v>71</v>
      </c>
      <c r="AZ233">
        <v>128</v>
      </c>
      <c r="BA233">
        <v>35</v>
      </c>
      <c r="BB233">
        <v>31</v>
      </c>
      <c r="BC233">
        <v>66</v>
      </c>
      <c r="BD233">
        <v>61</v>
      </c>
      <c r="BE233">
        <v>58</v>
      </c>
      <c r="BF233">
        <v>119</v>
      </c>
      <c r="BG233">
        <v>46</v>
      </c>
      <c r="BH233">
        <v>39</v>
      </c>
      <c r="BI233">
        <v>85</v>
      </c>
      <c r="BP233">
        <v>127</v>
      </c>
      <c r="BR233">
        <v>44</v>
      </c>
      <c r="BS233">
        <v>22</v>
      </c>
      <c r="BT233">
        <v>6</v>
      </c>
      <c r="BV233">
        <v>0</v>
      </c>
      <c r="BW233">
        <v>199</v>
      </c>
      <c r="BX233">
        <f t="shared" si="22"/>
        <v>203</v>
      </c>
      <c r="BY233" s="5">
        <f t="shared" si="21"/>
        <v>-1.9704433497536946E-2</v>
      </c>
      <c r="BZ233" s="6">
        <f t="shared" si="20"/>
        <v>-1.9704433497536946E-2</v>
      </c>
      <c r="CA233" s="7">
        <v>42715</v>
      </c>
      <c r="CE233">
        <v>75</v>
      </c>
      <c r="CF233">
        <v>29</v>
      </c>
      <c r="CG233">
        <v>57</v>
      </c>
      <c r="CH233">
        <v>38</v>
      </c>
      <c r="CI233">
        <f t="shared" si="18"/>
        <v>2016</v>
      </c>
      <c r="CJ233" t="str">
        <f t="shared" si="19"/>
        <v>5026_2016</v>
      </c>
    </row>
    <row r="234" spans="1:88" x14ac:dyDescent="0.25">
      <c r="A234" t="s">
        <v>111</v>
      </c>
      <c r="B234" t="s">
        <v>152</v>
      </c>
      <c r="C234">
        <v>5026</v>
      </c>
      <c r="D234">
        <v>-37.686172999999997</v>
      </c>
      <c r="E234">
        <v>145.06774899999999</v>
      </c>
      <c r="F234">
        <v>4</v>
      </c>
      <c r="G234" t="s">
        <v>155</v>
      </c>
      <c r="H234">
        <v>13</v>
      </c>
      <c r="I234">
        <v>193</v>
      </c>
      <c r="J234">
        <v>96</v>
      </c>
      <c r="K234">
        <v>276</v>
      </c>
      <c r="L234">
        <v>215</v>
      </c>
      <c r="M234">
        <v>35</v>
      </c>
      <c r="N234">
        <v>280</v>
      </c>
      <c r="O234">
        <v>100</v>
      </c>
      <c r="T234">
        <v>10</v>
      </c>
      <c r="U234">
        <v>16</v>
      </c>
      <c r="V234">
        <v>5</v>
      </c>
      <c r="Y234">
        <v>4</v>
      </c>
      <c r="Z234">
        <v>10</v>
      </c>
      <c r="AA234">
        <v>28</v>
      </c>
      <c r="AD234">
        <v>11</v>
      </c>
      <c r="AE234">
        <v>15</v>
      </c>
      <c r="AF234">
        <v>3</v>
      </c>
      <c r="AI234">
        <v>9</v>
      </c>
      <c r="AJ234">
        <v>27</v>
      </c>
      <c r="AK234">
        <v>2</v>
      </c>
      <c r="AX234">
        <v>31</v>
      </c>
      <c r="AY234">
        <v>24</v>
      </c>
      <c r="AZ234">
        <v>55</v>
      </c>
      <c r="BA234">
        <v>42</v>
      </c>
      <c r="BB234">
        <v>52</v>
      </c>
      <c r="BC234">
        <v>94</v>
      </c>
      <c r="BD234">
        <v>29</v>
      </c>
      <c r="BE234">
        <v>28</v>
      </c>
      <c r="BF234">
        <v>57</v>
      </c>
      <c r="BG234">
        <v>38</v>
      </c>
      <c r="BH234">
        <v>36</v>
      </c>
      <c r="BI234">
        <v>74</v>
      </c>
      <c r="BP234">
        <v>97</v>
      </c>
      <c r="BR234">
        <v>33</v>
      </c>
      <c r="BS234">
        <v>4</v>
      </c>
      <c r="BT234">
        <v>5</v>
      </c>
      <c r="BV234">
        <v>1</v>
      </c>
      <c r="BW234">
        <v>140</v>
      </c>
      <c r="BX234">
        <f t="shared" si="22"/>
        <v>199</v>
      </c>
      <c r="BY234" s="5">
        <f t="shared" si="21"/>
        <v>-0.29648241206030151</v>
      </c>
      <c r="BZ234" s="6">
        <f t="shared" si="20"/>
        <v>-0.29648241206030151</v>
      </c>
      <c r="CA234" s="7">
        <v>43051</v>
      </c>
      <c r="CE234">
        <v>44</v>
      </c>
      <c r="CF234">
        <v>0</v>
      </c>
      <c r="CG234">
        <v>70</v>
      </c>
      <c r="CH234">
        <v>26</v>
      </c>
      <c r="CI234">
        <f t="shared" si="18"/>
        <v>2017</v>
      </c>
      <c r="CJ234" t="str">
        <f t="shared" si="19"/>
        <v>5026_2017</v>
      </c>
    </row>
    <row r="235" spans="1:88" x14ac:dyDescent="0.25">
      <c r="A235" t="s">
        <v>111</v>
      </c>
      <c r="B235" t="s">
        <v>152</v>
      </c>
      <c r="C235">
        <v>5026</v>
      </c>
      <c r="D235">
        <v>-37.686172999999997</v>
      </c>
      <c r="E235">
        <v>145.06774899999999</v>
      </c>
      <c r="F235">
        <v>4</v>
      </c>
      <c r="G235" t="s">
        <v>155</v>
      </c>
      <c r="H235">
        <v>13</v>
      </c>
      <c r="I235">
        <v>193</v>
      </c>
      <c r="J235">
        <v>96</v>
      </c>
      <c r="K235">
        <v>276</v>
      </c>
      <c r="L235">
        <v>215</v>
      </c>
      <c r="M235">
        <v>35</v>
      </c>
      <c r="N235">
        <v>280</v>
      </c>
      <c r="O235">
        <v>100</v>
      </c>
      <c r="T235">
        <v>7</v>
      </c>
      <c r="U235">
        <v>30</v>
      </c>
      <c r="V235">
        <v>11</v>
      </c>
      <c r="Y235">
        <v>3</v>
      </c>
      <c r="Z235">
        <v>11</v>
      </c>
      <c r="AA235">
        <v>34</v>
      </c>
      <c r="AD235">
        <v>22</v>
      </c>
      <c r="AE235">
        <v>13</v>
      </c>
      <c r="AF235">
        <v>2</v>
      </c>
      <c r="AI235">
        <v>15</v>
      </c>
      <c r="AJ235">
        <v>65</v>
      </c>
      <c r="AK235">
        <v>1</v>
      </c>
      <c r="AX235">
        <v>48</v>
      </c>
      <c r="AY235">
        <v>40</v>
      </c>
      <c r="AZ235">
        <v>88</v>
      </c>
      <c r="BA235">
        <v>48</v>
      </c>
      <c r="BB235">
        <v>85</v>
      </c>
      <c r="BC235">
        <v>133</v>
      </c>
      <c r="BD235">
        <v>37</v>
      </c>
      <c r="BE235">
        <v>42</v>
      </c>
      <c r="BF235">
        <v>79</v>
      </c>
      <c r="BG235">
        <v>81</v>
      </c>
      <c r="BH235">
        <v>47</v>
      </c>
      <c r="BI235">
        <v>128</v>
      </c>
      <c r="BP235">
        <v>101</v>
      </c>
      <c r="BR235">
        <v>68</v>
      </c>
      <c r="BS235">
        <v>24</v>
      </c>
      <c r="BT235">
        <v>20</v>
      </c>
      <c r="BV235">
        <v>1</v>
      </c>
      <c r="BW235">
        <v>214</v>
      </c>
      <c r="BX235">
        <f t="shared" si="22"/>
        <v>140</v>
      </c>
      <c r="BY235" s="5">
        <f t="shared" si="21"/>
        <v>0.52857142857142858</v>
      </c>
      <c r="BZ235" s="6">
        <f t="shared" si="20"/>
        <v>0.52857142857142858</v>
      </c>
      <c r="CA235" s="7">
        <v>43415</v>
      </c>
      <c r="CE235">
        <v>67</v>
      </c>
      <c r="CF235">
        <v>46</v>
      </c>
      <c r="CG235">
        <v>60</v>
      </c>
      <c r="CH235">
        <v>41</v>
      </c>
      <c r="CI235">
        <f t="shared" si="18"/>
        <v>2018</v>
      </c>
      <c r="CJ235" t="str">
        <f t="shared" si="19"/>
        <v>5026_2018</v>
      </c>
    </row>
    <row r="236" spans="1:88" x14ac:dyDescent="0.25">
      <c r="A236" t="s">
        <v>111</v>
      </c>
      <c r="B236" t="s">
        <v>152</v>
      </c>
      <c r="C236">
        <v>5026</v>
      </c>
      <c r="D236">
        <v>-37.686199999999999</v>
      </c>
      <c r="E236">
        <v>145.0677</v>
      </c>
      <c r="F236">
        <v>4</v>
      </c>
      <c r="G236" t="s">
        <v>155</v>
      </c>
      <c r="H236">
        <v>13</v>
      </c>
      <c r="I236">
        <v>193</v>
      </c>
      <c r="J236">
        <v>96</v>
      </c>
      <c r="K236">
        <v>276</v>
      </c>
      <c r="L236">
        <v>215</v>
      </c>
      <c r="M236">
        <v>35</v>
      </c>
      <c r="N236">
        <v>280</v>
      </c>
      <c r="O236">
        <v>100</v>
      </c>
      <c r="T236">
        <v>10</v>
      </c>
      <c r="U236">
        <v>29</v>
      </c>
      <c r="V236">
        <v>20</v>
      </c>
      <c r="Y236">
        <v>3</v>
      </c>
      <c r="Z236">
        <v>10</v>
      </c>
      <c r="AA236">
        <v>27</v>
      </c>
      <c r="AD236">
        <v>26</v>
      </c>
      <c r="AE236">
        <v>7</v>
      </c>
      <c r="AF236">
        <v>11</v>
      </c>
      <c r="AI236">
        <v>39</v>
      </c>
      <c r="AJ236">
        <v>28</v>
      </c>
      <c r="AK236">
        <v>10</v>
      </c>
      <c r="AX236">
        <v>59</v>
      </c>
      <c r="AY236">
        <v>68</v>
      </c>
      <c r="AZ236">
        <v>127</v>
      </c>
      <c r="BA236">
        <v>40</v>
      </c>
      <c r="BB236">
        <v>45</v>
      </c>
      <c r="BC236">
        <v>85</v>
      </c>
      <c r="BD236">
        <v>44</v>
      </c>
      <c r="BE236">
        <v>49</v>
      </c>
      <c r="BF236">
        <v>93</v>
      </c>
      <c r="BG236">
        <v>77</v>
      </c>
      <c r="BH236">
        <v>58</v>
      </c>
      <c r="BI236">
        <v>135</v>
      </c>
      <c r="BP236">
        <v>114</v>
      </c>
      <c r="BR236">
        <v>77</v>
      </c>
      <c r="BS236">
        <v>17</v>
      </c>
      <c r="BT236">
        <v>12</v>
      </c>
      <c r="BV236">
        <v>0</v>
      </c>
      <c r="BW236">
        <v>220</v>
      </c>
      <c r="BX236">
        <f t="shared" si="22"/>
        <v>214</v>
      </c>
      <c r="BY236" s="5">
        <f t="shared" si="21"/>
        <v>2.8037383177570093E-2</v>
      </c>
      <c r="BZ236" s="6">
        <f t="shared" si="20"/>
        <v>2.8037383177570093E-2</v>
      </c>
      <c r="CA236" s="7">
        <v>43779</v>
      </c>
      <c r="CE236">
        <v>35</v>
      </c>
      <c r="CF236">
        <v>79</v>
      </c>
      <c r="CG236">
        <v>57</v>
      </c>
      <c r="CH236">
        <v>49</v>
      </c>
      <c r="CI236">
        <f t="shared" si="18"/>
        <v>2019</v>
      </c>
      <c r="CJ236" t="str">
        <f t="shared" si="19"/>
        <v>5026_2019</v>
      </c>
    </row>
    <row r="237" spans="1:88" x14ac:dyDescent="0.25">
      <c r="A237" t="s">
        <v>111</v>
      </c>
      <c r="B237" t="s">
        <v>152</v>
      </c>
      <c r="C237">
        <v>5027</v>
      </c>
      <c r="D237">
        <v>-37.678800000000003</v>
      </c>
      <c r="E237">
        <v>145.0694</v>
      </c>
      <c r="F237">
        <v>4</v>
      </c>
      <c r="G237" t="s">
        <v>156</v>
      </c>
      <c r="H237">
        <v>8</v>
      </c>
      <c r="I237">
        <v>188</v>
      </c>
      <c r="J237">
        <v>101</v>
      </c>
      <c r="K237">
        <v>281</v>
      </c>
      <c r="L237">
        <v>189</v>
      </c>
      <c r="M237">
        <v>9</v>
      </c>
      <c r="N237">
        <v>275</v>
      </c>
      <c r="O237">
        <v>95</v>
      </c>
      <c r="T237">
        <v>28</v>
      </c>
      <c r="U237">
        <v>67</v>
      </c>
      <c r="V237">
        <v>18</v>
      </c>
      <c r="Y237">
        <v>17</v>
      </c>
      <c r="Z237">
        <v>7</v>
      </c>
      <c r="AA237">
        <v>6</v>
      </c>
      <c r="AD237">
        <v>47</v>
      </c>
      <c r="AE237">
        <v>2</v>
      </c>
      <c r="AF237">
        <v>33</v>
      </c>
      <c r="AI237">
        <v>12</v>
      </c>
      <c r="AJ237">
        <v>11</v>
      </c>
      <c r="AK237">
        <v>66</v>
      </c>
      <c r="AX237">
        <v>113</v>
      </c>
      <c r="AY237">
        <v>76</v>
      </c>
      <c r="AZ237">
        <v>189</v>
      </c>
      <c r="BA237">
        <v>30</v>
      </c>
      <c r="BB237">
        <v>41</v>
      </c>
      <c r="BC237">
        <v>71</v>
      </c>
      <c r="BD237">
        <v>82</v>
      </c>
      <c r="BE237">
        <v>140</v>
      </c>
      <c r="BF237">
        <v>222</v>
      </c>
      <c r="BG237">
        <v>89</v>
      </c>
      <c r="BH237">
        <v>57</v>
      </c>
      <c r="BI237">
        <v>146</v>
      </c>
      <c r="BP237">
        <v>104</v>
      </c>
      <c r="BR237">
        <v>183</v>
      </c>
      <c r="BS237">
        <v>12</v>
      </c>
      <c r="BT237">
        <v>8</v>
      </c>
      <c r="BV237">
        <v>7</v>
      </c>
      <c r="BW237">
        <v>314</v>
      </c>
      <c r="BX237" t="s">
        <v>82</v>
      </c>
      <c r="BY237" s="5"/>
      <c r="BZ237" s="6"/>
      <c r="CA237" s="7">
        <v>41952</v>
      </c>
      <c r="CI237">
        <f t="shared" si="18"/>
        <v>2014</v>
      </c>
      <c r="CJ237" t="str">
        <f t="shared" si="19"/>
        <v>5027_2014</v>
      </c>
    </row>
    <row r="238" spans="1:88" x14ac:dyDescent="0.25">
      <c r="A238" t="s">
        <v>111</v>
      </c>
      <c r="B238" t="s">
        <v>152</v>
      </c>
      <c r="C238">
        <v>5027</v>
      </c>
      <c r="D238">
        <v>-37.678800000000003</v>
      </c>
      <c r="E238">
        <v>145.0694</v>
      </c>
      <c r="F238">
        <v>4</v>
      </c>
      <c r="G238" t="s">
        <v>156</v>
      </c>
      <c r="H238">
        <v>8</v>
      </c>
      <c r="I238">
        <v>188</v>
      </c>
      <c r="J238">
        <v>101</v>
      </c>
      <c r="K238">
        <v>281</v>
      </c>
      <c r="L238">
        <v>189</v>
      </c>
      <c r="M238">
        <v>9</v>
      </c>
      <c r="N238">
        <v>275</v>
      </c>
      <c r="O238">
        <v>95</v>
      </c>
      <c r="T238">
        <v>7</v>
      </c>
      <c r="U238">
        <v>53</v>
      </c>
      <c r="V238">
        <v>4</v>
      </c>
      <c r="Y238">
        <v>10</v>
      </c>
      <c r="Z238">
        <v>12</v>
      </c>
      <c r="AA238">
        <v>2</v>
      </c>
      <c r="AD238">
        <v>29</v>
      </c>
      <c r="AE238">
        <v>6</v>
      </c>
      <c r="AF238">
        <v>27</v>
      </c>
      <c r="AI238">
        <v>21</v>
      </c>
      <c r="AJ238">
        <v>8</v>
      </c>
      <c r="AK238">
        <v>27</v>
      </c>
      <c r="AX238">
        <v>64</v>
      </c>
      <c r="AY238">
        <v>60</v>
      </c>
      <c r="AZ238">
        <v>124</v>
      </c>
      <c r="BA238">
        <v>24</v>
      </c>
      <c r="BB238">
        <v>21</v>
      </c>
      <c r="BC238">
        <v>45</v>
      </c>
      <c r="BD238">
        <v>62</v>
      </c>
      <c r="BE238">
        <v>92</v>
      </c>
      <c r="BF238">
        <v>154</v>
      </c>
      <c r="BG238">
        <v>56</v>
      </c>
      <c r="BH238">
        <v>33</v>
      </c>
      <c r="BI238">
        <v>89</v>
      </c>
      <c r="BP238">
        <v>58</v>
      </c>
      <c r="BR238">
        <v>124</v>
      </c>
      <c r="BS238">
        <v>18</v>
      </c>
      <c r="BT238">
        <v>5</v>
      </c>
      <c r="BV238">
        <v>1</v>
      </c>
      <c r="BW238">
        <v>206</v>
      </c>
      <c r="BX238">
        <f>IF(C238=C237,IF((CI238-1)=CI237,BW237,"no data"))</f>
        <v>314</v>
      </c>
      <c r="BY238" s="5">
        <f t="shared" si="21"/>
        <v>-0.34394904458598724</v>
      </c>
      <c r="BZ238" s="6">
        <f t="shared" si="20"/>
        <v>-0.34394904458598724</v>
      </c>
      <c r="CA238" s="7">
        <v>42316</v>
      </c>
      <c r="CE238">
        <v>60</v>
      </c>
      <c r="CF238">
        <v>53</v>
      </c>
      <c r="CG238">
        <v>55</v>
      </c>
      <c r="CH238">
        <v>38</v>
      </c>
      <c r="CI238">
        <f t="shared" si="18"/>
        <v>2015</v>
      </c>
      <c r="CJ238" t="str">
        <f t="shared" si="19"/>
        <v>5027_2015</v>
      </c>
    </row>
    <row r="239" spans="1:88" x14ac:dyDescent="0.25">
      <c r="A239" t="s">
        <v>111</v>
      </c>
      <c r="B239" t="s">
        <v>152</v>
      </c>
      <c r="C239">
        <v>5027</v>
      </c>
      <c r="D239">
        <v>-37.678809000000001</v>
      </c>
      <c r="E239">
        <v>145.069436</v>
      </c>
      <c r="F239">
        <v>4</v>
      </c>
      <c r="G239" t="s">
        <v>156</v>
      </c>
      <c r="H239">
        <v>8</v>
      </c>
      <c r="I239">
        <v>188</v>
      </c>
      <c r="J239">
        <v>101</v>
      </c>
      <c r="K239">
        <v>281</v>
      </c>
      <c r="L239">
        <v>189</v>
      </c>
      <c r="M239">
        <v>9</v>
      </c>
      <c r="N239">
        <v>275</v>
      </c>
      <c r="O239">
        <v>95</v>
      </c>
      <c r="T239">
        <v>13</v>
      </c>
      <c r="U239">
        <v>33</v>
      </c>
      <c r="V239">
        <v>6</v>
      </c>
      <c r="Y239">
        <v>22</v>
      </c>
      <c r="Z239">
        <v>18</v>
      </c>
      <c r="AA239">
        <v>14</v>
      </c>
      <c r="AD239">
        <v>29</v>
      </c>
      <c r="AE239">
        <v>6</v>
      </c>
      <c r="AF239">
        <v>17</v>
      </c>
      <c r="AI239">
        <v>17</v>
      </c>
      <c r="AJ239">
        <v>8</v>
      </c>
      <c r="AK239">
        <v>34</v>
      </c>
      <c r="AX239">
        <v>52</v>
      </c>
      <c r="AY239">
        <v>68</v>
      </c>
      <c r="AZ239">
        <v>120</v>
      </c>
      <c r="BA239">
        <v>54</v>
      </c>
      <c r="BB239">
        <v>27</v>
      </c>
      <c r="BC239">
        <v>81</v>
      </c>
      <c r="BD239">
        <v>52</v>
      </c>
      <c r="BE239">
        <v>85</v>
      </c>
      <c r="BF239">
        <v>137</v>
      </c>
      <c r="BG239">
        <v>59</v>
      </c>
      <c r="BH239">
        <v>37</v>
      </c>
      <c r="BI239">
        <v>96</v>
      </c>
      <c r="BP239">
        <v>73</v>
      </c>
      <c r="BR239">
        <v>106</v>
      </c>
      <c r="BS239">
        <v>10</v>
      </c>
      <c r="BT239">
        <v>2</v>
      </c>
      <c r="BV239">
        <v>26</v>
      </c>
      <c r="BW239">
        <v>217</v>
      </c>
      <c r="BX239">
        <f>IF(C239=C238,IF((CI239-1)=CI238,BW238,"no data"))</f>
        <v>206</v>
      </c>
      <c r="BY239" s="5">
        <f t="shared" si="21"/>
        <v>5.3398058252427182E-2</v>
      </c>
      <c r="BZ239" s="6">
        <f t="shared" si="20"/>
        <v>5.3398058252427182E-2</v>
      </c>
      <c r="CA239" s="7">
        <v>42715</v>
      </c>
      <c r="CE239">
        <v>28</v>
      </c>
      <c r="CF239">
        <v>54</v>
      </c>
      <c r="CG239">
        <v>80</v>
      </c>
      <c r="CH239">
        <v>55</v>
      </c>
      <c r="CI239">
        <f t="shared" si="18"/>
        <v>2016</v>
      </c>
      <c r="CJ239" t="str">
        <f t="shared" si="19"/>
        <v>5027_2016</v>
      </c>
    </row>
    <row r="240" spans="1:88" x14ac:dyDescent="0.25">
      <c r="A240" t="s">
        <v>111</v>
      </c>
      <c r="B240" t="s">
        <v>152</v>
      </c>
      <c r="C240">
        <v>5027</v>
      </c>
      <c r="D240">
        <v>-37.678809000000001</v>
      </c>
      <c r="E240">
        <v>145.069436</v>
      </c>
      <c r="F240">
        <v>4</v>
      </c>
      <c r="G240" t="s">
        <v>156</v>
      </c>
      <c r="H240">
        <v>8</v>
      </c>
      <c r="I240">
        <v>188</v>
      </c>
      <c r="J240">
        <v>101</v>
      </c>
      <c r="K240">
        <v>281</v>
      </c>
      <c r="L240">
        <v>189</v>
      </c>
      <c r="M240">
        <v>9</v>
      </c>
      <c r="N240">
        <v>275</v>
      </c>
      <c r="O240">
        <v>95</v>
      </c>
      <c r="T240">
        <v>38</v>
      </c>
      <c r="U240">
        <v>56</v>
      </c>
      <c r="V240">
        <v>5</v>
      </c>
      <c r="Y240">
        <v>17</v>
      </c>
      <c r="Z240">
        <v>18</v>
      </c>
      <c r="AA240">
        <v>11</v>
      </c>
      <c r="AD240">
        <v>24</v>
      </c>
      <c r="AE240">
        <v>3</v>
      </c>
      <c r="AF240">
        <v>18</v>
      </c>
      <c r="AI240">
        <v>15</v>
      </c>
      <c r="AJ240">
        <v>21</v>
      </c>
      <c r="AK240">
        <v>38</v>
      </c>
      <c r="AX240">
        <v>99</v>
      </c>
      <c r="AY240">
        <v>56</v>
      </c>
      <c r="AZ240">
        <v>155</v>
      </c>
      <c r="BA240">
        <v>46</v>
      </c>
      <c r="BB240">
        <v>62</v>
      </c>
      <c r="BC240">
        <v>108</v>
      </c>
      <c r="BD240">
        <v>45</v>
      </c>
      <c r="BE240">
        <v>112</v>
      </c>
      <c r="BF240">
        <v>157</v>
      </c>
      <c r="BG240">
        <v>74</v>
      </c>
      <c r="BH240">
        <v>34</v>
      </c>
      <c r="BI240">
        <v>108</v>
      </c>
      <c r="BP240">
        <v>78</v>
      </c>
      <c r="BR240">
        <v>176</v>
      </c>
      <c r="BS240">
        <v>3</v>
      </c>
      <c r="BT240">
        <v>7</v>
      </c>
      <c r="BV240">
        <v>0</v>
      </c>
      <c r="BW240">
        <v>264</v>
      </c>
      <c r="BX240">
        <f>IF(C240=C239,IF((CI240-1)=CI239,BW239,"no data"))</f>
        <v>217</v>
      </c>
      <c r="BY240" s="5">
        <f t="shared" si="21"/>
        <v>0.21658986175115208</v>
      </c>
      <c r="BZ240" s="6">
        <f t="shared" si="20"/>
        <v>0.21658986175115208</v>
      </c>
      <c r="CA240" s="7">
        <v>43051</v>
      </c>
      <c r="CE240">
        <v>65</v>
      </c>
      <c r="CF240">
        <v>69</v>
      </c>
      <c r="CG240">
        <v>79</v>
      </c>
      <c r="CH240">
        <v>51</v>
      </c>
      <c r="CI240">
        <f t="shared" si="18"/>
        <v>2017</v>
      </c>
      <c r="CJ240" t="str">
        <f t="shared" si="19"/>
        <v>5027_2017</v>
      </c>
    </row>
    <row r="241" spans="1:88" x14ac:dyDescent="0.25">
      <c r="A241" t="s">
        <v>111</v>
      </c>
      <c r="B241" t="s">
        <v>152</v>
      </c>
      <c r="C241">
        <v>5027</v>
      </c>
      <c r="D241">
        <v>-37.678809000000001</v>
      </c>
      <c r="E241">
        <v>145.069436</v>
      </c>
      <c r="F241">
        <v>4</v>
      </c>
      <c r="G241" t="s">
        <v>156</v>
      </c>
      <c r="H241">
        <v>8</v>
      </c>
      <c r="I241">
        <v>188</v>
      </c>
      <c r="J241">
        <v>101</v>
      </c>
      <c r="K241">
        <v>281</v>
      </c>
      <c r="L241">
        <v>189</v>
      </c>
      <c r="M241">
        <v>9</v>
      </c>
      <c r="N241">
        <v>275</v>
      </c>
      <c r="O241">
        <v>95</v>
      </c>
      <c r="T241">
        <v>13</v>
      </c>
      <c r="U241">
        <v>32</v>
      </c>
      <c r="V241">
        <v>11</v>
      </c>
      <c r="Y241">
        <v>17</v>
      </c>
      <c r="Z241">
        <v>19</v>
      </c>
      <c r="AA241">
        <v>13</v>
      </c>
      <c r="AD241">
        <v>25</v>
      </c>
      <c r="AE241">
        <v>5</v>
      </c>
      <c r="AF241">
        <v>29</v>
      </c>
      <c r="AI241">
        <v>10</v>
      </c>
      <c r="AJ241">
        <v>17</v>
      </c>
      <c r="AK241">
        <v>39</v>
      </c>
      <c r="AX241">
        <v>56</v>
      </c>
      <c r="AY241">
        <v>52</v>
      </c>
      <c r="AZ241">
        <v>108</v>
      </c>
      <c r="BA241">
        <v>49</v>
      </c>
      <c r="BB241">
        <v>35</v>
      </c>
      <c r="BC241">
        <v>84</v>
      </c>
      <c r="BD241">
        <v>59</v>
      </c>
      <c r="BE241">
        <v>90</v>
      </c>
      <c r="BF241">
        <v>149</v>
      </c>
      <c r="BG241">
        <v>66</v>
      </c>
      <c r="BH241">
        <v>53</v>
      </c>
      <c r="BI241">
        <v>119</v>
      </c>
      <c r="BP241">
        <v>34</v>
      </c>
      <c r="BR241">
        <v>176</v>
      </c>
      <c r="BS241">
        <v>9</v>
      </c>
      <c r="BT241">
        <v>7</v>
      </c>
      <c r="BV241">
        <v>4</v>
      </c>
      <c r="BW241">
        <v>230</v>
      </c>
      <c r="BX241">
        <f>IF(C241=C240,IF((CI241-1)=CI240,BW240,"no data"))</f>
        <v>264</v>
      </c>
      <c r="BY241" s="5">
        <f t="shared" si="21"/>
        <v>-0.12878787878787878</v>
      </c>
      <c r="BZ241" s="6">
        <f t="shared" si="20"/>
        <v>-0.12878787878787878</v>
      </c>
      <c r="CA241" s="7">
        <v>43415</v>
      </c>
      <c r="CE241">
        <v>68</v>
      </c>
      <c r="CF241">
        <v>41</v>
      </c>
      <c r="CG241">
        <v>66</v>
      </c>
      <c r="CH241">
        <v>55</v>
      </c>
      <c r="CI241">
        <f t="shared" si="18"/>
        <v>2018</v>
      </c>
      <c r="CJ241" t="str">
        <f t="shared" si="19"/>
        <v>5027_2018</v>
      </c>
    </row>
    <row r="242" spans="1:88" x14ac:dyDescent="0.25">
      <c r="A242" t="s">
        <v>111</v>
      </c>
      <c r="B242" t="s">
        <v>152</v>
      </c>
      <c r="C242">
        <v>5027</v>
      </c>
      <c r="D242">
        <v>-37.678800000000003</v>
      </c>
      <c r="E242">
        <v>145.0694</v>
      </c>
      <c r="F242">
        <v>4</v>
      </c>
      <c r="G242" t="s">
        <v>156</v>
      </c>
      <c r="H242">
        <v>8</v>
      </c>
      <c r="I242">
        <v>188</v>
      </c>
      <c r="J242">
        <v>101</v>
      </c>
      <c r="K242">
        <v>281</v>
      </c>
      <c r="L242">
        <v>189</v>
      </c>
      <c r="M242">
        <v>9</v>
      </c>
      <c r="N242">
        <v>275</v>
      </c>
      <c r="O242">
        <v>95</v>
      </c>
      <c r="T242">
        <v>10</v>
      </c>
      <c r="U242">
        <v>50</v>
      </c>
      <c r="V242">
        <v>8</v>
      </c>
      <c r="Y242">
        <v>11</v>
      </c>
      <c r="Z242">
        <v>24</v>
      </c>
      <c r="AA242">
        <v>11</v>
      </c>
      <c r="AD242">
        <v>39</v>
      </c>
      <c r="AE242">
        <v>8</v>
      </c>
      <c r="AF242">
        <v>25</v>
      </c>
      <c r="AI242">
        <v>17</v>
      </c>
      <c r="AJ242">
        <v>21</v>
      </c>
      <c r="AK242">
        <v>32</v>
      </c>
      <c r="AX242">
        <v>68</v>
      </c>
      <c r="AY242">
        <v>67</v>
      </c>
      <c r="AZ242">
        <v>135</v>
      </c>
      <c r="BA242">
        <v>46</v>
      </c>
      <c r="BB242">
        <v>39</v>
      </c>
      <c r="BC242">
        <v>85</v>
      </c>
      <c r="BD242">
        <v>72</v>
      </c>
      <c r="BE242">
        <v>106</v>
      </c>
      <c r="BF242">
        <v>178</v>
      </c>
      <c r="BG242">
        <v>70</v>
      </c>
      <c r="BH242">
        <v>44</v>
      </c>
      <c r="BI242">
        <v>114</v>
      </c>
      <c r="BP242">
        <v>46</v>
      </c>
      <c r="BR242">
        <v>184</v>
      </c>
      <c r="BS242">
        <v>8</v>
      </c>
      <c r="BT242">
        <v>18</v>
      </c>
      <c r="BV242">
        <v>0</v>
      </c>
      <c r="BW242">
        <v>256</v>
      </c>
      <c r="BX242">
        <f>IF(C242=C241,IF((CI242-1)=CI241,BW241,"no data"))</f>
        <v>230</v>
      </c>
      <c r="BY242" s="5">
        <f t="shared" si="21"/>
        <v>0.11304347826086956</v>
      </c>
      <c r="BZ242" s="6">
        <f t="shared" si="20"/>
        <v>0.11304347826086956</v>
      </c>
      <c r="CA242" s="7">
        <v>43779</v>
      </c>
      <c r="CE242">
        <v>58</v>
      </c>
      <c r="CF242">
        <v>66</v>
      </c>
      <c r="CG242">
        <v>70</v>
      </c>
      <c r="CH242">
        <v>62</v>
      </c>
      <c r="CI242">
        <f t="shared" si="18"/>
        <v>2019</v>
      </c>
      <c r="CJ242" t="str">
        <f t="shared" si="19"/>
        <v>5027_2019</v>
      </c>
    </row>
    <row r="243" spans="1:88" x14ac:dyDescent="0.25">
      <c r="A243" t="s">
        <v>111</v>
      </c>
      <c r="B243" t="s">
        <v>157</v>
      </c>
      <c r="C243">
        <v>5047</v>
      </c>
      <c r="D243">
        <v>-37.876600000000003</v>
      </c>
      <c r="E243">
        <v>144.7372</v>
      </c>
      <c r="F243">
        <v>4</v>
      </c>
      <c r="G243" t="s">
        <v>158</v>
      </c>
      <c r="H243">
        <v>6</v>
      </c>
      <c r="I243">
        <v>186</v>
      </c>
      <c r="J243">
        <v>91</v>
      </c>
      <c r="K243">
        <v>271</v>
      </c>
      <c r="L243">
        <v>193</v>
      </c>
      <c r="M243">
        <v>13</v>
      </c>
      <c r="N243">
        <v>259</v>
      </c>
      <c r="O243">
        <v>79</v>
      </c>
      <c r="T243">
        <v>0</v>
      </c>
      <c r="U243">
        <v>9</v>
      </c>
      <c r="V243">
        <v>8</v>
      </c>
      <c r="Y243">
        <v>0</v>
      </c>
      <c r="Z243">
        <v>0</v>
      </c>
      <c r="AA243">
        <v>29</v>
      </c>
      <c r="AD243">
        <v>14</v>
      </c>
      <c r="AE243">
        <v>0</v>
      </c>
      <c r="AF243">
        <v>2</v>
      </c>
      <c r="AI243">
        <v>7</v>
      </c>
      <c r="AJ243">
        <v>34</v>
      </c>
      <c r="AK243">
        <v>0</v>
      </c>
      <c r="AX243">
        <v>17</v>
      </c>
      <c r="AY243">
        <v>21</v>
      </c>
      <c r="AZ243">
        <v>38</v>
      </c>
      <c r="BA243">
        <v>29</v>
      </c>
      <c r="BB243">
        <v>34</v>
      </c>
      <c r="BC243">
        <v>63</v>
      </c>
      <c r="BD243">
        <v>16</v>
      </c>
      <c r="BE243">
        <v>9</v>
      </c>
      <c r="BF243">
        <v>25</v>
      </c>
      <c r="BG243">
        <v>41</v>
      </c>
      <c r="BH243">
        <v>39</v>
      </c>
      <c r="BI243">
        <v>80</v>
      </c>
      <c r="BP243">
        <v>42</v>
      </c>
      <c r="BR243">
        <v>30</v>
      </c>
      <c r="BS243">
        <v>7</v>
      </c>
      <c r="BT243">
        <v>22</v>
      </c>
      <c r="BV243">
        <v>2</v>
      </c>
      <c r="BW243">
        <v>103</v>
      </c>
      <c r="BX243" t="s">
        <v>82</v>
      </c>
      <c r="BY243" s="5"/>
      <c r="BZ243" s="6"/>
      <c r="CA243" s="7">
        <v>41588</v>
      </c>
      <c r="CI243">
        <f t="shared" si="18"/>
        <v>2013</v>
      </c>
      <c r="CJ243" t="str">
        <f t="shared" si="19"/>
        <v>5047_2013</v>
      </c>
    </row>
    <row r="244" spans="1:88" x14ac:dyDescent="0.25">
      <c r="A244" t="s">
        <v>111</v>
      </c>
      <c r="B244" t="s">
        <v>157</v>
      </c>
      <c r="C244">
        <v>5047</v>
      </c>
      <c r="D244">
        <v>-37.876600000000003</v>
      </c>
      <c r="E244">
        <v>144.7372</v>
      </c>
      <c r="F244">
        <v>4</v>
      </c>
      <c r="G244" t="s">
        <v>158</v>
      </c>
      <c r="H244">
        <v>6</v>
      </c>
      <c r="I244">
        <v>186</v>
      </c>
      <c r="J244">
        <v>91</v>
      </c>
      <c r="K244">
        <v>271</v>
      </c>
      <c r="L244">
        <v>193</v>
      </c>
      <c r="M244">
        <v>13</v>
      </c>
      <c r="N244">
        <v>259</v>
      </c>
      <c r="O244">
        <v>79</v>
      </c>
      <c r="T244">
        <v>4</v>
      </c>
      <c r="U244">
        <v>14</v>
      </c>
      <c r="V244">
        <v>9</v>
      </c>
      <c r="Y244">
        <v>4</v>
      </c>
      <c r="Z244">
        <v>18</v>
      </c>
      <c r="AA244">
        <v>32</v>
      </c>
      <c r="AD244">
        <v>12</v>
      </c>
      <c r="AE244">
        <v>10</v>
      </c>
      <c r="AF244">
        <v>8</v>
      </c>
      <c r="AI244">
        <v>2</v>
      </c>
      <c r="AJ244">
        <v>39</v>
      </c>
      <c r="AK244">
        <v>12</v>
      </c>
      <c r="AX244">
        <v>27</v>
      </c>
      <c r="AY244">
        <v>18</v>
      </c>
      <c r="AZ244">
        <v>45</v>
      </c>
      <c r="BA244">
        <v>54</v>
      </c>
      <c r="BB244">
        <v>53</v>
      </c>
      <c r="BC244">
        <v>107</v>
      </c>
      <c r="BD244">
        <v>30</v>
      </c>
      <c r="BE244">
        <v>44</v>
      </c>
      <c r="BF244">
        <v>74</v>
      </c>
      <c r="BG244">
        <v>53</v>
      </c>
      <c r="BH244">
        <v>49</v>
      </c>
      <c r="BI244">
        <v>102</v>
      </c>
      <c r="BP244">
        <v>70</v>
      </c>
      <c r="BR244">
        <v>49</v>
      </c>
      <c r="BS244">
        <v>9</v>
      </c>
      <c r="BT244">
        <v>31</v>
      </c>
      <c r="BV244">
        <v>5</v>
      </c>
      <c r="BW244">
        <v>164</v>
      </c>
      <c r="BX244">
        <f t="shared" ref="BX244:BX251" si="23">IF(C244=C243,IF((CI244-1)=CI243,BW243,"no data"))</f>
        <v>103</v>
      </c>
      <c r="BY244" s="5">
        <f t="shared" si="21"/>
        <v>0.59223300970873782</v>
      </c>
      <c r="BZ244" s="6">
        <f t="shared" si="20"/>
        <v>0.59223300970873782</v>
      </c>
      <c r="CA244" s="7">
        <v>41952</v>
      </c>
      <c r="CI244">
        <f t="shared" si="18"/>
        <v>2014</v>
      </c>
      <c r="CJ244" t="str">
        <f t="shared" si="19"/>
        <v>5047_2014</v>
      </c>
    </row>
    <row r="245" spans="1:88" x14ac:dyDescent="0.25">
      <c r="A245" t="s">
        <v>111</v>
      </c>
      <c r="B245" t="s">
        <v>157</v>
      </c>
      <c r="C245">
        <v>5047</v>
      </c>
      <c r="D245">
        <v>-37.876600000000003</v>
      </c>
      <c r="E245">
        <v>144.7372</v>
      </c>
      <c r="F245">
        <v>4</v>
      </c>
      <c r="G245" t="s">
        <v>158</v>
      </c>
      <c r="H245">
        <v>6</v>
      </c>
      <c r="I245">
        <v>186</v>
      </c>
      <c r="J245">
        <v>91</v>
      </c>
      <c r="K245">
        <v>271</v>
      </c>
      <c r="L245">
        <v>193</v>
      </c>
      <c r="M245">
        <v>13</v>
      </c>
      <c r="N245">
        <v>259</v>
      </c>
      <c r="O245">
        <v>79</v>
      </c>
      <c r="T245">
        <v>1</v>
      </c>
      <c r="U245">
        <v>16</v>
      </c>
      <c r="V245">
        <v>4</v>
      </c>
      <c r="Y245">
        <v>6</v>
      </c>
      <c r="Z245">
        <v>31</v>
      </c>
      <c r="AA245">
        <v>44</v>
      </c>
      <c r="AD245">
        <v>9</v>
      </c>
      <c r="AE245">
        <v>6</v>
      </c>
      <c r="AF245">
        <v>3</v>
      </c>
      <c r="AI245">
        <v>3</v>
      </c>
      <c r="AJ245">
        <v>62</v>
      </c>
      <c r="AK245">
        <v>4</v>
      </c>
      <c r="AX245">
        <v>21</v>
      </c>
      <c r="AY245">
        <v>18</v>
      </c>
      <c r="AZ245">
        <v>39</v>
      </c>
      <c r="BA245">
        <v>81</v>
      </c>
      <c r="BB245">
        <v>69</v>
      </c>
      <c r="BC245">
        <v>150</v>
      </c>
      <c r="BD245">
        <v>18</v>
      </c>
      <c r="BE245">
        <v>51</v>
      </c>
      <c r="BF245">
        <v>69</v>
      </c>
      <c r="BG245">
        <v>69</v>
      </c>
      <c r="BH245">
        <v>51</v>
      </c>
      <c r="BI245">
        <v>120</v>
      </c>
      <c r="BP245">
        <v>70</v>
      </c>
      <c r="BR245">
        <v>51</v>
      </c>
      <c r="BS245">
        <v>27</v>
      </c>
      <c r="BT245">
        <v>36</v>
      </c>
      <c r="BV245">
        <v>5</v>
      </c>
      <c r="BW245">
        <v>189</v>
      </c>
      <c r="BX245">
        <f t="shared" si="23"/>
        <v>164</v>
      </c>
      <c r="BY245" s="5">
        <f t="shared" si="21"/>
        <v>0.1524390243902439</v>
      </c>
      <c r="BZ245" s="6">
        <f t="shared" si="20"/>
        <v>0.1524390243902439</v>
      </c>
      <c r="CA245" s="7">
        <v>42316</v>
      </c>
      <c r="CE245">
        <v>61</v>
      </c>
      <c r="CF245">
        <v>59</v>
      </c>
      <c r="CG245">
        <v>35</v>
      </c>
      <c r="CH245">
        <v>34</v>
      </c>
      <c r="CI245">
        <f t="shared" si="18"/>
        <v>2015</v>
      </c>
      <c r="CJ245" t="str">
        <f t="shared" si="19"/>
        <v>5047_2015</v>
      </c>
    </row>
    <row r="246" spans="1:88" x14ac:dyDescent="0.25">
      <c r="A246" t="s">
        <v>111</v>
      </c>
      <c r="B246" t="s">
        <v>157</v>
      </c>
      <c r="C246">
        <v>5047</v>
      </c>
      <c r="D246">
        <v>-37.876595000000002</v>
      </c>
      <c r="E246">
        <v>144.73719399999999</v>
      </c>
      <c r="F246">
        <v>4</v>
      </c>
      <c r="G246" t="s">
        <v>158</v>
      </c>
      <c r="H246">
        <v>6</v>
      </c>
      <c r="I246">
        <v>186</v>
      </c>
      <c r="J246">
        <v>91</v>
      </c>
      <c r="K246">
        <v>271</v>
      </c>
      <c r="L246">
        <v>193</v>
      </c>
      <c r="M246">
        <v>13</v>
      </c>
      <c r="N246">
        <v>259</v>
      </c>
      <c r="O246">
        <v>79</v>
      </c>
      <c r="T246">
        <v>8</v>
      </c>
      <c r="U246">
        <v>1</v>
      </c>
      <c r="V246">
        <v>0</v>
      </c>
      <c r="Y246">
        <v>2</v>
      </c>
      <c r="Z246">
        <v>4</v>
      </c>
      <c r="AA246">
        <v>18</v>
      </c>
      <c r="AD246">
        <v>0</v>
      </c>
      <c r="AE246">
        <v>6</v>
      </c>
      <c r="AF246">
        <v>1</v>
      </c>
      <c r="AI246">
        <v>0</v>
      </c>
      <c r="AJ246">
        <v>18</v>
      </c>
      <c r="AK246">
        <v>0</v>
      </c>
      <c r="AX246">
        <v>9</v>
      </c>
      <c r="AY246">
        <v>2</v>
      </c>
      <c r="AZ246">
        <v>11</v>
      </c>
      <c r="BA246">
        <v>24</v>
      </c>
      <c r="BB246">
        <v>32</v>
      </c>
      <c r="BC246">
        <v>56</v>
      </c>
      <c r="BD246">
        <v>7</v>
      </c>
      <c r="BE246">
        <v>5</v>
      </c>
      <c r="BF246">
        <v>12</v>
      </c>
      <c r="BG246">
        <v>18</v>
      </c>
      <c r="BH246">
        <v>19</v>
      </c>
      <c r="BI246">
        <v>37</v>
      </c>
      <c r="BP246">
        <v>18</v>
      </c>
      <c r="BR246">
        <v>22</v>
      </c>
      <c r="BS246">
        <v>6</v>
      </c>
      <c r="BT246">
        <v>10</v>
      </c>
      <c r="BV246">
        <v>2</v>
      </c>
      <c r="BW246">
        <v>58</v>
      </c>
      <c r="BX246">
        <f t="shared" si="23"/>
        <v>189</v>
      </c>
      <c r="BY246" s="5">
        <f t="shared" si="21"/>
        <v>-0.69312169312169314</v>
      </c>
      <c r="BZ246" s="6">
        <f t="shared" si="20"/>
        <v>-0.69312169312169314</v>
      </c>
      <c r="CA246" s="7">
        <v>42687</v>
      </c>
      <c r="CE246">
        <v>24</v>
      </c>
      <c r="CF246">
        <v>12</v>
      </c>
      <c r="CG246">
        <v>7</v>
      </c>
      <c r="CH246">
        <v>15</v>
      </c>
      <c r="CI246">
        <f t="shared" si="18"/>
        <v>2016</v>
      </c>
      <c r="CJ246" t="str">
        <f t="shared" si="19"/>
        <v>5047_2016</v>
      </c>
    </row>
    <row r="247" spans="1:88" x14ac:dyDescent="0.25">
      <c r="A247" t="s">
        <v>111</v>
      </c>
      <c r="B247" t="s">
        <v>157</v>
      </c>
      <c r="C247">
        <v>5047</v>
      </c>
      <c r="D247">
        <v>-37.876595000000002</v>
      </c>
      <c r="E247">
        <v>144.73719399999999</v>
      </c>
      <c r="F247">
        <v>4</v>
      </c>
      <c r="G247" t="s">
        <v>158</v>
      </c>
      <c r="H247">
        <v>6</v>
      </c>
      <c r="I247">
        <v>186</v>
      </c>
      <c r="J247">
        <v>91</v>
      </c>
      <c r="K247">
        <v>271</v>
      </c>
      <c r="L247">
        <v>193</v>
      </c>
      <c r="M247">
        <v>13</v>
      </c>
      <c r="N247">
        <v>259</v>
      </c>
      <c r="O247">
        <v>79</v>
      </c>
      <c r="T247">
        <v>0</v>
      </c>
      <c r="U247">
        <v>19</v>
      </c>
      <c r="V247">
        <v>1</v>
      </c>
      <c r="Y247">
        <v>0</v>
      </c>
      <c r="Z247">
        <v>15</v>
      </c>
      <c r="AA247">
        <v>45</v>
      </c>
      <c r="AD247">
        <v>13</v>
      </c>
      <c r="AE247">
        <v>4</v>
      </c>
      <c r="AF247">
        <v>4</v>
      </c>
      <c r="AI247">
        <v>0</v>
      </c>
      <c r="AJ247">
        <v>33</v>
      </c>
      <c r="AK247">
        <v>12</v>
      </c>
      <c r="AX247">
        <v>20</v>
      </c>
      <c r="AY247">
        <v>13</v>
      </c>
      <c r="AZ247">
        <v>33</v>
      </c>
      <c r="BA247">
        <v>60</v>
      </c>
      <c r="BB247">
        <v>37</v>
      </c>
      <c r="BC247">
        <v>97</v>
      </c>
      <c r="BD247">
        <v>21</v>
      </c>
      <c r="BE247">
        <v>46</v>
      </c>
      <c r="BF247">
        <v>67</v>
      </c>
      <c r="BG247">
        <v>45</v>
      </c>
      <c r="BH247">
        <v>50</v>
      </c>
      <c r="BI247">
        <v>95</v>
      </c>
      <c r="BP247">
        <v>62</v>
      </c>
      <c r="BR247">
        <v>59</v>
      </c>
      <c r="BS247">
        <v>11</v>
      </c>
      <c r="BT247">
        <v>12</v>
      </c>
      <c r="BV247">
        <v>2</v>
      </c>
      <c r="BW247">
        <v>146</v>
      </c>
      <c r="BX247">
        <f t="shared" si="23"/>
        <v>58</v>
      </c>
      <c r="BY247" s="5">
        <f t="shared" si="21"/>
        <v>1.5172413793103448</v>
      </c>
      <c r="BZ247" s="6">
        <f t="shared" si="20"/>
        <v>1.5172413793103448</v>
      </c>
      <c r="CA247" s="7">
        <v>43051</v>
      </c>
      <c r="CE247">
        <v>63</v>
      </c>
      <c r="CF247">
        <v>30</v>
      </c>
      <c r="CG247">
        <v>21</v>
      </c>
      <c r="CH247">
        <v>32</v>
      </c>
      <c r="CI247">
        <f t="shared" si="18"/>
        <v>2017</v>
      </c>
      <c r="CJ247" t="str">
        <f t="shared" si="19"/>
        <v>5047_2017</v>
      </c>
    </row>
    <row r="248" spans="1:88" x14ac:dyDescent="0.25">
      <c r="A248" t="s">
        <v>111</v>
      </c>
      <c r="B248" t="s">
        <v>157</v>
      </c>
      <c r="C248">
        <v>5047</v>
      </c>
      <c r="D248">
        <v>-37.876595000000002</v>
      </c>
      <c r="E248">
        <v>144.73719399999999</v>
      </c>
      <c r="F248">
        <v>4</v>
      </c>
      <c r="G248" t="s">
        <v>158</v>
      </c>
      <c r="H248">
        <v>6</v>
      </c>
      <c r="I248">
        <v>186</v>
      </c>
      <c r="J248">
        <v>91</v>
      </c>
      <c r="K248">
        <v>271</v>
      </c>
      <c r="L248">
        <v>193</v>
      </c>
      <c r="M248">
        <v>13</v>
      </c>
      <c r="N248">
        <v>259</v>
      </c>
      <c r="O248">
        <v>79</v>
      </c>
      <c r="T248">
        <v>1</v>
      </c>
      <c r="U248">
        <v>12</v>
      </c>
      <c r="V248">
        <v>2</v>
      </c>
      <c r="Y248">
        <v>1</v>
      </c>
      <c r="Z248">
        <v>0</v>
      </c>
      <c r="AA248">
        <v>37</v>
      </c>
      <c r="AD248">
        <v>15</v>
      </c>
      <c r="AE248">
        <v>3</v>
      </c>
      <c r="AF248">
        <v>6</v>
      </c>
      <c r="AI248">
        <v>8</v>
      </c>
      <c r="AJ248">
        <v>36</v>
      </c>
      <c r="AK248">
        <v>4</v>
      </c>
      <c r="AX248">
        <v>15</v>
      </c>
      <c r="AY248">
        <v>24</v>
      </c>
      <c r="AZ248">
        <v>39</v>
      </c>
      <c r="BA248">
        <v>38</v>
      </c>
      <c r="BB248">
        <v>40</v>
      </c>
      <c r="BC248">
        <v>78</v>
      </c>
      <c r="BD248">
        <v>24</v>
      </c>
      <c r="BE248">
        <v>16</v>
      </c>
      <c r="BF248">
        <v>40</v>
      </c>
      <c r="BG248">
        <v>48</v>
      </c>
      <c r="BH248">
        <v>45</v>
      </c>
      <c r="BI248">
        <v>93</v>
      </c>
      <c r="BP248">
        <v>44</v>
      </c>
      <c r="BR248">
        <v>55</v>
      </c>
      <c r="BS248">
        <v>14</v>
      </c>
      <c r="BT248">
        <v>11</v>
      </c>
      <c r="BV248">
        <v>1</v>
      </c>
      <c r="BW248">
        <v>125</v>
      </c>
      <c r="BX248">
        <f t="shared" si="23"/>
        <v>146</v>
      </c>
      <c r="BY248" s="5">
        <f t="shared" si="21"/>
        <v>-0.14383561643835616</v>
      </c>
      <c r="BZ248" s="6">
        <f t="shared" si="20"/>
        <v>-0.14383561643835616</v>
      </c>
      <c r="CA248" s="7">
        <v>43415</v>
      </c>
      <c r="CE248">
        <v>42</v>
      </c>
      <c r="CF248">
        <v>30</v>
      </c>
      <c r="CG248">
        <v>25</v>
      </c>
      <c r="CH248">
        <v>28</v>
      </c>
      <c r="CI248">
        <f t="shared" si="18"/>
        <v>2018</v>
      </c>
      <c r="CJ248" t="str">
        <f t="shared" si="19"/>
        <v>5047_2018</v>
      </c>
    </row>
    <row r="249" spans="1:88" x14ac:dyDescent="0.25">
      <c r="A249" t="s">
        <v>111</v>
      </c>
      <c r="B249" t="s">
        <v>157</v>
      </c>
      <c r="C249">
        <v>5047</v>
      </c>
      <c r="D249">
        <v>-37.876600000000003</v>
      </c>
      <c r="E249">
        <v>144.7372</v>
      </c>
      <c r="F249">
        <v>4</v>
      </c>
      <c r="G249" t="s">
        <v>158</v>
      </c>
      <c r="H249">
        <v>6</v>
      </c>
      <c r="I249">
        <v>186</v>
      </c>
      <c r="J249">
        <v>91</v>
      </c>
      <c r="K249">
        <v>271</v>
      </c>
      <c r="L249">
        <v>193</v>
      </c>
      <c r="M249">
        <v>13</v>
      </c>
      <c r="N249">
        <v>259</v>
      </c>
      <c r="O249">
        <v>79</v>
      </c>
      <c r="T249">
        <v>1</v>
      </c>
      <c r="U249">
        <v>5</v>
      </c>
      <c r="V249">
        <v>6</v>
      </c>
      <c r="Y249">
        <v>2</v>
      </c>
      <c r="Z249">
        <v>17</v>
      </c>
      <c r="AA249">
        <v>19</v>
      </c>
      <c r="AD249">
        <v>5</v>
      </c>
      <c r="AE249">
        <v>2</v>
      </c>
      <c r="AF249">
        <v>5</v>
      </c>
      <c r="AI249">
        <v>3</v>
      </c>
      <c r="AJ249">
        <v>29</v>
      </c>
      <c r="AK249">
        <v>10</v>
      </c>
      <c r="AX249">
        <v>12</v>
      </c>
      <c r="AY249">
        <v>10</v>
      </c>
      <c r="AZ249">
        <v>22</v>
      </c>
      <c r="BA249">
        <v>38</v>
      </c>
      <c r="BB249">
        <v>32</v>
      </c>
      <c r="BC249">
        <v>70</v>
      </c>
      <c r="BD249">
        <v>12</v>
      </c>
      <c r="BE249">
        <v>32</v>
      </c>
      <c r="BF249">
        <v>44</v>
      </c>
      <c r="BG249">
        <v>42</v>
      </c>
      <c r="BH249">
        <v>30</v>
      </c>
      <c r="BI249">
        <v>72</v>
      </c>
      <c r="BP249">
        <v>37</v>
      </c>
      <c r="BR249">
        <v>40</v>
      </c>
      <c r="BS249">
        <v>15</v>
      </c>
      <c r="BT249">
        <v>11</v>
      </c>
      <c r="BV249">
        <v>1</v>
      </c>
      <c r="BW249">
        <v>104</v>
      </c>
      <c r="BX249">
        <f t="shared" si="23"/>
        <v>125</v>
      </c>
      <c r="BY249" s="5">
        <f t="shared" si="21"/>
        <v>-0.16800000000000001</v>
      </c>
      <c r="BZ249" s="6">
        <f t="shared" si="20"/>
        <v>-0.16800000000000001</v>
      </c>
      <c r="CA249" s="7">
        <v>43779</v>
      </c>
      <c r="CE249">
        <v>38</v>
      </c>
      <c r="CF249">
        <v>16</v>
      </c>
      <c r="CG249">
        <v>31</v>
      </c>
      <c r="CH249">
        <v>19</v>
      </c>
      <c r="CI249">
        <f t="shared" si="18"/>
        <v>2019</v>
      </c>
      <c r="CJ249" t="str">
        <f t="shared" si="19"/>
        <v>5047_2019</v>
      </c>
    </row>
    <row r="250" spans="1:88" x14ac:dyDescent="0.25">
      <c r="A250" t="s">
        <v>111</v>
      </c>
      <c r="B250" t="s">
        <v>157</v>
      </c>
      <c r="C250">
        <v>5047</v>
      </c>
      <c r="D250">
        <v>-37.876595000000002</v>
      </c>
      <c r="E250">
        <v>144.73719399999999</v>
      </c>
      <c r="F250">
        <v>4</v>
      </c>
      <c r="G250" t="s">
        <v>158</v>
      </c>
      <c r="H250">
        <v>6</v>
      </c>
      <c r="I250">
        <v>186</v>
      </c>
      <c r="J250">
        <v>91</v>
      </c>
      <c r="K250">
        <v>271</v>
      </c>
      <c r="L250">
        <v>193</v>
      </c>
      <c r="M250">
        <v>13</v>
      </c>
      <c r="N250">
        <v>259</v>
      </c>
      <c r="O250">
        <v>79</v>
      </c>
      <c r="T250">
        <v>21</v>
      </c>
      <c r="U250">
        <v>21</v>
      </c>
      <c r="V250">
        <v>16</v>
      </c>
      <c r="Y250">
        <v>4</v>
      </c>
      <c r="Z250">
        <v>12</v>
      </c>
      <c r="AA250">
        <v>48</v>
      </c>
      <c r="AD250">
        <v>12</v>
      </c>
      <c r="AE250">
        <v>10</v>
      </c>
      <c r="AF250">
        <v>8</v>
      </c>
      <c r="AI250">
        <v>29</v>
      </c>
      <c r="AJ250">
        <v>37</v>
      </c>
      <c r="AK250">
        <v>6</v>
      </c>
      <c r="AX250">
        <v>58</v>
      </c>
      <c r="AY250">
        <v>45</v>
      </c>
      <c r="AZ250">
        <v>103</v>
      </c>
      <c r="BA250">
        <v>64</v>
      </c>
      <c r="BB250">
        <v>68</v>
      </c>
      <c r="BC250">
        <v>132</v>
      </c>
      <c r="BD250">
        <v>30</v>
      </c>
      <c r="BE250">
        <v>39</v>
      </c>
      <c r="BF250">
        <v>69</v>
      </c>
      <c r="BG250">
        <v>72</v>
      </c>
      <c r="BH250">
        <v>72</v>
      </c>
      <c r="BI250">
        <v>144</v>
      </c>
      <c r="BP250">
        <v>90</v>
      </c>
      <c r="BR250">
        <v>77</v>
      </c>
      <c r="BS250">
        <v>31</v>
      </c>
      <c r="BT250">
        <v>24</v>
      </c>
      <c r="BV250">
        <v>2</v>
      </c>
      <c r="BW250">
        <v>224</v>
      </c>
      <c r="BX250" t="str">
        <f t="shared" si="23"/>
        <v>no data</v>
      </c>
      <c r="BY250" s="5"/>
      <c r="BZ250" s="6"/>
      <c r="CA250" s="7">
        <v>44528</v>
      </c>
      <c r="CE250">
        <v>79</v>
      </c>
      <c r="CF250">
        <v>70</v>
      </c>
      <c r="CG250">
        <v>75</v>
      </c>
      <c r="CI250">
        <f t="shared" si="18"/>
        <v>2021</v>
      </c>
      <c r="CJ250" t="str">
        <f t="shared" si="19"/>
        <v>5047_2021</v>
      </c>
    </row>
    <row r="251" spans="1:88" x14ac:dyDescent="0.25">
      <c r="A251" t="s">
        <v>111</v>
      </c>
      <c r="B251" t="s">
        <v>157</v>
      </c>
      <c r="C251">
        <v>5047</v>
      </c>
      <c r="D251">
        <v>-37.876595000000002</v>
      </c>
      <c r="E251">
        <v>144.73719399999999</v>
      </c>
      <c r="F251">
        <v>4</v>
      </c>
      <c r="G251" t="s">
        <v>158</v>
      </c>
      <c r="H251">
        <v>6</v>
      </c>
      <c r="I251">
        <v>186</v>
      </c>
      <c r="J251">
        <v>91</v>
      </c>
      <c r="K251">
        <v>271</v>
      </c>
      <c r="L251">
        <v>193</v>
      </c>
      <c r="M251">
        <v>13</v>
      </c>
      <c r="N251">
        <v>259</v>
      </c>
      <c r="O251">
        <v>79</v>
      </c>
      <c r="T251">
        <v>0</v>
      </c>
      <c r="U251">
        <v>38</v>
      </c>
      <c r="V251">
        <v>0</v>
      </c>
      <c r="Y251">
        <v>1</v>
      </c>
      <c r="Z251">
        <v>1</v>
      </c>
      <c r="AA251">
        <v>21</v>
      </c>
      <c r="AD251">
        <v>44</v>
      </c>
      <c r="AE251">
        <v>0</v>
      </c>
      <c r="AF251">
        <v>0</v>
      </c>
      <c r="AI251">
        <v>1</v>
      </c>
      <c r="AJ251">
        <v>22</v>
      </c>
      <c r="AK251">
        <v>0</v>
      </c>
      <c r="AX251">
        <v>38</v>
      </c>
      <c r="AY251">
        <v>46</v>
      </c>
      <c r="AZ251">
        <v>84</v>
      </c>
      <c r="BA251">
        <v>23</v>
      </c>
      <c r="BB251">
        <v>22</v>
      </c>
      <c r="BC251">
        <v>45</v>
      </c>
      <c r="BD251">
        <v>44</v>
      </c>
      <c r="BE251">
        <v>39</v>
      </c>
      <c r="BF251">
        <v>83</v>
      </c>
      <c r="BG251">
        <v>23</v>
      </c>
      <c r="BH251">
        <v>21</v>
      </c>
      <c r="BI251">
        <v>44</v>
      </c>
      <c r="BP251">
        <v>58</v>
      </c>
      <c r="BR251">
        <v>46</v>
      </c>
      <c r="BS251">
        <v>12</v>
      </c>
      <c r="BT251">
        <v>5</v>
      </c>
      <c r="BU251">
        <v>5</v>
      </c>
      <c r="BV251">
        <v>2</v>
      </c>
      <c r="BW251">
        <v>128</v>
      </c>
      <c r="BX251">
        <f t="shared" si="23"/>
        <v>224</v>
      </c>
      <c r="BY251" s="5">
        <f t="shared" si="21"/>
        <v>-0.42857142857142855</v>
      </c>
      <c r="BZ251" s="6">
        <f t="shared" si="20"/>
        <v>-0.42857142857142855</v>
      </c>
      <c r="CA251" s="7">
        <v>44878</v>
      </c>
      <c r="CE251">
        <v>35</v>
      </c>
      <c r="CF251">
        <v>53</v>
      </c>
      <c r="CG251">
        <v>40</v>
      </c>
      <c r="CI251">
        <f t="shared" si="18"/>
        <v>2022</v>
      </c>
      <c r="CJ251" t="str">
        <f t="shared" si="19"/>
        <v>5047_2022</v>
      </c>
    </row>
    <row r="252" spans="1:88" x14ac:dyDescent="0.25">
      <c r="A252" t="s">
        <v>111</v>
      </c>
      <c r="B252" t="s">
        <v>157</v>
      </c>
      <c r="C252">
        <v>5052</v>
      </c>
      <c r="D252">
        <v>-37.850999999999999</v>
      </c>
      <c r="E252">
        <v>144.7122</v>
      </c>
      <c r="F252">
        <v>4</v>
      </c>
      <c r="G252" t="s">
        <v>159</v>
      </c>
      <c r="H252">
        <v>17</v>
      </c>
      <c r="I252">
        <v>197</v>
      </c>
      <c r="J252">
        <v>97</v>
      </c>
      <c r="K252">
        <v>277</v>
      </c>
      <c r="L252">
        <v>207</v>
      </c>
      <c r="M252">
        <v>27</v>
      </c>
      <c r="N252">
        <v>275</v>
      </c>
      <c r="O252">
        <v>95</v>
      </c>
      <c r="T252">
        <v>11</v>
      </c>
      <c r="U252">
        <v>17</v>
      </c>
      <c r="V252">
        <v>1</v>
      </c>
      <c r="Y252">
        <v>8</v>
      </c>
      <c r="Z252">
        <v>24</v>
      </c>
      <c r="AA252">
        <v>12</v>
      </c>
      <c r="AD252">
        <v>15</v>
      </c>
      <c r="AE252">
        <v>22</v>
      </c>
      <c r="AF252">
        <v>0</v>
      </c>
      <c r="AI252">
        <v>3</v>
      </c>
      <c r="AJ252">
        <v>7</v>
      </c>
      <c r="AK252">
        <v>0</v>
      </c>
      <c r="AX252">
        <v>29</v>
      </c>
      <c r="AY252">
        <v>26</v>
      </c>
      <c r="AZ252">
        <v>55</v>
      </c>
      <c r="BA252">
        <v>44</v>
      </c>
      <c r="BB252">
        <v>40</v>
      </c>
      <c r="BC252">
        <v>84</v>
      </c>
      <c r="BD252">
        <v>37</v>
      </c>
      <c r="BE252">
        <v>41</v>
      </c>
      <c r="BF252">
        <v>78</v>
      </c>
      <c r="BG252">
        <v>10</v>
      </c>
      <c r="BH252">
        <v>13</v>
      </c>
      <c r="BI252">
        <v>23</v>
      </c>
      <c r="BP252">
        <v>17</v>
      </c>
      <c r="BR252">
        <v>60</v>
      </c>
      <c r="BS252">
        <v>11</v>
      </c>
      <c r="BT252">
        <v>32</v>
      </c>
      <c r="BV252">
        <v>0</v>
      </c>
      <c r="BW252">
        <v>120</v>
      </c>
      <c r="BX252" t="s">
        <v>82</v>
      </c>
      <c r="BY252" s="5"/>
      <c r="BZ252" s="6"/>
      <c r="CA252" s="7">
        <v>41588</v>
      </c>
      <c r="CI252">
        <f t="shared" si="18"/>
        <v>2013</v>
      </c>
      <c r="CJ252" t="str">
        <f t="shared" si="19"/>
        <v>5052_2013</v>
      </c>
    </row>
    <row r="253" spans="1:88" x14ac:dyDescent="0.25">
      <c r="A253" t="s">
        <v>111</v>
      </c>
      <c r="B253" t="s">
        <v>157</v>
      </c>
      <c r="C253">
        <v>5052</v>
      </c>
      <c r="D253">
        <v>-37.850999999999999</v>
      </c>
      <c r="E253">
        <v>144.7122</v>
      </c>
      <c r="F253">
        <v>4</v>
      </c>
      <c r="G253" t="s">
        <v>159</v>
      </c>
      <c r="H253">
        <v>17</v>
      </c>
      <c r="I253">
        <v>197</v>
      </c>
      <c r="J253">
        <v>97</v>
      </c>
      <c r="K253">
        <v>277</v>
      </c>
      <c r="L253">
        <v>207</v>
      </c>
      <c r="M253">
        <v>27</v>
      </c>
      <c r="N253">
        <v>275</v>
      </c>
      <c r="O253">
        <v>95</v>
      </c>
      <c r="T253">
        <v>6</v>
      </c>
      <c r="U253">
        <v>9</v>
      </c>
      <c r="V253">
        <v>6</v>
      </c>
      <c r="Y253">
        <v>6</v>
      </c>
      <c r="Z253">
        <v>4</v>
      </c>
      <c r="AA253">
        <v>11</v>
      </c>
      <c r="AD253">
        <v>19</v>
      </c>
      <c r="AE253">
        <v>5</v>
      </c>
      <c r="AF253">
        <v>64</v>
      </c>
      <c r="AI253">
        <v>15</v>
      </c>
      <c r="AJ253">
        <v>12</v>
      </c>
      <c r="AK253">
        <v>61</v>
      </c>
      <c r="AX253">
        <v>21</v>
      </c>
      <c r="AY253">
        <v>40</v>
      </c>
      <c r="AZ253">
        <v>61</v>
      </c>
      <c r="BA253">
        <v>21</v>
      </c>
      <c r="BB253">
        <v>23</v>
      </c>
      <c r="BC253">
        <v>44</v>
      </c>
      <c r="BD253">
        <v>88</v>
      </c>
      <c r="BE253">
        <v>74</v>
      </c>
      <c r="BF253">
        <v>162</v>
      </c>
      <c r="BG253">
        <v>88</v>
      </c>
      <c r="BH253">
        <v>81</v>
      </c>
      <c r="BI253">
        <v>169</v>
      </c>
      <c r="BP253">
        <v>57</v>
      </c>
      <c r="BR253">
        <v>91</v>
      </c>
      <c r="BS253">
        <v>22</v>
      </c>
      <c r="BT253">
        <v>38</v>
      </c>
      <c r="BV253">
        <v>10</v>
      </c>
      <c r="BW253">
        <v>218</v>
      </c>
      <c r="BX253">
        <f t="shared" ref="BX253:BX259" si="24">IF(C253=C252,IF((CI253-1)=CI252,BW252,"no data"))</f>
        <v>120</v>
      </c>
      <c r="BY253" s="5">
        <f t="shared" si="21"/>
        <v>0.81666666666666665</v>
      </c>
      <c r="BZ253" s="6">
        <f t="shared" si="20"/>
        <v>0.81666666666666665</v>
      </c>
      <c r="CA253" s="7">
        <v>41952</v>
      </c>
      <c r="CI253">
        <f t="shared" si="18"/>
        <v>2014</v>
      </c>
      <c r="CJ253" t="str">
        <f t="shared" si="19"/>
        <v>5052_2014</v>
      </c>
    </row>
    <row r="254" spans="1:88" x14ac:dyDescent="0.25">
      <c r="A254" t="s">
        <v>111</v>
      </c>
      <c r="B254" t="s">
        <v>157</v>
      </c>
      <c r="C254">
        <v>5052</v>
      </c>
      <c r="D254">
        <v>-37.851049000000003</v>
      </c>
      <c r="E254">
        <v>144.71219300000001</v>
      </c>
      <c r="F254">
        <v>4</v>
      </c>
      <c r="G254" t="s">
        <v>159</v>
      </c>
      <c r="H254">
        <v>17</v>
      </c>
      <c r="I254">
        <v>197</v>
      </c>
      <c r="J254">
        <v>97</v>
      </c>
      <c r="K254">
        <v>277</v>
      </c>
      <c r="L254">
        <v>207</v>
      </c>
      <c r="M254">
        <v>27</v>
      </c>
      <c r="N254">
        <v>275</v>
      </c>
      <c r="O254">
        <v>95</v>
      </c>
      <c r="T254">
        <v>0</v>
      </c>
      <c r="U254">
        <v>0</v>
      </c>
      <c r="V254">
        <v>1</v>
      </c>
      <c r="Y254">
        <v>4</v>
      </c>
      <c r="Z254">
        <v>2</v>
      </c>
      <c r="AA254">
        <v>1</v>
      </c>
      <c r="AD254">
        <v>1</v>
      </c>
      <c r="AE254">
        <v>0</v>
      </c>
      <c r="AF254">
        <v>2</v>
      </c>
      <c r="AI254">
        <v>1</v>
      </c>
      <c r="AJ254">
        <v>1</v>
      </c>
      <c r="AK254">
        <v>0</v>
      </c>
      <c r="AX254">
        <v>1</v>
      </c>
      <c r="AY254">
        <v>6</v>
      </c>
      <c r="AZ254">
        <v>7</v>
      </c>
      <c r="BA254">
        <v>7</v>
      </c>
      <c r="BB254">
        <v>1</v>
      </c>
      <c r="BC254">
        <v>8</v>
      </c>
      <c r="BD254">
        <v>3</v>
      </c>
      <c r="BE254">
        <v>2</v>
      </c>
      <c r="BF254">
        <v>5</v>
      </c>
      <c r="BG254">
        <v>2</v>
      </c>
      <c r="BH254">
        <v>4</v>
      </c>
      <c r="BI254">
        <v>6</v>
      </c>
      <c r="BP254">
        <v>4</v>
      </c>
      <c r="BR254">
        <v>4</v>
      </c>
      <c r="BS254">
        <v>1</v>
      </c>
      <c r="BT254">
        <v>4</v>
      </c>
      <c r="BV254">
        <v>0</v>
      </c>
      <c r="BW254">
        <v>13</v>
      </c>
      <c r="BX254" t="str">
        <f t="shared" si="24"/>
        <v>no data</v>
      </c>
      <c r="BY254" s="5"/>
      <c r="BZ254" s="6"/>
      <c r="CA254" s="7">
        <v>42687</v>
      </c>
      <c r="CE254">
        <v>0</v>
      </c>
      <c r="CF254">
        <v>0</v>
      </c>
      <c r="CG254">
        <v>8</v>
      </c>
      <c r="CH254">
        <v>5</v>
      </c>
      <c r="CI254">
        <f t="shared" si="18"/>
        <v>2016</v>
      </c>
      <c r="CJ254" t="str">
        <f t="shared" si="19"/>
        <v>5052_2016</v>
      </c>
    </row>
    <row r="255" spans="1:88" x14ac:dyDescent="0.25">
      <c r="A255" t="s">
        <v>111</v>
      </c>
      <c r="B255" t="s">
        <v>157</v>
      </c>
      <c r="C255">
        <v>5052</v>
      </c>
      <c r="D255">
        <v>-37.851049000000003</v>
      </c>
      <c r="E255">
        <v>144.71219300000001</v>
      </c>
      <c r="F255">
        <v>4</v>
      </c>
      <c r="G255" t="s">
        <v>159</v>
      </c>
      <c r="H255">
        <v>17</v>
      </c>
      <c r="I255">
        <v>197</v>
      </c>
      <c r="J255">
        <v>97</v>
      </c>
      <c r="K255">
        <v>277</v>
      </c>
      <c r="L255">
        <v>207</v>
      </c>
      <c r="M255">
        <v>27</v>
      </c>
      <c r="N255">
        <v>275</v>
      </c>
      <c r="O255">
        <v>95</v>
      </c>
      <c r="T255">
        <v>26</v>
      </c>
      <c r="U255">
        <v>11</v>
      </c>
      <c r="V255">
        <v>4</v>
      </c>
      <c r="Y255">
        <v>16</v>
      </c>
      <c r="Z255">
        <v>40</v>
      </c>
      <c r="AA255">
        <v>28</v>
      </c>
      <c r="AD255">
        <v>8</v>
      </c>
      <c r="AE255">
        <v>27</v>
      </c>
      <c r="AF255">
        <v>5</v>
      </c>
      <c r="AI255">
        <v>4</v>
      </c>
      <c r="AJ255">
        <v>17</v>
      </c>
      <c r="AK255">
        <v>3</v>
      </c>
      <c r="AX255">
        <v>41</v>
      </c>
      <c r="AY255">
        <v>28</v>
      </c>
      <c r="AZ255">
        <v>69</v>
      </c>
      <c r="BA255">
        <v>84</v>
      </c>
      <c r="BB255">
        <v>70</v>
      </c>
      <c r="BC255">
        <v>154</v>
      </c>
      <c r="BD255">
        <v>40</v>
      </c>
      <c r="BE255">
        <v>54</v>
      </c>
      <c r="BF255">
        <v>94</v>
      </c>
      <c r="BG255">
        <v>24</v>
      </c>
      <c r="BH255">
        <v>37</v>
      </c>
      <c r="BI255">
        <v>61</v>
      </c>
      <c r="BP255">
        <v>64</v>
      </c>
      <c r="BR255">
        <v>88</v>
      </c>
      <c r="BS255">
        <v>6</v>
      </c>
      <c r="BT255">
        <v>25</v>
      </c>
      <c r="BV255">
        <v>6</v>
      </c>
      <c r="BW255">
        <v>189</v>
      </c>
      <c r="BX255">
        <f t="shared" si="24"/>
        <v>13</v>
      </c>
      <c r="BY255" s="5">
        <f t="shared" si="21"/>
        <v>13.538461538461538</v>
      </c>
      <c r="BZ255" s="6">
        <f t="shared" si="20"/>
        <v>13.538461538461538</v>
      </c>
      <c r="CA255" s="7">
        <v>43051</v>
      </c>
      <c r="CE255">
        <v>63</v>
      </c>
      <c r="CF255">
        <v>58</v>
      </c>
      <c r="CG255">
        <v>51</v>
      </c>
      <c r="CH255">
        <v>17</v>
      </c>
      <c r="CI255">
        <f t="shared" si="18"/>
        <v>2017</v>
      </c>
      <c r="CJ255" t="str">
        <f t="shared" si="19"/>
        <v>5052_2017</v>
      </c>
    </row>
    <row r="256" spans="1:88" x14ac:dyDescent="0.25">
      <c r="A256" t="s">
        <v>111</v>
      </c>
      <c r="B256" t="s">
        <v>157</v>
      </c>
      <c r="C256">
        <v>5052</v>
      </c>
      <c r="D256">
        <v>-37.851049000000003</v>
      </c>
      <c r="E256">
        <v>144.71219300000001</v>
      </c>
      <c r="F256">
        <v>4</v>
      </c>
      <c r="G256" t="s">
        <v>159</v>
      </c>
      <c r="H256">
        <v>17</v>
      </c>
      <c r="I256">
        <v>197</v>
      </c>
      <c r="J256">
        <v>97</v>
      </c>
      <c r="K256">
        <v>277</v>
      </c>
      <c r="L256">
        <v>207</v>
      </c>
      <c r="M256">
        <v>27</v>
      </c>
      <c r="N256">
        <v>275</v>
      </c>
      <c r="O256">
        <v>95</v>
      </c>
      <c r="T256">
        <v>9</v>
      </c>
      <c r="U256">
        <v>25</v>
      </c>
      <c r="V256">
        <v>3</v>
      </c>
      <c r="Y256">
        <v>3</v>
      </c>
      <c r="Z256">
        <v>8</v>
      </c>
      <c r="AA256">
        <v>5</v>
      </c>
      <c r="AD256">
        <v>27</v>
      </c>
      <c r="AE256">
        <v>2</v>
      </c>
      <c r="AF256">
        <v>38</v>
      </c>
      <c r="AI256">
        <v>0</v>
      </c>
      <c r="AJ256">
        <v>10</v>
      </c>
      <c r="AK256">
        <v>0</v>
      </c>
      <c r="AX256">
        <v>37</v>
      </c>
      <c r="AY256">
        <v>30</v>
      </c>
      <c r="AZ256">
        <v>67</v>
      </c>
      <c r="BA256">
        <v>16</v>
      </c>
      <c r="BB256">
        <v>21</v>
      </c>
      <c r="BC256">
        <v>37</v>
      </c>
      <c r="BD256">
        <v>67</v>
      </c>
      <c r="BE256">
        <v>33</v>
      </c>
      <c r="BF256">
        <v>100</v>
      </c>
      <c r="BG256">
        <v>10</v>
      </c>
      <c r="BH256">
        <v>46</v>
      </c>
      <c r="BI256">
        <v>56</v>
      </c>
      <c r="BP256">
        <v>40</v>
      </c>
      <c r="BR256">
        <v>58</v>
      </c>
      <c r="BS256">
        <v>7</v>
      </c>
      <c r="BT256">
        <v>25</v>
      </c>
      <c r="BV256">
        <v>0</v>
      </c>
      <c r="BW256">
        <v>130</v>
      </c>
      <c r="BX256">
        <f t="shared" si="24"/>
        <v>189</v>
      </c>
      <c r="BY256" s="5">
        <f t="shared" si="21"/>
        <v>-0.31216931216931215</v>
      </c>
      <c r="BZ256" s="6">
        <f t="shared" si="20"/>
        <v>-0.31216931216931215</v>
      </c>
      <c r="CA256" s="7">
        <v>43415</v>
      </c>
      <c r="CE256">
        <v>42</v>
      </c>
      <c r="CF256">
        <v>39</v>
      </c>
      <c r="CG256">
        <v>27</v>
      </c>
      <c r="CH256">
        <v>22</v>
      </c>
      <c r="CI256">
        <f t="shared" si="18"/>
        <v>2018</v>
      </c>
      <c r="CJ256" t="str">
        <f t="shared" si="19"/>
        <v>5052_2018</v>
      </c>
    </row>
    <row r="257" spans="1:88" x14ac:dyDescent="0.25">
      <c r="A257" t="s">
        <v>111</v>
      </c>
      <c r="B257" t="s">
        <v>157</v>
      </c>
      <c r="C257">
        <v>5052</v>
      </c>
      <c r="D257">
        <v>-37.850999999999999</v>
      </c>
      <c r="E257">
        <v>144.7122</v>
      </c>
      <c r="F257">
        <v>4</v>
      </c>
      <c r="G257" t="s">
        <v>159</v>
      </c>
      <c r="H257">
        <v>17</v>
      </c>
      <c r="I257">
        <v>197</v>
      </c>
      <c r="J257">
        <v>97</v>
      </c>
      <c r="K257">
        <v>277</v>
      </c>
      <c r="L257">
        <v>207</v>
      </c>
      <c r="M257">
        <v>27</v>
      </c>
      <c r="N257">
        <v>275</v>
      </c>
      <c r="O257">
        <v>95</v>
      </c>
      <c r="T257">
        <v>2</v>
      </c>
      <c r="U257">
        <v>9</v>
      </c>
      <c r="V257">
        <v>1</v>
      </c>
      <c r="Y257">
        <v>6</v>
      </c>
      <c r="Z257">
        <v>23</v>
      </c>
      <c r="AA257">
        <v>15</v>
      </c>
      <c r="AD257">
        <v>9</v>
      </c>
      <c r="AE257">
        <v>25</v>
      </c>
      <c r="AF257">
        <v>21</v>
      </c>
      <c r="AI257">
        <v>9</v>
      </c>
      <c r="AJ257">
        <v>5</v>
      </c>
      <c r="AK257">
        <v>12</v>
      </c>
      <c r="AX257">
        <v>12</v>
      </c>
      <c r="AY257">
        <v>24</v>
      </c>
      <c r="AZ257">
        <v>36</v>
      </c>
      <c r="BA257">
        <v>44</v>
      </c>
      <c r="BB257">
        <v>32</v>
      </c>
      <c r="BC257">
        <v>76</v>
      </c>
      <c r="BD257">
        <v>55</v>
      </c>
      <c r="BE257">
        <v>44</v>
      </c>
      <c r="BF257">
        <v>99</v>
      </c>
      <c r="BG257">
        <v>26</v>
      </c>
      <c r="BH257">
        <v>37</v>
      </c>
      <c r="BI257">
        <v>63</v>
      </c>
      <c r="BP257">
        <v>20</v>
      </c>
      <c r="BR257">
        <v>62</v>
      </c>
      <c r="BS257">
        <v>17</v>
      </c>
      <c r="BT257">
        <v>30</v>
      </c>
      <c r="BV257">
        <v>8</v>
      </c>
      <c r="BW257">
        <v>137</v>
      </c>
      <c r="BX257">
        <f t="shared" si="24"/>
        <v>130</v>
      </c>
      <c r="BY257" s="5">
        <f t="shared" si="21"/>
        <v>5.3846153846153849E-2</v>
      </c>
      <c r="BZ257" s="6">
        <f t="shared" si="20"/>
        <v>5.3846153846153849E-2</v>
      </c>
      <c r="CA257" s="7">
        <v>43779</v>
      </c>
      <c r="CE257">
        <v>31</v>
      </c>
      <c r="CF257">
        <v>49</v>
      </c>
      <c r="CG257">
        <v>36</v>
      </c>
      <c r="CH257">
        <v>21</v>
      </c>
      <c r="CI257">
        <f t="shared" si="18"/>
        <v>2019</v>
      </c>
      <c r="CJ257" t="str">
        <f t="shared" si="19"/>
        <v>5052_2019</v>
      </c>
    </row>
    <row r="258" spans="1:88" x14ac:dyDescent="0.25">
      <c r="A258" t="s">
        <v>111</v>
      </c>
      <c r="B258" t="s">
        <v>157</v>
      </c>
      <c r="C258">
        <v>5052</v>
      </c>
      <c r="D258">
        <v>-37.851049000000003</v>
      </c>
      <c r="E258">
        <v>144.71219300000001</v>
      </c>
      <c r="F258">
        <v>4</v>
      </c>
      <c r="G258" t="s">
        <v>159</v>
      </c>
      <c r="H258">
        <v>17</v>
      </c>
      <c r="I258">
        <v>197</v>
      </c>
      <c r="J258">
        <v>97</v>
      </c>
      <c r="K258">
        <v>277</v>
      </c>
      <c r="L258">
        <v>207</v>
      </c>
      <c r="M258">
        <v>27</v>
      </c>
      <c r="N258">
        <v>275</v>
      </c>
      <c r="O258">
        <v>95</v>
      </c>
      <c r="T258">
        <v>4</v>
      </c>
      <c r="U258">
        <v>33</v>
      </c>
      <c r="V258">
        <v>2</v>
      </c>
      <c r="Y258">
        <v>0</v>
      </c>
      <c r="Z258">
        <v>7</v>
      </c>
      <c r="AA258">
        <v>4</v>
      </c>
      <c r="AD258">
        <v>28</v>
      </c>
      <c r="AE258">
        <v>16</v>
      </c>
      <c r="AF258">
        <v>38</v>
      </c>
      <c r="AI258">
        <v>4</v>
      </c>
      <c r="AJ258">
        <v>3</v>
      </c>
      <c r="AK258">
        <v>22</v>
      </c>
      <c r="AX258">
        <v>39</v>
      </c>
      <c r="AY258">
        <v>32</v>
      </c>
      <c r="AZ258">
        <v>71</v>
      </c>
      <c r="BA258">
        <v>11</v>
      </c>
      <c r="BB258">
        <v>23</v>
      </c>
      <c r="BC258">
        <v>34</v>
      </c>
      <c r="BD258">
        <v>82</v>
      </c>
      <c r="BE258">
        <v>62</v>
      </c>
      <c r="BF258">
        <v>144</v>
      </c>
      <c r="BG258">
        <v>29</v>
      </c>
      <c r="BH258">
        <v>44</v>
      </c>
      <c r="BI258">
        <v>73</v>
      </c>
      <c r="BP258">
        <v>58</v>
      </c>
      <c r="BR258">
        <v>64</v>
      </c>
      <c r="BS258">
        <v>15</v>
      </c>
      <c r="BT258">
        <v>20</v>
      </c>
      <c r="BV258">
        <v>4</v>
      </c>
      <c r="BW258">
        <v>161</v>
      </c>
      <c r="BX258" t="str">
        <f t="shared" si="24"/>
        <v>no data</v>
      </c>
      <c r="BY258" s="5"/>
      <c r="BZ258" s="6"/>
      <c r="CA258" s="7">
        <v>44528</v>
      </c>
      <c r="CE258">
        <v>59</v>
      </c>
      <c r="CF258">
        <v>50</v>
      </c>
      <c r="CG258">
        <v>52</v>
      </c>
      <c r="CI258">
        <f t="shared" si="18"/>
        <v>2021</v>
      </c>
      <c r="CJ258" t="str">
        <f t="shared" si="19"/>
        <v>5052_2021</v>
      </c>
    </row>
    <row r="259" spans="1:88" x14ac:dyDescent="0.25">
      <c r="A259" t="s">
        <v>111</v>
      </c>
      <c r="B259" t="s">
        <v>157</v>
      </c>
      <c r="C259">
        <v>5052</v>
      </c>
      <c r="D259">
        <v>-37.851049000000003</v>
      </c>
      <c r="E259">
        <v>144.71219300000001</v>
      </c>
      <c r="F259">
        <v>4</v>
      </c>
      <c r="G259" t="s">
        <v>159</v>
      </c>
      <c r="H259">
        <v>17</v>
      </c>
      <c r="I259">
        <v>197</v>
      </c>
      <c r="J259">
        <v>97</v>
      </c>
      <c r="K259">
        <v>277</v>
      </c>
      <c r="L259">
        <v>207</v>
      </c>
      <c r="M259">
        <v>27</v>
      </c>
      <c r="N259">
        <v>275</v>
      </c>
      <c r="O259">
        <v>95</v>
      </c>
      <c r="T259">
        <v>4</v>
      </c>
      <c r="U259">
        <v>31</v>
      </c>
      <c r="V259">
        <v>14</v>
      </c>
      <c r="Y259">
        <v>5</v>
      </c>
      <c r="Z259">
        <v>1</v>
      </c>
      <c r="AA259">
        <v>9</v>
      </c>
      <c r="AD259">
        <v>14</v>
      </c>
      <c r="AE259">
        <v>7</v>
      </c>
      <c r="AF259">
        <v>26</v>
      </c>
      <c r="AI259">
        <v>12</v>
      </c>
      <c r="AJ259">
        <v>4</v>
      </c>
      <c r="AK259">
        <v>28</v>
      </c>
      <c r="AX259">
        <v>49</v>
      </c>
      <c r="AY259">
        <v>31</v>
      </c>
      <c r="AZ259">
        <v>80</v>
      </c>
      <c r="BA259">
        <v>15</v>
      </c>
      <c r="BB259">
        <v>15</v>
      </c>
      <c r="BC259">
        <v>30</v>
      </c>
      <c r="BD259">
        <v>47</v>
      </c>
      <c r="BE259">
        <v>60</v>
      </c>
      <c r="BF259">
        <v>107</v>
      </c>
      <c r="BG259">
        <v>44</v>
      </c>
      <c r="BH259">
        <v>49</v>
      </c>
      <c r="BI259">
        <v>93</v>
      </c>
      <c r="BP259">
        <v>41</v>
      </c>
      <c r="BR259">
        <v>74</v>
      </c>
      <c r="BS259">
        <v>14</v>
      </c>
      <c r="BT259">
        <v>23</v>
      </c>
      <c r="BU259">
        <v>2</v>
      </c>
      <c r="BV259">
        <v>1</v>
      </c>
      <c r="BW259">
        <v>155</v>
      </c>
      <c r="BX259">
        <f t="shared" si="24"/>
        <v>161</v>
      </c>
      <c r="BY259" s="5">
        <f t="shared" si="21"/>
        <v>-3.7267080745341616E-2</v>
      </c>
      <c r="BZ259" s="6">
        <f t="shared" si="20"/>
        <v>-3.7267080745341616E-2</v>
      </c>
      <c r="CA259" s="7">
        <v>44878</v>
      </c>
      <c r="CE259">
        <v>63</v>
      </c>
      <c r="CF259">
        <v>48</v>
      </c>
      <c r="CG259">
        <v>44</v>
      </c>
      <c r="CI259">
        <f t="shared" ref="CI259:CI322" si="25">YEAR(CA259)</f>
        <v>2022</v>
      </c>
      <c r="CJ259" t="str">
        <f t="shared" ref="CJ259:CJ322" si="26">_xlfn.CONCAT(C259,"_",CI259)</f>
        <v>5052_2022</v>
      </c>
    </row>
    <row r="260" spans="1:88" x14ac:dyDescent="0.25">
      <c r="A260" t="s">
        <v>111</v>
      </c>
      <c r="B260" t="s">
        <v>157</v>
      </c>
      <c r="C260">
        <v>5055</v>
      </c>
      <c r="D260">
        <v>-37.898600000000002</v>
      </c>
      <c r="E260">
        <v>144.77959999999999</v>
      </c>
      <c r="F260">
        <v>3</v>
      </c>
      <c r="G260" t="s">
        <v>160</v>
      </c>
      <c r="H260">
        <v>59</v>
      </c>
      <c r="I260">
        <v>239</v>
      </c>
      <c r="J260">
        <v>150</v>
      </c>
      <c r="K260">
        <v>330</v>
      </c>
      <c r="L260">
        <v>242</v>
      </c>
      <c r="M260">
        <v>62</v>
      </c>
      <c r="T260">
        <v>16</v>
      </c>
      <c r="U260">
        <v>32</v>
      </c>
      <c r="Y260">
        <v>16</v>
      </c>
      <c r="Z260">
        <v>9</v>
      </c>
      <c r="AD260">
        <v>26</v>
      </c>
      <c r="AE260">
        <v>12</v>
      </c>
      <c r="AX260">
        <v>48</v>
      </c>
      <c r="AY260">
        <v>42</v>
      </c>
      <c r="AZ260">
        <v>90</v>
      </c>
      <c r="BA260">
        <v>25</v>
      </c>
      <c r="BB260">
        <v>28</v>
      </c>
      <c r="BC260">
        <v>53</v>
      </c>
      <c r="BD260">
        <v>38</v>
      </c>
      <c r="BE260">
        <v>41</v>
      </c>
      <c r="BF260">
        <v>79</v>
      </c>
      <c r="BP260">
        <v>58</v>
      </c>
      <c r="BR260">
        <v>23</v>
      </c>
      <c r="BS260">
        <v>13</v>
      </c>
      <c r="BT260">
        <v>14</v>
      </c>
      <c r="BV260">
        <v>3</v>
      </c>
      <c r="BW260">
        <v>111</v>
      </c>
      <c r="BX260" t="s">
        <v>82</v>
      </c>
      <c r="BY260" s="5"/>
      <c r="BZ260" s="6"/>
      <c r="CA260" s="7">
        <v>41588</v>
      </c>
      <c r="CI260">
        <f t="shared" si="25"/>
        <v>2013</v>
      </c>
      <c r="CJ260" t="str">
        <f t="shared" si="26"/>
        <v>5055_2013</v>
      </c>
    </row>
    <row r="261" spans="1:88" x14ac:dyDescent="0.25">
      <c r="A261" t="s">
        <v>111</v>
      </c>
      <c r="B261" t="s">
        <v>157</v>
      </c>
      <c r="C261">
        <v>5055</v>
      </c>
      <c r="D261">
        <v>-37.898600000000002</v>
      </c>
      <c r="E261">
        <v>144.77959999999999</v>
      </c>
      <c r="F261">
        <v>3</v>
      </c>
      <c r="G261" t="s">
        <v>160</v>
      </c>
      <c r="H261">
        <v>59</v>
      </c>
      <c r="I261">
        <v>239</v>
      </c>
      <c r="J261">
        <v>150</v>
      </c>
      <c r="K261">
        <v>330</v>
      </c>
      <c r="L261">
        <v>242</v>
      </c>
      <c r="M261">
        <v>62</v>
      </c>
      <c r="T261">
        <v>40</v>
      </c>
      <c r="U261">
        <v>104</v>
      </c>
      <c r="Y261">
        <v>66</v>
      </c>
      <c r="Z261">
        <v>64</v>
      </c>
      <c r="AD261">
        <v>112</v>
      </c>
      <c r="AE261">
        <v>73</v>
      </c>
      <c r="AX261">
        <v>144</v>
      </c>
      <c r="AY261">
        <v>178</v>
      </c>
      <c r="AZ261">
        <v>322</v>
      </c>
      <c r="BA261">
        <v>130</v>
      </c>
      <c r="BB261">
        <v>113</v>
      </c>
      <c r="BC261">
        <v>243</v>
      </c>
      <c r="BD261">
        <v>185</v>
      </c>
      <c r="BE261">
        <v>168</v>
      </c>
      <c r="BF261">
        <v>353</v>
      </c>
      <c r="BP261">
        <v>333</v>
      </c>
      <c r="BR261">
        <v>55</v>
      </c>
      <c r="BS261">
        <v>50</v>
      </c>
      <c r="BT261">
        <v>17</v>
      </c>
      <c r="BV261">
        <v>4</v>
      </c>
      <c r="BW261">
        <v>459</v>
      </c>
      <c r="BX261">
        <f t="shared" ref="BX261:BX268" si="27">IF(C261=C260,IF((CI261-1)=CI260,BW260,"no data"))</f>
        <v>111</v>
      </c>
      <c r="BY261" s="5">
        <f t="shared" si="21"/>
        <v>3.1351351351351351</v>
      </c>
      <c r="BZ261" s="6">
        <f t="shared" ref="BZ261:BZ324" si="28">BY261</f>
        <v>3.1351351351351351</v>
      </c>
      <c r="CA261" s="7">
        <v>41952</v>
      </c>
      <c r="CI261">
        <f t="shared" si="25"/>
        <v>2014</v>
      </c>
      <c r="CJ261" t="str">
        <f t="shared" si="26"/>
        <v>5055_2014</v>
      </c>
    </row>
    <row r="262" spans="1:88" x14ac:dyDescent="0.25">
      <c r="A262" t="s">
        <v>111</v>
      </c>
      <c r="B262" t="s">
        <v>157</v>
      </c>
      <c r="C262">
        <v>5055</v>
      </c>
      <c r="D262">
        <v>-37.898600000000002</v>
      </c>
      <c r="E262">
        <v>144.77959999999999</v>
      </c>
      <c r="F262">
        <v>3</v>
      </c>
      <c r="G262" t="s">
        <v>160</v>
      </c>
      <c r="H262">
        <v>59</v>
      </c>
      <c r="I262">
        <v>239</v>
      </c>
      <c r="J262">
        <v>150</v>
      </c>
      <c r="K262">
        <v>330</v>
      </c>
      <c r="L262">
        <v>242</v>
      </c>
      <c r="M262">
        <v>62</v>
      </c>
      <c r="T262">
        <v>49</v>
      </c>
      <c r="U262">
        <v>59</v>
      </c>
      <c r="Y262">
        <v>33</v>
      </c>
      <c r="Z262">
        <v>9</v>
      </c>
      <c r="AD262">
        <v>62</v>
      </c>
      <c r="AE262">
        <v>15</v>
      </c>
      <c r="AX262">
        <v>108</v>
      </c>
      <c r="AY262">
        <v>95</v>
      </c>
      <c r="AZ262">
        <v>203</v>
      </c>
      <c r="BA262">
        <v>42</v>
      </c>
      <c r="BB262">
        <v>64</v>
      </c>
      <c r="BC262">
        <v>106</v>
      </c>
      <c r="BD262">
        <v>77</v>
      </c>
      <c r="BE262">
        <v>68</v>
      </c>
      <c r="BF262">
        <v>145</v>
      </c>
      <c r="BP262">
        <v>148</v>
      </c>
      <c r="BR262">
        <v>45</v>
      </c>
      <c r="BS262">
        <v>13</v>
      </c>
      <c r="BT262">
        <v>18</v>
      </c>
      <c r="BV262">
        <v>3</v>
      </c>
      <c r="BW262">
        <v>227</v>
      </c>
      <c r="BX262">
        <f t="shared" si="27"/>
        <v>459</v>
      </c>
      <c r="BY262" s="5">
        <f t="shared" si="21"/>
        <v>-0.50544662309368193</v>
      </c>
      <c r="BZ262" s="6">
        <f t="shared" si="28"/>
        <v>-0.50544662309368193</v>
      </c>
      <c r="CA262" s="7">
        <v>42316</v>
      </c>
      <c r="CE262">
        <v>74</v>
      </c>
      <c r="CF262">
        <v>67</v>
      </c>
      <c r="CG262">
        <v>50</v>
      </c>
      <c r="CH262">
        <v>36</v>
      </c>
      <c r="CI262">
        <f t="shared" si="25"/>
        <v>2015</v>
      </c>
      <c r="CJ262" t="str">
        <f t="shared" si="26"/>
        <v>5055_2015</v>
      </c>
    </row>
    <row r="263" spans="1:88" x14ac:dyDescent="0.25">
      <c r="A263" t="s">
        <v>111</v>
      </c>
      <c r="B263" t="s">
        <v>157</v>
      </c>
      <c r="C263">
        <v>5055</v>
      </c>
      <c r="D263">
        <v>-37.898569000000002</v>
      </c>
      <c r="E263">
        <v>144.77960999999999</v>
      </c>
      <c r="F263">
        <v>3</v>
      </c>
      <c r="G263" t="s">
        <v>160</v>
      </c>
      <c r="H263">
        <v>59</v>
      </c>
      <c r="I263">
        <v>239</v>
      </c>
      <c r="J263">
        <v>150</v>
      </c>
      <c r="K263">
        <v>330</v>
      </c>
      <c r="L263">
        <v>242</v>
      </c>
      <c r="M263">
        <v>62</v>
      </c>
      <c r="T263">
        <v>13</v>
      </c>
      <c r="U263">
        <v>26</v>
      </c>
      <c r="Y263">
        <v>15</v>
      </c>
      <c r="Z263">
        <v>1</v>
      </c>
      <c r="AD263">
        <v>14</v>
      </c>
      <c r="AE263">
        <v>4</v>
      </c>
      <c r="AX263">
        <v>39</v>
      </c>
      <c r="AY263">
        <v>29</v>
      </c>
      <c r="AZ263">
        <v>68</v>
      </c>
      <c r="BA263">
        <v>16</v>
      </c>
      <c r="BB263">
        <v>17</v>
      </c>
      <c r="BC263">
        <v>33</v>
      </c>
      <c r="BD263">
        <v>18</v>
      </c>
      <c r="BE263">
        <v>27</v>
      </c>
      <c r="BF263">
        <v>45</v>
      </c>
      <c r="BP263">
        <v>26</v>
      </c>
      <c r="BR263">
        <v>22</v>
      </c>
      <c r="BS263">
        <v>16</v>
      </c>
      <c r="BT263">
        <v>4</v>
      </c>
      <c r="BV263">
        <v>5</v>
      </c>
      <c r="BW263">
        <v>73</v>
      </c>
      <c r="BX263">
        <f t="shared" si="27"/>
        <v>227</v>
      </c>
      <c r="BY263" s="5">
        <f t="shared" si="21"/>
        <v>-0.67841409691629961</v>
      </c>
      <c r="BZ263" s="6">
        <f t="shared" si="28"/>
        <v>-0.67841409691629961</v>
      </c>
      <c r="CA263" s="7">
        <v>42687</v>
      </c>
      <c r="CE263">
        <v>21</v>
      </c>
      <c r="CF263">
        <v>25</v>
      </c>
      <c r="CG263">
        <v>18</v>
      </c>
      <c r="CH263">
        <v>9</v>
      </c>
      <c r="CI263">
        <f t="shared" si="25"/>
        <v>2016</v>
      </c>
      <c r="CJ263" t="str">
        <f t="shared" si="26"/>
        <v>5055_2016</v>
      </c>
    </row>
    <row r="264" spans="1:88" x14ac:dyDescent="0.25">
      <c r="A264" t="s">
        <v>111</v>
      </c>
      <c r="B264" t="s">
        <v>157</v>
      </c>
      <c r="C264">
        <v>5055</v>
      </c>
      <c r="D264">
        <v>-37.898569000000002</v>
      </c>
      <c r="E264">
        <v>144.77960999999999</v>
      </c>
      <c r="F264">
        <v>3</v>
      </c>
      <c r="G264" t="s">
        <v>160</v>
      </c>
      <c r="H264">
        <v>59</v>
      </c>
      <c r="I264">
        <v>239</v>
      </c>
      <c r="J264">
        <v>150</v>
      </c>
      <c r="K264">
        <v>330</v>
      </c>
      <c r="L264">
        <v>242</v>
      </c>
      <c r="M264">
        <v>62</v>
      </c>
      <c r="T264">
        <v>44</v>
      </c>
      <c r="U264">
        <v>15</v>
      </c>
      <c r="Y264">
        <v>40</v>
      </c>
      <c r="Z264">
        <v>55</v>
      </c>
      <c r="AD264">
        <v>15</v>
      </c>
      <c r="AE264">
        <v>50</v>
      </c>
      <c r="AX264">
        <v>59</v>
      </c>
      <c r="AY264">
        <v>55</v>
      </c>
      <c r="AZ264">
        <v>114</v>
      </c>
      <c r="BA264">
        <v>95</v>
      </c>
      <c r="BB264">
        <v>94</v>
      </c>
      <c r="BC264">
        <v>189</v>
      </c>
      <c r="BD264">
        <v>65</v>
      </c>
      <c r="BE264">
        <v>70</v>
      </c>
      <c r="BF264">
        <v>135</v>
      </c>
      <c r="BP264">
        <v>168</v>
      </c>
      <c r="BR264">
        <v>30</v>
      </c>
      <c r="BS264">
        <v>8</v>
      </c>
      <c r="BT264">
        <v>10</v>
      </c>
      <c r="BV264">
        <v>3</v>
      </c>
      <c r="BW264">
        <v>219</v>
      </c>
      <c r="BX264">
        <f t="shared" si="27"/>
        <v>73</v>
      </c>
      <c r="BY264" s="5">
        <f t="shared" si="21"/>
        <v>2</v>
      </c>
      <c r="BZ264" s="6">
        <f t="shared" si="28"/>
        <v>2</v>
      </c>
      <c r="CA264" s="7">
        <v>43051</v>
      </c>
      <c r="CE264">
        <v>81</v>
      </c>
      <c r="CF264">
        <v>50</v>
      </c>
      <c r="CG264">
        <v>59</v>
      </c>
      <c r="CH264">
        <v>29</v>
      </c>
      <c r="CI264">
        <f t="shared" si="25"/>
        <v>2017</v>
      </c>
      <c r="CJ264" t="str">
        <f t="shared" si="26"/>
        <v>5055_2017</v>
      </c>
    </row>
    <row r="265" spans="1:88" x14ac:dyDescent="0.25">
      <c r="A265" t="s">
        <v>111</v>
      </c>
      <c r="B265" t="s">
        <v>157</v>
      </c>
      <c r="C265">
        <v>5055</v>
      </c>
      <c r="D265">
        <v>-37.898569000000002</v>
      </c>
      <c r="E265">
        <v>144.77960999999999</v>
      </c>
      <c r="F265">
        <v>3</v>
      </c>
      <c r="G265" t="s">
        <v>160</v>
      </c>
      <c r="H265">
        <v>59</v>
      </c>
      <c r="I265">
        <v>239</v>
      </c>
      <c r="J265">
        <v>150</v>
      </c>
      <c r="K265">
        <v>330</v>
      </c>
      <c r="L265">
        <v>242</v>
      </c>
      <c r="M265">
        <v>62</v>
      </c>
      <c r="T265">
        <v>67</v>
      </c>
      <c r="U265">
        <v>19</v>
      </c>
      <c r="Y265">
        <v>71</v>
      </c>
      <c r="Z265">
        <v>60</v>
      </c>
      <c r="AD265">
        <v>12</v>
      </c>
      <c r="AE265">
        <v>64</v>
      </c>
      <c r="AX265">
        <v>86</v>
      </c>
      <c r="AY265">
        <v>83</v>
      </c>
      <c r="AZ265">
        <v>169</v>
      </c>
      <c r="BA265">
        <v>131</v>
      </c>
      <c r="BB265">
        <v>131</v>
      </c>
      <c r="BC265">
        <v>262</v>
      </c>
      <c r="BD265">
        <v>76</v>
      </c>
      <c r="BE265">
        <v>79</v>
      </c>
      <c r="BF265">
        <v>155</v>
      </c>
      <c r="BP265">
        <v>179</v>
      </c>
      <c r="BR265">
        <v>86</v>
      </c>
      <c r="BS265">
        <v>13</v>
      </c>
      <c r="BT265">
        <v>10</v>
      </c>
      <c r="BV265">
        <v>5</v>
      </c>
      <c r="BW265">
        <v>293</v>
      </c>
      <c r="BX265">
        <f t="shared" si="27"/>
        <v>219</v>
      </c>
      <c r="BY265" s="5">
        <f t="shared" si="21"/>
        <v>0.33789954337899542</v>
      </c>
      <c r="BZ265" s="6">
        <f t="shared" si="28"/>
        <v>0.33789954337899542</v>
      </c>
      <c r="CA265" s="7">
        <v>43415</v>
      </c>
      <c r="CE265">
        <v>86</v>
      </c>
      <c r="CF265">
        <v>68</v>
      </c>
      <c r="CG265">
        <v>83</v>
      </c>
      <c r="CH265">
        <v>56</v>
      </c>
      <c r="CI265">
        <f t="shared" si="25"/>
        <v>2018</v>
      </c>
      <c r="CJ265" t="str">
        <f t="shared" si="26"/>
        <v>5055_2018</v>
      </c>
    </row>
    <row r="266" spans="1:88" x14ac:dyDescent="0.25">
      <c r="A266" t="s">
        <v>111</v>
      </c>
      <c r="B266" t="s">
        <v>157</v>
      </c>
      <c r="C266">
        <v>5055</v>
      </c>
      <c r="D266">
        <v>-37.898600000000002</v>
      </c>
      <c r="E266">
        <v>144.77959999999999</v>
      </c>
      <c r="F266">
        <v>3</v>
      </c>
      <c r="G266" t="s">
        <v>160</v>
      </c>
      <c r="H266">
        <v>59</v>
      </c>
      <c r="I266">
        <v>239</v>
      </c>
      <c r="J266">
        <v>150</v>
      </c>
      <c r="K266">
        <v>330</v>
      </c>
      <c r="L266">
        <v>242</v>
      </c>
      <c r="M266">
        <v>62</v>
      </c>
      <c r="T266">
        <v>50</v>
      </c>
      <c r="U266">
        <v>6</v>
      </c>
      <c r="Y266">
        <v>39</v>
      </c>
      <c r="Z266">
        <v>38</v>
      </c>
      <c r="AD266">
        <v>9</v>
      </c>
      <c r="AE266">
        <v>27</v>
      </c>
      <c r="AX266">
        <v>56</v>
      </c>
      <c r="AY266">
        <v>48</v>
      </c>
      <c r="AZ266">
        <v>104</v>
      </c>
      <c r="BA266">
        <v>77</v>
      </c>
      <c r="BB266">
        <v>77</v>
      </c>
      <c r="BC266">
        <v>154</v>
      </c>
      <c r="BD266">
        <v>36</v>
      </c>
      <c r="BE266">
        <v>44</v>
      </c>
      <c r="BF266">
        <v>80</v>
      </c>
      <c r="BP266">
        <v>101</v>
      </c>
      <c r="BR266">
        <v>39</v>
      </c>
      <c r="BS266">
        <v>12</v>
      </c>
      <c r="BT266">
        <v>16</v>
      </c>
      <c r="BV266">
        <v>1</v>
      </c>
      <c r="BW266">
        <v>169</v>
      </c>
      <c r="BX266">
        <f t="shared" si="27"/>
        <v>293</v>
      </c>
      <c r="BY266" s="5">
        <f t="shared" si="21"/>
        <v>-0.42320819112627989</v>
      </c>
      <c r="BZ266" s="6">
        <f t="shared" si="28"/>
        <v>-0.42320819112627989</v>
      </c>
      <c r="CA266" s="7">
        <v>43779</v>
      </c>
      <c r="CE266">
        <v>23</v>
      </c>
      <c r="CF266">
        <v>51</v>
      </c>
      <c r="CG266">
        <v>39</v>
      </c>
      <c r="CH266">
        <v>56</v>
      </c>
      <c r="CI266">
        <f t="shared" si="25"/>
        <v>2019</v>
      </c>
      <c r="CJ266" t="str">
        <f t="shared" si="26"/>
        <v>5055_2019</v>
      </c>
    </row>
    <row r="267" spans="1:88" x14ac:dyDescent="0.25">
      <c r="A267" t="s">
        <v>111</v>
      </c>
      <c r="B267" t="s">
        <v>157</v>
      </c>
      <c r="C267">
        <v>5055</v>
      </c>
      <c r="D267">
        <v>-37.898569000000002</v>
      </c>
      <c r="E267">
        <v>144.77960999999999</v>
      </c>
      <c r="F267">
        <v>3</v>
      </c>
      <c r="G267" t="s">
        <v>160</v>
      </c>
      <c r="H267">
        <v>59</v>
      </c>
      <c r="I267">
        <v>239</v>
      </c>
      <c r="J267">
        <v>150</v>
      </c>
      <c r="K267">
        <v>330</v>
      </c>
      <c r="L267">
        <v>242</v>
      </c>
      <c r="M267">
        <v>62</v>
      </c>
      <c r="T267">
        <v>77</v>
      </c>
      <c r="U267">
        <v>8</v>
      </c>
      <c r="Y267">
        <v>56</v>
      </c>
      <c r="Z267">
        <v>77</v>
      </c>
      <c r="AD267">
        <v>8</v>
      </c>
      <c r="AE267">
        <v>64</v>
      </c>
      <c r="AX267">
        <v>85</v>
      </c>
      <c r="AY267">
        <v>64</v>
      </c>
      <c r="AZ267">
        <v>149</v>
      </c>
      <c r="BA267">
        <v>133</v>
      </c>
      <c r="BB267">
        <v>141</v>
      </c>
      <c r="BC267">
        <v>274</v>
      </c>
      <c r="BD267">
        <v>72</v>
      </c>
      <c r="BE267">
        <v>85</v>
      </c>
      <c r="BF267">
        <v>157</v>
      </c>
      <c r="BP267">
        <v>194</v>
      </c>
      <c r="BR267">
        <v>62</v>
      </c>
      <c r="BS267">
        <v>22</v>
      </c>
      <c r="BT267">
        <v>7</v>
      </c>
      <c r="BV267">
        <v>5</v>
      </c>
      <c r="BW267">
        <v>290</v>
      </c>
      <c r="BX267" t="str">
        <f t="shared" si="27"/>
        <v>no data</v>
      </c>
      <c r="BY267" s="5"/>
      <c r="BZ267" s="6"/>
      <c r="CA267" s="7">
        <v>44528</v>
      </c>
      <c r="CE267">
        <v>67</v>
      </c>
      <c r="CF267">
        <v>140</v>
      </c>
      <c r="CG267">
        <v>83</v>
      </c>
      <c r="CI267">
        <f t="shared" si="25"/>
        <v>2021</v>
      </c>
      <c r="CJ267" t="str">
        <f t="shared" si="26"/>
        <v>5055_2021</v>
      </c>
    </row>
    <row r="268" spans="1:88" x14ac:dyDescent="0.25">
      <c r="A268" t="s">
        <v>111</v>
      </c>
      <c r="B268" t="s">
        <v>157</v>
      </c>
      <c r="C268">
        <v>5055</v>
      </c>
      <c r="D268">
        <v>-37.898569000000002</v>
      </c>
      <c r="E268">
        <v>144.77960999999999</v>
      </c>
      <c r="F268">
        <v>3</v>
      </c>
      <c r="G268" t="s">
        <v>160</v>
      </c>
      <c r="H268">
        <v>59</v>
      </c>
      <c r="I268">
        <v>239</v>
      </c>
      <c r="J268">
        <v>150</v>
      </c>
      <c r="K268">
        <v>330</v>
      </c>
      <c r="L268">
        <v>242</v>
      </c>
      <c r="M268">
        <v>62</v>
      </c>
      <c r="T268">
        <v>32</v>
      </c>
      <c r="U268">
        <v>76</v>
      </c>
      <c r="Y268">
        <v>36</v>
      </c>
      <c r="Z268">
        <v>10</v>
      </c>
      <c r="AD268">
        <v>58</v>
      </c>
      <c r="AE268">
        <v>5</v>
      </c>
      <c r="AX268">
        <v>108</v>
      </c>
      <c r="AY268">
        <v>94</v>
      </c>
      <c r="AZ268">
        <v>202</v>
      </c>
      <c r="BA268">
        <v>46</v>
      </c>
      <c r="BB268">
        <v>37</v>
      </c>
      <c r="BC268">
        <v>83</v>
      </c>
      <c r="BD268">
        <v>63</v>
      </c>
      <c r="BE268">
        <v>86</v>
      </c>
      <c r="BF268">
        <v>149</v>
      </c>
      <c r="BP268">
        <v>136</v>
      </c>
      <c r="BR268">
        <v>51</v>
      </c>
      <c r="BS268">
        <v>9</v>
      </c>
      <c r="BT268">
        <v>17</v>
      </c>
      <c r="BU268">
        <v>4</v>
      </c>
      <c r="BV268">
        <v>0</v>
      </c>
      <c r="BW268">
        <v>217</v>
      </c>
      <c r="BX268">
        <f t="shared" si="27"/>
        <v>290</v>
      </c>
      <c r="BY268" s="5">
        <f t="shared" si="21"/>
        <v>-0.25172413793103449</v>
      </c>
      <c r="BZ268" s="6">
        <f t="shared" si="28"/>
        <v>-0.25172413793103449</v>
      </c>
      <c r="CA268" s="7">
        <v>44878</v>
      </c>
      <c r="CE268">
        <v>65</v>
      </c>
      <c r="CF268">
        <v>82</v>
      </c>
      <c r="CG268">
        <v>70</v>
      </c>
      <c r="CI268">
        <f t="shared" si="25"/>
        <v>2022</v>
      </c>
      <c r="CJ268" t="str">
        <f t="shared" si="26"/>
        <v>5055_2022</v>
      </c>
    </row>
    <row r="269" spans="1:88" x14ac:dyDescent="0.25">
      <c r="A269" t="s">
        <v>140</v>
      </c>
      <c r="B269" t="s">
        <v>161</v>
      </c>
      <c r="C269">
        <v>5069</v>
      </c>
      <c r="D269">
        <v>-32.078099999999999</v>
      </c>
      <c r="E269">
        <v>115.7612</v>
      </c>
      <c r="F269">
        <v>4</v>
      </c>
      <c r="G269" t="s">
        <v>162</v>
      </c>
      <c r="H269">
        <v>3</v>
      </c>
      <c r="I269">
        <v>183</v>
      </c>
      <c r="J269">
        <v>120</v>
      </c>
      <c r="K269">
        <v>300</v>
      </c>
      <c r="L269">
        <v>180</v>
      </c>
      <c r="M269">
        <v>360</v>
      </c>
      <c r="N269">
        <v>278</v>
      </c>
      <c r="O269">
        <v>98</v>
      </c>
      <c r="T269">
        <v>13</v>
      </c>
      <c r="U269">
        <v>16</v>
      </c>
      <c r="V269">
        <v>18</v>
      </c>
      <c r="Y269">
        <v>8</v>
      </c>
      <c r="Z269">
        <v>1</v>
      </c>
      <c r="AA269">
        <v>50</v>
      </c>
      <c r="AD269">
        <v>15</v>
      </c>
      <c r="AE269">
        <v>3</v>
      </c>
      <c r="AF269">
        <v>20</v>
      </c>
      <c r="AI269">
        <v>18</v>
      </c>
      <c r="AJ269">
        <v>29</v>
      </c>
      <c r="AK269">
        <v>8</v>
      </c>
      <c r="AX269">
        <v>47</v>
      </c>
      <c r="AY269">
        <v>41</v>
      </c>
      <c r="AZ269">
        <v>88</v>
      </c>
      <c r="BA269">
        <v>59</v>
      </c>
      <c r="BB269">
        <v>45</v>
      </c>
      <c r="BC269">
        <v>104</v>
      </c>
      <c r="BD269">
        <v>38</v>
      </c>
      <c r="BE269">
        <v>25</v>
      </c>
      <c r="BF269">
        <v>63</v>
      </c>
      <c r="BG269">
        <v>55</v>
      </c>
      <c r="BH269">
        <v>88</v>
      </c>
      <c r="BI269">
        <v>143</v>
      </c>
      <c r="BP269">
        <v>118</v>
      </c>
      <c r="BR269">
        <v>57</v>
      </c>
      <c r="BS269">
        <v>7</v>
      </c>
      <c r="BT269">
        <v>17</v>
      </c>
      <c r="BV269">
        <v>0</v>
      </c>
      <c r="BW269">
        <v>199</v>
      </c>
      <c r="BX269" t="s">
        <v>82</v>
      </c>
      <c r="BY269" s="5"/>
      <c r="BZ269" s="6"/>
      <c r="CA269" s="7">
        <v>41952</v>
      </c>
      <c r="CI269">
        <f t="shared" si="25"/>
        <v>2014</v>
      </c>
      <c r="CJ269" t="str">
        <f t="shared" si="26"/>
        <v>5069_2014</v>
      </c>
    </row>
    <row r="270" spans="1:88" x14ac:dyDescent="0.25">
      <c r="A270" t="s">
        <v>140</v>
      </c>
      <c r="B270" t="s">
        <v>161</v>
      </c>
      <c r="C270">
        <v>5069</v>
      </c>
      <c r="D270">
        <v>-32.078099999999999</v>
      </c>
      <c r="E270">
        <v>115.7612</v>
      </c>
      <c r="F270">
        <v>4</v>
      </c>
      <c r="G270" t="s">
        <v>162</v>
      </c>
      <c r="H270">
        <v>3</v>
      </c>
      <c r="I270">
        <v>183</v>
      </c>
      <c r="J270">
        <v>120</v>
      </c>
      <c r="K270">
        <v>300</v>
      </c>
      <c r="L270">
        <v>180</v>
      </c>
      <c r="M270">
        <v>360</v>
      </c>
      <c r="N270">
        <v>278</v>
      </c>
      <c r="O270">
        <v>98</v>
      </c>
      <c r="T270">
        <v>14</v>
      </c>
      <c r="U270">
        <v>15</v>
      </c>
      <c r="V270">
        <v>15</v>
      </c>
      <c r="Y270">
        <v>12</v>
      </c>
      <c r="Z270">
        <v>8</v>
      </c>
      <c r="AA270">
        <v>64</v>
      </c>
      <c r="AD270">
        <v>20</v>
      </c>
      <c r="AE270">
        <v>6</v>
      </c>
      <c r="AF270">
        <v>27</v>
      </c>
      <c r="AI270">
        <v>12</v>
      </c>
      <c r="AJ270">
        <v>34</v>
      </c>
      <c r="AK270">
        <v>12</v>
      </c>
      <c r="AX270">
        <v>44</v>
      </c>
      <c r="AY270">
        <v>44</v>
      </c>
      <c r="AZ270">
        <v>88</v>
      </c>
      <c r="BA270">
        <v>84</v>
      </c>
      <c r="BB270">
        <v>54</v>
      </c>
      <c r="BC270">
        <v>138</v>
      </c>
      <c r="BD270">
        <v>53</v>
      </c>
      <c r="BE270">
        <v>35</v>
      </c>
      <c r="BF270">
        <v>88</v>
      </c>
      <c r="BG270">
        <v>58</v>
      </c>
      <c r="BH270">
        <v>106</v>
      </c>
      <c r="BI270">
        <v>164</v>
      </c>
      <c r="BP270">
        <v>119</v>
      </c>
      <c r="BR270">
        <v>90</v>
      </c>
      <c r="BS270">
        <v>8</v>
      </c>
      <c r="BT270">
        <v>13</v>
      </c>
      <c r="BV270">
        <v>9</v>
      </c>
      <c r="BW270">
        <v>239</v>
      </c>
      <c r="BX270">
        <f>IF(C270=C269,IF((CI270-1)=CI269,BW269,"no data"))</f>
        <v>199</v>
      </c>
      <c r="BY270" s="5">
        <f t="shared" ref="BY270:BY333" si="29">(BW270-BX270)/BX270</f>
        <v>0.20100502512562815</v>
      </c>
      <c r="BZ270" s="6">
        <f t="shared" si="28"/>
        <v>0.20100502512562815</v>
      </c>
      <c r="CA270" s="7">
        <v>42316</v>
      </c>
      <c r="CE270">
        <v>59</v>
      </c>
      <c r="CF270">
        <v>62</v>
      </c>
      <c r="CG270">
        <v>62</v>
      </c>
      <c r="CH270">
        <v>56</v>
      </c>
      <c r="CI270">
        <f t="shared" si="25"/>
        <v>2015</v>
      </c>
      <c r="CJ270" t="str">
        <f t="shared" si="26"/>
        <v>5069_2015</v>
      </c>
    </row>
    <row r="271" spans="1:88" x14ac:dyDescent="0.25">
      <c r="A271" t="s">
        <v>140</v>
      </c>
      <c r="B271" t="s">
        <v>161</v>
      </c>
      <c r="C271">
        <v>5069</v>
      </c>
      <c r="D271">
        <v>-32.078121000000003</v>
      </c>
      <c r="E271">
        <v>115.761205</v>
      </c>
      <c r="F271">
        <v>4</v>
      </c>
      <c r="G271" t="s">
        <v>162</v>
      </c>
      <c r="H271">
        <v>3</v>
      </c>
      <c r="I271">
        <v>183</v>
      </c>
      <c r="J271">
        <v>120</v>
      </c>
      <c r="K271">
        <v>300</v>
      </c>
      <c r="L271">
        <v>180</v>
      </c>
      <c r="M271">
        <v>360</v>
      </c>
      <c r="N271">
        <v>278</v>
      </c>
      <c r="O271">
        <v>98</v>
      </c>
      <c r="T271">
        <v>13</v>
      </c>
      <c r="U271">
        <v>28</v>
      </c>
      <c r="V271">
        <v>23</v>
      </c>
      <c r="Y271">
        <v>13</v>
      </c>
      <c r="Z271">
        <v>10</v>
      </c>
      <c r="AA271">
        <v>73</v>
      </c>
      <c r="AD271">
        <v>33</v>
      </c>
      <c r="AE271">
        <v>6</v>
      </c>
      <c r="AF271">
        <v>20</v>
      </c>
      <c r="AI271">
        <v>17</v>
      </c>
      <c r="AJ271">
        <v>74</v>
      </c>
      <c r="AK271">
        <v>18</v>
      </c>
      <c r="AX271">
        <v>64</v>
      </c>
      <c r="AY271">
        <v>63</v>
      </c>
      <c r="AZ271">
        <v>127</v>
      </c>
      <c r="BA271">
        <v>96</v>
      </c>
      <c r="BB271">
        <v>93</v>
      </c>
      <c r="BC271">
        <v>189</v>
      </c>
      <c r="BD271">
        <v>59</v>
      </c>
      <c r="BE271">
        <v>56</v>
      </c>
      <c r="BF271">
        <v>115</v>
      </c>
      <c r="BG271">
        <v>109</v>
      </c>
      <c r="BH271">
        <v>116</v>
      </c>
      <c r="BI271">
        <v>225</v>
      </c>
      <c r="BP271">
        <v>143</v>
      </c>
      <c r="BR271">
        <v>137</v>
      </c>
      <c r="BS271">
        <v>6</v>
      </c>
      <c r="BT271">
        <v>19</v>
      </c>
      <c r="BV271">
        <v>23</v>
      </c>
      <c r="BW271">
        <v>328</v>
      </c>
      <c r="BX271">
        <f>IF(C271=C270,IF((CI271-1)=CI270,BW270,"no data"))</f>
        <v>239</v>
      </c>
      <c r="BY271" s="5">
        <f t="shared" si="29"/>
        <v>0.3723849372384937</v>
      </c>
      <c r="BZ271" s="6">
        <f t="shared" si="28"/>
        <v>0.3723849372384937</v>
      </c>
      <c r="CA271" s="7">
        <v>42687</v>
      </c>
      <c r="CE271">
        <v>120</v>
      </c>
      <c r="CF271">
        <v>60</v>
      </c>
      <c r="CG271">
        <v>73</v>
      </c>
      <c r="CH271">
        <v>75</v>
      </c>
      <c r="CI271">
        <f t="shared" si="25"/>
        <v>2016</v>
      </c>
      <c r="CJ271" t="str">
        <f t="shared" si="26"/>
        <v>5069_2016</v>
      </c>
    </row>
    <row r="272" spans="1:88" x14ac:dyDescent="0.25">
      <c r="A272" t="s">
        <v>140</v>
      </c>
      <c r="B272" t="s">
        <v>161</v>
      </c>
      <c r="C272">
        <v>5069</v>
      </c>
      <c r="D272">
        <v>-32.078121000000003</v>
      </c>
      <c r="E272">
        <v>115.761205</v>
      </c>
      <c r="F272">
        <v>4</v>
      </c>
      <c r="G272" t="s">
        <v>162</v>
      </c>
      <c r="H272">
        <v>3</v>
      </c>
      <c r="I272">
        <v>183</v>
      </c>
      <c r="J272">
        <v>120</v>
      </c>
      <c r="K272">
        <v>300</v>
      </c>
      <c r="L272">
        <v>180</v>
      </c>
      <c r="M272">
        <v>360</v>
      </c>
      <c r="N272">
        <v>278</v>
      </c>
      <c r="O272">
        <v>98</v>
      </c>
      <c r="T272">
        <v>14</v>
      </c>
      <c r="U272">
        <v>27</v>
      </c>
      <c r="V272">
        <v>17</v>
      </c>
      <c r="Y272">
        <v>24</v>
      </c>
      <c r="Z272">
        <v>5</v>
      </c>
      <c r="AA272">
        <v>70</v>
      </c>
      <c r="AD272">
        <v>32</v>
      </c>
      <c r="AE272">
        <v>1</v>
      </c>
      <c r="AF272">
        <v>31</v>
      </c>
      <c r="AI272">
        <v>11</v>
      </c>
      <c r="AJ272">
        <v>72</v>
      </c>
      <c r="AK272">
        <v>7</v>
      </c>
      <c r="AX272">
        <v>58</v>
      </c>
      <c r="AY272">
        <v>67</v>
      </c>
      <c r="AZ272">
        <v>125</v>
      </c>
      <c r="BA272">
        <v>99</v>
      </c>
      <c r="BB272">
        <v>87</v>
      </c>
      <c r="BC272">
        <v>186</v>
      </c>
      <c r="BD272">
        <v>64</v>
      </c>
      <c r="BE272">
        <v>39</v>
      </c>
      <c r="BF272">
        <v>103</v>
      </c>
      <c r="BG272">
        <v>90</v>
      </c>
      <c r="BH272">
        <v>118</v>
      </c>
      <c r="BI272">
        <v>208</v>
      </c>
      <c r="BP272">
        <v>178</v>
      </c>
      <c r="BR272">
        <v>97</v>
      </c>
      <c r="BS272">
        <v>11</v>
      </c>
      <c r="BT272">
        <v>19</v>
      </c>
      <c r="BV272">
        <v>6</v>
      </c>
      <c r="BW272">
        <v>311</v>
      </c>
      <c r="BX272" t="str">
        <f>IF(C272=C271,IF((CI272-1)=CI271,BW271,"no data"))</f>
        <v>no data</v>
      </c>
      <c r="BY272" s="5"/>
      <c r="BZ272" s="6"/>
      <c r="CA272" s="7">
        <v>43415</v>
      </c>
      <c r="CE272">
        <v>99</v>
      </c>
      <c r="CF272">
        <v>58</v>
      </c>
      <c r="CG272">
        <v>92</v>
      </c>
      <c r="CH272">
        <v>62</v>
      </c>
      <c r="CI272">
        <f t="shared" si="25"/>
        <v>2018</v>
      </c>
      <c r="CJ272" t="str">
        <f t="shared" si="26"/>
        <v>5069_2018</v>
      </c>
    </row>
    <row r="273" spans="1:88" x14ac:dyDescent="0.25">
      <c r="A273" t="s">
        <v>140</v>
      </c>
      <c r="B273" t="s">
        <v>161</v>
      </c>
      <c r="C273">
        <v>5071</v>
      </c>
      <c r="D273">
        <v>-32.067100000000003</v>
      </c>
      <c r="E273">
        <v>115.77979999999999</v>
      </c>
      <c r="F273">
        <v>4</v>
      </c>
      <c r="G273" t="s">
        <v>163</v>
      </c>
      <c r="H273">
        <v>2</v>
      </c>
      <c r="I273">
        <v>182</v>
      </c>
      <c r="J273">
        <v>90</v>
      </c>
      <c r="K273">
        <v>270</v>
      </c>
      <c r="L273">
        <v>180</v>
      </c>
      <c r="M273">
        <v>360</v>
      </c>
      <c r="N273">
        <v>269</v>
      </c>
      <c r="O273">
        <v>89</v>
      </c>
      <c r="T273">
        <v>0</v>
      </c>
      <c r="U273">
        <v>21</v>
      </c>
      <c r="V273">
        <v>0</v>
      </c>
      <c r="Y273">
        <v>4</v>
      </c>
      <c r="Z273">
        <v>14</v>
      </c>
      <c r="AA273">
        <v>4</v>
      </c>
      <c r="AD273">
        <v>28</v>
      </c>
      <c r="AE273">
        <v>19</v>
      </c>
      <c r="AF273">
        <v>3</v>
      </c>
      <c r="AI273">
        <v>2</v>
      </c>
      <c r="AJ273">
        <v>5</v>
      </c>
      <c r="AK273">
        <v>5</v>
      </c>
      <c r="AX273">
        <v>21</v>
      </c>
      <c r="AY273">
        <v>34</v>
      </c>
      <c r="AZ273">
        <v>55</v>
      </c>
      <c r="BA273">
        <v>22</v>
      </c>
      <c r="BB273">
        <v>24</v>
      </c>
      <c r="BC273">
        <v>46</v>
      </c>
      <c r="BD273">
        <v>50</v>
      </c>
      <c r="BE273">
        <v>40</v>
      </c>
      <c r="BF273">
        <v>90</v>
      </c>
      <c r="BG273">
        <v>12</v>
      </c>
      <c r="BH273">
        <v>7</v>
      </c>
      <c r="BI273">
        <v>19</v>
      </c>
      <c r="BP273">
        <v>30</v>
      </c>
      <c r="BR273">
        <v>54</v>
      </c>
      <c r="BS273">
        <v>9</v>
      </c>
      <c r="BT273">
        <v>8</v>
      </c>
      <c r="BV273">
        <v>4</v>
      </c>
      <c r="BW273">
        <v>105</v>
      </c>
      <c r="BX273" t="s">
        <v>82</v>
      </c>
      <c r="BY273" s="5"/>
      <c r="BZ273" s="6"/>
      <c r="CA273" s="7">
        <v>41952</v>
      </c>
      <c r="CI273">
        <f t="shared" si="25"/>
        <v>2014</v>
      </c>
      <c r="CJ273" t="str">
        <f t="shared" si="26"/>
        <v>5071_2014</v>
      </c>
    </row>
    <row r="274" spans="1:88" x14ac:dyDescent="0.25">
      <c r="A274" t="s">
        <v>140</v>
      </c>
      <c r="B274" t="s">
        <v>161</v>
      </c>
      <c r="C274">
        <v>5071</v>
      </c>
      <c r="D274">
        <v>-32.067100000000003</v>
      </c>
      <c r="E274">
        <v>115.77979999999999</v>
      </c>
      <c r="F274">
        <v>4</v>
      </c>
      <c r="G274" t="s">
        <v>163</v>
      </c>
      <c r="H274">
        <v>2</v>
      </c>
      <c r="I274">
        <v>182</v>
      </c>
      <c r="J274">
        <v>90</v>
      </c>
      <c r="K274">
        <v>270</v>
      </c>
      <c r="L274">
        <v>180</v>
      </c>
      <c r="M274">
        <v>360</v>
      </c>
      <c r="N274">
        <v>269</v>
      </c>
      <c r="O274">
        <v>89</v>
      </c>
      <c r="T274">
        <v>0</v>
      </c>
      <c r="U274">
        <v>4</v>
      </c>
      <c r="V274">
        <v>13</v>
      </c>
      <c r="Y274">
        <v>0</v>
      </c>
      <c r="Z274">
        <v>1</v>
      </c>
      <c r="AA274">
        <v>21</v>
      </c>
      <c r="AD274">
        <v>7</v>
      </c>
      <c r="AE274">
        <v>1</v>
      </c>
      <c r="AF274">
        <v>25</v>
      </c>
      <c r="AI274">
        <v>10</v>
      </c>
      <c r="AJ274">
        <v>29</v>
      </c>
      <c r="AK274">
        <v>18</v>
      </c>
      <c r="AX274">
        <v>17</v>
      </c>
      <c r="AY274">
        <v>17</v>
      </c>
      <c r="AZ274">
        <v>34</v>
      </c>
      <c r="BA274">
        <v>22</v>
      </c>
      <c r="BB274">
        <v>30</v>
      </c>
      <c r="BC274">
        <v>52</v>
      </c>
      <c r="BD274">
        <v>33</v>
      </c>
      <c r="BE274">
        <v>23</v>
      </c>
      <c r="BF274">
        <v>56</v>
      </c>
      <c r="BG274">
        <v>57</v>
      </c>
      <c r="BH274">
        <v>59</v>
      </c>
      <c r="BI274">
        <v>116</v>
      </c>
      <c r="BP274">
        <v>40</v>
      </c>
      <c r="BR274">
        <v>66</v>
      </c>
      <c r="BS274">
        <v>2</v>
      </c>
      <c r="BT274">
        <v>11</v>
      </c>
      <c r="BV274">
        <v>10</v>
      </c>
      <c r="BW274">
        <v>129</v>
      </c>
      <c r="BX274">
        <f>IF(C274=C273,IF((CI274-1)=CI273,BW273,"no data"))</f>
        <v>105</v>
      </c>
      <c r="BY274" s="5">
        <f t="shared" si="29"/>
        <v>0.22857142857142856</v>
      </c>
      <c r="BZ274" s="6">
        <f t="shared" si="28"/>
        <v>0.22857142857142856</v>
      </c>
      <c r="CA274" s="7">
        <v>42316</v>
      </c>
      <c r="CE274">
        <v>43</v>
      </c>
      <c r="CF274">
        <v>39</v>
      </c>
      <c r="CG274">
        <v>31</v>
      </c>
      <c r="CH274">
        <v>16</v>
      </c>
      <c r="CI274">
        <f t="shared" si="25"/>
        <v>2015</v>
      </c>
      <c r="CJ274" t="str">
        <f t="shared" si="26"/>
        <v>5071_2015</v>
      </c>
    </row>
    <row r="275" spans="1:88" x14ac:dyDescent="0.25">
      <c r="A275" t="s">
        <v>140</v>
      </c>
      <c r="B275" t="s">
        <v>161</v>
      </c>
      <c r="C275">
        <v>5071</v>
      </c>
      <c r="D275">
        <v>-32.067117000000003</v>
      </c>
      <c r="E275">
        <v>115.77982</v>
      </c>
      <c r="F275">
        <v>4</v>
      </c>
      <c r="G275" t="s">
        <v>163</v>
      </c>
      <c r="H275">
        <v>2</v>
      </c>
      <c r="I275">
        <v>182</v>
      </c>
      <c r="J275">
        <v>90</v>
      </c>
      <c r="K275">
        <v>270</v>
      </c>
      <c r="L275">
        <v>180</v>
      </c>
      <c r="M275">
        <v>360</v>
      </c>
      <c r="N275">
        <v>269</v>
      </c>
      <c r="O275">
        <v>89</v>
      </c>
      <c r="T275">
        <v>0</v>
      </c>
      <c r="U275">
        <v>6</v>
      </c>
      <c r="V275">
        <v>6</v>
      </c>
      <c r="Y275">
        <v>0</v>
      </c>
      <c r="Z275">
        <v>2</v>
      </c>
      <c r="AA275">
        <v>20</v>
      </c>
      <c r="AD275">
        <v>6</v>
      </c>
      <c r="AE275">
        <v>1</v>
      </c>
      <c r="AF275">
        <v>41</v>
      </c>
      <c r="AI275">
        <v>0</v>
      </c>
      <c r="AJ275">
        <v>38</v>
      </c>
      <c r="AK275">
        <v>7</v>
      </c>
      <c r="AX275">
        <v>12</v>
      </c>
      <c r="AY275">
        <v>6</v>
      </c>
      <c r="AZ275">
        <v>18</v>
      </c>
      <c r="BA275">
        <v>22</v>
      </c>
      <c r="BB275">
        <v>39</v>
      </c>
      <c r="BC275">
        <v>61</v>
      </c>
      <c r="BD275">
        <v>48</v>
      </c>
      <c r="BE275">
        <v>15</v>
      </c>
      <c r="BF275">
        <v>63</v>
      </c>
      <c r="BG275">
        <v>45</v>
      </c>
      <c r="BH275">
        <v>67</v>
      </c>
      <c r="BI275">
        <v>112</v>
      </c>
      <c r="BP275">
        <v>48</v>
      </c>
      <c r="BR275">
        <v>56</v>
      </c>
      <c r="BS275">
        <v>4</v>
      </c>
      <c r="BT275">
        <v>17</v>
      </c>
      <c r="BV275">
        <v>2</v>
      </c>
      <c r="BW275">
        <v>127</v>
      </c>
      <c r="BX275">
        <f>IF(C275=C274,IF((CI275-1)=CI274,BW274,"no data"))</f>
        <v>129</v>
      </c>
      <c r="BY275" s="5">
        <f t="shared" si="29"/>
        <v>-1.5503875968992248E-2</v>
      </c>
      <c r="BZ275" s="6">
        <f t="shared" si="28"/>
        <v>-1.5503875968992248E-2</v>
      </c>
      <c r="CA275" s="7">
        <v>42687</v>
      </c>
      <c r="CE275">
        <v>36</v>
      </c>
      <c r="CF275">
        <v>43</v>
      </c>
      <c r="CG275">
        <v>32</v>
      </c>
      <c r="CH275">
        <v>16</v>
      </c>
      <c r="CI275">
        <f t="shared" si="25"/>
        <v>2016</v>
      </c>
      <c r="CJ275" t="str">
        <f t="shared" si="26"/>
        <v>5071_2016</v>
      </c>
    </row>
    <row r="276" spans="1:88" x14ac:dyDescent="0.25">
      <c r="A276" t="s">
        <v>140</v>
      </c>
      <c r="B276" t="s">
        <v>161</v>
      </c>
      <c r="C276">
        <v>5071</v>
      </c>
      <c r="D276">
        <v>-32.067117000000003</v>
      </c>
      <c r="E276">
        <v>115.77982</v>
      </c>
      <c r="F276">
        <v>4</v>
      </c>
      <c r="G276" t="s">
        <v>163</v>
      </c>
      <c r="H276">
        <v>2</v>
      </c>
      <c r="I276">
        <v>182</v>
      </c>
      <c r="J276">
        <v>90</v>
      </c>
      <c r="K276">
        <v>270</v>
      </c>
      <c r="L276">
        <v>180</v>
      </c>
      <c r="M276">
        <v>360</v>
      </c>
      <c r="N276">
        <v>269</v>
      </c>
      <c r="O276">
        <v>89</v>
      </c>
      <c r="T276">
        <v>4</v>
      </c>
      <c r="U276">
        <v>6</v>
      </c>
      <c r="V276">
        <v>17</v>
      </c>
      <c r="Y276">
        <v>5</v>
      </c>
      <c r="Z276">
        <v>3</v>
      </c>
      <c r="AA276">
        <v>34</v>
      </c>
      <c r="AD276">
        <v>5</v>
      </c>
      <c r="AE276">
        <v>6</v>
      </c>
      <c r="AF276">
        <v>16</v>
      </c>
      <c r="AI276">
        <v>11</v>
      </c>
      <c r="AJ276">
        <v>23</v>
      </c>
      <c r="AK276">
        <v>5</v>
      </c>
      <c r="AX276">
        <v>27</v>
      </c>
      <c r="AY276">
        <v>21</v>
      </c>
      <c r="AZ276">
        <v>48</v>
      </c>
      <c r="BA276">
        <v>42</v>
      </c>
      <c r="BB276">
        <v>33</v>
      </c>
      <c r="BC276">
        <v>75</v>
      </c>
      <c r="BD276">
        <v>27</v>
      </c>
      <c r="BE276">
        <v>14</v>
      </c>
      <c r="BF276">
        <v>41</v>
      </c>
      <c r="BG276">
        <v>39</v>
      </c>
      <c r="BH276">
        <v>67</v>
      </c>
      <c r="BI276">
        <v>106</v>
      </c>
      <c r="BP276">
        <v>36</v>
      </c>
      <c r="BR276">
        <v>59</v>
      </c>
      <c r="BS276">
        <v>8</v>
      </c>
      <c r="BT276">
        <v>19</v>
      </c>
      <c r="BV276">
        <v>13</v>
      </c>
      <c r="BW276">
        <v>135</v>
      </c>
      <c r="BX276" t="str">
        <f>IF(C276=C275,IF((CI276-1)=CI275,BW275,"no data"))</f>
        <v>no data</v>
      </c>
      <c r="BY276" s="5"/>
      <c r="BZ276" s="6"/>
      <c r="CA276" s="7">
        <v>43415</v>
      </c>
      <c r="CE276">
        <v>41</v>
      </c>
      <c r="CF276">
        <v>27</v>
      </c>
      <c r="CG276">
        <v>41</v>
      </c>
      <c r="CH276">
        <v>26</v>
      </c>
      <c r="CI276">
        <f t="shared" si="25"/>
        <v>2018</v>
      </c>
      <c r="CJ276" t="str">
        <f t="shared" si="26"/>
        <v>5071_2018</v>
      </c>
    </row>
    <row r="277" spans="1:88" x14ac:dyDescent="0.25">
      <c r="A277" t="s">
        <v>140</v>
      </c>
      <c r="B277" t="s">
        <v>161</v>
      </c>
      <c r="C277">
        <v>5072</v>
      </c>
      <c r="D277">
        <v>-32.056899999999999</v>
      </c>
      <c r="E277">
        <v>115.77970000000001</v>
      </c>
      <c r="F277">
        <v>4</v>
      </c>
      <c r="G277" t="s">
        <v>164</v>
      </c>
      <c r="H277">
        <v>3</v>
      </c>
      <c r="I277">
        <v>183</v>
      </c>
      <c r="J277">
        <v>76</v>
      </c>
      <c r="K277">
        <v>256</v>
      </c>
      <c r="L277">
        <v>177</v>
      </c>
      <c r="M277">
        <v>357</v>
      </c>
      <c r="N277">
        <v>255</v>
      </c>
      <c r="O277">
        <v>75</v>
      </c>
      <c r="T277">
        <v>1</v>
      </c>
      <c r="U277">
        <v>14</v>
      </c>
      <c r="V277">
        <v>3</v>
      </c>
      <c r="Y277">
        <v>1</v>
      </c>
      <c r="Z277">
        <v>1</v>
      </c>
      <c r="AA277">
        <v>1</v>
      </c>
      <c r="AD277">
        <v>15</v>
      </c>
      <c r="AE277">
        <v>1</v>
      </c>
      <c r="AF277">
        <v>4</v>
      </c>
      <c r="AI277">
        <v>9</v>
      </c>
      <c r="AJ277">
        <v>6</v>
      </c>
      <c r="AK277">
        <v>1</v>
      </c>
      <c r="AX277">
        <v>18</v>
      </c>
      <c r="AY277">
        <v>25</v>
      </c>
      <c r="AZ277">
        <v>43</v>
      </c>
      <c r="BA277">
        <v>3</v>
      </c>
      <c r="BB277">
        <v>8</v>
      </c>
      <c r="BC277">
        <v>11</v>
      </c>
      <c r="BD277">
        <v>20</v>
      </c>
      <c r="BE277">
        <v>16</v>
      </c>
      <c r="BF277">
        <v>36</v>
      </c>
      <c r="BG277">
        <v>16</v>
      </c>
      <c r="BH277">
        <v>8</v>
      </c>
      <c r="BI277">
        <v>24</v>
      </c>
      <c r="BP277">
        <v>36</v>
      </c>
      <c r="BR277">
        <v>9</v>
      </c>
      <c r="BS277">
        <v>6</v>
      </c>
      <c r="BT277">
        <v>3</v>
      </c>
      <c r="BV277">
        <v>3</v>
      </c>
      <c r="BW277">
        <v>57</v>
      </c>
      <c r="BX277" t="s">
        <v>82</v>
      </c>
      <c r="BY277" s="5"/>
      <c r="BZ277" s="6"/>
      <c r="CA277" s="7">
        <v>42316</v>
      </c>
      <c r="CE277">
        <v>23</v>
      </c>
      <c r="CF277">
        <v>12</v>
      </c>
      <c r="CG277">
        <v>8</v>
      </c>
      <c r="CH277">
        <v>14</v>
      </c>
      <c r="CI277">
        <f t="shared" si="25"/>
        <v>2015</v>
      </c>
      <c r="CJ277" t="str">
        <f t="shared" si="26"/>
        <v>5072_2015</v>
      </c>
    </row>
    <row r="278" spans="1:88" x14ac:dyDescent="0.25">
      <c r="A278" t="s">
        <v>140</v>
      </c>
      <c r="B278" t="s">
        <v>161</v>
      </c>
      <c r="C278">
        <v>5072</v>
      </c>
      <c r="D278">
        <v>-32.056924000000002</v>
      </c>
      <c r="E278">
        <v>115.77970999999999</v>
      </c>
      <c r="F278">
        <v>4</v>
      </c>
      <c r="G278" t="s">
        <v>164</v>
      </c>
      <c r="H278">
        <v>3</v>
      </c>
      <c r="I278">
        <v>183</v>
      </c>
      <c r="J278">
        <v>76</v>
      </c>
      <c r="K278">
        <v>256</v>
      </c>
      <c r="L278">
        <v>177</v>
      </c>
      <c r="M278">
        <v>357</v>
      </c>
      <c r="N278">
        <v>255</v>
      </c>
      <c r="O278">
        <v>75</v>
      </c>
      <c r="T278">
        <v>1</v>
      </c>
      <c r="U278">
        <v>8</v>
      </c>
      <c r="V278">
        <v>0</v>
      </c>
      <c r="Y278">
        <v>0</v>
      </c>
      <c r="Z278">
        <v>0</v>
      </c>
      <c r="AA278">
        <v>0</v>
      </c>
      <c r="AD278">
        <v>16</v>
      </c>
      <c r="AE278">
        <v>4</v>
      </c>
      <c r="AF278">
        <v>0</v>
      </c>
      <c r="AI278">
        <v>2</v>
      </c>
      <c r="AJ278">
        <v>3</v>
      </c>
      <c r="AK278">
        <v>0</v>
      </c>
      <c r="AX278">
        <v>9</v>
      </c>
      <c r="AY278">
        <v>18</v>
      </c>
      <c r="AZ278">
        <v>27</v>
      </c>
      <c r="BA278">
        <v>0</v>
      </c>
      <c r="BB278">
        <v>8</v>
      </c>
      <c r="BC278">
        <v>8</v>
      </c>
      <c r="BD278">
        <v>20</v>
      </c>
      <c r="BE278">
        <v>8</v>
      </c>
      <c r="BF278">
        <v>28</v>
      </c>
      <c r="BG278">
        <v>5</v>
      </c>
      <c r="BH278">
        <v>0</v>
      </c>
      <c r="BI278">
        <v>5</v>
      </c>
      <c r="BP278">
        <v>19</v>
      </c>
      <c r="BR278">
        <v>9</v>
      </c>
      <c r="BS278">
        <v>5</v>
      </c>
      <c r="BT278">
        <v>1</v>
      </c>
      <c r="BV278">
        <v>0</v>
      </c>
      <c r="BW278">
        <v>34</v>
      </c>
      <c r="BX278">
        <f>IF(C278=C277,IF((CI278-1)=CI277,BW277,"no data"))</f>
        <v>57</v>
      </c>
      <c r="BY278" s="5">
        <f t="shared" si="29"/>
        <v>-0.40350877192982454</v>
      </c>
      <c r="BZ278" s="6">
        <f t="shared" si="28"/>
        <v>-0.40350877192982454</v>
      </c>
      <c r="CA278" s="7">
        <v>42687</v>
      </c>
      <c r="CE278">
        <v>8</v>
      </c>
      <c r="CF278">
        <v>11</v>
      </c>
      <c r="CG278">
        <v>11</v>
      </c>
      <c r="CH278">
        <v>4</v>
      </c>
      <c r="CI278">
        <f t="shared" si="25"/>
        <v>2016</v>
      </c>
      <c r="CJ278" t="str">
        <f t="shared" si="26"/>
        <v>5072_2016</v>
      </c>
    </row>
    <row r="279" spans="1:88" x14ac:dyDescent="0.25">
      <c r="A279" t="s">
        <v>111</v>
      </c>
      <c r="B279" t="s">
        <v>135</v>
      </c>
      <c r="C279">
        <v>5165</v>
      </c>
      <c r="D279">
        <v>-37.787551999999998</v>
      </c>
      <c r="E279">
        <v>144.93994900000001</v>
      </c>
      <c r="F279">
        <v>5</v>
      </c>
      <c r="G279" t="s">
        <v>165</v>
      </c>
      <c r="H279">
        <v>64</v>
      </c>
      <c r="I279">
        <v>244</v>
      </c>
      <c r="J279">
        <v>138</v>
      </c>
      <c r="K279">
        <v>318</v>
      </c>
      <c r="L279">
        <v>235</v>
      </c>
      <c r="M279">
        <v>55</v>
      </c>
      <c r="N279">
        <v>300</v>
      </c>
      <c r="O279">
        <v>120</v>
      </c>
      <c r="P279">
        <v>340</v>
      </c>
      <c r="Q279">
        <v>160</v>
      </c>
      <c r="T279">
        <v>42</v>
      </c>
      <c r="U279">
        <v>215</v>
      </c>
      <c r="V279">
        <v>76</v>
      </c>
      <c r="Y279">
        <v>24</v>
      </c>
      <c r="Z279">
        <v>13</v>
      </c>
      <c r="AA279">
        <v>29</v>
      </c>
      <c r="AD279">
        <v>158</v>
      </c>
      <c r="AE279">
        <v>8</v>
      </c>
      <c r="AF279">
        <v>154</v>
      </c>
      <c r="AI279">
        <v>72</v>
      </c>
      <c r="AJ279">
        <v>58</v>
      </c>
      <c r="AK279">
        <v>122</v>
      </c>
      <c r="AX279">
        <v>333</v>
      </c>
      <c r="AY279">
        <v>254</v>
      </c>
      <c r="AZ279">
        <v>587</v>
      </c>
      <c r="BA279">
        <v>66</v>
      </c>
      <c r="BB279">
        <v>108</v>
      </c>
      <c r="BC279">
        <v>174</v>
      </c>
      <c r="BD279">
        <v>320</v>
      </c>
      <c r="BE279">
        <v>350</v>
      </c>
      <c r="BF279">
        <v>670</v>
      </c>
      <c r="BG279">
        <v>252</v>
      </c>
      <c r="BH279">
        <v>259</v>
      </c>
      <c r="BI279">
        <v>511</v>
      </c>
      <c r="BP279">
        <v>679</v>
      </c>
      <c r="BR279">
        <v>207</v>
      </c>
      <c r="BS279">
        <v>49</v>
      </c>
      <c r="BT279">
        <v>13</v>
      </c>
      <c r="BV279">
        <v>23</v>
      </c>
      <c r="BW279">
        <v>971</v>
      </c>
      <c r="BX279" t="s">
        <v>82</v>
      </c>
      <c r="BY279" s="5"/>
      <c r="BZ279" s="6"/>
      <c r="CA279" s="7">
        <v>41952</v>
      </c>
      <c r="CI279">
        <f t="shared" si="25"/>
        <v>2014</v>
      </c>
      <c r="CJ279" t="str">
        <f t="shared" si="26"/>
        <v>5165_2014</v>
      </c>
    </row>
    <row r="280" spans="1:88" x14ac:dyDescent="0.25">
      <c r="A280" t="s">
        <v>111</v>
      </c>
      <c r="B280" t="s">
        <v>135</v>
      </c>
      <c r="C280">
        <v>5165</v>
      </c>
      <c r="D280">
        <v>-37.787551999999998</v>
      </c>
      <c r="E280">
        <v>144.93994900000001</v>
      </c>
      <c r="F280">
        <v>5</v>
      </c>
      <c r="G280" t="s">
        <v>165</v>
      </c>
      <c r="H280">
        <v>64</v>
      </c>
      <c r="I280">
        <v>244</v>
      </c>
      <c r="J280">
        <v>138</v>
      </c>
      <c r="K280">
        <v>318</v>
      </c>
      <c r="L280">
        <v>235</v>
      </c>
      <c r="M280">
        <v>55</v>
      </c>
      <c r="N280">
        <v>300</v>
      </c>
      <c r="O280">
        <v>120</v>
      </c>
      <c r="P280">
        <v>340</v>
      </c>
      <c r="Q280">
        <v>160</v>
      </c>
      <c r="T280">
        <v>67</v>
      </c>
      <c r="U280">
        <v>19</v>
      </c>
      <c r="V280">
        <v>37</v>
      </c>
      <c r="W280">
        <v>0</v>
      </c>
      <c r="Y280">
        <v>16</v>
      </c>
      <c r="Z280">
        <v>8</v>
      </c>
      <c r="AA280">
        <v>40</v>
      </c>
      <c r="AB280">
        <v>12</v>
      </c>
      <c r="AD280">
        <v>42</v>
      </c>
      <c r="AE280">
        <v>21</v>
      </c>
      <c r="AF280">
        <v>157</v>
      </c>
      <c r="AG280">
        <v>0</v>
      </c>
      <c r="AI280">
        <v>57</v>
      </c>
      <c r="AJ280">
        <v>73</v>
      </c>
      <c r="AK280">
        <v>135</v>
      </c>
      <c r="AL280">
        <v>0</v>
      </c>
      <c r="AN280">
        <v>0</v>
      </c>
      <c r="AO280">
        <v>26</v>
      </c>
      <c r="AP280">
        <v>0</v>
      </c>
      <c r="AQ280">
        <v>0</v>
      </c>
      <c r="AX280">
        <v>123</v>
      </c>
      <c r="AY280">
        <v>115</v>
      </c>
      <c r="AZ280">
        <v>238</v>
      </c>
      <c r="BA280">
        <v>76</v>
      </c>
      <c r="BB280">
        <v>187</v>
      </c>
      <c r="BC280">
        <v>263</v>
      </c>
      <c r="BD280">
        <v>220</v>
      </c>
      <c r="BE280">
        <v>162</v>
      </c>
      <c r="BF280">
        <v>382</v>
      </c>
      <c r="BG280">
        <v>265</v>
      </c>
      <c r="BH280">
        <v>234</v>
      </c>
      <c r="BI280">
        <v>499</v>
      </c>
      <c r="BJ280">
        <v>26</v>
      </c>
      <c r="BK280">
        <v>12</v>
      </c>
      <c r="BL280">
        <v>38</v>
      </c>
      <c r="BP280">
        <v>443</v>
      </c>
      <c r="BR280">
        <v>243</v>
      </c>
      <c r="BS280">
        <v>19</v>
      </c>
      <c r="BT280">
        <v>5</v>
      </c>
      <c r="BV280">
        <v>0</v>
      </c>
      <c r="BW280">
        <v>710</v>
      </c>
      <c r="BX280">
        <f>IF(C280=C279,IF((CI280-1)=CI279,BW279,"no data"))</f>
        <v>971</v>
      </c>
      <c r="BY280" s="5">
        <f t="shared" si="29"/>
        <v>-0.26879505664263648</v>
      </c>
      <c r="BZ280" s="6">
        <f t="shared" si="28"/>
        <v>-0.26879505664263648</v>
      </c>
      <c r="CA280" s="7">
        <v>42316</v>
      </c>
      <c r="CE280">
        <v>169</v>
      </c>
      <c r="CF280">
        <v>184</v>
      </c>
      <c r="CG280">
        <v>216</v>
      </c>
      <c r="CH280">
        <v>141</v>
      </c>
      <c r="CI280">
        <f t="shared" si="25"/>
        <v>2015</v>
      </c>
      <c r="CJ280" t="str">
        <f t="shared" si="26"/>
        <v>5165_2015</v>
      </c>
    </row>
    <row r="281" spans="1:88" x14ac:dyDescent="0.25">
      <c r="A281" t="s">
        <v>111</v>
      </c>
      <c r="B281" t="s">
        <v>135</v>
      </c>
      <c r="C281">
        <v>5165</v>
      </c>
      <c r="D281">
        <v>-37.787551999999998</v>
      </c>
      <c r="E281">
        <v>144.93994900000001</v>
      </c>
      <c r="F281">
        <v>5</v>
      </c>
      <c r="G281" t="s">
        <v>165</v>
      </c>
      <c r="H281">
        <v>64</v>
      </c>
      <c r="I281">
        <v>244</v>
      </c>
      <c r="J281">
        <v>138</v>
      </c>
      <c r="K281">
        <v>318</v>
      </c>
      <c r="L281">
        <v>235</v>
      </c>
      <c r="M281">
        <v>55</v>
      </c>
      <c r="N281">
        <v>300</v>
      </c>
      <c r="O281">
        <v>120</v>
      </c>
      <c r="P281">
        <v>340</v>
      </c>
      <c r="Q281">
        <v>160</v>
      </c>
      <c r="T281">
        <v>47</v>
      </c>
      <c r="U281">
        <v>59</v>
      </c>
      <c r="V281">
        <v>8</v>
      </c>
      <c r="W281">
        <v>5</v>
      </c>
      <c r="Y281">
        <v>6</v>
      </c>
      <c r="Z281">
        <v>23</v>
      </c>
      <c r="AA281">
        <v>17</v>
      </c>
      <c r="AB281">
        <v>29</v>
      </c>
      <c r="AD281">
        <v>57</v>
      </c>
      <c r="AE281">
        <v>43</v>
      </c>
      <c r="AF281">
        <v>9</v>
      </c>
      <c r="AG281">
        <v>13</v>
      </c>
      <c r="AI281">
        <v>15</v>
      </c>
      <c r="AJ281">
        <v>33</v>
      </c>
      <c r="AK281">
        <v>9</v>
      </c>
      <c r="AL281">
        <v>0</v>
      </c>
      <c r="AN281">
        <v>10</v>
      </c>
      <c r="AO281">
        <v>70</v>
      </c>
      <c r="AP281">
        <v>13</v>
      </c>
      <c r="AQ281">
        <v>0</v>
      </c>
      <c r="AX281">
        <v>119</v>
      </c>
      <c r="AY281">
        <v>88</v>
      </c>
      <c r="AZ281">
        <v>207</v>
      </c>
      <c r="BA281">
        <v>75</v>
      </c>
      <c r="BB281">
        <v>193</v>
      </c>
      <c r="BC281">
        <v>268</v>
      </c>
      <c r="BD281">
        <v>122</v>
      </c>
      <c r="BE281">
        <v>104</v>
      </c>
      <c r="BF281">
        <v>226</v>
      </c>
      <c r="BG281">
        <v>57</v>
      </c>
      <c r="BH281">
        <v>34</v>
      </c>
      <c r="BI281">
        <v>91</v>
      </c>
      <c r="BJ281">
        <v>93</v>
      </c>
      <c r="BK281">
        <v>47</v>
      </c>
      <c r="BL281">
        <v>140</v>
      </c>
      <c r="BP281">
        <v>160</v>
      </c>
      <c r="BR281">
        <v>272</v>
      </c>
      <c r="BS281">
        <v>28</v>
      </c>
      <c r="BT281">
        <v>2</v>
      </c>
      <c r="BV281">
        <v>4</v>
      </c>
      <c r="BW281">
        <v>466</v>
      </c>
      <c r="BX281">
        <f>IF(C281=C280,IF((CI281-1)=CI280,BW280,"no data"))</f>
        <v>710</v>
      </c>
      <c r="BY281" s="5">
        <f t="shared" si="29"/>
        <v>-0.3436619718309859</v>
      </c>
      <c r="BZ281" s="6">
        <f t="shared" si="28"/>
        <v>-0.3436619718309859</v>
      </c>
      <c r="CA281" s="7">
        <v>42687</v>
      </c>
      <c r="CE281">
        <v>130</v>
      </c>
      <c r="CF281">
        <v>123</v>
      </c>
      <c r="CG281">
        <v>95</v>
      </c>
      <c r="CH281">
        <v>118</v>
      </c>
      <c r="CI281">
        <f t="shared" si="25"/>
        <v>2016</v>
      </c>
      <c r="CJ281" t="str">
        <f t="shared" si="26"/>
        <v>5165_2016</v>
      </c>
    </row>
    <row r="282" spans="1:88" x14ac:dyDescent="0.25">
      <c r="A282" t="s">
        <v>111</v>
      </c>
      <c r="B282" t="s">
        <v>135</v>
      </c>
      <c r="C282">
        <v>5165</v>
      </c>
      <c r="D282">
        <v>-37.787551999999998</v>
      </c>
      <c r="E282">
        <v>144.93994900000001</v>
      </c>
      <c r="F282">
        <v>5</v>
      </c>
      <c r="G282" t="s">
        <v>165</v>
      </c>
      <c r="H282">
        <v>64</v>
      </c>
      <c r="I282">
        <v>244</v>
      </c>
      <c r="J282">
        <v>138</v>
      </c>
      <c r="K282">
        <v>318</v>
      </c>
      <c r="L282">
        <v>235</v>
      </c>
      <c r="M282">
        <v>55</v>
      </c>
      <c r="N282">
        <v>300</v>
      </c>
      <c r="O282">
        <v>120</v>
      </c>
      <c r="P282">
        <v>340</v>
      </c>
      <c r="Q282">
        <v>160</v>
      </c>
      <c r="T282">
        <v>46</v>
      </c>
      <c r="U282">
        <v>66</v>
      </c>
      <c r="V282">
        <v>0</v>
      </c>
      <c r="W282">
        <v>34</v>
      </c>
      <c r="Y282">
        <v>13</v>
      </c>
      <c r="Z282">
        <v>4</v>
      </c>
      <c r="AA282">
        <v>0</v>
      </c>
      <c r="AB282">
        <v>19</v>
      </c>
      <c r="AD282">
        <v>87</v>
      </c>
      <c r="AE282">
        <v>0</v>
      </c>
      <c r="AF282">
        <v>0</v>
      </c>
      <c r="AG282">
        <v>96</v>
      </c>
      <c r="AI282">
        <v>0</v>
      </c>
      <c r="AJ282">
        <v>0</v>
      </c>
      <c r="AK282">
        <v>0</v>
      </c>
      <c r="AL282">
        <v>0</v>
      </c>
      <c r="AN282">
        <v>39</v>
      </c>
      <c r="AO282">
        <v>19</v>
      </c>
      <c r="AP282">
        <v>34</v>
      </c>
      <c r="AQ282">
        <v>0</v>
      </c>
      <c r="AX282">
        <v>146</v>
      </c>
      <c r="AY282">
        <v>139</v>
      </c>
      <c r="AZ282">
        <v>285</v>
      </c>
      <c r="BA282">
        <v>36</v>
      </c>
      <c r="BB282">
        <v>65</v>
      </c>
      <c r="BC282">
        <v>101</v>
      </c>
      <c r="BD282">
        <v>183</v>
      </c>
      <c r="BE282">
        <v>104</v>
      </c>
      <c r="BF282">
        <v>287</v>
      </c>
      <c r="BG282">
        <v>0</v>
      </c>
      <c r="BH282">
        <v>0</v>
      </c>
      <c r="BI282">
        <v>0</v>
      </c>
      <c r="BJ282">
        <v>92</v>
      </c>
      <c r="BK282">
        <v>149</v>
      </c>
      <c r="BL282">
        <v>241</v>
      </c>
      <c r="BP282">
        <v>342</v>
      </c>
      <c r="BR282">
        <v>89</v>
      </c>
      <c r="BS282">
        <v>18</v>
      </c>
      <c r="BT282">
        <v>7</v>
      </c>
      <c r="BV282">
        <v>1</v>
      </c>
      <c r="BW282">
        <v>457</v>
      </c>
      <c r="BX282">
        <f>IF(C282=C281,IF((CI282-1)=CI281,BW281,"no data"))</f>
        <v>466</v>
      </c>
      <c r="BY282" s="5">
        <f t="shared" si="29"/>
        <v>-1.9313304721030045E-2</v>
      </c>
      <c r="BZ282" s="6">
        <f t="shared" si="28"/>
        <v>-1.9313304721030045E-2</v>
      </c>
      <c r="CA282" s="7">
        <v>43051</v>
      </c>
      <c r="CE282">
        <v>118</v>
      </c>
      <c r="CF282">
        <v>112</v>
      </c>
      <c r="CG282">
        <v>135</v>
      </c>
      <c r="CH282">
        <v>92</v>
      </c>
      <c r="CI282">
        <f t="shared" si="25"/>
        <v>2017</v>
      </c>
      <c r="CJ282" t="str">
        <f t="shared" si="26"/>
        <v>5165_2017</v>
      </c>
    </row>
    <row r="283" spans="1:88" x14ac:dyDescent="0.25">
      <c r="A283" t="s">
        <v>111</v>
      </c>
      <c r="B283" t="s">
        <v>135</v>
      </c>
      <c r="C283">
        <v>5165</v>
      </c>
      <c r="D283">
        <v>-37.787551999999998</v>
      </c>
      <c r="E283">
        <v>144.93994900000001</v>
      </c>
      <c r="F283">
        <v>5</v>
      </c>
      <c r="G283" t="s">
        <v>165</v>
      </c>
      <c r="H283">
        <v>64</v>
      </c>
      <c r="I283">
        <v>244</v>
      </c>
      <c r="J283">
        <v>138</v>
      </c>
      <c r="K283">
        <v>318</v>
      </c>
      <c r="L283">
        <v>235</v>
      </c>
      <c r="M283">
        <v>55</v>
      </c>
      <c r="N283">
        <v>300</v>
      </c>
      <c r="O283">
        <v>120</v>
      </c>
      <c r="P283">
        <v>340</v>
      </c>
      <c r="Q283">
        <v>160</v>
      </c>
      <c r="T283">
        <v>37</v>
      </c>
      <c r="U283">
        <v>0</v>
      </c>
      <c r="V283">
        <v>198</v>
      </c>
      <c r="W283">
        <v>52</v>
      </c>
      <c r="Y283">
        <v>29</v>
      </c>
      <c r="Z283">
        <v>0</v>
      </c>
      <c r="AA283">
        <v>9</v>
      </c>
      <c r="AB283">
        <v>68</v>
      </c>
      <c r="AD283">
        <v>0</v>
      </c>
      <c r="AE283">
        <v>0</v>
      </c>
      <c r="AF283">
        <v>0</v>
      </c>
      <c r="AG283">
        <v>0</v>
      </c>
      <c r="AI283">
        <v>178</v>
      </c>
      <c r="AJ283">
        <v>3</v>
      </c>
      <c r="AK283">
        <v>0</v>
      </c>
      <c r="AL283">
        <v>143</v>
      </c>
      <c r="AN283">
        <v>60</v>
      </c>
      <c r="AO283">
        <v>167</v>
      </c>
      <c r="AP283">
        <v>0</v>
      </c>
      <c r="AQ283">
        <v>136</v>
      </c>
      <c r="AX283">
        <v>287</v>
      </c>
      <c r="AY283">
        <v>267</v>
      </c>
      <c r="AZ283">
        <v>554</v>
      </c>
      <c r="BA283">
        <v>106</v>
      </c>
      <c r="BB283">
        <v>207</v>
      </c>
      <c r="BC283">
        <v>313</v>
      </c>
      <c r="BD283">
        <v>0</v>
      </c>
      <c r="BE283">
        <v>0</v>
      </c>
      <c r="BF283">
        <v>0</v>
      </c>
      <c r="BG283">
        <v>324</v>
      </c>
      <c r="BH283">
        <v>343</v>
      </c>
      <c r="BI283">
        <v>667</v>
      </c>
      <c r="BJ283">
        <v>363</v>
      </c>
      <c r="BK283">
        <v>263</v>
      </c>
      <c r="BL283">
        <v>626</v>
      </c>
      <c r="BP283">
        <v>757</v>
      </c>
      <c r="BR283">
        <v>268</v>
      </c>
      <c r="BS283">
        <v>43</v>
      </c>
      <c r="BT283">
        <v>10</v>
      </c>
      <c r="BV283">
        <v>2</v>
      </c>
      <c r="BW283">
        <v>1080</v>
      </c>
      <c r="BX283">
        <f>IF(C283=C282,IF((CI283-1)=CI282,BW282,"no data"))</f>
        <v>457</v>
      </c>
      <c r="BY283" s="5">
        <f t="shared" si="29"/>
        <v>1.363238512035011</v>
      </c>
      <c r="BZ283" s="6">
        <f t="shared" si="28"/>
        <v>1.363238512035011</v>
      </c>
      <c r="CA283" s="7">
        <v>43415</v>
      </c>
      <c r="CE283">
        <v>247</v>
      </c>
      <c r="CF283">
        <v>259</v>
      </c>
      <c r="CG283">
        <v>284</v>
      </c>
      <c r="CH283">
        <v>290</v>
      </c>
      <c r="CI283">
        <f t="shared" si="25"/>
        <v>2018</v>
      </c>
      <c r="CJ283" t="str">
        <f t="shared" si="26"/>
        <v>5165_2018</v>
      </c>
    </row>
    <row r="284" spans="1:88" x14ac:dyDescent="0.25">
      <c r="A284" t="s">
        <v>140</v>
      </c>
      <c r="B284" t="s">
        <v>141</v>
      </c>
      <c r="C284">
        <v>5325</v>
      </c>
      <c r="D284">
        <v>-31.959441000000002</v>
      </c>
      <c r="E284">
        <v>115.86469099999999</v>
      </c>
      <c r="F284">
        <v>4</v>
      </c>
      <c r="G284" t="s">
        <v>166</v>
      </c>
      <c r="H284">
        <v>21</v>
      </c>
      <c r="I284">
        <v>201</v>
      </c>
      <c r="J284">
        <v>110</v>
      </c>
      <c r="K284">
        <v>290</v>
      </c>
      <c r="L284">
        <v>200</v>
      </c>
      <c r="M284">
        <v>20</v>
      </c>
      <c r="N284">
        <v>294</v>
      </c>
      <c r="O284">
        <v>114</v>
      </c>
      <c r="T284">
        <v>82</v>
      </c>
      <c r="U284">
        <v>112</v>
      </c>
      <c r="V284">
        <v>72</v>
      </c>
      <c r="Y284">
        <v>232</v>
      </c>
      <c r="Z284">
        <v>88</v>
      </c>
      <c r="AA284">
        <v>440</v>
      </c>
      <c r="AD284">
        <v>102</v>
      </c>
      <c r="AE284">
        <v>60</v>
      </c>
      <c r="AF284">
        <v>28</v>
      </c>
      <c r="AI284">
        <v>96</v>
      </c>
      <c r="AJ284">
        <v>266</v>
      </c>
      <c r="AK284">
        <v>6</v>
      </c>
      <c r="AX284">
        <v>266</v>
      </c>
      <c r="AY284">
        <v>430</v>
      </c>
      <c r="AZ284">
        <v>696</v>
      </c>
      <c r="BA284">
        <v>760</v>
      </c>
      <c r="BB284">
        <v>408</v>
      </c>
      <c r="BC284">
        <v>1168</v>
      </c>
      <c r="BD284">
        <v>190</v>
      </c>
      <c r="BE284">
        <v>206</v>
      </c>
      <c r="BF284">
        <v>396</v>
      </c>
      <c r="BG284">
        <v>368</v>
      </c>
      <c r="BH284">
        <v>540</v>
      </c>
      <c r="BI284">
        <v>908</v>
      </c>
      <c r="BP284">
        <v>212</v>
      </c>
      <c r="BR284">
        <v>1262</v>
      </c>
      <c r="BS284">
        <v>18</v>
      </c>
      <c r="BT284">
        <v>16</v>
      </c>
      <c r="BV284">
        <v>76</v>
      </c>
      <c r="BW284">
        <v>1584</v>
      </c>
      <c r="BX284" t="s">
        <v>82</v>
      </c>
      <c r="BY284" s="5"/>
      <c r="BZ284" s="6"/>
      <c r="CA284" s="7">
        <v>42687</v>
      </c>
      <c r="CE284">
        <v>320</v>
      </c>
      <c r="CF284">
        <v>328</v>
      </c>
      <c r="CG284">
        <v>480</v>
      </c>
      <c r="CH284">
        <v>456</v>
      </c>
      <c r="CI284">
        <f t="shared" si="25"/>
        <v>2016</v>
      </c>
      <c r="CJ284" t="str">
        <f t="shared" si="26"/>
        <v>5325_2016</v>
      </c>
    </row>
    <row r="285" spans="1:88" x14ac:dyDescent="0.25">
      <c r="A285" t="s">
        <v>140</v>
      </c>
      <c r="B285" t="s">
        <v>141</v>
      </c>
      <c r="C285">
        <v>5325</v>
      </c>
      <c r="D285">
        <v>-31.959361000000001</v>
      </c>
      <c r="E285">
        <v>115.8646</v>
      </c>
      <c r="F285">
        <v>4</v>
      </c>
      <c r="G285" t="s">
        <v>166</v>
      </c>
      <c r="H285">
        <v>21</v>
      </c>
      <c r="I285">
        <v>201</v>
      </c>
      <c r="J285">
        <v>110</v>
      </c>
      <c r="K285">
        <v>290</v>
      </c>
      <c r="L285">
        <v>200</v>
      </c>
      <c r="M285">
        <v>20</v>
      </c>
      <c r="N285">
        <v>294</v>
      </c>
      <c r="O285">
        <v>114</v>
      </c>
      <c r="T285">
        <v>91</v>
      </c>
      <c r="U285">
        <v>93</v>
      </c>
      <c r="V285">
        <v>27</v>
      </c>
      <c r="Y285">
        <v>81</v>
      </c>
      <c r="Z285">
        <v>75</v>
      </c>
      <c r="AA285">
        <v>190</v>
      </c>
      <c r="AD285">
        <v>70</v>
      </c>
      <c r="AE285">
        <v>22</v>
      </c>
      <c r="AF285">
        <v>12</v>
      </c>
      <c r="AI285">
        <v>50</v>
      </c>
      <c r="AJ285">
        <v>132</v>
      </c>
      <c r="AK285">
        <v>5</v>
      </c>
      <c r="AX285">
        <v>211</v>
      </c>
      <c r="AY285">
        <v>201</v>
      </c>
      <c r="AZ285">
        <v>412</v>
      </c>
      <c r="BA285">
        <v>346</v>
      </c>
      <c r="BB285">
        <v>245</v>
      </c>
      <c r="BC285">
        <v>591</v>
      </c>
      <c r="BD285">
        <v>104</v>
      </c>
      <c r="BE285">
        <v>173</v>
      </c>
      <c r="BF285">
        <v>277</v>
      </c>
      <c r="BG285">
        <v>187</v>
      </c>
      <c r="BH285">
        <v>229</v>
      </c>
      <c r="BI285">
        <v>416</v>
      </c>
      <c r="BP285">
        <v>77</v>
      </c>
      <c r="BR285">
        <v>727</v>
      </c>
      <c r="BS285">
        <v>10</v>
      </c>
      <c r="BT285">
        <v>8</v>
      </c>
      <c r="BV285">
        <v>26</v>
      </c>
      <c r="BW285">
        <v>848</v>
      </c>
      <c r="BX285" t="str">
        <f>IF(C285=C284,IF((CI285-1)=CI284,BW284,"no data"))</f>
        <v>no data</v>
      </c>
      <c r="BY285" s="5"/>
      <c r="BZ285" s="6"/>
      <c r="CA285" s="7">
        <v>43415</v>
      </c>
      <c r="CE285">
        <v>208</v>
      </c>
      <c r="CF285">
        <v>278</v>
      </c>
      <c r="CG285">
        <v>209</v>
      </c>
      <c r="CH285">
        <v>153</v>
      </c>
      <c r="CI285">
        <f t="shared" si="25"/>
        <v>2018</v>
      </c>
      <c r="CJ285" t="str">
        <f t="shared" si="26"/>
        <v>5325_2018</v>
      </c>
    </row>
    <row r="286" spans="1:88" x14ac:dyDescent="0.25">
      <c r="A286" t="s">
        <v>140</v>
      </c>
      <c r="B286" t="s">
        <v>141</v>
      </c>
      <c r="C286">
        <v>5325</v>
      </c>
      <c r="D286">
        <v>-31.959399999999999</v>
      </c>
      <c r="E286">
        <v>115.8646</v>
      </c>
      <c r="F286">
        <v>4</v>
      </c>
      <c r="G286" t="s">
        <v>166</v>
      </c>
      <c r="H286">
        <v>21</v>
      </c>
      <c r="I286">
        <v>201</v>
      </c>
      <c r="J286">
        <v>110</v>
      </c>
      <c r="K286">
        <v>290</v>
      </c>
      <c r="L286">
        <v>200</v>
      </c>
      <c r="M286">
        <v>20</v>
      </c>
      <c r="N286">
        <v>294</v>
      </c>
      <c r="O286">
        <v>114</v>
      </c>
      <c r="T286">
        <v>55</v>
      </c>
      <c r="U286">
        <v>76</v>
      </c>
      <c r="V286">
        <v>60</v>
      </c>
      <c r="Y286">
        <v>51</v>
      </c>
      <c r="Z286">
        <v>27</v>
      </c>
      <c r="AA286">
        <v>150</v>
      </c>
      <c r="AD286">
        <v>58</v>
      </c>
      <c r="AE286">
        <v>50</v>
      </c>
      <c r="AF286">
        <v>3</v>
      </c>
      <c r="AI286">
        <v>38</v>
      </c>
      <c r="AJ286">
        <v>131</v>
      </c>
      <c r="AK286">
        <v>4</v>
      </c>
      <c r="AX286">
        <v>191</v>
      </c>
      <c r="AY286">
        <v>147</v>
      </c>
      <c r="AZ286">
        <v>338</v>
      </c>
      <c r="BA286">
        <v>228</v>
      </c>
      <c r="BB286">
        <v>236</v>
      </c>
      <c r="BC286">
        <v>464</v>
      </c>
      <c r="BD286">
        <v>111</v>
      </c>
      <c r="BE286">
        <v>107</v>
      </c>
      <c r="BF286">
        <v>218</v>
      </c>
      <c r="BG286">
        <v>173</v>
      </c>
      <c r="BH286">
        <v>213</v>
      </c>
      <c r="BI286">
        <v>386</v>
      </c>
      <c r="BP286">
        <v>86</v>
      </c>
      <c r="BR286">
        <v>579</v>
      </c>
      <c r="BS286">
        <v>12</v>
      </c>
      <c r="BT286">
        <v>9</v>
      </c>
      <c r="BV286">
        <v>17</v>
      </c>
      <c r="BW286">
        <v>703</v>
      </c>
      <c r="BX286">
        <f>IF(C286=C285,IF((CI286-1)=CI285,BW285,"no data"))</f>
        <v>848</v>
      </c>
      <c r="BY286" s="5">
        <f t="shared" si="29"/>
        <v>-0.17099056603773585</v>
      </c>
      <c r="BZ286" s="6">
        <f t="shared" si="28"/>
        <v>-0.17099056603773585</v>
      </c>
      <c r="CA286" s="7">
        <v>43779</v>
      </c>
      <c r="CE286">
        <v>177</v>
      </c>
      <c r="CF286">
        <v>189</v>
      </c>
      <c r="CG286">
        <v>169</v>
      </c>
      <c r="CH286">
        <v>168</v>
      </c>
      <c r="CI286">
        <f t="shared" si="25"/>
        <v>2019</v>
      </c>
      <c r="CJ286" t="str">
        <f t="shared" si="26"/>
        <v>5325_2019</v>
      </c>
    </row>
    <row r="287" spans="1:88" x14ac:dyDescent="0.25">
      <c r="A287" t="s">
        <v>140</v>
      </c>
      <c r="B287" t="s">
        <v>141</v>
      </c>
      <c r="C287">
        <v>5325</v>
      </c>
      <c r="D287">
        <v>-31.959399999999999</v>
      </c>
      <c r="E287">
        <v>115.8646</v>
      </c>
      <c r="F287">
        <v>4</v>
      </c>
      <c r="G287" t="s">
        <v>166</v>
      </c>
      <c r="H287">
        <v>21</v>
      </c>
      <c r="I287">
        <v>201</v>
      </c>
      <c r="J287">
        <v>110</v>
      </c>
      <c r="K287">
        <v>290</v>
      </c>
      <c r="L287">
        <v>200</v>
      </c>
      <c r="M287">
        <v>20</v>
      </c>
      <c r="N287">
        <v>294</v>
      </c>
      <c r="O287">
        <v>114</v>
      </c>
      <c r="T287">
        <v>44</v>
      </c>
      <c r="U287">
        <v>62</v>
      </c>
      <c r="V287">
        <v>42</v>
      </c>
      <c r="Y287">
        <v>71</v>
      </c>
      <c r="Z287">
        <v>23</v>
      </c>
      <c r="AA287">
        <v>102</v>
      </c>
      <c r="AD287">
        <v>44</v>
      </c>
      <c r="AE287">
        <v>37</v>
      </c>
      <c r="AF287">
        <v>1</v>
      </c>
      <c r="AI287">
        <v>28</v>
      </c>
      <c r="AJ287">
        <v>110</v>
      </c>
      <c r="AK287">
        <v>3</v>
      </c>
      <c r="AX287">
        <v>148</v>
      </c>
      <c r="AY287">
        <v>143</v>
      </c>
      <c r="AZ287">
        <v>291</v>
      </c>
      <c r="BA287">
        <v>196</v>
      </c>
      <c r="BB287">
        <v>191</v>
      </c>
      <c r="BC287">
        <v>387</v>
      </c>
      <c r="BD287">
        <v>82</v>
      </c>
      <c r="BE287">
        <v>88</v>
      </c>
      <c r="BF287">
        <v>170</v>
      </c>
      <c r="BG287">
        <v>141</v>
      </c>
      <c r="BH287">
        <v>145</v>
      </c>
      <c r="BI287">
        <v>286</v>
      </c>
      <c r="BP287">
        <v>82</v>
      </c>
      <c r="BR287">
        <v>469</v>
      </c>
      <c r="BS287">
        <v>7</v>
      </c>
      <c r="BT287">
        <v>8</v>
      </c>
      <c r="BV287">
        <v>1</v>
      </c>
      <c r="BW287">
        <v>567</v>
      </c>
      <c r="BX287">
        <f>IF(C287=C286,IF((CI287-1)=CI286,BW286,"no data"))</f>
        <v>703</v>
      </c>
      <c r="BY287" s="5">
        <f t="shared" si="29"/>
        <v>-0.19345661450924609</v>
      </c>
      <c r="BZ287" s="6">
        <f t="shared" si="28"/>
        <v>-0.19345661450924609</v>
      </c>
      <c r="CA287" s="7">
        <v>44143</v>
      </c>
      <c r="CE287">
        <v>156</v>
      </c>
      <c r="CF287">
        <v>150</v>
      </c>
      <c r="CG287">
        <v>132</v>
      </c>
      <c r="CH287">
        <v>129</v>
      </c>
      <c r="CI287">
        <f t="shared" si="25"/>
        <v>2020</v>
      </c>
      <c r="CJ287" t="str">
        <f t="shared" si="26"/>
        <v>5325_2020</v>
      </c>
    </row>
    <row r="288" spans="1:88" x14ac:dyDescent="0.25">
      <c r="A288" t="s">
        <v>140</v>
      </c>
      <c r="B288" t="s">
        <v>141</v>
      </c>
      <c r="C288">
        <v>5325</v>
      </c>
      <c r="D288">
        <v>-31.959361000000001</v>
      </c>
      <c r="E288">
        <v>115.8646</v>
      </c>
      <c r="F288">
        <v>4</v>
      </c>
      <c r="G288" t="s">
        <v>166</v>
      </c>
      <c r="H288">
        <v>21</v>
      </c>
      <c r="I288">
        <v>201</v>
      </c>
      <c r="J288">
        <v>110</v>
      </c>
      <c r="K288">
        <v>290</v>
      </c>
      <c r="L288">
        <v>200</v>
      </c>
      <c r="M288">
        <v>20</v>
      </c>
      <c r="N288">
        <v>294</v>
      </c>
      <c r="O288">
        <v>114</v>
      </c>
      <c r="T288">
        <v>61</v>
      </c>
      <c r="U288">
        <v>44</v>
      </c>
      <c r="V288">
        <v>15</v>
      </c>
      <c r="Y288">
        <v>56</v>
      </c>
      <c r="Z288">
        <v>9</v>
      </c>
      <c r="AA288">
        <v>117</v>
      </c>
      <c r="AD288">
        <v>49</v>
      </c>
      <c r="AE288">
        <v>31</v>
      </c>
      <c r="AF288">
        <v>6</v>
      </c>
      <c r="AI288">
        <v>35</v>
      </c>
      <c r="AJ288">
        <v>55</v>
      </c>
      <c r="AK288">
        <v>0</v>
      </c>
      <c r="AX288">
        <v>120</v>
      </c>
      <c r="AY288">
        <v>140</v>
      </c>
      <c r="AZ288">
        <v>260</v>
      </c>
      <c r="BA288">
        <v>182</v>
      </c>
      <c r="BB288">
        <v>147</v>
      </c>
      <c r="BC288">
        <v>329</v>
      </c>
      <c r="BD288">
        <v>86</v>
      </c>
      <c r="BE288">
        <v>53</v>
      </c>
      <c r="BF288">
        <v>139</v>
      </c>
      <c r="BG288">
        <v>90</v>
      </c>
      <c r="BH288">
        <v>138</v>
      </c>
      <c r="BI288">
        <v>228</v>
      </c>
      <c r="BP288">
        <v>44</v>
      </c>
      <c r="BR288">
        <v>422</v>
      </c>
      <c r="BS288">
        <v>4</v>
      </c>
      <c r="BT288">
        <v>6</v>
      </c>
      <c r="BV288">
        <v>2</v>
      </c>
      <c r="BW288">
        <v>478</v>
      </c>
      <c r="BX288">
        <f>IF(C288=C287,IF((CI288-1)=CI287,BW287,"no data"))</f>
        <v>567</v>
      </c>
      <c r="BY288" s="5">
        <f t="shared" si="29"/>
        <v>-0.15696649029982362</v>
      </c>
      <c r="BZ288" s="6">
        <f t="shared" si="28"/>
        <v>-0.15696649029982362</v>
      </c>
      <c r="CA288" s="7">
        <v>44528</v>
      </c>
      <c r="CE288">
        <v>219</v>
      </c>
      <c r="CF288">
        <v>158</v>
      </c>
      <c r="CG288">
        <v>101</v>
      </c>
      <c r="CI288">
        <f t="shared" si="25"/>
        <v>2021</v>
      </c>
      <c r="CJ288" t="str">
        <f t="shared" si="26"/>
        <v>5325_2021</v>
      </c>
    </row>
    <row r="289" spans="1:88" x14ac:dyDescent="0.25">
      <c r="A289" t="s">
        <v>140</v>
      </c>
      <c r="B289" t="s">
        <v>141</v>
      </c>
      <c r="C289">
        <v>5325</v>
      </c>
      <c r="D289">
        <v>-31.959361000000001</v>
      </c>
      <c r="E289">
        <v>115.8646</v>
      </c>
      <c r="F289">
        <v>4</v>
      </c>
      <c r="G289" t="s">
        <v>166</v>
      </c>
      <c r="H289">
        <v>21</v>
      </c>
      <c r="I289">
        <v>201</v>
      </c>
      <c r="J289">
        <v>110</v>
      </c>
      <c r="K289">
        <v>290</v>
      </c>
      <c r="L289">
        <v>200</v>
      </c>
      <c r="M289">
        <v>20</v>
      </c>
      <c r="N289">
        <v>294</v>
      </c>
      <c r="O289">
        <v>114</v>
      </c>
      <c r="T289">
        <v>22</v>
      </c>
      <c r="U289">
        <v>70</v>
      </c>
      <c r="V289">
        <v>48</v>
      </c>
      <c r="Y289">
        <v>37</v>
      </c>
      <c r="Z289">
        <v>51</v>
      </c>
      <c r="AA289">
        <v>64</v>
      </c>
      <c r="AD289">
        <v>35</v>
      </c>
      <c r="AE289">
        <v>56</v>
      </c>
      <c r="AF289">
        <v>4</v>
      </c>
      <c r="AI289">
        <v>41</v>
      </c>
      <c r="AJ289">
        <v>47</v>
      </c>
      <c r="AK289">
        <v>15</v>
      </c>
      <c r="AX289">
        <v>140</v>
      </c>
      <c r="AY289">
        <v>113</v>
      </c>
      <c r="AZ289">
        <v>253</v>
      </c>
      <c r="BA289">
        <v>152</v>
      </c>
      <c r="BB289">
        <v>125</v>
      </c>
      <c r="BC289">
        <v>277</v>
      </c>
      <c r="BD289">
        <v>95</v>
      </c>
      <c r="BE289">
        <v>136</v>
      </c>
      <c r="BF289">
        <v>231</v>
      </c>
      <c r="BG289">
        <v>103</v>
      </c>
      <c r="BH289">
        <v>116</v>
      </c>
      <c r="BI289">
        <v>219</v>
      </c>
      <c r="BP289">
        <v>32</v>
      </c>
      <c r="BR289">
        <v>421</v>
      </c>
      <c r="BS289">
        <v>13</v>
      </c>
      <c r="BT289">
        <v>7</v>
      </c>
      <c r="BU289">
        <v>13</v>
      </c>
      <c r="BV289">
        <v>4</v>
      </c>
      <c r="BW289">
        <v>490</v>
      </c>
      <c r="BX289">
        <f>IF(C289=C288,IF((CI289-1)=CI288,BW288,"no data"))</f>
        <v>478</v>
      </c>
      <c r="BY289" s="5">
        <f t="shared" si="29"/>
        <v>2.5104602510460251E-2</v>
      </c>
      <c r="BZ289" s="6">
        <f t="shared" si="28"/>
        <v>2.5104602510460251E-2</v>
      </c>
      <c r="CA289" s="7">
        <v>44878</v>
      </c>
      <c r="CE289">
        <v>181</v>
      </c>
      <c r="CF289">
        <v>159</v>
      </c>
      <c r="CG289">
        <v>150</v>
      </c>
      <c r="CI289">
        <f t="shared" si="25"/>
        <v>2022</v>
      </c>
      <c r="CJ289" t="str">
        <f t="shared" si="26"/>
        <v>5325_2022</v>
      </c>
    </row>
    <row r="290" spans="1:88" x14ac:dyDescent="0.25">
      <c r="A290" t="s">
        <v>140</v>
      </c>
      <c r="B290" t="s">
        <v>141</v>
      </c>
      <c r="C290">
        <v>5362</v>
      </c>
      <c r="D290">
        <v>-31.959026000000001</v>
      </c>
      <c r="E290">
        <v>115.851686</v>
      </c>
      <c r="F290">
        <v>3</v>
      </c>
      <c r="G290" t="s">
        <v>167</v>
      </c>
      <c r="H290">
        <v>70</v>
      </c>
      <c r="I290">
        <v>250</v>
      </c>
      <c r="J290">
        <v>222</v>
      </c>
      <c r="K290">
        <v>42</v>
      </c>
      <c r="L290">
        <v>292</v>
      </c>
      <c r="M290">
        <v>112</v>
      </c>
      <c r="T290">
        <v>280</v>
      </c>
      <c r="U290">
        <v>282</v>
      </c>
      <c r="Y290">
        <v>229</v>
      </c>
      <c r="Z290">
        <v>23</v>
      </c>
      <c r="AD290">
        <v>663</v>
      </c>
      <c r="AE290">
        <v>11</v>
      </c>
      <c r="AX290">
        <v>562</v>
      </c>
      <c r="AY290">
        <v>892</v>
      </c>
      <c r="AZ290">
        <v>1454</v>
      </c>
      <c r="BA290">
        <v>252</v>
      </c>
      <c r="BB290">
        <v>291</v>
      </c>
      <c r="BC290">
        <v>543</v>
      </c>
      <c r="BD290">
        <v>674</v>
      </c>
      <c r="BE290">
        <v>305</v>
      </c>
      <c r="BF290">
        <v>979</v>
      </c>
      <c r="BP290">
        <v>581</v>
      </c>
      <c r="BR290">
        <v>800</v>
      </c>
      <c r="BS290">
        <v>65</v>
      </c>
      <c r="BT290">
        <v>18</v>
      </c>
      <c r="BV290">
        <v>24</v>
      </c>
      <c r="BW290">
        <v>1488</v>
      </c>
      <c r="BX290" t="s">
        <v>82</v>
      </c>
      <c r="BY290" s="5"/>
      <c r="BZ290" s="6"/>
      <c r="CA290" s="7">
        <v>42687</v>
      </c>
      <c r="CE290">
        <v>776</v>
      </c>
      <c r="CF290">
        <v>312</v>
      </c>
      <c r="CG290">
        <v>250</v>
      </c>
      <c r="CH290">
        <v>150</v>
      </c>
      <c r="CI290">
        <f t="shared" si="25"/>
        <v>2016</v>
      </c>
      <c r="CJ290" t="str">
        <f t="shared" si="26"/>
        <v>5362_2016</v>
      </c>
    </row>
    <row r="291" spans="1:88" x14ac:dyDescent="0.25">
      <c r="A291" t="s">
        <v>140</v>
      </c>
      <c r="B291" t="s">
        <v>141</v>
      </c>
      <c r="C291">
        <v>5362</v>
      </c>
      <c r="D291">
        <v>-31.959026000000001</v>
      </c>
      <c r="E291">
        <v>115.851686</v>
      </c>
      <c r="F291">
        <v>3</v>
      </c>
      <c r="G291" t="s">
        <v>167</v>
      </c>
      <c r="H291">
        <v>70</v>
      </c>
      <c r="I291">
        <v>250</v>
      </c>
      <c r="J291">
        <v>222</v>
      </c>
      <c r="K291">
        <v>42</v>
      </c>
      <c r="L291">
        <v>292</v>
      </c>
      <c r="M291">
        <v>112</v>
      </c>
      <c r="T291">
        <v>282</v>
      </c>
      <c r="U291">
        <v>330</v>
      </c>
      <c r="Y291">
        <v>207</v>
      </c>
      <c r="Z291">
        <v>27</v>
      </c>
      <c r="AD291">
        <v>244</v>
      </c>
      <c r="AE291">
        <v>8</v>
      </c>
      <c r="AX291">
        <v>612</v>
      </c>
      <c r="AY291">
        <v>451</v>
      </c>
      <c r="AZ291">
        <v>1063</v>
      </c>
      <c r="BA291">
        <v>234</v>
      </c>
      <c r="BB291">
        <v>290</v>
      </c>
      <c r="BC291">
        <v>524</v>
      </c>
      <c r="BD291">
        <v>252</v>
      </c>
      <c r="BE291">
        <v>357</v>
      </c>
      <c r="BF291">
        <v>609</v>
      </c>
      <c r="BP291">
        <v>658</v>
      </c>
      <c r="BR291">
        <v>339</v>
      </c>
      <c r="BS291">
        <v>66</v>
      </c>
      <c r="BT291">
        <v>14</v>
      </c>
      <c r="BV291">
        <v>21</v>
      </c>
      <c r="BW291">
        <v>1098</v>
      </c>
      <c r="BX291" t="str">
        <f>IF(C291=C290,IF((CI291-1)=CI290,BW290,"no data"))</f>
        <v>no data</v>
      </c>
      <c r="BY291" s="5"/>
      <c r="BZ291" s="6"/>
      <c r="CA291" s="7">
        <v>43415</v>
      </c>
      <c r="CE291">
        <v>338</v>
      </c>
      <c r="CF291">
        <v>303</v>
      </c>
      <c r="CG291">
        <v>247</v>
      </c>
      <c r="CH291">
        <v>210</v>
      </c>
      <c r="CI291">
        <f t="shared" si="25"/>
        <v>2018</v>
      </c>
      <c r="CJ291" t="str">
        <f t="shared" si="26"/>
        <v>5362_2018</v>
      </c>
    </row>
    <row r="292" spans="1:88" x14ac:dyDescent="0.25">
      <c r="A292" t="s">
        <v>140</v>
      </c>
      <c r="B292" t="s">
        <v>141</v>
      </c>
      <c r="C292">
        <v>5362</v>
      </c>
      <c r="D292">
        <v>-31.959</v>
      </c>
      <c r="E292">
        <v>115.85169999999999</v>
      </c>
      <c r="F292">
        <v>3</v>
      </c>
      <c r="G292" t="s">
        <v>167</v>
      </c>
      <c r="H292">
        <v>70</v>
      </c>
      <c r="I292">
        <v>250</v>
      </c>
      <c r="J292">
        <v>222</v>
      </c>
      <c r="K292">
        <v>42</v>
      </c>
      <c r="L292">
        <v>292</v>
      </c>
      <c r="M292">
        <v>112</v>
      </c>
      <c r="T292">
        <v>331</v>
      </c>
      <c r="U292">
        <v>276</v>
      </c>
      <c r="Y292">
        <v>198</v>
      </c>
      <c r="Z292">
        <v>34</v>
      </c>
      <c r="AD292">
        <v>251</v>
      </c>
      <c r="AE292">
        <v>17</v>
      </c>
      <c r="AX292">
        <v>607</v>
      </c>
      <c r="AY292">
        <v>449</v>
      </c>
      <c r="AZ292">
        <v>1056</v>
      </c>
      <c r="BA292">
        <v>232</v>
      </c>
      <c r="BB292">
        <v>348</v>
      </c>
      <c r="BC292">
        <v>580</v>
      </c>
      <c r="BD292">
        <v>268</v>
      </c>
      <c r="BE292">
        <v>310</v>
      </c>
      <c r="BF292">
        <v>578</v>
      </c>
      <c r="BP292">
        <v>628</v>
      </c>
      <c r="BR292">
        <v>377</v>
      </c>
      <c r="BS292">
        <v>69</v>
      </c>
      <c r="BT292">
        <v>18</v>
      </c>
      <c r="BV292">
        <v>15</v>
      </c>
      <c r="BW292">
        <v>1107</v>
      </c>
      <c r="BX292">
        <f>IF(C292=C291,IF((CI292-1)=CI291,BW291,"no data"))</f>
        <v>1098</v>
      </c>
      <c r="BY292" s="5">
        <f t="shared" si="29"/>
        <v>8.1967213114754103E-3</v>
      </c>
      <c r="BZ292" s="6">
        <f t="shared" si="28"/>
        <v>8.1967213114754103E-3</v>
      </c>
      <c r="CA292" s="7">
        <v>43779</v>
      </c>
      <c r="CE292">
        <v>327</v>
      </c>
      <c r="CF292">
        <v>323</v>
      </c>
      <c r="CG292">
        <v>258</v>
      </c>
      <c r="CH292">
        <v>199</v>
      </c>
      <c r="CI292">
        <f t="shared" si="25"/>
        <v>2019</v>
      </c>
      <c r="CJ292" t="str">
        <f t="shared" si="26"/>
        <v>5362_2019</v>
      </c>
    </row>
    <row r="293" spans="1:88" x14ac:dyDescent="0.25">
      <c r="A293" t="s">
        <v>140</v>
      </c>
      <c r="B293" t="s">
        <v>141</v>
      </c>
      <c r="C293">
        <v>5362</v>
      </c>
      <c r="D293">
        <v>-31.959</v>
      </c>
      <c r="E293">
        <v>115.85169999999999</v>
      </c>
      <c r="F293">
        <v>3</v>
      </c>
      <c r="G293" t="s">
        <v>167</v>
      </c>
      <c r="H293">
        <v>70</v>
      </c>
      <c r="I293">
        <v>250</v>
      </c>
      <c r="J293">
        <v>222</v>
      </c>
      <c r="K293">
        <v>42</v>
      </c>
      <c r="L293">
        <v>292</v>
      </c>
      <c r="M293">
        <v>112</v>
      </c>
      <c r="T293">
        <v>304</v>
      </c>
      <c r="U293">
        <v>252</v>
      </c>
      <c r="Y293">
        <v>257</v>
      </c>
      <c r="Z293">
        <v>25</v>
      </c>
      <c r="AD293">
        <v>289</v>
      </c>
      <c r="AE293">
        <v>20</v>
      </c>
      <c r="AX293">
        <v>556</v>
      </c>
      <c r="AY293">
        <v>546</v>
      </c>
      <c r="AZ293">
        <v>1102</v>
      </c>
      <c r="BA293">
        <v>282</v>
      </c>
      <c r="BB293">
        <v>324</v>
      </c>
      <c r="BC293">
        <v>606</v>
      </c>
      <c r="BD293">
        <v>309</v>
      </c>
      <c r="BE293">
        <v>277</v>
      </c>
      <c r="BF293">
        <v>586</v>
      </c>
      <c r="BP293">
        <v>718</v>
      </c>
      <c r="BR293">
        <v>322</v>
      </c>
      <c r="BS293">
        <v>59</v>
      </c>
      <c r="BT293">
        <v>19</v>
      </c>
      <c r="BV293">
        <v>29</v>
      </c>
      <c r="BW293">
        <v>1147</v>
      </c>
      <c r="BX293">
        <f>IF(C293=C292,IF((CI293-1)=CI292,BW292,"no data"))</f>
        <v>1107</v>
      </c>
      <c r="BY293" s="5">
        <f t="shared" si="29"/>
        <v>3.6133694670280034E-2</v>
      </c>
      <c r="BZ293" s="6">
        <f t="shared" si="28"/>
        <v>3.6133694670280034E-2</v>
      </c>
      <c r="CA293" s="7">
        <v>44143</v>
      </c>
      <c r="CE293">
        <v>402</v>
      </c>
      <c r="CF293">
        <v>291</v>
      </c>
      <c r="CG293">
        <v>253</v>
      </c>
      <c r="CH293">
        <v>201</v>
      </c>
      <c r="CI293">
        <f t="shared" si="25"/>
        <v>2020</v>
      </c>
      <c r="CJ293" t="str">
        <f t="shared" si="26"/>
        <v>5362_2020</v>
      </c>
    </row>
    <row r="294" spans="1:88" x14ac:dyDescent="0.25">
      <c r="A294" t="s">
        <v>140</v>
      </c>
      <c r="B294" t="s">
        <v>141</v>
      </c>
      <c r="C294">
        <v>5362</v>
      </c>
      <c r="D294">
        <v>-31.959026000000001</v>
      </c>
      <c r="E294">
        <v>115.851686</v>
      </c>
      <c r="F294">
        <v>3</v>
      </c>
      <c r="G294" t="s">
        <v>167</v>
      </c>
      <c r="H294">
        <v>70</v>
      </c>
      <c r="I294">
        <v>250</v>
      </c>
      <c r="J294">
        <v>222</v>
      </c>
      <c r="K294">
        <v>42</v>
      </c>
      <c r="L294">
        <v>292</v>
      </c>
      <c r="M294">
        <v>112</v>
      </c>
      <c r="T294">
        <v>107</v>
      </c>
      <c r="U294">
        <v>110</v>
      </c>
      <c r="Y294">
        <v>112</v>
      </c>
      <c r="Z294">
        <v>13</v>
      </c>
      <c r="AD294">
        <v>127</v>
      </c>
      <c r="AE294">
        <v>31</v>
      </c>
      <c r="AX294">
        <v>217</v>
      </c>
      <c r="AY294">
        <v>239</v>
      </c>
      <c r="AZ294">
        <v>456</v>
      </c>
      <c r="BA294">
        <v>125</v>
      </c>
      <c r="BB294">
        <v>138</v>
      </c>
      <c r="BC294">
        <v>263</v>
      </c>
      <c r="BD294">
        <v>158</v>
      </c>
      <c r="BE294">
        <v>123</v>
      </c>
      <c r="BF294">
        <v>281</v>
      </c>
      <c r="BP294">
        <v>310</v>
      </c>
      <c r="BR294">
        <v>122</v>
      </c>
      <c r="BS294">
        <v>21</v>
      </c>
      <c r="BT294">
        <v>3</v>
      </c>
      <c r="BV294">
        <v>44</v>
      </c>
      <c r="BW294">
        <v>500</v>
      </c>
      <c r="BX294">
        <f>IF(C294=C293,IF((CI294-1)=CI293,BW293,"no data"))</f>
        <v>1147</v>
      </c>
      <c r="BY294" s="5">
        <f t="shared" si="29"/>
        <v>-0.5640802092414996</v>
      </c>
      <c r="BZ294" s="6">
        <f t="shared" si="28"/>
        <v>-0.5640802092414996</v>
      </c>
      <c r="CA294" s="7">
        <v>44528</v>
      </c>
      <c r="CE294">
        <v>240</v>
      </c>
      <c r="CF294">
        <v>149</v>
      </c>
      <c r="CG294">
        <v>111</v>
      </c>
      <c r="CI294">
        <f t="shared" si="25"/>
        <v>2021</v>
      </c>
      <c r="CJ294" t="str">
        <f t="shared" si="26"/>
        <v>5362_2021</v>
      </c>
    </row>
    <row r="295" spans="1:88" x14ac:dyDescent="0.25">
      <c r="A295" t="s">
        <v>140</v>
      </c>
      <c r="B295" t="s">
        <v>141</v>
      </c>
      <c r="C295">
        <v>5362</v>
      </c>
      <c r="D295">
        <v>-31.959026000000001</v>
      </c>
      <c r="E295">
        <v>115.851686</v>
      </c>
      <c r="F295">
        <v>3</v>
      </c>
      <c r="G295" t="s">
        <v>167</v>
      </c>
      <c r="H295">
        <v>70</v>
      </c>
      <c r="I295">
        <v>250</v>
      </c>
      <c r="J295">
        <v>222</v>
      </c>
      <c r="K295">
        <v>42</v>
      </c>
      <c r="L295">
        <v>292</v>
      </c>
      <c r="M295">
        <v>112</v>
      </c>
      <c r="T295">
        <v>19</v>
      </c>
      <c r="U295">
        <v>187</v>
      </c>
      <c r="Y295">
        <v>7</v>
      </c>
      <c r="Z295">
        <v>3</v>
      </c>
      <c r="AD295">
        <v>114</v>
      </c>
      <c r="AE295">
        <v>3</v>
      </c>
      <c r="AX295">
        <v>206</v>
      </c>
      <c r="AY295">
        <v>121</v>
      </c>
      <c r="AZ295">
        <v>327</v>
      </c>
      <c r="BA295">
        <v>10</v>
      </c>
      <c r="BB295">
        <v>22</v>
      </c>
      <c r="BC295">
        <v>32</v>
      </c>
      <c r="BD295">
        <v>117</v>
      </c>
      <c r="BE295">
        <v>190</v>
      </c>
      <c r="BF295">
        <v>307</v>
      </c>
      <c r="BP295">
        <v>285</v>
      </c>
      <c r="BR295">
        <v>31</v>
      </c>
      <c r="BS295">
        <v>7</v>
      </c>
      <c r="BT295">
        <v>2</v>
      </c>
      <c r="BU295">
        <v>8</v>
      </c>
      <c r="BV295">
        <v>0</v>
      </c>
      <c r="BW295">
        <v>333</v>
      </c>
      <c r="BX295">
        <f>IF(C295=C294,IF((CI295-1)=CI294,BW294,"no data"))</f>
        <v>500</v>
      </c>
      <c r="BY295" s="5">
        <f t="shared" si="29"/>
        <v>-0.33400000000000002</v>
      </c>
      <c r="BZ295" s="6">
        <f t="shared" si="28"/>
        <v>-0.33400000000000002</v>
      </c>
      <c r="CA295" s="7">
        <v>44878</v>
      </c>
      <c r="CE295">
        <v>133</v>
      </c>
      <c r="CF295">
        <v>105</v>
      </c>
      <c r="CG295">
        <v>95</v>
      </c>
      <c r="CI295">
        <f t="shared" si="25"/>
        <v>2022</v>
      </c>
      <c r="CJ295" t="str">
        <f t="shared" si="26"/>
        <v>5362_2022</v>
      </c>
    </row>
    <row r="296" spans="1:88" x14ac:dyDescent="0.25">
      <c r="A296" t="s">
        <v>111</v>
      </c>
      <c r="B296" t="s">
        <v>129</v>
      </c>
      <c r="C296">
        <v>5586</v>
      </c>
      <c r="D296">
        <v>-37.831600000000002</v>
      </c>
      <c r="E296">
        <v>144.8955</v>
      </c>
      <c r="F296">
        <v>3</v>
      </c>
      <c r="G296" t="s">
        <v>168</v>
      </c>
      <c r="H296">
        <v>8</v>
      </c>
      <c r="I296">
        <v>188</v>
      </c>
      <c r="J296">
        <v>98</v>
      </c>
      <c r="K296">
        <v>278</v>
      </c>
      <c r="L296">
        <v>186</v>
      </c>
      <c r="M296">
        <v>6</v>
      </c>
      <c r="T296">
        <v>14</v>
      </c>
      <c r="U296">
        <v>82</v>
      </c>
      <c r="Y296">
        <v>9</v>
      </c>
      <c r="Z296">
        <v>28</v>
      </c>
      <c r="AD296">
        <v>63</v>
      </c>
      <c r="AE296">
        <v>27</v>
      </c>
      <c r="AX296">
        <v>96</v>
      </c>
      <c r="AY296">
        <v>72</v>
      </c>
      <c r="AZ296">
        <v>168</v>
      </c>
      <c r="BA296">
        <v>37</v>
      </c>
      <c r="BB296">
        <v>41</v>
      </c>
      <c r="BC296">
        <v>78</v>
      </c>
      <c r="BD296">
        <v>90</v>
      </c>
      <c r="BE296">
        <v>110</v>
      </c>
      <c r="BF296">
        <v>200</v>
      </c>
      <c r="BP296">
        <v>174</v>
      </c>
      <c r="BR296">
        <v>36</v>
      </c>
      <c r="BS296">
        <v>9</v>
      </c>
      <c r="BT296">
        <v>2</v>
      </c>
      <c r="BV296">
        <v>2</v>
      </c>
      <c r="BW296">
        <v>223</v>
      </c>
      <c r="BX296" t="s">
        <v>82</v>
      </c>
      <c r="BY296" s="5"/>
      <c r="BZ296" s="6"/>
      <c r="CA296" s="7">
        <v>40853</v>
      </c>
      <c r="CI296">
        <f t="shared" si="25"/>
        <v>2011</v>
      </c>
      <c r="CJ296" t="str">
        <f t="shared" si="26"/>
        <v>5586_2011</v>
      </c>
    </row>
    <row r="297" spans="1:88" x14ac:dyDescent="0.25">
      <c r="A297" t="s">
        <v>111</v>
      </c>
      <c r="B297" t="s">
        <v>129</v>
      </c>
      <c r="C297">
        <v>5586</v>
      </c>
      <c r="D297">
        <v>-37.831600000000002</v>
      </c>
      <c r="E297">
        <v>144.8955</v>
      </c>
      <c r="F297">
        <v>3</v>
      </c>
      <c r="G297" t="s">
        <v>168</v>
      </c>
      <c r="H297">
        <v>8</v>
      </c>
      <c r="I297">
        <v>188</v>
      </c>
      <c r="J297">
        <v>98</v>
      </c>
      <c r="K297">
        <v>278</v>
      </c>
      <c r="L297">
        <v>186</v>
      </c>
      <c r="M297">
        <v>6</v>
      </c>
      <c r="T297">
        <v>39</v>
      </c>
      <c r="U297">
        <v>189</v>
      </c>
      <c r="Y297">
        <v>27</v>
      </c>
      <c r="Z297">
        <v>41</v>
      </c>
      <c r="AD297">
        <v>108</v>
      </c>
      <c r="AE297">
        <v>58</v>
      </c>
      <c r="AX297">
        <v>228</v>
      </c>
      <c r="AY297">
        <v>135</v>
      </c>
      <c r="AZ297">
        <v>363</v>
      </c>
      <c r="BA297">
        <v>68</v>
      </c>
      <c r="BB297">
        <v>97</v>
      </c>
      <c r="BC297">
        <v>165</v>
      </c>
      <c r="BD297">
        <v>166</v>
      </c>
      <c r="BE297">
        <v>230</v>
      </c>
      <c r="BF297">
        <v>396</v>
      </c>
      <c r="BP297">
        <v>340</v>
      </c>
      <c r="BR297">
        <v>59</v>
      </c>
      <c r="BS297">
        <v>35</v>
      </c>
      <c r="BT297">
        <v>9</v>
      </c>
      <c r="BV297">
        <v>19</v>
      </c>
      <c r="BW297">
        <v>462</v>
      </c>
      <c r="BX297">
        <f t="shared" ref="BX297:BX306" si="30">IF(C297=C296,IF((CI297-1)=CI296,BW296,"no data"))</f>
        <v>223</v>
      </c>
      <c r="BY297" s="5">
        <f t="shared" si="29"/>
        <v>1.0717488789237668</v>
      </c>
      <c r="BZ297" s="6">
        <f t="shared" si="28"/>
        <v>1.0717488789237668</v>
      </c>
      <c r="CA297" s="7">
        <v>41224</v>
      </c>
      <c r="CI297">
        <f t="shared" si="25"/>
        <v>2012</v>
      </c>
      <c r="CJ297" t="str">
        <f t="shared" si="26"/>
        <v>5586_2012</v>
      </c>
    </row>
    <row r="298" spans="1:88" x14ac:dyDescent="0.25">
      <c r="A298" t="s">
        <v>111</v>
      </c>
      <c r="B298" t="s">
        <v>129</v>
      </c>
      <c r="C298">
        <v>5586</v>
      </c>
      <c r="D298">
        <v>-37.831600000000002</v>
      </c>
      <c r="E298">
        <v>144.8955</v>
      </c>
      <c r="F298">
        <v>3</v>
      </c>
      <c r="G298" t="s">
        <v>168</v>
      </c>
      <c r="H298">
        <v>8</v>
      </c>
      <c r="I298">
        <v>188</v>
      </c>
      <c r="J298">
        <v>98</v>
      </c>
      <c r="K298">
        <v>278</v>
      </c>
      <c r="L298">
        <v>186</v>
      </c>
      <c r="M298">
        <v>6</v>
      </c>
      <c r="T298">
        <v>8</v>
      </c>
      <c r="U298">
        <v>123</v>
      </c>
      <c r="Y298">
        <v>13</v>
      </c>
      <c r="Z298">
        <v>37</v>
      </c>
      <c r="AD298">
        <v>102</v>
      </c>
      <c r="AE298">
        <v>12</v>
      </c>
      <c r="AX298">
        <v>131</v>
      </c>
      <c r="AY298">
        <v>115</v>
      </c>
      <c r="AZ298">
        <v>246</v>
      </c>
      <c r="BA298">
        <v>50</v>
      </c>
      <c r="BB298">
        <v>20</v>
      </c>
      <c r="BC298">
        <v>70</v>
      </c>
      <c r="BD298">
        <v>114</v>
      </c>
      <c r="BE298">
        <v>160</v>
      </c>
      <c r="BF298">
        <v>274</v>
      </c>
      <c r="BP298">
        <v>204</v>
      </c>
      <c r="BR298">
        <v>37</v>
      </c>
      <c r="BS298">
        <v>51</v>
      </c>
      <c r="BT298">
        <v>3</v>
      </c>
      <c r="BV298">
        <v>0</v>
      </c>
      <c r="BW298">
        <v>295</v>
      </c>
      <c r="BX298">
        <f t="shared" si="30"/>
        <v>462</v>
      </c>
      <c r="BY298" s="5">
        <f t="shared" si="29"/>
        <v>-0.36147186147186144</v>
      </c>
      <c r="BZ298" s="6">
        <f t="shared" si="28"/>
        <v>-0.36147186147186144</v>
      </c>
      <c r="CA298" s="7">
        <v>41588</v>
      </c>
      <c r="CI298">
        <f t="shared" si="25"/>
        <v>2013</v>
      </c>
      <c r="CJ298" t="str">
        <f t="shared" si="26"/>
        <v>5586_2013</v>
      </c>
    </row>
    <row r="299" spans="1:88" x14ac:dyDescent="0.25">
      <c r="A299" t="s">
        <v>111</v>
      </c>
      <c r="B299" t="s">
        <v>129</v>
      </c>
      <c r="C299">
        <v>5586</v>
      </c>
      <c r="D299">
        <v>-37.831600000000002</v>
      </c>
      <c r="E299">
        <v>144.8955</v>
      </c>
      <c r="F299">
        <v>3</v>
      </c>
      <c r="G299" t="s">
        <v>168</v>
      </c>
      <c r="H299">
        <v>8</v>
      </c>
      <c r="I299">
        <v>188</v>
      </c>
      <c r="J299">
        <v>98</v>
      </c>
      <c r="K299">
        <v>278</v>
      </c>
      <c r="L299">
        <v>186</v>
      </c>
      <c r="M299">
        <v>6</v>
      </c>
      <c r="T299">
        <v>7</v>
      </c>
      <c r="U299">
        <v>146</v>
      </c>
      <c r="Y299">
        <v>10</v>
      </c>
      <c r="Z299">
        <v>39</v>
      </c>
      <c r="AD299">
        <v>102</v>
      </c>
      <c r="AE299">
        <v>37</v>
      </c>
      <c r="AX299">
        <v>153</v>
      </c>
      <c r="AY299">
        <v>112</v>
      </c>
      <c r="AZ299">
        <v>265</v>
      </c>
      <c r="BA299">
        <v>49</v>
      </c>
      <c r="BB299">
        <v>44</v>
      </c>
      <c r="BC299">
        <v>93</v>
      </c>
      <c r="BD299">
        <v>139</v>
      </c>
      <c r="BE299">
        <v>185</v>
      </c>
      <c r="BF299">
        <v>324</v>
      </c>
      <c r="BP299">
        <v>256</v>
      </c>
      <c r="BR299">
        <v>46</v>
      </c>
      <c r="BS299">
        <v>35</v>
      </c>
      <c r="BT299">
        <v>4</v>
      </c>
      <c r="BV299">
        <v>0</v>
      </c>
      <c r="BW299">
        <v>341</v>
      </c>
      <c r="BX299">
        <f t="shared" si="30"/>
        <v>295</v>
      </c>
      <c r="BY299" s="5">
        <f t="shared" si="29"/>
        <v>0.15593220338983052</v>
      </c>
      <c r="BZ299" s="6">
        <f t="shared" si="28"/>
        <v>0.15593220338983052</v>
      </c>
      <c r="CA299" s="7">
        <v>41952</v>
      </c>
      <c r="CI299">
        <f t="shared" si="25"/>
        <v>2014</v>
      </c>
      <c r="CJ299" t="str">
        <f t="shared" si="26"/>
        <v>5586_2014</v>
      </c>
    </row>
    <row r="300" spans="1:88" x14ac:dyDescent="0.25">
      <c r="A300" t="s">
        <v>111</v>
      </c>
      <c r="B300" t="s">
        <v>129</v>
      </c>
      <c r="C300">
        <v>5586</v>
      </c>
      <c r="D300">
        <v>-37.831600000000002</v>
      </c>
      <c r="E300">
        <v>144.8955</v>
      </c>
      <c r="F300">
        <v>3</v>
      </c>
      <c r="G300" t="s">
        <v>168</v>
      </c>
      <c r="H300">
        <v>8</v>
      </c>
      <c r="I300">
        <v>188</v>
      </c>
      <c r="J300">
        <v>98</v>
      </c>
      <c r="K300">
        <v>278</v>
      </c>
      <c r="L300">
        <v>186</v>
      </c>
      <c r="M300">
        <v>6</v>
      </c>
      <c r="T300">
        <v>24</v>
      </c>
      <c r="U300">
        <v>177</v>
      </c>
      <c r="Y300">
        <v>14</v>
      </c>
      <c r="Z300">
        <v>57</v>
      </c>
      <c r="AD300">
        <v>162</v>
      </c>
      <c r="AE300">
        <v>68</v>
      </c>
      <c r="AX300">
        <v>201</v>
      </c>
      <c r="AY300">
        <v>176</v>
      </c>
      <c r="AZ300">
        <v>377</v>
      </c>
      <c r="BA300">
        <v>71</v>
      </c>
      <c r="BB300">
        <v>92</v>
      </c>
      <c r="BC300">
        <v>163</v>
      </c>
      <c r="BD300">
        <v>230</v>
      </c>
      <c r="BE300">
        <v>234</v>
      </c>
      <c r="BF300">
        <v>464</v>
      </c>
      <c r="BP300">
        <v>370</v>
      </c>
      <c r="BR300">
        <v>59</v>
      </c>
      <c r="BS300">
        <v>54</v>
      </c>
      <c r="BT300">
        <v>11</v>
      </c>
      <c r="BV300">
        <v>8</v>
      </c>
      <c r="BW300">
        <v>502</v>
      </c>
      <c r="BX300">
        <f t="shared" si="30"/>
        <v>341</v>
      </c>
      <c r="BY300" s="5">
        <f t="shared" si="29"/>
        <v>0.47214076246334313</v>
      </c>
      <c r="BZ300" s="6">
        <f t="shared" si="28"/>
        <v>0.47214076246334313</v>
      </c>
      <c r="CA300" s="7">
        <v>42316</v>
      </c>
      <c r="CE300">
        <v>120</v>
      </c>
      <c r="CF300">
        <v>105</v>
      </c>
      <c r="CG300">
        <v>151</v>
      </c>
      <c r="CH300">
        <v>126</v>
      </c>
      <c r="CI300">
        <f t="shared" si="25"/>
        <v>2015</v>
      </c>
      <c r="CJ300" t="str">
        <f t="shared" si="26"/>
        <v>5586_2015</v>
      </c>
    </row>
    <row r="301" spans="1:88" x14ac:dyDescent="0.25">
      <c r="A301" t="s">
        <v>111</v>
      </c>
      <c r="B301" t="s">
        <v>129</v>
      </c>
      <c r="C301">
        <v>5586</v>
      </c>
      <c r="D301">
        <v>-37.831603999999999</v>
      </c>
      <c r="E301">
        <v>144.89545699999999</v>
      </c>
      <c r="F301">
        <v>3</v>
      </c>
      <c r="G301" t="s">
        <v>168</v>
      </c>
      <c r="H301">
        <v>8</v>
      </c>
      <c r="I301">
        <v>188</v>
      </c>
      <c r="J301">
        <v>98</v>
      </c>
      <c r="K301">
        <v>278</v>
      </c>
      <c r="L301">
        <v>186</v>
      </c>
      <c r="M301">
        <v>6</v>
      </c>
      <c r="T301">
        <v>4</v>
      </c>
      <c r="U301">
        <v>47</v>
      </c>
      <c r="Y301">
        <v>1</v>
      </c>
      <c r="Z301">
        <v>3</v>
      </c>
      <c r="AD301">
        <v>55</v>
      </c>
      <c r="AE301">
        <v>6</v>
      </c>
      <c r="AX301">
        <v>51</v>
      </c>
      <c r="AY301">
        <v>56</v>
      </c>
      <c r="AZ301">
        <v>107</v>
      </c>
      <c r="BA301">
        <v>4</v>
      </c>
      <c r="BB301">
        <v>10</v>
      </c>
      <c r="BC301">
        <v>14</v>
      </c>
      <c r="BD301">
        <v>61</v>
      </c>
      <c r="BE301">
        <v>50</v>
      </c>
      <c r="BF301">
        <v>111</v>
      </c>
      <c r="BP301">
        <v>62</v>
      </c>
      <c r="BR301">
        <v>21</v>
      </c>
      <c r="BS301">
        <v>26</v>
      </c>
      <c r="BT301">
        <v>7</v>
      </c>
      <c r="BV301">
        <v>0</v>
      </c>
      <c r="BW301">
        <v>116</v>
      </c>
      <c r="BX301">
        <f t="shared" si="30"/>
        <v>502</v>
      </c>
      <c r="BY301" s="5">
        <f t="shared" si="29"/>
        <v>-0.7689243027888446</v>
      </c>
      <c r="BZ301" s="6">
        <f t="shared" si="28"/>
        <v>-0.7689243027888446</v>
      </c>
      <c r="CA301" s="7">
        <v>42687</v>
      </c>
      <c r="CE301">
        <v>40</v>
      </c>
      <c r="CF301">
        <v>34</v>
      </c>
      <c r="CG301">
        <v>16</v>
      </c>
      <c r="CH301">
        <v>26</v>
      </c>
      <c r="CI301">
        <f t="shared" si="25"/>
        <v>2016</v>
      </c>
      <c r="CJ301" t="str">
        <f t="shared" si="26"/>
        <v>5586_2016</v>
      </c>
    </row>
    <row r="302" spans="1:88" x14ac:dyDescent="0.25">
      <c r="A302" t="s">
        <v>111</v>
      </c>
      <c r="B302" t="s">
        <v>129</v>
      </c>
      <c r="C302">
        <v>5586</v>
      </c>
      <c r="D302">
        <v>-37.831603999999999</v>
      </c>
      <c r="E302">
        <v>144.89545699999999</v>
      </c>
      <c r="F302">
        <v>3</v>
      </c>
      <c r="G302" t="s">
        <v>168</v>
      </c>
      <c r="H302">
        <v>8</v>
      </c>
      <c r="I302">
        <v>188</v>
      </c>
      <c r="J302">
        <v>98</v>
      </c>
      <c r="K302">
        <v>278</v>
      </c>
      <c r="L302">
        <v>186</v>
      </c>
      <c r="M302">
        <v>6</v>
      </c>
      <c r="T302">
        <v>18</v>
      </c>
      <c r="U302">
        <v>331</v>
      </c>
      <c r="Y302">
        <v>9</v>
      </c>
      <c r="Z302">
        <v>64</v>
      </c>
      <c r="AD302">
        <v>314</v>
      </c>
      <c r="AE302">
        <v>44</v>
      </c>
      <c r="AX302">
        <v>349</v>
      </c>
      <c r="AY302">
        <v>323</v>
      </c>
      <c r="AZ302">
        <v>672</v>
      </c>
      <c r="BA302">
        <v>73</v>
      </c>
      <c r="BB302">
        <v>62</v>
      </c>
      <c r="BC302">
        <v>135</v>
      </c>
      <c r="BD302">
        <v>358</v>
      </c>
      <c r="BE302">
        <v>395</v>
      </c>
      <c r="BF302">
        <v>753</v>
      </c>
      <c r="BP302">
        <v>638</v>
      </c>
      <c r="BR302">
        <v>74</v>
      </c>
      <c r="BS302">
        <v>35</v>
      </c>
      <c r="BT302">
        <v>6</v>
      </c>
      <c r="BV302">
        <v>27</v>
      </c>
      <c r="BW302">
        <v>780</v>
      </c>
      <c r="BX302">
        <f t="shared" si="30"/>
        <v>116</v>
      </c>
      <c r="BY302" s="5">
        <f t="shared" si="29"/>
        <v>5.7241379310344831</v>
      </c>
      <c r="BZ302" s="6">
        <f t="shared" si="28"/>
        <v>5.7241379310344831</v>
      </c>
      <c r="CA302" s="7">
        <v>43051</v>
      </c>
      <c r="CE302">
        <v>257</v>
      </c>
      <c r="CF302">
        <v>257</v>
      </c>
      <c r="CG302">
        <v>111</v>
      </c>
      <c r="CH302">
        <v>155</v>
      </c>
      <c r="CI302">
        <f t="shared" si="25"/>
        <v>2017</v>
      </c>
      <c r="CJ302" t="str">
        <f t="shared" si="26"/>
        <v>5586_2017</v>
      </c>
    </row>
    <row r="303" spans="1:88" x14ac:dyDescent="0.25">
      <c r="A303" t="s">
        <v>111</v>
      </c>
      <c r="B303" t="s">
        <v>129</v>
      </c>
      <c r="C303">
        <v>5586</v>
      </c>
      <c r="D303">
        <v>-37.831603999999999</v>
      </c>
      <c r="E303">
        <v>144.89545699999999</v>
      </c>
      <c r="F303">
        <v>3</v>
      </c>
      <c r="G303" t="s">
        <v>168</v>
      </c>
      <c r="H303">
        <v>8</v>
      </c>
      <c r="I303">
        <v>188</v>
      </c>
      <c r="J303">
        <v>98</v>
      </c>
      <c r="K303">
        <v>278</v>
      </c>
      <c r="L303">
        <v>186</v>
      </c>
      <c r="M303">
        <v>6</v>
      </c>
      <c r="T303">
        <v>10</v>
      </c>
      <c r="U303">
        <v>371</v>
      </c>
      <c r="Y303">
        <v>5</v>
      </c>
      <c r="Z303">
        <v>51</v>
      </c>
      <c r="AD303">
        <v>309</v>
      </c>
      <c r="AE303">
        <v>46</v>
      </c>
      <c r="AX303">
        <v>381</v>
      </c>
      <c r="AY303">
        <v>314</v>
      </c>
      <c r="AZ303">
        <v>695</v>
      </c>
      <c r="BA303">
        <v>56</v>
      </c>
      <c r="BB303">
        <v>56</v>
      </c>
      <c r="BC303">
        <v>112</v>
      </c>
      <c r="BD303">
        <v>355</v>
      </c>
      <c r="BE303">
        <v>422</v>
      </c>
      <c r="BF303">
        <v>777</v>
      </c>
      <c r="BP303">
        <v>707</v>
      </c>
      <c r="BR303">
        <v>49</v>
      </c>
      <c r="BS303">
        <v>32</v>
      </c>
      <c r="BT303">
        <v>4</v>
      </c>
      <c r="BV303">
        <v>0</v>
      </c>
      <c r="BW303">
        <v>792</v>
      </c>
      <c r="BX303">
        <f t="shared" si="30"/>
        <v>780</v>
      </c>
      <c r="BY303" s="5">
        <f t="shared" si="29"/>
        <v>1.5384615384615385E-2</v>
      </c>
      <c r="BZ303" s="6">
        <f t="shared" si="28"/>
        <v>1.5384615384615385E-2</v>
      </c>
      <c r="CA303" s="7">
        <v>43415</v>
      </c>
      <c r="CE303">
        <v>255</v>
      </c>
      <c r="CF303">
        <v>217</v>
      </c>
      <c r="CG303">
        <v>177</v>
      </c>
      <c r="CH303">
        <v>143</v>
      </c>
      <c r="CI303">
        <f t="shared" si="25"/>
        <v>2018</v>
      </c>
      <c r="CJ303" t="str">
        <f t="shared" si="26"/>
        <v>5586_2018</v>
      </c>
    </row>
    <row r="304" spans="1:88" x14ac:dyDescent="0.25">
      <c r="A304" t="s">
        <v>111</v>
      </c>
      <c r="B304" t="s">
        <v>129</v>
      </c>
      <c r="C304">
        <v>5586</v>
      </c>
      <c r="D304">
        <v>-37.831600000000002</v>
      </c>
      <c r="E304">
        <v>144.8955</v>
      </c>
      <c r="F304">
        <v>3</v>
      </c>
      <c r="G304" t="s">
        <v>168</v>
      </c>
      <c r="H304">
        <v>8</v>
      </c>
      <c r="I304">
        <v>188</v>
      </c>
      <c r="J304">
        <v>98</v>
      </c>
      <c r="K304">
        <v>278</v>
      </c>
      <c r="L304">
        <v>186</v>
      </c>
      <c r="M304">
        <v>6</v>
      </c>
      <c r="T304">
        <v>8</v>
      </c>
      <c r="U304">
        <v>129</v>
      </c>
      <c r="Y304">
        <v>1</v>
      </c>
      <c r="Z304">
        <v>11</v>
      </c>
      <c r="AD304">
        <v>110</v>
      </c>
      <c r="AE304">
        <v>7</v>
      </c>
      <c r="AX304">
        <v>137</v>
      </c>
      <c r="AY304">
        <v>111</v>
      </c>
      <c r="AZ304">
        <v>248</v>
      </c>
      <c r="BA304">
        <v>12</v>
      </c>
      <c r="BB304">
        <v>15</v>
      </c>
      <c r="BC304">
        <v>27</v>
      </c>
      <c r="BD304">
        <v>117</v>
      </c>
      <c r="BE304">
        <v>140</v>
      </c>
      <c r="BF304">
        <v>257</v>
      </c>
      <c r="BP304">
        <v>155</v>
      </c>
      <c r="BR304">
        <v>48</v>
      </c>
      <c r="BS304">
        <v>47</v>
      </c>
      <c r="BT304">
        <v>16</v>
      </c>
      <c r="BV304">
        <v>0</v>
      </c>
      <c r="BW304">
        <v>266</v>
      </c>
      <c r="BX304">
        <f t="shared" si="30"/>
        <v>792</v>
      </c>
      <c r="BY304" s="5">
        <f t="shared" si="29"/>
        <v>-0.66414141414141414</v>
      </c>
      <c r="BZ304" s="6">
        <f t="shared" si="28"/>
        <v>-0.66414141414141414</v>
      </c>
      <c r="CA304" s="7">
        <v>43779</v>
      </c>
      <c r="CE304">
        <v>62</v>
      </c>
      <c r="CF304">
        <v>72</v>
      </c>
      <c r="CG304">
        <v>79</v>
      </c>
      <c r="CH304">
        <v>53</v>
      </c>
      <c r="CI304">
        <f t="shared" si="25"/>
        <v>2019</v>
      </c>
      <c r="CJ304" t="str">
        <f t="shared" si="26"/>
        <v>5586_2019</v>
      </c>
    </row>
    <row r="305" spans="1:88" x14ac:dyDescent="0.25">
      <c r="A305" t="s">
        <v>111</v>
      </c>
      <c r="B305" t="s">
        <v>129</v>
      </c>
      <c r="C305">
        <v>5586</v>
      </c>
      <c r="D305">
        <v>-37.831600000000002</v>
      </c>
      <c r="E305">
        <v>144.8955</v>
      </c>
      <c r="F305">
        <v>3</v>
      </c>
      <c r="G305" t="s">
        <v>168</v>
      </c>
      <c r="H305">
        <v>8</v>
      </c>
      <c r="I305">
        <v>188</v>
      </c>
      <c r="J305">
        <v>98</v>
      </c>
      <c r="K305">
        <v>278</v>
      </c>
      <c r="L305">
        <v>186</v>
      </c>
      <c r="M305">
        <v>6</v>
      </c>
      <c r="T305">
        <v>33</v>
      </c>
      <c r="U305">
        <v>443</v>
      </c>
      <c r="Y305">
        <v>1</v>
      </c>
      <c r="Z305">
        <v>99</v>
      </c>
      <c r="AD305">
        <v>341</v>
      </c>
      <c r="AE305">
        <v>86</v>
      </c>
      <c r="AX305">
        <v>476</v>
      </c>
      <c r="AY305">
        <v>342</v>
      </c>
      <c r="AZ305">
        <v>818</v>
      </c>
      <c r="BA305">
        <v>100</v>
      </c>
      <c r="BB305">
        <v>119</v>
      </c>
      <c r="BC305">
        <v>219</v>
      </c>
      <c r="BD305">
        <v>427</v>
      </c>
      <c r="BE305">
        <v>542</v>
      </c>
      <c r="BF305">
        <v>969</v>
      </c>
      <c r="BP305">
        <v>827</v>
      </c>
      <c r="BR305">
        <v>82</v>
      </c>
      <c r="BS305">
        <v>87</v>
      </c>
      <c r="BT305">
        <v>5</v>
      </c>
      <c r="BV305">
        <v>2</v>
      </c>
      <c r="BW305">
        <v>1003</v>
      </c>
      <c r="BX305">
        <f t="shared" si="30"/>
        <v>266</v>
      </c>
      <c r="BY305" s="5">
        <f t="shared" si="29"/>
        <v>2.7706766917293235</v>
      </c>
      <c r="BZ305" s="6">
        <f t="shared" si="28"/>
        <v>2.7706766917293235</v>
      </c>
      <c r="CA305" s="7">
        <v>44143</v>
      </c>
      <c r="CE305">
        <v>191</v>
      </c>
      <c r="CF305">
        <v>268</v>
      </c>
      <c r="CG305">
        <v>264</v>
      </c>
      <c r="CH305">
        <v>280</v>
      </c>
      <c r="CI305">
        <f t="shared" si="25"/>
        <v>2020</v>
      </c>
      <c r="CJ305" t="str">
        <f t="shared" si="26"/>
        <v>5586_2020</v>
      </c>
    </row>
    <row r="306" spans="1:88" x14ac:dyDescent="0.25">
      <c r="A306" t="s">
        <v>111</v>
      </c>
      <c r="B306" t="s">
        <v>129</v>
      </c>
      <c r="C306">
        <v>5586</v>
      </c>
      <c r="D306">
        <v>-37.831603999999999</v>
      </c>
      <c r="E306">
        <v>144.89545699999999</v>
      </c>
      <c r="F306">
        <v>3</v>
      </c>
      <c r="G306" t="s">
        <v>168</v>
      </c>
      <c r="H306">
        <v>8</v>
      </c>
      <c r="I306">
        <v>188</v>
      </c>
      <c r="J306">
        <v>98</v>
      </c>
      <c r="K306">
        <v>278</v>
      </c>
      <c r="L306">
        <v>186</v>
      </c>
      <c r="M306">
        <v>6</v>
      </c>
      <c r="T306">
        <v>6</v>
      </c>
      <c r="U306">
        <v>180</v>
      </c>
      <c r="Y306">
        <v>6</v>
      </c>
      <c r="Z306">
        <v>46</v>
      </c>
      <c r="AD306">
        <v>136</v>
      </c>
      <c r="AE306">
        <v>29</v>
      </c>
      <c r="AX306">
        <v>186</v>
      </c>
      <c r="AY306">
        <v>142</v>
      </c>
      <c r="AZ306">
        <v>328</v>
      </c>
      <c r="BA306">
        <v>52</v>
      </c>
      <c r="BB306">
        <v>35</v>
      </c>
      <c r="BC306">
        <v>87</v>
      </c>
      <c r="BD306">
        <v>165</v>
      </c>
      <c r="BE306">
        <v>226</v>
      </c>
      <c r="BF306">
        <v>391</v>
      </c>
      <c r="BP306">
        <v>290</v>
      </c>
      <c r="BR306">
        <v>49</v>
      </c>
      <c r="BS306">
        <v>49</v>
      </c>
      <c r="BT306">
        <v>7</v>
      </c>
      <c r="BV306">
        <v>8</v>
      </c>
      <c r="BW306">
        <v>403</v>
      </c>
      <c r="BX306">
        <f t="shared" si="30"/>
        <v>1003</v>
      </c>
      <c r="BY306" s="5">
        <f t="shared" si="29"/>
        <v>-0.59820538384845467</v>
      </c>
      <c r="BZ306" s="6">
        <f t="shared" si="28"/>
        <v>-0.59820538384845467</v>
      </c>
      <c r="CA306" s="7">
        <v>44528</v>
      </c>
      <c r="CE306">
        <v>128</v>
      </c>
      <c r="CF306">
        <v>147</v>
      </c>
      <c r="CG306">
        <v>128</v>
      </c>
      <c r="CI306">
        <f t="shared" si="25"/>
        <v>2021</v>
      </c>
      <c r="CJ306" t="str">
        <f t="shared" si="26"/>
        <v>5586_2021</v>
      </c>
    </row>
    <row r="307" spans="1:88" x14ac:dyDescent="0.25">
      <c r="A307" t="s">
        <v>111</v>
      </c>
      <c r="B307" t="s">
        <v>129</v>
      </c>
      <c r="C307">
        <v>5587</v>
      </c>
      <c r="D307">
        <v>-37.859400000000001</v>
      </c>
      <c r="E307">
        <v>144.90270000000001</v>
      </c>
      <c r="F307">
        <v>3</v>
      </c>
      <c r="G307" t="s">
        <v>169</v>
      </c>
      <c r="H307">
        <v>188</v>
      </c>
      <c r="I307">
        <v>8</v>
      </c>
      <c r="J307">
        <v>274</v>
      </c>
      <c r="K307">
        <v>94</v>
      </c>
      <c r="L307">
        <v>357</v>
      </c>
      <c r="M307">
        <v>177</v>
      </c>
      <c r="T307">
        <v>59</v>
      </c>
      <c r="U307">
        <v>265</v>
      </c>
      <c r="Y307">
        <v>40</v>
      </c>
      <c r="Z307">
        <v>82</v>
      </c>
      <c r="AD307">
        <v>377</v>
      </c>
      <c r="AE307">
        <v>69</v>
      </c>
      <c r="AX307">
        <v>324</v>
      </c>
      <c r="AY307">
        <v>417</v>
      </c>
      <c r="AZ307">
        <v>741</v>
      </c>
      <c r="BA307">
        <v>122</v>
      </c>
      <c r="BB307">
        <v>128</v>
      </c>
      <c r="BC307">
        <v>250</v>
      </c>
      <c r="BD307">
        <v>446</v>
      </c>
      <c r="BE307">
        <v>347</v>
      </c>
      <c r="BF307">
        <v>793</v>
      </c>
      <c r="BP307">
        <v>243</v>
      </c>
      <c r="BR307">
        <v>597</v>
      </c>
      <c r="BS307">
        <v>19</v>
      </c>
      <c r="BT307">
        <v>27</v>
      </c>
      <c r="BV307">
        <v>6</v>
      </c>
      <c r="BW307">
        <v>892</v>
      </c>
      <c r="BX307" t="s">
        <v>82</v>
      </c>
      <c r="BY307" s="5"/>
      <c r="BZ307" s="6"/>
      <c r="CA307" s="7">
        <v>40853</v>
      </c>
      <c r="CI307">
        <f t="shared" si="25"/>
        <v>2011</v>
      </c>
      <c r="CJ307" t="str">
        <f t="shared" si="26"/>
        <v>5587_2011</v>
      </c>
    </row>
    <row r="308" spans="1:88" x14ac:dyDescent="0.25">
      <c r="A308" t="s">
        <v>111</v>
      </c>
      <c r="B308" t="s">
        <v>129</v>
      </c>
      <c r="C308">
        <v>5587</v>
      </c>
      <c r="D308">
        <v>-37.859400000000001</v>
      </c>
      <c r="E308">
        <v>144.90270000000001</v>
      </c>
      <c r="F308">
        <v>3</v>
      </c>
      <c r="G308" t="s">
        <v>169</v>
      </c>
      <c r="H308">
        <v>188</v>
      </c>
      <c r="I308">
        <v>8</v>
      </c>
      <c r="J308">
        <v>274</v>
      </c>
      <c r="K308">
        <v>94</v>
      </c>
      <c r="L308">
        <v>357</v>
      </c>
      <c r="M308">
        <v>177</v>
      </c>
      <c r="T308">
        <v>80</v>
      </c>
      <c r="U308">
        <v>344</v>
      </c>
      <c r="Y308">
        <v>148</v>
      </c>
      <c r="Z308">
        <v>37</v>
      </c>
      <c r="AD308">
        <v>465</v>
      </c>
      <c r="AE308">
        <v>33</v>
      </c>
      <c r="AX308">
        <v>424</v>
      </c>
      <c r="AY308">
        <v>613</v>
      </c>
      <c r="AZ308">
        <v>1037</v>
      </c>
      <c r="BA308">
        <v>185</v>
      </c>
      <c r="BB308">
        <v>113</v>
      </c>
      <c r="BC308">
        <v>298</v>
      </c>
      <c r="BD308">
        <v>498</v>
      </c>
      <c r="BE308">
        <v>381</v>
      </c>
      <c r="BF308">
        <v>879</v>
      </c>
      <c r="BP308">
        <v>283</v>
      </c>
      <c r="BR308">
        <v>607</v>
      </c>
      <c r="BS308">
        <v>84</v>
      </c>
      <c r="BT308">
        <v>87</v>
      </c>
      <c r="BV308">
        <v>46</v>
      </c>
      <c r="BW308">
        <v>1107</v>
      </c>
      <c r="BX308">
        <f t="shared" ref="BX308:BX315" si="31">IF(C308=C307,IF((CI308-1)=CI307,BW307,"no data"))</f>
        <v>892</v>
      </c>
      <c r="BY308" s="5">
        <f t="shared" si="29"/>
        <v>0.24103139013452915</v>
      </c>
      <c r="BZ308" s="6">
        <f t="shared" si="28"/>
        <v>0.24103139013452915</v>
      </c>
      <c r="CA308" s="7">
        <v>41224</v>
      </c>
      <c r="CI308">
        <f t="shared" si="25"/>
        <v>2012</v>
      </c>
      <c r="CJ308" t="str">
        <f t="shared" si="26"/>
        <v>5587_2012</v>
      </c>
    </row>
    <row r="309" spans="1:88" x14ac:dyDescent="0.25">
      <c r="A309" t="s">
        <v>111</v>
      </c>
      <c r="B309" t="s">
        <v>129</v>
      </c>
      <c r="C309">
        <v>5587</v>
      </c>
      <c r="D309">
        <v>-37.859400000000001</v>
      </c>
      <c r="E309">
        <v>144.90270000000001</v>
      </c>
      <c r="F309">
        <v>3</v>
      </c>
      <c r="G309" t="s">
        <v>169</v>
      </c>
      <c r="H309">
        <v>188</v>
      </c>
      <c r="I309">
        <v>8</v>
      </c>
      <c r="J309">
        <v>274</v>
      </c>
      <c r="K309">
        <v>94</v>
      </c>
      <c r="L309">
        <v>357</v>
      </c>
      <c r="M309">
        <v>177</v>
      </c>
      <c r="T309">
        <v>90</v>
      </c>
      <c r="U309">
        <v>442</v>
      </c>
      <c r="Y309">
        <v>82</v>
      </c>
      <c r="Z309">
        <v>90</v>
      </c>
      <c r="AD309">
        <v>470</v>
      </c>
      <c r="AE309">
        <v>40</v>
      </c>
      <c r="AX309">
        <v>532</v>
      </c>
      <c r="AY309">
        <v>552</v>
      </c>
      <c r="AZ309">
        <v>1084</v>
      </c>
      <c r="BA309">
        <v>172</v>
      </c>
      <c r="BB309">
        <v>130</v>
      </c>
      <c r="BC309">
        <v>302</v>
      </c>
      <c r="BD309">
        <v>510</v>
      </c>
      <c r="BE309">
        <v>532</v>
      </c>
      <c r="BF309">
        <v>1042</v>
      </c>
      <c r="BP309">
        <v>535</v>
      </c>
      <c r="BR309">
        <v>470</v>
      </c>
      <c r="BS309">
        <v>101</v>
      </c>
      <c r="BT309">
        <v>108</v>
      </c>
      <c r="BV309">
        <v>0</v>
      </c>
      <c r="BW309">
        <v>1214</v>
      </c>
      <c r="BX309" t="str">
        <f t="shared" si="31"/>
        <v>no data</v>
      </c>
      <c r="BY309" s="5"/>
      <c r="BZ309" s="6"/>
      <c r="CA309" s="7">
        <v>41952</v>
      </c>
      <c r="CI309">
        <f t="shared" si="25"/>
        <v>2014</v>
      </c>
      <c r="CJ309" t="str">
        <f t="shared" si="26"/>
        <v>5587_2014</v>
      </c>
    </row>
    <row r="310" spans="1:88" x14ac:dyDescent="0.25">
      <c r="A310" t="s">
        <v>111</v>
      </c>
      <c r="B310" t="s">
        <v>129</v>
      </c>
      <c r="C310">
        <v>5587</v>
      </c>
      <c r="D310">
        <v>-37.859400000000001</v>
      </c>
      <c r="E310">
        <v>144.90270000000001</v>
      </c>
      <c r="F310">
        <v>3</v>
      </c>
      <c r="G310" t="s">
        <v>169</v>
      </c>
      <c r="H310">
        <v>188</v>
      </c>
      <c r="I310">
        <v>8</v>
      </c>
      <c r="J310">
        <v>274</v>
      </c>
      <c r="K310">
        <v>94</v>
      </c>
      <c r="L310">
        <v>357</v>
      </c>
      <c r="M310">
        <v>177</v>
      </c>
      <c r="T310">
        <v>229</v>
      </c>
      <c r="U310">
        <v>1202</v>
      </c>
      <c r="Y310">
        <v>165</v>
      </c>
      <c r="Z310">
        <v>516</v>
      </c>
      <c r="AD310">
        <v>1418</v>
      </c>
      <c r="AE310">
        <v>304</v>
      </c>
      <c r="AX310">
        <v>1431</v>
      </c>
      <c r="AY310">
        <v>1583</v>
      </c>
      <c r="AZ310">
        <v>3014</v>
      </c>
      <c r="BA310">
        <v>681</v>
      </c>
      <c r="BB310">
        <v>533</v>
      </c>
      <c r="BC310">
        <v>1214</v>
      </c>
      <c r="BD310">
        <v>1722</v>
      </c>
      <c r="BE310">
        <v>1718</v>
      </c>
      <c r="BF310">
        <v>3440</v>
      </c>
      <c r="BP310">
        <v>864</v>
      </c>
      <c r="BR310">
        <v>2660</v>
      </c>
      <c r="BS310">
        <v>104</v>
      </c>
      <c r="BT310">
        <v>206</v>
      </c>
      <c r="BV310">
        <v>0</v>
      </c>
      <c r="BW310">
        <v>3834</v>
      </c>
      <c r="BX310">
        <f t="shared" si="31"/>
        <v>1214</v>
      </c>
      <c r="BY310" s="5">
        <f t="shared" si="29"/>
        <v>2.158154859967051</v>
      </c>
      <c r="BZ310" s="6">
        <f t="shared" si="28"/>
        <v>2.158154859967051</v>
      </c>
      <c r="CA310" s="7">
        <v>42316</v>
      </c>
      <c r="CE310">
        <v>564</v>
      </c>
      <c r="CF310">
        <v>589</v>
      </c>
      <c r="CG310">
        <v>1336</v>
      </c>
      <c r="CH310">
        <v>1345</v>
      </c>
      <c r="CI310">
        <f t="shared" si="25"/>
        <v>2015</v>
      </c>
      <c r="CJ310" t="str">
        <f t="shared" si="26"/>
        <v>5587_2015</v>
      </c>
    </row>
    <row r="311" spans="1:88" x14ac:dyDescent="0.25">
      <c r="A311" t="s">
        <v>111</v>
      </c>
      <c r="B311" t="s">
        <v>129</v>
      </c>
      <c r="C311">
        <v>5587</v>
      </c>
      <c r="D311">
        <v>-37.859375999999997</v>
      </c>
      <c r="E311">
        <v>144.90267800000001</v>
      </c>
      <c r="F311">
        <v>3</v>
      </c>
      <c r="G311" t="s">
        <v>169</v>
      </c>
      <c r="H311">
        <v>188</v>
      </c>
      <c r="I311">
        <v>8</v>
      </c>
      <c r="J311">
        <v>274</v>
      </c>
      <c r="K311">
        <v>94</v>
      </c>
      <c r="L311">
        <v>357</v>
      </c>
      <c r="M311">
        <v>177</v>
      </c>
      <c r="T311">
        <v>21</v>
      </c>
      <c r="U311">
        <v>146</v>
      </c>
      <c r="Y311">
        <v>23</v>
      </c>
      <c r="Z311">
        <v>28</v>
      </c>
      <c r="AD311">
        <v>168</v>
      </c>
      <c r="AE311">
        <v>28</v>
      </c>
      <c r="AX311">
        <v>167</v>
      </c>
      <c r="AY311">
        <v>191</v>
      </c>
      <c r="AZ311">
        <v>358</v>
      </c>
      <c r="BA311">
        <v>51</v>
      </c>
      <c r="BB311">
        <v>49</v>
      </c>
      <c r="BC311">
        <v>100</v>
      </c>
      <c r="BD311">
        <v>196</v>
      </c>
      <c r="BE311">
        <v>174</v>
      </c>
      <c r="BF311">
        <v>370</v>
      </c>
      <c r="BP311">
        <v>44</v>
      </c>
      <c r="BR311">
        <v>264</v>
      </c>
      <c r="BS311">
        <v>48</v>
      </c>
      <c r="BT311">
        <v>46</v>
      </c>
      <c r="BV311">
        <v>12</v>
      </c>
      <c r="BW311">
        <v>414</v>
      </c>
      <c r="BX311">
        <f t="shared" si="31"/>
        <v>3834</v>
      </c>
      <c r="BY311" s="5">
        <f t="shared" si="29"/>
        <v>-0.892018779342723</v>
      </c>
      <c r="BZ311" s="6">
        <f t="shared" si="28"/>
        <v>-0.892018779342723</v>
      </c>
      <c r="CA311" s="7">
        <v>42687</v>
      </c>
      <c r="CE311">
        <v>96</v>
      </c>
      <c r="CF311">
        <v>108</v>
      </c>
      <c r="CG311">
        <v>96</v>
      </c>
      <c r="CH311">
        <v>114</v>
      </c>
      <c r="CI311">
        <f t="shared" si="25"/>
        <v>2016</v>
      </c>
      <c r="CJ311" t="str">
        <f t="shared" si="26"/>
        <v>5587_2016</v>
      </c>
    </row>
    <row r="312" spans="1:88" x14ac:dyDescent="0.25">
      <c r="A312" t="s">
        <v>111</v>
      </c>
      <c r="B312" t="s">
        <v>129</v>
      </c>
      <c r="C312">
        <v>5587</v>
      </c>
      <c r="D312">
        <v>-37.859375999999997</v>
      </c>
      <c r="E312">
        <v>144.90267800000001</v>
      </c>
      <c r="F312">
        <v>3</v>
      </c>
      <c r="G312" t="s">
        <v>169</v>
      </c>
      <c r="H312">
        <v>188</v>
      </c>
      <c r="I312">
        <v>8</v>
      </c>
      <c r="J312">
        <v>274</v>
      </c>
      <c r="K312">
        <v>94</v>
      </c>
      <c r="L312">
        <v>357</v>
      </c>
      <c r="M312">
        <v>177</v>
      </c>
      <c r="T312">
        <v>115</v>
      </c>
      <c r="U312">
        <v>284</v>
      </c>
      <c r="Y312">
        <v>104</v>
      </c>
      <c r="Z312">
        <v>98</v>
      </c>
      <c r="AD312">
        <v>397</v>
      </c>
      <c r="AE312">
        <v>85</v>
      </c>
      <c r="AX312">
        <v>399</v>
      </c>
      <c r="AY312">
        <v>501</v>
      </c>
      <c r="AZ312">
        <v>900</v>
      </c>
      <c r="BA312">
        <v>202</v>
      </c>
      <c r="BB312">
        <v>200</v>
      </c>
      <c r="BC312">
        <v>402</v>
      </c>
      <c r="BD312">
        <v>482</v>
      </c>
      <c r="BE312">
        <v>382</v>
      </c>
      <c r="BF312">
        <v>864</v>
      </c>
      <c r="BP312">
        <v>434</v>
      </c>
      <c r="BR312">
        <v>502</v>
      </c>
      <c r="BS312">
        <v>73</v>
      </c>
      <c r="BT312">
        <v>70</v>
      </c>
      <c r="BV312">
        <v>4</v>
      </c>
      <c r="BW312">
        <v>1083</v>
      </c>
      <c r="BX312">
        <f t="shared" si="31"/>
        <v>414</v>
      </c>
      <c r="BY312" s="5">
        <f t="shared" si="29"/>
        <v>1.6159420289855073</v>
      </c>
      <c r="BZ312" s="6">
        <f t="shared" si="28"/>
        <v>1.6159420289855073</v>
      </c>
      <c r="CA312" s="7">
        <v>43051</v>
      </c>
      <c r="CE312">
        <v>469</v>
      </c>
      <c r="CF312">
        <v>614</v>
      </c>
      <c r="CG312">
        <v>0</v>
      </c>
      <c r="CH312">
        <v>0</v>
      </c>
      <c r="CI312">
        <f t="shared" si="25"/>
        <v>2017</v>
      </c>
      <c r="CJ312" t="str">
        <f t="shared" si="26"/>
        <v>5587_2017</v>
      </c>
    </row>
    <row r="313" spans="1:88" x14ac:dyDescent="0.25">
      <c r="A313" t="s">
        <v>111</v>
      </c>
      <c r="B313" t="s">
        <v>129</v>
      </c>
      <c r="C313">
        <v>5587</v>
      </c>
      <c r="D313">
        <v>-37.859375999999997</v>
      </c>
      <c r="E313">
        <v>144.90267800000001</v>
      </c>
      <c r="F313">
        <v>3</v>
      </c>
      <c r="G313" t="s">
        <v>169</v>
      </c>
      <c r="H313">
        <v>188</v>
      </c>
      <c r="I313">
        <v>8</v>
      </c>
      <c r="J313">
        <v>274</v>
      </c>
      <c r="K313">
        <v>94</v>
      </c>
      <c r="L313">
        <v>357</v>
      </c>
      <c r="M313">
        <v>177</v>
      </c>
      <c r="T313">
        <v>0</v>
      </c>
      <c r="U313">
        <v>358</v>
      </c>
      <c r="Y313">
        <v>0</v>
      </c>
      <c r="Z313">
        <v>2</v>
      </c>
      <c r="AD313">
        <v>697</v>
      </c>
      <c r="AE313">
        <v>0</v>
      </c>
      <c r="AX313">
        <v>358</v>
      </c>
      <c r="AY313">
        <v>697</v>
      </c>
      <c r="AZ313">
        <v>1055</v>
      </c>
      <c r="BA313">
        <v>2</v>
      </c>
      <c r="BB313">
        <v>0</v>
      </c>
      <c r="BC313">
        <v>2</v>
      </c>
      <c r="BD313">
        <v>697</v>
      </c>
      <c r="BE313">
        <v>360</v>
      </c>
      <c r="BF313">
        <v>1057</v>
      </c>
      <c r="BP313">
        <v>323</v>
      </c>
      <c r="BR313">
        <v>524</v>
      </c>
      <c r="BS313">
        <v>121</v>
      </c>
      <c r="BT313">
        <v>51</v>
      </c>
      <c r="BV313">
        <v>38</v>
      </c>
      <c r="BW313">
        <v>1057</v>
      </c>
      <c r="BX313">
        <f t="shared" si="31"/>
        <v>1083</v>
      </c>
      <c r="BY313" s="5">
        <f t="shared" si="29"/>
        <v>-2.4007386888273315E-2</v>
      </c>
      <c r="BZ313" s="6">
        <f t="shared" si="28"/>
        <v>-2.4007386888273315E-2</v>
      </c>
      <c r="CA313" s="7">
        <v>43415</v>
      </c>
      <c r="CE313">
        <v>230</v>
      </c>
      <c r="CF313">
        <v>229</v>
      </c>
      <c r="CG313">
        <v>306</v>
      </c>
      <c r="CH313">
        <v>292</v>
      </c>
      <c r="CI313">
        <f t="shared" si="25"/>
        <v>2018</v>
      </c>
      <c r="CJ313" t="str">
        <f t="shared" si="26"/>
        <v>5587_2018</v>
      </c>
    </row>
    <row r="314" spans="1:88" x14ac:dyDescent="0.25">
      <c r="A314" t="s">
        <v>111</v>
      </c>
      <c r="B314" t="s">
        <v>129</v>
      </c>
      <c r="C314">
        <v>5587</v>
      </c>
      <c r="D314">
        <v>-37.859400000000001</v>
      </c>
      <c r="E314">
        <v>144.90270000000001</v>
      </c>
      <c r="F314">
        <v>3</v>
      </c>
      <c r="G314" t="s">
        <v>169</v>
      </c>
      <c r="H314">
        <v>188</v>
      </c>
      <c r="I314">
        <v>8</v>
      </c>
      <c r="J314">
        <v>274</v>
      </c>
      <c r="K314">
        <v>94</v>
      </c>
      <c r="L314">
        <v>357</v>
      </c>
      <c r="M314">
        <v>177</v>
      </c>
      <c r="T314">
        <v>216</v>
      </c>
      <c r="U314">
        <v>441</v>
      </c>
      <c r="Y314">
        <v>362</v>
      </c>
      <c r="Z314">
        <v>208</v>
      </c>
      <c r="AD314">
        <v>853</v>
      </c>
      <c r="AE314">
        <v>98</v>
      </c>
      <c r="AX314">
        <v>657</v>
      </c>
      <c r="AY314">
        <v>1215</v>
      </c>
      <c r="AZ314">
        <v>1872</v>
      </c>
      <c r="BA314">
        <v>570</v>
      </c>
      <c r="BB314">
        <v>314</v>
      </c>
      <c r="BC314">
        <v>884</v>
      </c>
      <c r="BD314">
        <v>951</v>
      </c>
      <c r="BE314">
        <v>649</v>
      </c>
      <c r="BF314">
        <v>1600</v>
      </c>
      <c r="BP314">
        <v>943</v>
      </c>
      <c r="BR314">
        <v>841</v>
      </c>
      <c r="BS314">
        <v>178</v>
      </c>
      <c r="BT314">
        <v>213</v>
      </c>
      <c r="BV314">
        <v>3</v>
      </c>
      <c r="BW314">
        <v>2178</v>
      </c>
      <c r="BX314">
        <f t="shared" si="31"/>
        <v>1057</v>
      </c>
      <c r="BY314" s="5">
        <f t="shared" si="29"/>
        <v>1.0605487228003785</v>
      </c>
      <c r="BZ314" s="6">
        <f t="shared" si="28"/>
        <v>1.0605487228003785</v>
      </c>
      <c r="CA314" s="7">
        <v>43779</v>
      </c>
      <c r="CE314">
        <v>527</v>
      </c>
      <c r="CF314">
        <v>650</v>
      </c>
      <c r="CG314">
        <v>371</v>
      </c>
      <c r="CH314">
        <v>630</v>
      </c>
      <c r="CI314">
        <f t="shared" si="25"/>
        <v>2019</v>
      </c>
      <c r="CJ314" t="str">
        <f t="shared" si="26"/>
        <v>5587_2019</v>
      </c>
    </row>
    <row r="315" spans="1:88" x14ac:dyDescent="0.25">
      <c r="A315" t="s">
        <v>111</v>
      </c>
      <c r="B315" t="s">
        <v>129</v>
      </c>
      <c r="C315">
        <v>5587</v>
      </c>
      <c r="D315">
        <v>-37.859375999999997</v>
      </c>
      <c r="E315">
        <v>144.90267800000001</v>
      </c>
      <c r="F315">
        <v>3</v>
      </c>
      <c r="G315" t="s">
        <v>169</v>
      </c>
      <c r="H315">
        <v>188</v>
      </c>
      <c r="I315">
        <v>8</v>
      </c>
      <c r="J315">
        <v>274</v>
      </c>
      <c r="K315">
        <v>94</v>
      </c>
      <c r="L315">
        <v>357</v>
      </c>
      <c r="M315">
        <v>177</v>
      </c>
      <c r="T315">
        <v>0</v>
      </c>
      <c r="U315">
        <v>387</v>
      </c>
      <c r="Y315">
        <v>0</v>
      </c>
      <c r="Z315">
        <v>3</v>
      </c>
      <c r="AD315">
        <v>569</v>
      </c>
      <c r="AE315">
        <v>0</v>
      </c>
      <c r="AX315">
        <v>387</v>
      </c>
      <c r="AY315">
        <v>569</v>
      </c>
      <c r="AZ315">
        <v>956</v>
      </c>
      <c r="BA315">
        <v>3</v>
      </c>
      <c r="BB315">
        <v>0</v>
      </c>
      <c r="BC315">
        <v>3</v>
      </c>
      <c r="BD315">
        <v>569</v>
      </c>
      <c r="BE315">
        <v>390</v>
      </c>
      <c r="BF315">
        <v>959</v>
      </c>
      <c r="BP315">
        <v>262</v>
      </c>
      <c r="BR315">
        <v>471</v>
      </c>
      <c r="BS315">
        <v>133</v>
      </c>
      <c r="BT315">
        <v>93</v>
      </c>
      <c r="BV315">
        <v>0</v>
      </c>
      <c r="BW315">
        <v>959</v>
      </c>
      <c r="BX315" t="str">
        <f t="shared" si="31"/>
        <v>no data</v>
      </c>
      <c r="BY315" s="5"/>
      <c r="BZ315" s="6"/>
      <c r="CA315" s="7">
        <v>44528</v>
      </c>
      <c r="CE315">
        <v>303</v>
      </c>
      <c r="CF315">
        <v>337</v>
      </c>
      <c r="CG315">
        <v>319</v>
      </c>
      <c r="CI315">
        <f t="shared" si="25"/>
        <v>2021</v>
      </c>
      <c r="CJ315" t="str">
        <f t="shared" si="26"/>
        <v>5587_2021</v>
      </c>
    </row>
    <row r="316" spans="1:88" x14ac:dyDescent="0.25">
      <c r="A316" t="s">
        <v>111</v>
      </c>
      <c r="B316" t="s">
        <v>129</v>
      </c>
      <c r="C316">
        <v>5588</v>
      </c>
      <c r="D316">
        <v>-37.862299999999998</v>
      </c>
      <c r="E316">
        <v>144.85550000000001</v>
      </c>
      <c r="F316">
        <v>3</v>
      </c>
      <c r="G316" t="s">
        <v>170</v>
      </c>
      <c r="H316">
        <v>35</v>
      </c>
      <c r="I316">
        <v>215</v>
      </c>
      <c r="J316">
        <v>230</v>
      </c>
      <c r="K316">
        <v>50</v>
      </c>
      <c r="L316">
        <v>290</v>
      </c>
      <c r="M316">
        <v>110</v>
      </c>
      <c r="T316">
        <v>113</v>
      </c>
      <c r="U316">
        <v>2</v>
      </c>
      <c r="Y316">
        <v>125</v>
      </c>
      <c r="Z316">
        <v>38</v>
      </c>
      <c r="AD316">
        <v>4</v>
      </c>
      <c r="AE316">
        <v>47</v>
      </c>
      <c r="AX316">
        <v>115</v>
      </c>
      <c r="AY316">
        <v>129</v>
      </c>
      <c r="AZ316">
        <v>244</v>
      </c>
      <c r="BA316">
        <v>163</v>
      </c>
      <c r="BB316">
        <v>160</v>
      </c>
      <c r="BC316">
        <v>323</v>
      </c>
      <c r="BD316">
        <v>51</v>
      </c>
      <c r="BE316">
        <v>40</v>
      </c>
      <c r="BF316">
        <v>91</v>
      </c>
      <c r="BP316">
        <v>252</v>
      </c>
      <c r="BR316">
        <v>30</v>
      </c>
      <c r="BS316">
        <v>2</v>
      </c>
      <c r="BT316">
        <v>45</v>
      </c>
      <c r="BV316">
        <v>0</v>
      </c>
      <c r="BW316">
        <v>329</v>
      </c>
      <c r="BX316" t="s">
        <v>82</v>
      </c>
      <c r="BY316" s="5"/>
      <c r="BZ316" s="6"/>
      <c r="CA316" s="7">
        <v>40853</v>
      </c>
      <c r="CI316">
        <f t="shared" si="25"/>
        <v>2011</v>
      </c>
      <c r="CJ316" t="str">
        <f t="shared" si="26"/>
        <v>5588_2011</v>
      </c>
    </row>
    <row r="317" spans="1:88" x14ac:dyDescent="0.25">
      <c r="A317" t="s">
        <v>111</v>
      </c>
      <c r="B317" t="s">
        <v>129</v>
      </c>
      <c r="C317">
        <v>5589</v>
      </c>
      <c r="D317">
        <v>-37.878999999999998</v>
      </c>
      <c r="E317">
        <v>144.80350000000001</v>
      </c>
      <c r="F317">
        <v>3</v>
      </c>
      <c r="G317" t="s">
        <v>171</v>
      </c>
      <c r="H317">
        <v>99</v>
      </c>
      <c r="I317">
        <v>279</v>
      </c>
      <c r="J317">
        <v>198</v>
      </c>
      <c r="K317">
        <v>18</v>
      </c>
      <c r="L317">
        <v>280</v>
      </c>
      <c r="M317">
        <v>100</v>
      </c>
      <c r="T317">
        <v>142</v>
      </c>
      <c r="U317">
        <v>10</v>
      </c>
      <c r="Y317">
        <v>117</v>
      </c>
      <c r="Z317">
        <v>2</v>
      </c>
      <c r="AD317">
        <v>5</v>
      </c>
      <c r="AE317">
        <v>0</v>
      </c>
      <c r="AX317">
        <v>152</v>
      </c>
      <c r="AY317">
        <v>122</v>
      </c>
      <c r="AZ317">
        <v>274</v>
      </c>
      <c r="BA317">
        <v>119</v>
      </c>
      <c r="BB317">
        <v>142</v>
      </c>
      <c r="BC317">
        <v>261</v>
      </c>
      <c r="BD317">
        <v>5</v>
      </c>
      <c r="BE317">
        <v>12</v>
      </c>
      <c r="BF317">
        <v>17</v>
      </c>
      <c r="BP317">
        <v>155</v>
      </c>
      <c r="BR317">
        <v>78</v>
      </c>
      <c r="BS317">
        <v>15</v>
      </c>
      <c r="BT317">
        <v>28</v>
      </c>
      <c r="BV317">
        <v>0</v>
      </c>
      <c r="BW317">
        <v>276</v>
      </c>
      <c r="BX317" t="s">
        <v>82</v>
      </c>
      <c r="BY317" s="5"/>
      <c r="BZ317" s="6"/>
      <c r="CA317" s="7">
        <v>40853</v>
      </c>
      <c r="CI317">
        <f t="shared" si="25"/>
        <v>2011</v>
      </c>
      <c r="CJ317" t="str">
        <f t="shared" si="26"/>
        <v>5589_2011</v>
      </c>
    </row>
    <row r="318" spans="1:88" x14ac:dyDescent="0.25">
      <c r="A318" t="s">
        <v>111</v>
      </c>
      <c r="B318" t="s">
        <v>157</v>
      </c>
      <c r="C318">
        <v>5591</v>
      </c>
      <c r="D318">
        <v>-37.876899999999999</v>
      </c>
      <c r="E318">
        <v>144.7217</v>
      </c>
      <c r="F318">
        <v>2</v>
      </c>
      <c r="G318" t="s">
        <v>172</v>
      </c>
      <c r="H318">
        <v>4</v>
      </c>
      <c r="I318">
        <v>184</v>
      </c>
      <c r="J318">
        <v>258</v>
      </c>
      <c r="K318">
        <v>78</v>
      </c>
      <c r="T318">
        <v>21</v>
      </c>
      <c r="Y318">
        <v>27</v>
      </c>
      <c r="AX318">
        <v>21</v>
      </c>
      <c r="AY318">
        <v>27</v>
      </c>
      <c r="AZ318">
        <v>48</v>
      </c>
      <c r="BA318">
        <v>27</v>
      </c>
      <c r="BB318">
        <v>21</v>
      </c>
      <c r="BC318">
        <v>48</v>
      </c>
      <c r="BP318">
        <v>46</v>
      </c>
      <c r="BR318">
        <v>0</v>
      </c>
      <c r="BS318">
        <v>2</v>
      </c>
      <c r="BT318">
        <v>0</v>
      </c>
      <c r="BV318">
        <v>0</v>
      </c>
      <c r="BW318">
        <v>48</v>
      </c>
      <c r="BX318" t="s">
        <v>82</v>
      </c>
      <c r="BY318" s="5"/>
      <c r="BZ318" s="6"/>
      <c r="CA318" s="7">
        <v>40853</v>
      </c>
      <c r="CI318">
        <f t="shared" si="25"/>
        <v>2011</v>
      </c>
      <c r="CJ318" t="str">
        <f t="shared" si="26"/>
        <v>5591_2011</v>
      </c>
    </row>
    <row r="319" spans="1:88" x14ac:dyDescent="0.25">
      <c r="A319" t="s">
        <v>111</v>
      </c>
      <c r="B319" t="s">
        <v>157</v>
      </c>
      <c r="C319">
        <v>5591</v>
      </c>
      <c r="D319">
        <v>-37.876899999999999</v>
      </c>
      <c r="E319">
        <v>144.7217</v>
      </c>
      <c r="F319">
        <v>2</v>
      </c>
      <c r="G319" t="s">
        <v>172</v>
      </c>
      <c r="H319">
        <v>4</v>
      </c>
      <c r="I319">
        <v>184</v>
      </c>
      <c r="J319">
        <v>258</v>
      </c>
      <c r="K319">
        <v>78</v>
      </c>
      <c r="T319">
        <v>60</v>
      </c>
      <c r="Y319">
        <v>49</v>
      </c>
      <c r="AX319">
        <v>60</v>
      </c>
      <c r="AY319">
        <v>49</v>
      </c>
      <c r="AZ319">
        <v>109</v>
      </c>
      <c r="BA319">
        <v>49</v>
      </c>
      <c r="BB319">
        <v>60</v>
      </c>
      <c r="BC319">
        <v>109</v>
      </c>
      <c r="BP319">
        <v>103</v>
      </c>
      <c r="BR319">
        <v>4</v>
      </c>
      <c r="BS319">
        <v>0</v>
      </c>
      <c r="BT319">
        <v>0</v>
      </c>
      <c r="BV319">
        <v>2</v>
      </c>
      <c r="BW319">
        <v>109</v>
      </c>
      <c r="BX319">
        <f t="shared" ref="BX319:BX328" si="32">IF(C319=C318,IF((CI319-1)=CI318,BW318,"no data"))</f>
        <v>48</v>
      </c>
      <c r="BY319" s="5">
        <f t="shared" si="29"/>
        <v>1.2708333333333333</v>
      </c>
      <c r="BZ319" s="6">
        <f t="shared" si="28"/>
        <v>1.2708333333333333</v>
      </c>
      <c r="CA319" s="7">
        <v>41224</v>
      </c>
      <c r="CI319">
        <f t="shared" si="25"/>
        <v>2012</v>
      </c>
      <c r="CJ319" t="str">
        <f t="shared" si="26"/>
        <v>5591_2012</v>
      </c>
    </row>
    <row r="320" spans="1:88" x14ac:dyDescent="0.25">
      <c r="A320" t="s">
        <v>111</v>
      </c>
      <c r="B320" t="s">
        <v>157</v>
      </c>
      <c r="C320">
        <v>5591</v>
      </c>
      <c r="D320">
        <v>-37.876899999999999</v>
      </c>
      <c r="E320">
        <v>144.7217</v>
      </c>
      <c r="F320">
        <v>2</v>
      </c>
      <c r="G320" t="s">
        <v>172</v>
      </c>
      <c r="H320">
        <v>4</v>
      </c>
      <c r="I320">
        <v>184</v>
      </c>
      <c r="J320">
        <v>258</v>
      </c>
      <c r="K320">
        <v>78</v>
      </c>
      <c r="T320">
        <v>27</v>
      </c>
      <c r="Y320">
        <v>22</v>
      </c>
      <c r="AX320">
        <v>27</v>
      </c>
      <c r="AY320">
        <v>22</v>
      </c>
      <c r="AZ320">
        <v>49</v>
      </c>
      <c r="BA320">
        <v>22</v>
      </c>
      <c r="BB320">
        <v>27</v>
      </c>
      <c r="BC320">
        <v>49</v>
      </c>
      <c r="BP320">
        <v>40</v>
      </c>
      <c r="BR320">
        <v>7</v>
      </c>
      <c r="BS320">
        <v>2</v>
      </c>
      <c r="BT320">
        <v>0</v>
      </c>
      <c r="BV320">
        <v>0</v>
      </c>
      <c r="BW320">
        <v>49</v>
      </c>
      <c r="BX320">
        <f t="shared" si="32"/>
        <v>109</v>
      </c>
      <c r="BY320" s="5">
        <f t="shared" si="29"/>
        <v>-0.55045871559633031</v>
      </c>
      <c r="BZ320" s="6">
        <f t="shared" si="28"/>
        <v>-0.55045871559633031</v>
      </c>
      <c r="CA320" s="7">
        <v>41588</v>
      </c>
      <c r="CI320">
        <f t="shared" si="25"/>
        <v>2013</v>
      </c>
      <c r="CJ320" t="str">
        <f t="shared" si="26"/>
        <v>5591_2013</v>
      </c>
    </row>
    <row r="321" spans="1:88" x14ac:dyDescent="0.25">
      <c r="A321" t="s">
        <v>111</v>
      </c>
      <c r="B321" t="s">
        <v>157</v>
      </c>
      <c r="C321">
        <v>5591</v>
      </c>
      <c r="D321">
        <v>-37.876899999999999</v>
      </c>
      <c r="E321">
        <v>144.7217</v>
      </c>
      <c r="F321">
        <v>2</v>
      </c>
      <c r="G321" t="s">
        <v>172</v>
      </c>
      <c r="H321">
        <v>4</v>
      </c>
      <c r="I321">
        <v>184</v>
      </c>
      <c r="J321">
        <v>258</v>
      </c>
      <c r="K321">
        <v>78</v>
      </c>
      <c r="T321">
        <v>51</v>
      </c>
      <c r="Y321">
        <v>38</v>
      </c>
      <c r="AX321">
        <v>51</v>
      </c>
      <c r="AY321">
        <v>38</v>
      </c>
      <c r="AZ321">
        <v>89</v>
      </c>
      <c r="BA321">
        <v>38</v>
      </c>
      <c r="BB321">
        <v>51</v>
      </c>
      <c r="BC321">
        <v>89</v>
      </c>
      <c r="BP321">
        <v>83</v>
      </c>
      <c r="BR321">
        <v>3</v>
      </c>
      <c r="BS321">
        <v>3</v>
      </c>
      <c r="BT321">
        <v>0</v>
      </c>
      <c r="BV321">
        <v>0</v>
      </c>
      <c r="BW321">
        <v>89</v>
      </c>
      <c r="BX321">
        <f t="shared" si="32"/>
        <v>49</v>
      </c>
      <c r="BY321" s="5">
        <f t="shared" si="29"/>
        <v>0.81632653061224492</v>
      </c>
      <c r="BZ321" s="6">
        <f t="shared" si="28"/>
        <v>0.81632653061224492</v>
      </c>
      <c r="CA321" s="7">
        <v>41952</v>
      </c>
      <c r="CI321">
        <f t="shared" si="25"/>
        <v>2014</v>
      </c>
      <c r="CJ321" t="str">
        <f t="shared" si="26"/>
        <v>5591_2014</v>
      </c>
    </row>
    <row r="322" spans="1:88" x14ac:dyDescent="0.25">
      <c r="A322" t="s">
        <v>111</v>
      </c>
      <c r="B322" t="s">
        <v>157</v>
      </c>
      <c r="C322">
        <v>5591</v>
      </c>
      <c r="D322">
        <v>-37.876899999999999</v>
      </c>
      <c r="E322">
        <v>144.7217</v>
      </c>
      <c r="F322">
        <v>2</v>
      </c>
      <c r="G322" t="s">
        <v>172</v>
      </c>
      <c r="H322">
        <v>4</v>
      </c>
      <c r="I322">
        <v>184</v>
      </c>
      <c r="J322">
        <v>258</v>
      </c>
      <c r="K322">
        <v>78</v>
      </c>
      <c r="T322">
        <v>48</v>
      </c>
      <c r="Y322">
        <v>56</v>
      </c>
      <c r="AX322">
        <v>48</v>
      </c>
      <c r="AY322">
        <v>56</v>
      </c>
      <c r="AZ322">
        <v>104</v>
      </c>
      <c r="BA322">
        <v>56</v>
      </c>
      <c r="BB322">
        <v>48</v>
      </c>
      <c r="BC322">
        <v>104</v>
      </c>
      <c r="BP322">
        <v>104</v>
      </c>
      <c r="BR322">
        <v>0</v>
      </c>
      <c r="BS322">
        <v>0</v>
      </c>
      <c r="BT322">
        <v>0</v>
      </c>
      <c r="BV322">
        <v>0</v>
      </c>
      <c r="BW322">
        <v>104</v>
      </c>
      <c r="BX322">
        <f t="shared" si="32"/>
        <v>89</v>
      </c>
      <c r="BY322" s="5">
        <f t="shared" si="29"/>
        <v>0.16853932584269662</v>
      </c>
      <c r="BZ322" s="6">
        <f t="shared" si="28"/>
        <v>0.16853932584269662</v>
      </c>
      <c r="CA322" s="7">
        <v>42316</v>
      </c>
      <c r="CE322">
        <v>104</v>
      </c>
      <c r="CF322">
        <v>0</v>
      </c>
      <c r="CG322">
        <v>0</v>
      </c>
      <c r="CH322">
        <v>0</v>
      </c>
      <c r="CI322">
        <f t="shared" si="25"/>
        <v>2015</v>
      </c>
      <c r="CJ322" t="str">
        <f t="shared" si="26"/>
        <v>5591_2015</v>
      </c>
    </row>
    <row r="323" spans="1:88" x14ac:dyDescent="0.25">
      <c r="A323" t="s">
        <v>111</v>
      </c>
      <c r="B323" t="s">
        <v>157</v>
      </c>
      <c r="C323">
        <v>5591</v>
      </c>
      <c r="D323">
        <v>-37.876854999999999</v>
      </c>
      <c r="E323">
        <v>144.72165799999999</v>
      </c>
      <c r="F323">
        <v>2</v>
      </c>
      <c r="G323" t="s">
        <v>172</v>
      </c>
      <c r="H323">
        <v>4</v>
      </c>
      <c r="I323">
        <v>184</v>
      </c>
      <c r="J323">
        <v>258</v>
      </c>
      <c r="K323">
        <v>78</v>
      </c>
      <c r="T323">
        <v>8</v>
      </c>
      <c r="Y323">
        <v>9</v>
      </c>
      <c r="AX323">
        <v>8</v>
      </c>
      <c r="AY323">
        <v>9</v>
      </c>
      <c r="AZ323">
        <v>17</v>
      </c>
      <c r="BA323">
        <v>9</v>
      </c>
      <c r="BB323">
        <v>8</v>
      </c>
      <c r="BC323">
        <v>17</v>
      </c>
      <c r="BP323">
        <v>15</v>
      </c>
      <c r="BR323">
        <v>2</v>
      </c>
      <c r="BS323">
        <v>0</v>
      </c>
      <c r="BT323">
        <v>0</v>
      </c>
      <c r="BV323">
        <v>0</v>
      </c>
      <c r="BW323">
        <v>17</v>
      </c>
      <c r="BX323">
        <f t="shared" si="32"/>
        <v>104</v>
      </c>
      <c r="BY323" s="5">
        <f t="shared" si="29"/>
        <v>-0.83653846153846156</v>
      </c>
      <c r="BZ323" s="6">
        <f t="shared" si="28"/>
        <v>-0.83653846153846156</v>
      </c>
      <c r="CA323" s="7">
        <v>42687</v>
      </c>
      <c r="CE323">
        <v>6</v>
      </c>
      <c r="CF323">
        <v>5</v>
      </c>
      <c r="CG323">
        <v>2</v>
      </c>
      <c r="CH323">
        <v>4</v>
      </c>
      <c r="CI323">
        <f t="shared" ref="CI323:CI386" si="33">YEAR(CA323)</f>
        <v>2016</v>
      </c>
      <c r="CJ323" t="str">
        <f t="shared" ref="CJ323:CJ386" si="34">_xlfn.CONCAT(C323,"_",CI323)</f>
        <v>5591_2016</v>
      </c>
    </row>
    <row r="324" spans="1:88" x14ac:dyDescent="0.25">
      <c r="A324" t="s">
        <v>111</v>
      </c>
      <c r="B324" t="s">
        <v>157</v>
      </c>
      <c r="C324">
        <v>5591</v>
      </c>
      <c r="D324">
        <v>-37.876854999999999</v>
      </c>
      <c r="E324">
        <v>144.72165799999999</v>
      </c>
      <c r="F324">
        <v>2</v>
      </c>
      <c r="G324" t="s">
        <v>172</v>
      </c>
      <c r="H324">
        <v>4</v>
      </c>
      <c r="I324">
        <v>184</v>
      </c>
      <c r="J324">
        <v>258</v>
      </c>
      <c r="K324">
        <v>78</v>
      </c>
      <c r="T324">
        <v>37</v>
      </c>
      <c r="Y324">
        <v>37</v>
      </c>
      <c r="AX324">
        <v>37</v>
      </c>
      <c r="AY324">
        <v>37</v>
      </c>
      <c r="AZ324">
        <v>74</v>
      </c>
      <c r="BA324">
        <v>37</v>
      </c>
      <c r="BB324">
        <v>37</v>
      </c>
      <c r="BC324">
        <v>74</v>
      </c>
      <c r="BP324">
        <v>72</v>
      </c>
      <c r="BR324">
        <v>1</v>
      </c>
      <c r="BS324">
        <v>1</v>
      </c>
      <c r="BT324">
        <v>0</v>
      </c>
      <c r="BV324">
        <v>0</v>
      </c>
      <c r="BW324">
        <v>74</v>
      </c>
      <c r="BX324">
        <f t="shared" si="32"/>
        <v>17</v>
      </c>
      <c r="BY324" s="5">
        <f t="shared" si="29"/>
        <v>3.3529411764705883</v>
      </c>
      <c r="BZ324" s="6">
        <f t="shared" si="28"/>
        <v>3.3529411764705883</v>
      </c>
      <c r="CA324" s="7">
        <v>43051</v>
      </c>
      <c r="CE324">
        <v>13</v>
      </c>
      <c r="CF324">
        <v>34</v>
      </c>
      <c r="CG324">
        <v>17</v>
      </c>
      <c r="CH324">
        <v>10</v>
      </c>
      <c r="CI324">
        <f t="shared" si="33"/>
        <v>2017</v>
      </c>
      <c r="CJ324" t="str">
        <f t="shared" si="34"/>
        <v>5591_2017</v>
      </c>
    </row>
    <row r="325" spans="1:88" x14ac:dyDescent="0.25">
      <c r="A325" t="s">
        <v>111</v>
      </c>
      <c r="B325" t="s">
        <v>157</v>
      </c>
      <c r="C325">
        <v>5591</v>
      </c>
      <c r="D325">
        <v>-37.876854999999999</v>
      </c>
      <c r="E325">
        <v>144.72165799999999</v>
      </c>
      <c r="F325">
        <v>2</v>
      </c>
      <c r="G325" t="s">
        <v>172</v>
      </c>
      <c r="H325">
        <v>4</v>
      </c>
      <c r="I325">
        <v>184</v>
      </c>
      <c r="J325">
        <v>258</v>
      </c>
      <c r="K325">
        <v>78</v>
      </c>
      <c r="T325">
        <v>41</v>
      </c>
      <c r="Y325">
        <v>23</v>
      </c>
      <c r="AX325">
        <v>41</v>
      </c>
      <c r="AY325">
        <v>23</v>
      </c>
      <c r="AZ325">
        <v>64</v>
      </c>
      <c r="BA325">
        <v>23</v>
      </c>
      <c r="BB325">
        <v>41</v>
      </c>
      <c r="BC325">
        <v>64</v>
      </c>
      <c r="BP325">
        <v>45</v>
      </c>
      <c r="BR325">
        <v>15</v>
      </c>
      <c r="BS325">
        <v>1</v>
      </c>
      <c r="BT325">
        <v>3</v>
      </c>
      <c r="BV325">
        <v>0</v>
      </c>
      <c r="BW325">
        <v>64</v>
      </c>
      <c r="BX325">
        <f t="shared" si="32"/>
        <v>74</v>
      </c>
      <c r="BY325" s="5">
        <f t="shared" si="29"/>
        <v>-0.13513513513513514</v>
      </c>
      <c r="BZ325" s="6">
        <f t="shared" ref="BZ325:BZ388" si="35">BY325</f>
        <v>-0.13513513513513514</v>
      </c>
      <c r="CA325" s="7">
        <v>43443</v>
      </c>
      <c r="CE325">
        <v>10</v>
      </c>
      <c r="CF325">
        <v>17</v>
      </c>
      <c r="CG325">
        <v>17</v>
      </c>
      <c r="CH325">
        <v>20</v>
      </c>
      <c r="CI325">
        <f t="shared" si="33"/>
        <v>2018</v>
      </c>
      <c r="CJ325" t="str">
        <f t="shared" si="34"/>
        <v>5591_2018</v>
      </c>
    </row>
    <row r="326" spans="1:88" x14ac:dyDescent="0.25">
      <c r="A326" t="s">
        <v>111</v>
      </c>
      <c r="B326" t="s">
        <v>157</v>
      </c>
      <c r="C326">
        <v>5591</v>
      </c>
      <c r="D326">
        <v>-37.876899999999999</v>
      </c>
      <c r="E326">
        <v>144.7217</v>
      </c>
      <c r="F326">
        <v>2</v>
      </c>
      <c r="G326" t="s">
        <v>172</v>
      </c>
      <c r="H326">
        <v>4</v>
      </c>
      <c r="I326">
        <v>184</v>
      </c>
      <c r="J326">
        <v>258</v>
      </c>
      <c r="K326">
        <v>78</v>
      </c>
      <c r="T326">
        <v>25</v>
      </c>
      <c r="Y326">
        <v>15</v>
      </c>
      <c r="AX326">
        <v>25</v>
      </c>
      <c r="AY326">
        <v>15</v>
      </c>
      <c r="AZ326">
        <v>40</v>
      </c>
      <c r="BA326">
        <v>15</v>
      </c>
      <c r="BB326">
        <v>25</v>
      </c>
      <c r="BC326">
        <v>40</v>
      </c>
      <c r="BP326">
        <v>29</v>
      </c>
      <c r="BR326">
        <v>7</v>
      </c>
      <c r="BS326">
        <v>4</v>
      </c>
      <c r="BT326">
        <v>0</v>
      </c>
      <c r="BV326">
        <v>0</v>
      </c>
      <c r="BW326">
        <v>40</v>
      </c>
      <c r="BX326">
        <f t="shared" si="32"/>
        <v>64</v>
      </c>
      <c r="BY326" s="5">
        <f t="shared" si="29"/>
        <v>-0.375</v>
      </c>
      <c r="BZ326" s="6">
        <f t="shared" si="35"/>
        <v>-0.375</v>
      </c>
      <c r="CA326" s="7">
        <v>43779</v>
      </c>
      <c r="CE326">
        <v>20</v>
      </c>
      <c r="CF326">
        <v>4</v>
      </c>
      <c r="CG326">
        <v>13</v>
      </c>
      <c r="CH326">
        <v>3</v>
      </c>
      <c r="CI326">
        <f t="shared" si="33"/>
        <v>2019</v>
      </c>
      <c r="CJ326" t="str">
        <f t="shared" si="34"/>
        <v>5591_2019</v>
      </c>
    </row>
    <row r="327" spans="1:88" x14ac:dyDescent="0.25">
      <c r="A327" t="s">
        <v>111</v>
      </c>
      <c r="B327" t="s">
        <v>157</v>
      </c>
      <c r="C327">
        <v>5591</v>
      </c>
      <c r="D327">
        <v>-37.876854999999999</v>
      </c>
      <c r="E327">
        <v>144.72165799999999</v>
      </c>
      <c r="F327">
        <v>2</v>
      </c>
      <c r="G327" t="s">
        <v>172</v>
      </c>
      <c r="H327">
        <v>4</v>
      </c>
      <c r="I327">
        <v>184</v>
      </c>
      <c r="J327">
        <v>258</v>
      </c>
      <c r="K327">
        <v>78</v>
      </c>
      <c r="T327">
        <v>36</v>
      </c>
      <c r="Y327">
        <v>25</v>
      </c>
      <c r="AX327">
        <v>36</v>
      </c>
      <c r="AY327">
        <v>25</v>
      </c>
      <c r="AZ327">
        <v>61</v>
      </c>
      <c r="BA327">
        <v>25</v>
      </c>
      <c r="BB327">
        <v>36</v>
      </c>
      <c r="BC327">
        <v>61</v>
      </c>
      <c r="BP327">
        <v>56</v>
      </c>
      <c r="BR327">
        <v>4</v>
      </c>
      <c r="BS327">
        <v>1</v>
      </c>
      <c r="BT327">
        <v>0</v>
      </c>
      <c r="BV327">
        <v>0</v>
      </c>
      <c r="BW327">
        <v>61</v>
      </c>
      <c r="BX327" t="str">
        <f t="shared" si="32"/>
        <v>no data</v>
      </c>
      <c r="BY327" s="5"/>
      <c r="BZ327" s="6"/>
      <c r="CA327" s="7">
        <v>44528</v>
      </c>
      <c r="CE327">
        <v>29</v>
      </c>
      <c r="CF327">
        <v>19</v>
      </c>
      <c r="CG327">
        <v>13</v>
      </c>
      <c r="CI327">
        <f t="shared" si="33"/>
        <v>2021</v>
      </c>
      <c r="CJ327" t="str">
        <f t="shared" si="34"/>
        <v>5591_2021</v>
      </c>
    </row>
    <row r="328" spans="1:88" x14ac:dyDescent="0.25">
      <c r="A328" t="s">
        <v>111</v>
      </c>
      <c r="B328" t="s">
        <v>157</v>
      </c>
      <c r="C328">
        <v>5591</v>
      </c>
      <c r="D328">
        <v>-37.876854999999999</v>
      </c>
      <c r="E328">
        <v>144.72165799999999</v>
      </c>
      <c r="F328">
        <v>2</v>
      </c>
      <c r="G328" t="s">
        <v>172</v>
      </c>
      <c r="H328">
        <v>4</v>
      </c>
      <c r="I328">
        <v>184</v>
      </c>
      <c r="J328">
        <v>258</v>
      </c>
      <c r="K328">
        <v>78</v>
      </c>
      <c r="T328">
        <v>23</v>
      </c>
      <c r="Y328">
        <v>8</v>
      </c>
      <c r="AX328">
        <v>23</v>
      </c>
      <c r="AY328">
        <v>8</v>
      </c>
      <c r="AZ328">
        <v>31</v>
      </c>
      <c r="BA328">
        <v>8</v>
      </c>
      <c r="BB328">
        <v>23</v>
      </c>
      <c r="BC328">
        <v>31</v>
      </c>
      <c r="BP328">
        <v>18</v>
      </c>
      <c r="BR328">
        <v>8</v>
      </c>
      <c r="BS328">
        <v>4</v>
      </c>
      <c r="BT328">
        <v>0</v>
      </c>
      <c r="BU328">
        <v>1</v>
      </c>
      <c r="BV328">
        <v>0</v>
      </c>
      <c r="BW328">
        <v>31</v>
      </c>
      <c r="BX328">
        <f t="shared" si="32"/>
        <v>61</v>
      </c>
      <c r="BY328" s="5">
        <f t="shared" si="29"/>
        <v>-0.49180327868852458</v>
      </c>
      <c r="BZ328" s="6">
        <f t="shared" si="35"/>
        <v>-0.49180327868852458</v>
      </c>
      <c r="CA328" s="7">
        <v>44906</v>
      </c>
      <c r="CE328">
        <v>19</v>
      </c>
      <c r="CF328">
        <v>6</v>
      </c>
      <c r="CG328">
        <v>6</v>
      </c>
      <c r="CI328">
        <f t="shared" si="33"/>
        <v>2022</v>
      </c>
      <c r="CJ328" t="str">
        <f t="shared" si="34"/>
        <v>5591_2022</v>
      </c>
    </row>
    <row r="329" spans="1:88" x14ac:dyDescent="0.25">
      <c r="A329" t="s">
        <v>111</v>
      </c>
      <c r="B329" t="s">
        <v>157</v>
      </c>
      <c r="C329">
        <v>5592</v>
      </c>
      <c r="D329">
        <v>-37.868899999999996</v>
      </c>
      <c r="E329">
        <v>144.72069999999999</v>
      </c>
      <c r="F329">
        <v>3</v>
      </c>
      <c r="G329" t="s">
        <v>173</v>
      </c>
      <c r="H329">
        <v>58</v>
      </c>
      <c r="I329">
        <v>238</v>
      </c>
      <c r="J329">
        <v>147</v>
      </c>
      <c r="K329">
        <v>327</v>
      </c>
      <c r="L329">
        <v>271</v>
      </c>
      <c r="M329">
        <v>91</v>
      </c>
      <c r="T329">
        <v>4</v>
      </c>
      <c r="U329">
        <v>19</v>
      </c>
      <c r="Y329">
        <v>12</v>
      </c>
      <c r="Z329">
        <v>8</v>
      </c>
      <c r="AD329">
        <v>21</v>
      </c>
      <c r="AE329">
        <v>14</v>
      </c>
      <c r="AX329">
        <v>23</v>
      </c>
      <c r="AY329">
        <v>33</v>
      </c>
      <c r="AZ329">
        <v>56</v>
      </c>
      <c r="BA329">
        <v>20</v>
      </c>
      <c r="BB329">
        <v>18</v>
      </c>
      <c r="BC329">
        <v>38</v>
      </c>
      <c r="BD329">
        <v>35</v>
      </c>
      <c r="BE329">
        <v>27</v>
      </c>
      <c r="BF329">
        <v>62</v>
      </c>
      <c r="BP329">
        <v>62</v>
      </c>
      <c r="BR329">
        <v>8</v>
      </c>
      <c r="BS329">
        <v>4</v>
      </c>
      <c r="BT329">
        <v>4</v>
      </c>
      <c r="BV329">
        <v>0</v>
      </c>
      <c r="BW329">
        <v>78</v>
      </c>
      <c r="BX329" t="s">
        <v>82</v>
      </c>
      <c r="BY329" s="5"/>
      <c r="BZ329" s="6"/>
      <c r="CA329" s="7">
        <v>40853</v>
      </c>
      <c r="CI329">
        <f t="shared" si="33"/>
        <v>2011</v>
      </c>
      <c r="CJ329" t="str">
        <f t="shared" si="34"/>
        <v>5592_2011</v>
      </c>
    </row>
    <row r="330" spans="1:88" x14ac:dyDescent="0.25">
      <c r="A330" t="s">
        <v>111</v>
      </c>
      <c r="B330" t="s">
        <v>157</v>
      </c>
      <c r="C330">
        <v>5592</v>
      </c>
      <c r="D330">
        <v>-37.868899999999996</v>
      </c>
      <c r="E330">
        <v>144.72069999999999</v>
      </c>
      <c r="F330">
        <v>3</v>
      </c>
      <c r="G330" t="s">
        <v>173</v>
      </c>
      <c r="H330">
        <v>58</v>
      </c>
      <c r="I330">
        <v>238</v>
      </c>
      <c r="J330">
        <v>147</v>
      </c>
      <c r="K330">
        <v>327</v>
      </c>
      <c r="L330">
        <v>271</v>
      </c>
      <c r="M330">
        <v>91</v>
      </c>
      <c r="T330">
        <v>19</v>
      </c>
      <c r="U330">
        <v>7</v>
      </c>
      <c r="Y330">
        <v>10</v>
      </c>
      <c r="Z330">
        <v>25</v>
      </c>
      <c r="AD330">
        <v>20</v>
      </c>
      <c r="AE330">
        <v>15</v>
      </c>
      <c r="AX330">
        <v>26</v>
      </c>
      <c r="AY330">
        <v>30</v>
      </c>
      <c r="AZ330">
        <v>56</v>
      </c>
      <c r="BA330">
        <v>35</v>
      </c>
      <c r="BB330">
        <v>34</v>
      </c>
      <c r="BC330">
        <v>69</v>
      </c>
      <c r="BD330">
        <v>35</v>
      </c>
      <c r="BE330">
        <v>32</v>
      </c>
      <c r="BF330">
        <v>67</v>
      </c>
      <c r="BP330">
        <v>51</v>
      </c>
      <c r="BR330">
        <v>22</v>
      </c>
      <c r="BS330">
        <v>10</v>
      </c>
      <c r="BT330">
        <v>9</v>
      </c>
      <c r="BV330">
        <v>4</v>
      </c>
      <c r="BW330">
        <v>96</v>
      </c>
      <c r="BX330" t="str">
        <f t="shared" ref="BX330:BX338" si="36">IF(C330=C329,IF((CI330-1)=CI329,BW329,"no data"))</f>
        <v>no data</v>
      </c>
      <c r="BY330" s="5"/>
      <c r="BZ330" s="6"/>
      <c r="CA330" s="7">
        <v>41588</v>
      </c>
      <c r="CI330">
        <f t="shared" si="33"/>
        <v>2013</v>
      </c>
      <c r="CJ330" t="str">
        <f t="shared" si="34"/>
        <v>5592_2013</v>
      </c>
    </row>
    <row r="331" spans="1:88" x14ac:dyDescent="0.25">
      <c r="A331" t="s">
        <v>111</v>
      </c>
      <c r="B331" t="s">
        <v>157</v>
      </c>
      <c r="C331">
        <v>5592</v>
      </c>
      <c r="D331">
        <v>-37.868899999999996</v>
      </c>
      <c r="E331">
        <v>144.72069999999999</v>
      </c>
      <c r="F331">
        <v>3</v>
      </c>
      <c r="G331" t="s">
        <v>173</v>
      </c>
      <c r="H331">
        <v>58</v>
      </c>
      <c r="I331">
        <v>238</v>
      </c>
      <c r="J331">
        <v>147</v>
      </c>
      <c r="K331">
        <v>327</v>
      </c>
      <c r="L331">
        <v>271</v>
      </c>
      <c r="M331">
        <v>91</v>
      </c>
      <c r="T331">
        <v>33</v>
      </c>
      <c r="U331">
        <v>57</v>
      </c>
      <c r="Y331">
        <v>23</v>
      </c>
      <c r="Z331">
        <v>19</v>
      </c>
      <c r="AD331">
        <v>28</v>
      </c>
      <c r="AE331">
        <v>23</v>
      </c>
      <c r="AX331">
        <v>90</v>
      </c>
      <c r="AY331">
        <v>51</v>
      </c>
      <c r="AZ331">
        <v>141</v>
      </c>
      <c r="BA331">
        <v>42</v>
      </c>
      <c r="BB331">
        <v>56</v>
      </c>
      <c r="BC331">
        <v>98</v>
      </c>
      <c r="BD331">
        <v>51</v>
      </c>
      <c r="BE331">
        <v>76</v>
      </c>
      <c r="BF331">
        <v>127</v>
      </c>
      <c r="BP331">
        <v>140</v>
      </c>
      <c r="BR331">
        <v>22</v>
      </c>
      <c r="BS331">
        <v>8</v>
      </c>
      <c r="BT331">
        <v>12</v>
      </c>
      <c r="BV331">
        <v>1</v>
      </c>
      <c r="BW331">
        <v>183</v>
      </c>
      <c r="BX331">
        <f t="shared" si="36"/>
        <v>96</v>
      </c>
      <c r="BY331" s="5">
        <f t="shared" si="29"/>
        <v>0.90625</v>
      </c>
      <c r="BZ331" s="6">
        <f t="shared" si="35"/>
        <v>0.90625</v>
      </c>
      <c r="CA331" s="7">
        <v>41952</v>
      </c>
      <c r="CI331">
        <f t="shared" si="33"/>
        <v>2014</v>
      </c>
      <c r="CJ331" t="str">
        <f t="shared" si="34"/>
        <v>5592_2014</v>
      </c>
    </row>
    <row r="332" spans="1:88" x14ac:dyDescent="0.25">
      <c r="A332" t="s">
        <v>111</v>
      </c>
      <c r="B332" t="s">
        <v>157</v>
      </c>
      <c r="C332">
        <v>5592</v>
      </c>
      <c r="D332">
        <v>-37.868899999999996</v>
      </c>
      <c r="E332">
        <v>144.72069999999999</v>
      </c>
      <c r="F332">
        <v>3</v>
      </c>
      <c r="G332" t="s">
        <v>173</v>
      </c>
      <c r="H332">
        <v>58</v>
      </c>
      <c r="I332">
        <v>238</v>
      </c>
      <c r="J332">
        <v>147</v>
      </c>
      <c r="K332">
        <v>327</v>
      </c>
      <c r="L332">
        <v>271</v>
      </c>
      <c r="M332">
        <v>91</v>
      </c>
      <c r="T332">
        <v>43</v>
      </c>
      <c r="U332">
        <v>39</v>
      </c>
      <c r="Y332">
        <v>30</v>
      </c>
      <c r="Z332">
        <v>53</v>
      </c>
      <c r="AD332">
        <v>61</v>
      </c>
      <c r="AE332">
        <v>33</v>
      </c>
      <c r="AX332">
        <v>82</v>
      </c>
      <c r="AY332">
        <v>91</v>
      </c>
      <c r="AZ332">
        <v>173</v>
      </c>
      <c r="BA332">
        <v>83</v>
      </c>
      <c r="BB332">
        <v>76</v>
      </c>
      <c r="BC332">
        <v>159</v>
      </c>
      <c r="BD332">
        <v>94</v>
      </c>
      <c r="BE332">
        <v>92</v>
      </c>
      <c r="BF332">
        <v>186</v>
      </c>
      <c r="BP332">
        <v>185</v>
      </c>
      <c r="BR332">
        <v>40</v>
      </c>
      <c r="BS332">
        <v>7</v>
      </c>
      <c r="BT332">
        <v>22</v>
      </c>
      <c r="BV332">
        <v>5</v>
      </c>
      <c r="BW332">
        <v>259</v>
      </c>
      <c r="BX332">
        <f t="shared" si="36"/>
        <v>183</v>
      </c>
      <c r="BY332" s="5">
        <f t="shared" si="29"/>
        <v>0.41530054644808745</v>
      </c>
      <c r="BZ332" s="6">
        <f t="shared" si="35"/>
        <v>0.41530054644808745</v>
      </c>
      <c r="CA332" s="7">
        <v>42316</v>
      </c>
      <c r="CE332">
        <v>259</v>
      </c>
      <c r="CF332">
        <v>0</v>
      </c>
      <c r="CG332">
        <v>0</v>
      </c>
      <c r="CH332">
        <v>0</v>
      </c>
      <c r="CI332">
        <f t="shared" si="33"/>
        <v>2015</v>
      </c>
      <c r="CJ332" t="str">
        <f t="shared" si="34"/>
        <v>5592_2015</v>
      </c>
    </row>
    <row r="333" spans="1:88" x14ac:dyDescent="0.25">
      <c r="A333" t="s">
        <v>111</v>
      </c>
      <c r="B333" t="s">
        <v>157</v>
      </c>
      <c r="C333">
        <v>5592</v>
      </c>
      <c r="D333">
        <v>-37.868875000000003</v>
      </c>
      <c r="E333">
        <v>144.720685</v>
      </c>
      <c r="F333">
        <v>3</v>
      </c>
      <c r="G333" t="s">
        <v>173</v>
      </c>
      <c r="H333">
        <v>58</v>
      </c>
      <c r="I333">
        <v>238</v>
      </c>
      <c r="J333">
        <v>147</v>
      </c>
      <c r="K333">
        <v>327</v>
      </c>
      <c r="L333">
        <v>271</v>
      </c>
      <c r="M333">
        <v>91</v>
      </c>
      <c r="T333">
        <v>1</v>
      </c>
      <c r="U333">
        <v>17</v>
      </c>
      <c r="Y333">
        <v>10</v>
      </c>
      <c r="Z333">
        <v>11</v>
      </c>
      <c r="AD333">
        <v>15</v>
      </c>
      <c r="AE333">
        <v>6</v>
      </c>
      <c r="AX333">
        <v>18</v>
      </c>
      <c r="AY333">
        <v>25</v>
      </c>
      <c r="AZ333">
        <v>43</v>
      </c>
      <c r="BA333">
        <v>21</v>
      </c>
      <c r="BB333">
        <v>7</v>
      </c>
      <c r="BC333">
        <v>28</v>
      </c>
      <c r="BD333">
        <v>21</v>
      </c>
      <c r="BE333">
        <v>28</v>
      </c>
      <c r="BF333">
        <v>49</v>
      </c>
      <c r="BP333">
        <v>14</v>
      </c>
      <c r="BR333">
        <v>31</v>
      </c>
      <c r="BS333">
        <v>2</v>
      </c>
      <c r="BT333">
        <v>13</v>
      </c>
      <c r="BV333">
        <v>0</v>
      </c>
      <c r="BW333">
        <v>60</v>
      </c>
      <c r="BX333">
        <f t="shared" si="36"/>
        <v>259</v>
      </c>
      <c r="BY333" s="5">
        <f t="shared" si="29"/>
        <v>-0.76833976833976836</v>
      </c>
      <c r="BZ333" s="6">
        <f t="shared" si="35"/>
        <v>-0.76833976833976836</v>
      </c>
      <c r="CA333" s="7">
        <v>42687</v>
      </c>
      <c r="CE333">
        <v>8</v>
      </c>
      <c r="CF333">
        <v>22</v>
      </c>
      <c r="CG333">
        <v>10</v>
      </c>
      <c r="CH333">
        <v>20</v>
      </c>
      <c r="CI333">
        <f t="shared" si="33"/>
        <v>2016</v>
      </c>
      <c r="CJ333" t="str">
        <f t="shared" si="34"/>
        <v>5592_2016</v>
      </c>
    </row>
    <row r="334" spans="1:88" x14ac:dyDescent="0.25">
      <c r="A334" t="s">
        <v>111</v>
      </c>
      <c r="B334" t="s">
        <v>157</v>
      </c>
      <c r="C334">
        <v>5592</v>
      </c>
      <c r="D334">
        <v>-37.868875000000003</v>
      </c>
      <c r="E334">
        <v>144.720685</v>
      </c>
      <c r="F334">
        <v>3</v>
      </c>
      <c r="G334" t="s">
        <v>173</v>
      </c>
      <c r="H334">
        <v>58</v>
      </c>
      <c r="I334">
        <v>238</v>
      </c>
      <c r="J334">
        <v>147</v>
      </c>
      <c r="K334">
        <v>327</v>
      </c>
      <c r="L334">
        <v>271</v>
      </c>
      <c r="M334">
        <v>91</v>
      </c>
      <c r="T334">
        <v>34</v>
      </c>
      <c r="U334">
        <v>34</v>
      </c>
      <c r="Y334">
        <v>46</v>
      </c>
      <c r="Z334">
        <v>31</v>
      </c>
      <c r="AD334">
        <v>31</v>
      </c>
      <c r="AE334">
        <v>46</v>
      </c>
      <c r="AX334">
        <v>68</v>
      </c>
      <c r="AY334">
        <v>77</v>
      </c>
      <c r="AZ334">
        <v>145</v>
      </c>
      <c r="BA334">
        <v>77</v>
      </c>
      <c r="BB334">
        <v>80</v>
      </c>
      <c r="BC334">
        <v>157</v>
      </c>
      <c r="BD334">
        <v>77</v>
      </c>
      <c r="BE334">
        <v>65</v>
      </c>
      <c r="BF334">
        <v>142</v>
      </c>
      <c r="BP334">
        <v>147</v>
      </c>
      <c r="BR334">
        <v>38</v>
      </c>
      <c r="BS334">
        <v>8</v>
      </c>
      <c r="BT334">
        <v>15</v>
      </c>
      <c r="BV334">
        <v>14</v>
      </c>
      <c r="BW334">
        <v>222</v>
      </c>
      <c r="BX334">
        <f t="shared" si="36"/>
        <v>60</v>
      </c>
      <c r="BY334" s="5">
        <f t="shared" ref="BY334:BY394" si="37">(BW334-BX334)/BX334</f>
        <v>2.7</v>
      </c>
      <c r="BZ334" s="6">
        <f t="shared" si="35"/>
        <v>2.7</v>
      </c>
      <c r="CA334" s="7">
        <v>43051</v>
      </c>
      <c r="CE334">
        <v>55</v>
      </c>
      <c r="CF334">
        <v>78</v>
      </c>
      <c r="CG334">
        <v>55</v>
      </c>
      <c r="CH334">
        <v>34</v>
      </c>
      <c r="CI334">
        <f t="shared" si="33"/>
        <v>2017</v>
      </c>
      <c r="CJ334" t="str">
        <f t="shared" si="34"/>
        <v>5592_2017</v>
      </c>
    </row>
    <row r="335" spans="1:88" x14ac:dyDescent="0.25">
      <c r="A335" t="s">
        <v>111</v>
      </c>
      <c r="B335" t="s">
        <v>157</v>
      </c>
      <c r="C335">
        <v>5592</v>
      </c>
      <c r="D335">
        <v>-37.868875000000003</v>
      </c>
      <c r="E335">
        <v>144.720685</v>
      </c>
      <c r="F335">
        <v>3</v>
      </c>
      <c r="G335" t="s">
        <v>173</v>
      </c>
      <c r="H335">
        <v>58</v>
      </c>
      <c r="I335">
        <v>238</v>
      </c>
      <c r="J335">
        <v>147</v>
      </c>
      <c r="K335">
        <v>327</v>
      </c>
      <c r="L335">
        <v>271</v>
      </c>
      <c r="M335">
        <v>91</v>
      </c>
      <c r="T335">
        <v>44</v>
      </c>
      <c r="U335">
        <v>42</v>
      </c>
      <c r="Y335">
        <v>58</v>
      </c>
      <c r="Z335">
        <v>1</v>
      </c>
      <c r="AD335">
        <v>31</v>
      </c>
      <c r="AE335">
        <v>3</v>
      </c>
      <c r="AX335">
        <v>86</v>
      </c>
      <c r="AY335">
        <v>89</v>
      </c>
      <c r="AZ335">
        <v>175</v>
      </c>
      <c r="BA335">
        <v>59</v>
      </c>
      <c r="BB335">
        <v>47</v>
      </c>
      <c r="BC335">
        <v>106</v>
      </c>
      <c r="BD335">
        <v>34</v>
      </c>
      <c r="BE335">
        <v>43</v>
      </c>
      <c r="BF335">
        <v>77</v>
      </c>
      <c r="BP335">
        <v>106</v>
      </c>
      <c r="BR335">
        <v>36</v>
      </c>
      <c r="BS335">
        <v>15</v>
      </c>
      <c r="BT335">
        <v>18</v>
      </c>
      <c r="BV335">
        <v>4</v>
      </c>
      <c r="BW335">
        <v>179</v>
      </c>
      <c r="BX335">
        <f t="shared" si="36"/>
        <v>222</v>
      </c>
      <c r="BY335" s="5">
        <f t="shared" si="37"/>
        <v>-0.19369369369369369</v>
      </c>
      <c r="BZ335" s="6">
        <f t="shared" si="35"/>
        <v>-0.19369369369369369</v>
      </c>
      <c r="CA335" s="7">
        <v>43415</v>
      </c>
      <c r="CE335">
        <v>24</v>
      </c>
      <c r="CF335">
        <v>66</v>
      </c>
      <c r="CG335">
        <v>63</v>
      </c>
      <c r="CH335">
        <v>26</v>
      </c>
      <c r="CI335">
        <f t="shared" si="33"/>
        <v>2018</v>
      </c>
      <c r="CJ335" t="str">
        <f t="shared" si="34"/>
        <v>5592_2018</v>
      </c>
    </row>
    <row r="336" spans="1:88" x14ac:dyDescent="0.25">
      <c r="A336" t="s">
        <v>111</v>
      </c>
      <c r="B336" t="s">
        <v>157</v>
      </c>
      <c r="C336">
        <v>5592</v>
      </c>
      <c r="D336">
        <v>-37.868899999999996</v>
      </c>
      <c r="E336">
        <v>144.72069999999999</v>
      </c>
      <c r="F336">
        <v>3</v>
      </c>
      <c r="G336" t="s">
        <v>173</v>
      </c>
      <c r="H336">
        <v>58</v>
      </c>
      <c r="I336">
        <v>238</v>
      </c>
      <c r="J336">
        <v>147</v>
      </c>
      <c r="K336">
        <v>327</v>
      </c>
      <c r="L336">
        <v>271</v>
      </c>
      <c r="M336">
        <v>91</v>
      </c>
      <c r="T336">
        <v>41</v>
      </c>
      <c r="U336">
        <v>13</v>
      </c>
      <c r="Y336">
        <v>15</v>
      </c>
      <c r="Z336">
        <v>23</v>
      </c>
      <c r="AD336">
        <v>18</v>
      </c>
      <c r="AE336">
        <v>27</v>
      </c>
      <c r="AX336">
        <v>54</v>
      </c>
      <c r="AY336">
        <v>33</v>
      </c>
      <c r="AZ336">
        <v>87</v>
      </c>
      <c r="BA336">
        <v>38</v>
      </c>
      <c r="BB336">
        <v>68</v>
      </c>
      <c r="BC336">
        <v>106</v>
      </c>
      <c r="BD336">
        <v>45</v>
      </c>
      <c r="BE336">
        <v>36</v>
      </c>
      <c r="BF336">
        <v>81</v>
      </c>
      <c r="BP336">
        <v>49</v>
      </c>
      <c r="BR336">
        <v>54</v>
      </c>
      <c r="BS336">
        <v>17</v>
      </c>
      <c r="BT336">
        <v>13</v>
      </c>
      <c r="BV336">
        <v>4</v>
      </c>
      <c r="BW336">
        <v>137</v>
      </c>
      <c r="BX336">
        <f t="shared" si="36"/>
        <v>179</v>
      </c>
      <c r="BY336" s="5">
        <f t="shared" si="37"/>
        <v>-0.23463687150837989</v>
      </c>
      <c r="BZ336" s="6">
        <f t="shared" si="35"/>
        <v>-0.23463687150837989</v>
      </c>
      <c r="CA336" s="7">
        <v>43779</v>
      </c>
      <c r="CE336">
        <v>56</v>
      </c>
      <c r="CF336">
        <v>35</v>
      </c>
      <c r="CG336">
        <v>28</v>
      </c>
      <c r="CH336">
        <v>18</v>
      </c>
      <c r="CI336">
        <f t="shared" si="33"/>
        <v>2019</v>
      </c>
      <c r="CJ336" t="str">
        <f t="shared" si="34"/>
        <v>5592_2019</v>
      </c>
    </row>
    <row r="337" spans="1:88" x14ac:dyDescent="0.25">
      <c r="A337" t="s">
        <v>111</v>
      </c>
      <c r="B337" t="s">
        <v>157</v>
      </c>
      <c r="C337">
        <v>5592</v>
      </c>
      <c r="D337">
        <v>-37.868875000000003</v>
      </c>
      <c r="E337">
        <v>144.720685</v>
      </c>
      <c r="F337">
        <v>3</v>
      </c>
      <c r="G337" t="s">
        <v>173</v>
      </c>
      <c r="H337">
        <v>58</v>
      </c>
      <c r="I337">
        <v>238</v>
      </c>
      <c r="J337">
        <v>147</v>
      </c>
      <c r="K337">
        <v>327</v>
      </c>
      <c r="L337">
        <v>271</v>
      </c>
      <c r="M337">
        <v>91</v>
      </c>
      <c r="T337">
        <v>29</v>
      </c>
      <c r="U337">
        <v>32</v>
      </c>
      <c r="Y337">
        <v>25</v>
      </c>
      <c r="Z337">
        <v>22</v>
      </c>
      <c r="AD337">
        <v>35</v>
      </c>
      <c r="AE337">
        <v>30</v>
      </c>
      <c r="AX337">
        <v>61</v>
      </c>
      <c r="AY337">
        <v>60</v>
      </c>
      <c r="AZ337">
        <v>121</v>
      </c>
      <c r="BA337">
        <v>47</v>
      </c>
      <c r="BB337">
        <v>59</v>
      </c>
      <c r="BC337">
        <v>106</v>
      </c>
      <c r="BD337">
        <v>65</v>
      </c>
      <c r="BE337">
        <v>54</v>
      </c>
      <c r="BF337">
        <v>119</v>
      </c>
      <c r="BP337">
        <v>102</v>
      </c>
      <c r="BR337">
        <v>52</v>
      </c>
      <c r="BS337">
        <v>6</v>
      </c>
      <c r="BT337">
        <v>8</v>
      </c>
      <c r="BV337">
        <v>5</v>
      </c>
      <c r="BW337">
        <v>173</v>
      </c>
      <c r="BX337" t="str">
        <f t="shared" si="36"/>
        <v>no data</v>
      </c>
      <c r="BY337" s="5"/>
      <c r="BZ337" s="6"/>
      <c r="CA337" s="7">
        <v>44528</v>
      </c>
      <c r="CE337">
        <v>61</v>
      </c>
      <c r="CF337">
        <v>66</v>
      </c>
      <c r="CG337">
        <v>46</v>
      </c>
      <c r="CI337">
        <f t="shared" si="33"/>
        <v>2021</v>
      </c>
      <c r="CJ337" t="str">
        <f t="shared" si="34"/>
        <v>5592_2021</v>
      </c>
    </row>
    <row r="338" spans="1:88" x14ac:dyDescent="0.25">
      <c r="A338" t="s">
        <v>111</v>
      </c>
      <c r="B338" t="s">
        <v>157</v>
      </c>
      <c r="C338">
        <v>5592</v>
      </c>
      <c r="D338">
        <v>-37.868875000000003</v>
      </c>
      <c r="E338">
        <v>144.720685</v>
      </c>
      <c r="F338">
        <v>3</v>
      </c>
      <c r="G338" t="s">
        <v>173</v>
      </c>
      <c r="H338">
        <v>58</v>
      </c>
      <c r="I338">
        <v>238</v>
      </c>
      <c r="J338">
        <v>147</v>
      </c>
      <c r="K338">
        <v>327</v>
      </c>
      <c r="L338">
        <v>271</v>
      </c>
      <c r="M338">
        <v>91</v>
      </c>
      <c r="T338">
        <v>32</v>
      </c>
      <c r="U338">
        <v>42</v>
      </c>
      <c r="Y338">
        <v>18</v>
      </c>
      <c r="Z338">
        <v>17</v>
      </c>
      <c r="AD338">
        <v>33</v>
      </c>
      <c r="AE338">
        <v>29</v>
      </c>
      <c r="AX338">
        <v>74</v>
      </c>
      <c r="AY338">
        <v>51</v>
      </c>
      <c r="AZ338">
        <v>125</v>
      </c>
      <c r="BA338">
        <v>35</v>
      </c>
      <c r="BB338">
        <v>61</v>
      </c>
      <c r="BC338">
        <v>96</v>
      </c>
      <c r="BD338">
        <v>62</v>
      </c>
      <c r="BE338">
        <v>59</v>
      </c>
      <c r="BF338">
        <v>121</v>
      </c>
      <c r="BP338">
        <v>107</v>
      </c>
      <c r="BR338">
        <v>38</v>
      </c>
      <c r="BS338">
        <v>8</v>
      </c>
      <c r="BT338">
        <v>18</v>
      </c>
      <c r="BU338">
        <v>0</v>
      </c>
      <c r="BV338">
        <v>0</v>
      </c>
      <c r="BW338">
        <v>171</v>
      </c>
      <c r="BX338">
        <f t="shared" si="36"/>
        <v>173</v>
      </c>
      <c r="BY338" s="5">
        <f t="shared" si="37"/>
        <v>-1.1560693641618497E-2</v>
      </c>
      <c r="BZ338" s="6">
        <f t="shared" si="35"/>
        <v>-1.1560693641618497E-2</v>
      </c>
      <c r="CA338" s="7">
        <v>44878</v>
      </c>
      <c r="CE338">
        <v>80</v>
      </c>
      <c r="CF338">
        <v>52</v>
      </c>
      <c r="CG338">
        <v>39</v>
      </c>
      <c r="CI338">
        <f t="shared" si="33"/>
        <v>2022</v>
      </c>
      <c r="CJ338" t="str">
        <f t="shared" si="34"/>
        <v>5592_2022</v>
      </c>
    </row>
    <row r="339" spans="1:88" x14ac:dyDescent="0.25">
      <c r="A339" t="s">
        <v>111</v>
      </c>
      <c r="B339" t="s">
        <v>157</v>
      </c>
      <c r="C339">
        <v>5593</v>
      </c>
      <c r="D339">
        <v>-37.8247</v>
      </c>
      <c r="E339">
        <v>144.8135</v>
      </c>
      <c r="F339">
        <v>3</v>
      </c>
      <c r="G339" t="s">
        <v>174</v>
      </c>
      <c r="H339">
        <v>81</v>
      </c>
      <c r="I339">
        <v>261</v>
      </c>
      <c r="J339">
        <v>244</v>
      </c>
      <c r="K339">
        <v>64</v>
      </c>
      <c r="L339">
        <v>314</v>
      </c>
      <c r="M339">
        <v>134</v>
      </c>
      <c r="T339">
        <v>17</v>
      </c>
      <c r="U339">
        <v>0</v>
      </c>
      <c r="Y339">
        <v>12</v>
      </c>
      <c r="Z339">
        <v>2</v>
      </c>
      <c r="AD339">
        <v>3</v>
      </c>
      <c r="AE339">
        <v>2</v>
      </c>
      <c r="AX339">
        <v>17</v>
      </c>
      <c r="AY339">
        <v>15</v>
      </c>
      <c r="AZ339">
        <v>32</v>
      </c>
      <c r="BA339">
        <v>14</v>
      </c>
      <c r="BB339">
        <v>19</v>
      </c>
      <c r="BC339">
        <v>33</v>
      </c>
      <c r="BD339">
        <v>5</v>
      </c>
      <c r="BE339">
        <v>2</v>
      </c>
      <c r="BF339">
        <v>7</v>
      </c>
      <c r="BP339">
        <v>34</v>
      </c>
      <c r="BR339">
        <v>2</v>
      </c>
      <c r="BS339">
        <v>0</v>
      </c>
      <c r="BT339">
        <v>0</v>
      </c>
      <c r="BV339">
        <v>0</v>
      </c>
      <c r="BW339">
        <v>36</v>
      </c>
      <c r="BX339" t="s">
        <v>82</v>
      </c>
      <c r="BY339" s="5"/>
      <c r="BZ339" s="6"/>
      <c r="CA339" s="7">
        <v>40853</v>
      </c>
      <c r="CI339">
        <f t="shared" si="33"/>
        <v>2011</v>
      </c>
      <c r="CJ339" t="str">
        <f t="shared" si="34"/>
        <v>5593_2011</v>
      </c>
    </row>
    <row r="340" spans="1:88" x14ac:dyDescent="0.25">
      <c r="A340" t="s">
        <v>111</v>
      </c>
      <c r="B340" t="s">
        <v>157</v>
      </c>
      <c r="C340">
        <v>5593</v>
      </c>
      <c r="D340">
        <v>-37.8247</v>
      </c>
      <c r="E340">
        <v>144.8135</v>
      </c>
      <c r="F340">
        <v>3</v>
      </c>
      <c r="G340" t="s">
        <v>174</v>
      </c>
      <c r="H340">
        <v>81</v>
      </c>
      <c r="I340">
        <v>261</v>
      </c>
      <c r="J340">
        <v>244</v>
      </c>
      <c r="K340">
        <v>64</v>
      </c>
      <c r="L340">
        <v>314</v>
      </c>
      <c r="M340">
        <v>134</v>
      </c>
      <c r="T340">
        <v>19</v>
      </c>
      <c r="U340">
        <v>5</v>
      </c>
      <c r="Y340">
        <v>20</v>
      </c>
      <c r="Z340">
        <v>1</v>
      </c>
      <c r="AD340">
        <v>6</v>
      </c>
      <c r="AE340">
        <v>1</v>
      </c>
      <c r="AX340">
        <v>24</v>
      </c>
      <c r="AY340">
        <v>26</v>
      </c>
      <c r="AZ340">
        <v>50</v>
      </c>
      <c r="BA340">
        <v>21</v>
      </c>
      <c r="BB340">
        <v>20</v>
      </c>
      <c r="BC340">
        <v>41</v>
      </c>
      <c r="BD340">
        <v>7</v>
      </c>
      <c r="BE340">
        <v>6</v>
      </c>
      <c r="BF340">
        <v>13</v>
      </c>
      <c r="BP340">
        <v>46</v>
      </c>
      <c r="BR340">
        <v>0</v>
      </c>
      <c r="BS340">
        <v>4</v>
      </c>
      <c r="BT340">
        <v>2</v>
      </c>
      <c r="BV340">
        <v>0</v>
      </c>
      <c r="BW340">
        <v>52</v>
      </c>
      <c r="BX340" t="str">
        <f t="shared" ref="BX340:BX348" si="38">IF(C340=C339,IF((CI340-1)=CI339,BW339,"no data"))</f>
        <v>no data</v>
      </c>
      <c r="BY340" s="5"/>
      <c r="BZ340" s="6"/>
      <c r="CA340" s="7">
        <v>41588</v>
      </c>
      <c r="CI340">
        <f t="shared" si="33"/>
        <v>2013</v>
      </c>
      <c r="CJ340" t="str">
        <f t="shared" si="34"/>
        <v>5593_2013</v>
      </c>
    </row>
    <row r="341" spans="1:88" x14ac:dyDescent="0.25">
      <c r="A341" t="s">
        <v>111</v>
      </c>
      <c r="B341" t="s">
        <v>157</v>
      </c>
      <c r="C341">
        <v>5593</v>
      </c>
      <c r="D341">
        <v>-37.8247</v>
      </c>
      <c r="E341">
        <v>144.8135</v>
      </c>
      <c r="F341">
        <v>3</v>
      </c>
      <c r="G341" t="s">
        <v>174</v>
      </c>
      <c r="H341">
        <v>81</v>
      </c>
      <c r="I341">
        <v>261</v>
      </c>
      <c r="J341">
        <v>244</v>
      </c>
      <c r="K341">
        <v>64</v>
      </c>
      <c r="L341">
        <v>314</v>
      </c>
      <c r="M341">
        <v>134</v>
      </c>
      <c r="T341">
        <v>36</v>
      </c>
      <c r="U341">
        <v>9</v>
      </c>
      <c r="Y341">
        <v>25</v>
      </c>
      <c r="Z341">
        <v>4</v>
      </c>
      <c r="AD341">
        <v>7</v>
      </c>
      <c r="AE341">
        <v>8</v>
      </c>
      <c r="AX341">
        <v>45</v>
      </c>
      <c r="AY341">
        <v>32</v>
      </c>
      <c r="AZ341">
        <v>77</v>
      </c>
      <c r="BA341">
        <v>29</v>
      </c>
      <c r="BB341">
        <v>44</v>
      </c>
      <c r="BC341">
        <v>73</v>
      </c>
      <c r="BD341">
        <v>15</v>
      </c>
      <c r="BE341">
        <v>13</v>
      </c>
      <c r="BF341">
        <v>28</v>
      </c>
      <c r="BP341">
        <v>89</v>
      </c>
      <c r="BR341">
        <v>0</v>
      </c>
      <c r="BS341">
        <v>0</v>
      </c>
      <c r="BT341">
        <v>0</v>
      </c>
      <c r="BV341">
        <v>0</v>
      </c>
      <c r="BW341">
        <v>89</v>
      </c>
      <c r="BX341">
        <f t="shared" si="38"/>
        <v>52</v>
      </c>
      <c r="BY341" s="5">
        <f t="shared" si="37"/>
        <v>0.71153846153846156</v>
      </c>
      <c r="BZ341" s="6">
        <f t="shared" si="35"/>
        <v>0.71153846153846156</v>
      </c>
      <c r="CA341" s="7">
        <v>41952</v>
      </c>
      <c r="CI341">
        <f t="shared" si="33"/>
        <v>2014</v>
      </c>
      <c r="CJ341" t="str">
        <f t="shared" si="34"/>
        <v>5593_2014</v>
      </c>
    </row>
    <row r="342" spans="1:88" x14ac:dyDescent="0.25">
      <c r="A342" t="s">
        <v>111</v>
      </c>
      <c r="B342" t="s">
        <v>157</v>
      </c>
      <c r="C342">
        <v>5593</v>
      </c>
      <c r="D342">
        <v>-37.8247</v>
      </c>
      <c r="E342">
        <v>144.8135</v>
      </c>
      <c r="F342">
        <v>3</v>
      </c>
      <c r="G342" t="s">
        <v>174</v>
      </c>
      <c r="H342">
        <v>81</v>
      </c>
      <c r="I342">
        <v>261</v>
      </c>
      <c r="J342">
        <v>244</v>
      </c>
      <c r="K342">
        <v>64</v>
      </c>
      <c r="L342">
        <v>314</v>
      </c>
      <c r="M342">
        <v>134</v>
      </c>
      <c r="T342">
        <v>48</v>
      </c>
      <c r="U342">
        <v>17</v>
      </c>
      <c r="Y342">
        <v>48</v>
      </c>
      <c r="Z342">
        <v>8</v>
      </c>
      <c r="AD342">
        <v>9</v>
      </c>
      <c r="AE342">
        <v>13</v>
      </c>
      <c r="AX342">
        <v>65</v>
      </c>
      <c r="AY342">
        <v>57</v>
      </c>
      <c r="AZ342">
        <v>122</v>
      </c>
      <c r="BA342">
        <v>56</v>
      </c>
      <c r="BB342">
        <v>61</v>
      </c>
      <c r="BC342">
        <v>117</v>
      </c>
      <c r="BD342">
        <v>22</v>
      </c>
      <c r="BE342">
        <v>25</v>
      </c>
      <c r="BF342">
        <v>47</v>
      </c>
      <c r="BP342">
        <v>141</v>
      </c>
      <c r="BR342">
        <v>0</v>
      </c>
      <c r="BS342">
        <v>2</v>
      </c>
      <c r="BT342">
        <v>0</v>
      </c>
      <c r="BV342">
        <v>0</v>
      </c>
      <c r="BW342">
        <v>143</v>
      </c>
      <c r="BX342">
        <f t="shared" si="38"/>
        <v>89</v>
      </c>
      <c r="BY342" s="5">
        <f t="shared" si="37"/>
        <v>0.6067415730337079</v>
      </c>
      <c r="BZ342" s="6">
        <f t="shared" si="35"/>
        <v>0.6067415730337079</v>
      </c>
      <c r="CA342" s="7">
        <v>42316</v>
      </c>
      <c r="CE342">
        <v>32</v>
      </c>
      <c r="CF342">
        <v>39</v>
      </c>
      <c r="CG342">
        <v>40</v>
      </c>
      <c r="CH342">
        <v>32</v>
      </c>
      <c r="CI342">
        <f t="shared" si="33"/>
        <v>2015</v>
      </c>
      <c r="CJ342" t="str">
        <f t="shared" si="34"/>
        <v>5593_2015</v>
      </c>
    </row>
    <row r="343" spans="1:88" x14ac:dyDescent="0.25">
      <c r="A343" t="s">
        <v>111</v>
      </c>
      <c r="B343" t="s">
        <v>157</v>
      </c>
      <c r="C343">
        <v>5593</v>
      </c>
      <c r="D343">
        <v>-37.824747000000002</v>
      </c>
      <c r="E343">
        <v>144.81346500000001</v>
      </c>
      <c r="F343">
        <v>3</v>
      </c>
      <c r="G343" t="s">
        <v>174</v>
      </c>
      <c r="H343">
        <v>81</v>
      </c>
      <c r="I343">
        <v>261</v>
      </c>
      <c r="J343">
        <v>244</v>
      </c>
      <c r="K343">
        <v>64</v>
      </c>
      <c r="L343">
        <v>314</v>
      </c>
      <c r="M343">
        <v>134</v>
      </c>
      <c r="T343">
        <v>5</v>
      </c>
      <c r="U343">
        <v>2</v>
      </c>
      <c r="Y343">
        <v>6</v>
      </c>
      <c r="Z343">
        <v>0</v>
      </c>
      <c r="AD343">
        <v>0</v>
      </c>
      <c r="AE343">
        <v>0</v>
      </c>
      <c r="AX343">
        <v>7</v>
      </c>
      <c r="AY343">
        <v>6</v>
      </c>
      <c r="AZ343">
        <v>13</v>
      </c>
      <c r="BA343">
        <v>6</v>
      </c>
      <c r="BB343">
        <v>5</v>
      </c>
      <c r="BC343">
        <v>11</v>
      </c>
      <c r="BD343">
        <v>0</v>
      </c>
      <c r="BE343">
        <v>2</v>
      </c>
      <c r="BF343">
        <v>2</v>
      </c>
      <c r="BP343">
        <v>11</v>
      </c>
      <c r="BR343">
        <v>2</v>
      </c>
      <c r="BS343">
        <v>0</v>
      </c>
      <c r="BT343">
        <v>0</v>
      </c>
      <c r="BV343">
        <v>0</v>
      </c>
      <c r="BW343">
        <v>13</v>
      </c>
      <c r="BX343">
        <f t="shared" si="38"/>
        <v>143</v>
      </c>
      <c r="BY343" s="5">
        <f t="shared" si="37"/>
        <v>-0.90909090909090906</v>
      </c>
      <c r="BZ343" s="6">
        <f t="shared" si="35"/>
        <v>-0.90909090909090906</v>
      </c>
      <c r="CA343" s="7">
        <v>42687</v>
      </c>
      <c r="CE343">
        <v>2</v>
      </c>
      <c r="CF343">
        <v>4</v>
      </c>
      <c r="CG343">
        <v>1</v>
      </c>
      <c r="CH343">
        <v>6</v>
      </c>
      <c r="CI343">
        <f t="shared" si="33"/>
        <v>2016</v>
      </c>
      <c r="CJ343" t="str">
        <f t="shared" si="34"/>
        <v>5593_2016</v>
      </c>
    </row>
    <row r="344" spans="1:88" x14ac:dyDescent="0.25">
      <c r="A344" t="s">
        <v>111</v>
      </c>
      <c r="B344" t="s">
        <v>157</v>
      </c>
      <c r="C344">
        <v>5593</v>
      </c>
      <c r="D344">
        <v>-37.824747000000002</v>
      </c>
      <c r="E344">
        <v>144.81346500000001</v>
      </c>
      <c r="F344">
        <v>3</v>
      </c>
      <c r="G344" t="s">
        <v>174</v>
      </c>
      <c r="H344">
        <v>81</v>
      </c>
      <c r="I344">
        <v>261</v>
      </c>
      <c r="J344">
        <v>244</v>
      </c>
      <c r="K344">
        <v>64</v>
      </c>
      <c r="L344">
        <v>314</v>
      </c>
      <c r="M344">
        <v>134</v>
      </c>
      <c r="T344">
        <v>24</v>
      </c>
      <c r="U344">
        <v>7</v>
      </c>
      <c r="Y344">
        <v>38</v>
      </c>
      <c r="Z344">
        <v>6</v>
      </c>
      <c r="AD344">
        <v>4</v>
      </c>
      <c r="AE344">
        <v>5</v>
      </c>
      <c r="AX344">
        <v>31</v>
      </c>
      <c r="AY344">
        <v>42</v>
      </c>
      <c r="AZ344">
        <v>73</v>
      </c>
      <c r="BA344">
        <v>44</v>
      </c>
      <c r="BB344">
        <v>29</v>
      </c>
      <c r="BC344">
        <v>73</v>
      </c>
      <c r="BD344">
        <v>9</v>
      </c>
      <c r="BE344">
        <v>13</v>
      </c>
      <c r="BF344">
        <v>22</v>
      </c>
      <c r="BP344">
        <v>80</v>
      </c>
      <c r="BR344">
        <v>0</v>
      </c>
      <c r="BS344">
        <v>0</v>
      </c>
      <c r="BT344">
        <v>0</v>
      </c>
      <c r="BV344">
        <v>4</v>
      </c>
      <c r="BW344">
        <v>84</v>
      </c>
      <c r="BX344">
        <f t="shared" si="38"/>
        <v>13</v>
      </c>
      <c r="BY344" s="5">
        <f t="shared" si="37"/>
        <v>5.4615384615384617</v>
      </c>
      <c r="BZ344" s="6">
        <f t="shared" si="35"/>
        <v>5.4615384615384617</v>
      </c>
      <c r="CA344" s="7">
        <v>43051</v>
      </c>
      <c r="CE344">
        <v>25</v>
      </c>
      <c r="CF344">
        <v>22</v>
      </c>
      <c r="CG344">
        <v>21</v>
      </c>
      <c r="CH344">
        <v>16</v>
      </c>
      <c r="CI344">
        <f t="shared" si="33"/>
        <v>2017</v>
      </c>
      <c r="CJ344" t="str">
        <f t="shared" si="34"/>
        <v>5593_2017</v>
      </c>
    </row>
    <row r="345" spans="1:88" x14ac:dyDescent="0.25">
      <c r="A345" t="s">
        <v>111</v>
      </c>
      <c r="B345" t="s">
        <v>157</v>
      </c>
      <c r="C345">
        <v>5593</v>
      </c>
      <c r="D345">
        <v>-37.824747000000002</v>
      </c>
      <c r="E345">
        <v>144.81346500000001</v>
      </c>
      <c r="F345">
        <v>3</v>
      </c>
      <c r="G345" t="s">
        <v>174</v>
      </c>
      <c r="H345">
        <v>81</v>
      </c>
      <c r="I345">
        <v>261</v>
      </c>
      <c r="J345">
        <v>244</v>
      </c>
      <c r="K345">
        <v>64</v>
      </c>
      <c r="L345">
        <v>314</v>
      </c>
      <c r="M345">
        <v>134</v>
      </c>
      <c r="T345">
        <v>25</v>
      </c>
      <c r="U345">
        <v>5</v>
      </c>
      <c r="Y345">
        <v>28</v>
      </c>
      <c r="Z345">
        <v>4</v>
      </c>
      <c r="AD345">
        <v>22</v>
      </c>
      <c r="AE345">
        <v>2</v>
      </c>
      <c r="AX345">
        <v>30</v>
      </c>
      <c r="AY345">
        <v>50</v>
      </c>
      <c r="AZ345">
        <v>80</v>
      </c>
      <c r="BA345">
        <v>32</v>
      </c>
      <c r="BB345">
        <v>27</v>
      </c>
      <c r="BC345">
        <v>59</v>
      </c>
      <c r="BD345">
        <v>24</v>
      </c>
      <c r="BE345">
        <v>9</v>
      </c>
      <c r="BF345">
        <v>33</v>
      </c>
      <c r="BP345">
        <v>85</v>
      </c>
      <c r="BR345">
        <v>0</v>
      </c>
      <c r="BS345">
        <v>0</v>
      </c>
      <c r="BT345">
        <v>0</v>
      </c>
      <c r="BV345">
        <v>1</v>
      </c>
      <c r="BW345">
        <v>86</v>
      </c>
      <c r="BX345">
        <f t="shared" si="38"/>
        <v>84</v>
      </c>
      <c r="BY345" s="5">
        <f t="shared" si="37"/>
        <v>2.3809523809523808E-2</v>
      </c>
      <c r="BZ345" s="6">
        <f t="shared" si="35"/>
        <v>2.3809523809523808E-2</v>
      </c>
      <c r="CA345" s="7">
        <v>43415</v>
      </c>
      <c r="CE345">
        <v>33</v>
      </c>
      <c r="CF345">
        <v>25</v>
      </c>
      <c r="CG345">
        <v>18</v>
      </c>
      <c r="CH345">
        <v>10</v>
      </c>
      <c r="CI345">
        <f t="shared" si="33"/>
        <v>2018</v>
      </c>
      <c r="CJ345" t="str">
        <f t="shared" si="34"/>
        <v>5593_2018</v>
      </c>
    </row>
    <row r="346" spans="1:88" x14ac:dyDescent="0.25">
      <c r="A346" t="s">
        <v>111</v>
      </c>
      <c r="B346" t="s">
        <v>157</v>
      </c>
      <c r="C346">
        <v>5593</v>
      </c>
      <c r="D346">
        <v>-37.8247</v>
      </c>
      <c r="E346">
        <v>144.8135</v>
      </c>
      <c r="F346">
        <v>3</v>
      </c>
      <c r="G346" t="s">
        <v>174</v>
      </c>
      <c r="H346">
        <v>81</v>
      </c>
      <c r="I346">
        <v>261</v>
      </c>
      <c r="J346">
        <v>244</v>
      </c>
      <c r="K346">
        <v>64</v>
      </c>
      <c r="L346">
        <v>314</v>
      </c>
      <c r="M346">
        <v>134</v>
      </c>
      <c r="T346">
        <v>10</v>
      </c>
      <c r="U346">
        <v>4</v>
      </c>
      <c r="Y346">
        <v>11</v>
      </c>
      <c r="Z346">
        <v>5</v>
      </c>
      <c r="AD346">
        <v>2</v>
      </c>
      <c r="AE346">
        <v>6</v>
      </c>
      <c r="AX346">
        <v>14</v>
      </c>
      <c r="AY346">
        <v>13</v>
      </c>
      <c r="AZ346">
        <v>27</v>
      </c>
      <c r="BA346">
        <v>16</v>
      </c>
      <c r="BB346">
        <v>16</v>
      </c>
      <c r="BC346">
        <v>32</v>
      </c>
      <c r="BD346">
        <v>8</v>
      </c>
      <c r="BE346">
        <v>9</v>
      </c>
      <c r="BF346">
        <v>17</v>
      </c>
      <c r="BP346">
        <v>37</v>
      </c>
      <c r="BR346">
        <v>1</v>
      </c>
      <c r="BS346">
        <v>0</v>
      </c>
      <c r="BT346">
        <v>0</v>
      </c>
      <c r="BV346">
        <v>0</v>
      </c>
      <c r="BW346">
        <v>38</v>
      </c>
      <c r="BX346">
        <f t="shared" si="38"/>
        <v>86</v>
      </c>
      <c r="BY346" s="5">
        <f t="shared" si="37"/>
        <v>-0.55813953488372092</v>
      </c>
      <c r="BZ346" s="6">
        <f t="shared" si="35"/>
        <v>-0.55813953488372092</v>
      </c>
      <c r="CA346" s="7">
        <v>43779</v>
      </c>
      <c r="CE346">
        <v>12</v>
      </c>
      <c r="CF346">
        <v>7</v>
      </c>
      <c r="CG346">
        <v>9</v>
      </c>
      <c r="CH346">
        <v>10</v>
      </c>
      <c r="CI346">
        <f t="shared" si="33"/>
        <v>2019</v>
      </c>
      <c r="CJ346" t="str">
        <f t="shared" si="34"/>
        <v>5593_2019</v>
      </c>
    </row>
    <row r="347" spans="1:88" x14ac:dyDescent="0.25">
      <c r="A347" t="s">
        <v>111</v>
      </c>
      <c r="B347" t="s">
        <v>157</v>
      </c>
      <c r="C347">
        <v>5593</v>
      </c>
      <c r="D347">
        <v>-37.824747000000002</v>
      </c>
      <c r="E347">
        <v>144.81346500000001</v>
      </c>
      <c r="F347">
        <v>3</v>
      </c>
      <c r="G347" t="s">
        <v>174</v>
      </c>
      <c r="H347">
        <v>81</v>
      </c>
      <c r="I347">
        <v>261</v>
      </c>
      <c r="J347">
        <v>244</v>
      </c>
      <c r="K347">
        <v>64</v>
      </c>
      <c r="L347">
        <v>314</v>
      </c>
      <c r="M347">
        <v>134</v>
      </c>
      <c r="T347">
        <v>23</v>
      </c>
      <c r="U347">
        <v>5</v>
      </c>
      <c r="Y347">
        <v>16</v>
      </c>
      <c r="Z347">
        <v>8</v>
      </c>
      <c r="AD347">
        <v>4</v>
      </c>
      <c r="AE347">
        <v>3</v>
      </c>
      <c r="AX347">
        <v>28</v>
      </c>
      <c r="AY347">
        <v>20</v>
      </c>
      <c r="AZ347">
        <v>48</v>
      </c>
      <c r="BA347">
        <v>24</v>
      </c>
      <c r="BB347">
        <v>26</v>
      </c>
      <c r="BC347">
        <v>50</v>
      </c>
      <c r="BD347">
        <v>7</v>
      </c>
      <c r="BE347">
        <v>13</v>
      </c>
      <c r="BF347">
        <v>20</v>
      </c>
      <c r="BP347">
        <v>54</v>
      </c>
      <c r="BR347">
        <v>5</v>
      </c>
      <c r="BS347">
        <v>0</v>
      </c>
      <c r="BT347">
        <v>0</v>
      </c>
      <c r="BV347">
        <v>0</v>
      </c>
      <c r="BW347">
        <v>59</v>
      </c>
      <c r="BX347" t="str">
        <f t="shared" si="38"/>
        <v>no data</v>
      </c>
      <c r="BY347" s="5"/>
      <c r="BZ347" s="6"/>
      <c r="CA347" s="7">
        <v>44528</v>
      </c>
      <c r="CE347">
        <v>25</v>
      </c>
      <c r="CF347">
        <v>16</v>
      </c>
      <c r="CG347">
        <v>18</v>
      </c>
      <c r="CI347">
        <f t="shared" si="33"/>
        <v>2021</v>
      </c>
      <c r="CJ347" t="str">
        <f t="shared" si="34"/>
        <v>5593_2021</v>
      </c>
    </row>
    <row r="348" spans="1:88" x14ac:dyDescent="0.25">
      <c r="A348" t="s">
        <v>111</v>
      </c>
      <c r="B348" t="s">
        <v>157</v>
      </c>
      <c r="C348">
        <v>5593</v>
      </c>
      <c r="D348">
        <v>-37.824747000000002</v>
      </c>
      <c r="E348">
        <v>144.81346500000001</v>
      </c>
      <c r="F348">
        <v>3</v>
      </c>
      <c r="G348" t="s">
        <v>174</v>
      </c>
      <c r="H348">
        <v>81</v>
      </c>
      <c r="I348">
        <v>261</v>
      </c>
      <c r="J348">
        <v>244</v>
      </c>
      <c r="K348">
        <v>64</v>
      </c>
      <c r="L348">
        <v>314</v>
      </c>
      <c r="M348">
        <v>134</v>
      </c>
      <c r="T348">
        <v>5</v>
      </c>
      <c r="U348">
        <v>6</v>
      </c>
      <c r="Y348">
        <v>9</v>
      </c>
      <c r="Z348">
        <v>9</v>
      </c>
      <c r="AD348">
        <v>2</v>
      </c>
      <c r="AE348">
        <v>3</v>
      </c>
      <c r="AX348">
        <v>11</v>
      </c>
      <c r="AY348">
        <v>11</v>
      </c>
      <c r="AZ348">
        <v>22</v>
      </c>
      <c r="BA348">
        <v>18</v>
      </c>
      <c r="BB348">
        <v>8</v>
      </c>
      <c r="BC348">
        <v>26</v>
      </c>
      <c r="BD348">
        <v>5</v>
      </c>
      <c r="BE348">
        <v>15</v>
      </c>
      <c r="BF348">
        <v>20</v>
      </c>
      <c r="BP348">
        <v>29</v>
      </c>
      <c r="BR348">
        <v>4</v>
      </c>
      <c r="BS348">
        <v>0</v>
      </c>
      <c r="BT348">
        <v>0</v>
      </c>
      <c r="BU348">
        <v>0</v>
      </c>
      <c r="BV348">
        <v>1</v>
      </c>
      <c r="BW348">
        <v>34</v>
      </c>
      <c r="BX348">
        <f t="shared" si="38"/>
        <v>59</v>
      </c>
      <c r="BY348" s="5">
        <f t="shared" si="37"/>
        <v>-0.42372881355932202</v>
      </c>
      <c r="BZ348" s="6">
        <f t="shared" si="35"/>
        <v>-0.42372881355932202</v>
      </c>
      <c r="CA348" s="7">
        <v>44878</v>
      </c>
      <c r="CE348">
        <v>10</v>
      </c>
      <c r="CF348">
        <v>19</v>
      </c>
      <c r="CG348">
        <v>5</v>
      </c>
      <c r="CI348">
        <f t="shared" si="33"/>
        <v>2022</v>
      </c>
      <c r="CJ348" t="str">
        <f t="shared" si="34"/>
        <v>5593_2022</v>
      </c>
    </row>
    <row r="349" spans="1:88" x14ac:dyDescent="0.25">
      <c r="A349" t="s">
        <v>111</v>
      </c>
      <c r="B349" t="s">
        <v>175</v>
      </c>
      <c r="C349">
        <v>5594</v>
      </c>
      <c r="D349">
        <v>-37.820399999999999</v>
      </c>
      <c r="E349">
        <v>144.82570000000001</v>
      </c>
      <c r="F349">
        <v>2</v>
      </c>
      <c r="G349" t="s">
        <v>176</v>
      </c>
      <c r="H349">
        <v>57</v>
      </c>
      <c r="I349">
        <v>237</v>
      </c>
      <c r="J349">
        <v>241</v>
      </c>
      <c r="K349">
        <v>61</v>
      </c>
      <c r="T349">
        <v>35</v>
      </c>
      <c r="Y349">
        <v>18</v>
      </c>
      <c r="AX349">
        <v>35</v>
      </c>
      <c r="AY349">
        <v>18</v>
      </c>
      <c r="AZ349">
        <v>53</v>
      </c>
      <c r="BA349">
        <v>18</v>
      </c>
      <c r="BB349">
        <v>35</v>
      </c>
      <c r="BC349">
        <v>53</v>
      </c>
      <c r="BP349">
        <v>51</v>
      </c>
      <c r="BR349">
        <v>2</v>
      </c>
      <c r="BS349">
        <v>0</v>
      </c>
      <c r="BT349">
        <v>0</v>
      </c>
      <c r="BV349">
        <v>0</v>
      </c>
      <c r="BW349">
        <v>53</v>
      </c>
      <c r="BX349" t="s">
        <v>82</v>
      </c>
      <c r="BY349" s="5"/>
      <c r="BZ349" s="6"/>
      <c r="CA349" s="7">
        <v>40853</v>
      </c>
      <c r="CI349">
        <f t="shared" si="33"/>
        <v>2011</v>
      </c>
      <c r="CJ349" t="str">
        <f t="shared" si="34"/>
        <v>5594_2011</v>
      </c>
    </row>
    <row r="350" spans="1:88" x14ac:dyDescent="0.25">
      <c r="A350" t="s">
        <v>111</v>
      </c>
      <c r="B350" t="s">
        <v>157</v>
      </c>
      <c r="C350">
        <v>5595</v>
      </c>
      <c r="D350">
        <v>-37.887599999999999</v>
      </c>
      <c r="E350">
        <v>144.64269999999999</v>
      </c>
      <c r="F350">
        <v>4</v>
      </c>
      <c r="G350" t="s">
        <v>177</v>
      </c>
      <c r="H350">
        <v>70</v>
      </c>
      <c r="I350">
        <v>250</v>
      </c>
      <c r="J350">
        <v>150</v>
      </c>
      <c r="K350">
        <v>330</v>
      </c>
      <c r="L350">
        <v>271</v>
      </c>
      <c r="M350">
        <v>91</v>
      </c>
      <c r="N350">
        <v>335</v>
      </c>
      <c r="O350">
        <v>155</v>
      </c>
      <c r="T350">
        <v>1</v>
      </c>
      <c r="U350">
        <v>12</v>
      </c>
      <c r="V350">
        <v>2</v>
      </c>
      <c r="Y350">
        <v>4</v>
      </c>
      <c r="Z350">
        <v>1</v>
      </c>
      <c r="AA350">
        <v>22</v>
      </c>
      <c r="AD350">
        <v>15</v>
      </c>
      <c r="AE350">
        <v>10</v>
      </c>
      <c r="AF350">
        <v>1</v>
      </c>
      <c r="AI350">
        <v>3</v>
      </c>
      <c r="AJ350">
        <v>17</v>
      </c>
      <c r="AK350">
        <v>0</v>
      </c>
      <c r="AX350">
        <v>15</v>
      </c>
      <c r="AY350">
        <v>22</v>
      </c>
      <c r="AZ350">
        <v>37</v>
      </c>
      <c r="BA350">
        <v>27</v>
      </c>
      <c r="BB350">
        <v>28</v>
      </c>
      <c r="BC350">
        <v>55</v>
      </c>
      <c r="BD350">
        <v>26</v>
      </c>
      <c r="BE350">
        <v>13</v>
      </c>
      <c r="BF350">
        <v>39</v>
      </c>
      <c r="BG350">
        <v>20</v>
      </c>
      <c r="BH350">
        <v>25</v>
      </c>
      <c r="BI350">
        <v>45</v>
      </c>
      <c r="BP350">
        <v>43</v>
      </c>
      <c r="BR350">
        <v>27</v>
      </c>
      <c r="BS350">
        <v>2</v>
      </c>
      <c r="BT350">
        <v>16</v>
      </c>
      <c r="BV350">
        <v>0</v>
      </c>
      <c r="BW350">
        <v>88</v>
      </c>
      <c r="BX350" t="s">
        <v>82</v>
      </c>
      <c r="BY350" s="5"/>
      <c r="BZ350" s="6"/>
      <c r="CA350" s="7">
        <v>40853</v>
      </c>
      <c r="CI350">
        <f t="shared" si="33"/>
        <v>2011</v>
      </c>
      <c r="CJ350" t="str">
        <f t="shared" si="34"/>
        <v>5595_2011</v>
      </c>
    </row>
    <row r="351" spans="1:88" x14ac:dyDescent="0.25">
      <c r="A351" t="s">
        <v>111</v>
      </c>
      <c r="B351" t="s">
        <v>157</v>
      </c>
      <c r="C351">
        <v>5595</v>
      </c>
      <c r="D351">
        <v>-37.887599999999999</v>
      </c>
      <c r="E351">
        <v>144.64269999999999</v>
      </c>
      <c r="F351">
        <v>4</v>
      </c>
      <c r="G351" t="s">
        <v>177</v>
      </c>
      <c r="H351">
        <v>70</v>
      </c>
      <c r="I351">
        <v>250</v>
      </c>
      <c r="J351">
        <v>150</v>
      </c>
      <c r="K351">
        <v>330</v>
      </c>
      <c r="L351">
        <v>271</v>
      </c>
      <c r="M351">
        <v>91</v>
      </c>
      <c r="N351">
        <v>335</v>
      </c>
      <c r="O351">
        <v>155</v>
      </c>
      <c r="T351">
        <v>12</v>
      </c>
      <c r="U351">
        <v>39</v>
      </c>
      <c r="V351">
        <v>9</v>
      </c>
      <c r="Y351">
        <v>4</v>
      </c>
      <c r="Z351">
        <v>15</v>
      </c>
      <c r="AA351">
        <v>41</v>
      </c>
      <c r="AD351">
        <v>47</v>
      </c>
      <c r="AE351">
        <v>11</v>
      </c>
      <c r="AF351">
        <v>19</v>
      </c>
      <c r="AI351">
        <v>16</v>
      </c>
      <c r="AJ351">
        <v>44</v>
      </c>
      <c r="AK351">
        <v>5</v>
      </c>
      <c r="AX351">
        <v>60</v>
      </c>
      <c r="AY351">
        <v>67</v>
      </c>
      <c r="AZ351">
        <v>127</v>
      </c>
      <c r="BA351">
        <v>60</v>
      </c>
      <c r="BB351">
        <v>67</v>
      </c>
      <c r="BC351">
        <v>127</v>
      </c>
      <c r="BD351">
        <v>77</v>
      </c>
      <c r="BE351">
        <v>59</v>
      </c>
      <c r="BF351">
        <v>136</v>
      </c>
      <c r="BG351">
        <v>65</v>
      </c>
      <c r="BH351">
        <v>69</v>
      </c>
      <c r="BI351">
        <v>134</v>
      </c>
      <c r="BP351">
        <v>104</v>
      </c>
      <c r="BR351">
        <v>97</v>
      </c>
      <c r="BS351">
        <v>0</v>
      </c>
      <c r="BT351">
        <v>46</v>
      </c>
      <c r="BV351">
        <v>15</v>
      </c>
      <c r="BW351">
        <v>262</v>
      </c>
      <c r="BX351">
        <f t="shared" ref="BX351:BX359" si="39">IF(C351=C350,IF((CI351-1)=CI350,BW350,"no data"))</f>
        <v>88</v>
      </c>
      <c r="BY351" s="5">
        <f t="shared" si="37"/>
        <v>1.9772727272727273</v>
      </c>
      <c r="BZ351" s="6">
        <f t="shared" si="35"/>
        <v>1.9772727272727273</v>
      </c>
      <c r="CA351" s="7">
        <v>41224</v>
      </c>
      <c r="CI351">
        <f t="shared" si="33"/>
        <v>2012</v>
      </c>
      <c r="CJ351" t="str">
        <f t="shared" si="34"/>
        <v>5595_2012</v>
      </c>
    </row>
    <row r="352" spans="1:88" x14ac:dyDescent="0.25">
      <c r="A352" t="s">
        <v>111</v>
      </c>
      <c r="B352" t="s">
        <v>157</v>
      </c>
      <c r="C352">
        <v>5595</v>
      </c>
      <c r="D352">
        <v>-37.887599999999999</v>
      </c>
      <c r="E352">
        <v>144.64269999999999</v>
      </c>
      <c r="F352">
        <v>4</v>
      </c>
      <c r="G352" t="s">
        <v>177</v>
      </c>
      <c r="H352">
        <v>70</v>
      </c>
      <c r="I352">
        <v>250</v>
      </c>
      <c r="J352">
        <v>150</v>
      </c>
      <c r="K352">
        <v>330</v>
      </c>
      <c r="L352">
        <v>271</v>
      </c>
      <c r="M352">
        <v>91</v>
      </c>
      <c r="N352">
        <v>335</v>
      </c>
      <c r="O352">
        <v>155</v>
      </c>
      <c r="T352">
        <v>8</v>
      </c>
      <c r="U352">
        <v>31</v>
      </c>
      <c r="V352">
        <v>4</v>
      </c>
      <c r="Y352">
        <v>12</v>
      </c>
      <c r="Z352">
        <v>8</v>
      </c>
      <c r="AA352">
        <v>41</v>
      </c>
      <c r="AD352">
        <v>22</v>
      </c>
      <c r="AE352">
        <v>8</v>
      </c>
      <c r="AF352">
        <v>14</v>
      </c>
      <c r="AI352">
        <v>11</v>
      </c>
      <c r="AJ352">
        <v>44</v>
      </c>
      <c r="AK352">
        <v>4</v>
      </c>
      <c r="AX352">
        <v>43</v>
      </c>
      <c r="AY352">
        <v>45</v>
      </c>
      <c r="AZ352">
        <v>88</v>
      </c>
      <c r="BA352">
        <v>61</v>
      </c>
      <c r="BB352">
        <v>60</v>
      </c>
      <c r="BC352">
        <v>121</v>
      </c>
      <c r="BD352">
        <v>44</v>
      </c>
      <c r="BE352">
        <v>43</v>
      </c>
      <c r="BF352">
        <v>87</v>
      </c>
      <c r="BG352">
        <v>59</v>
      </c>
      <c r="BH352">
        <v>59</v>
      </c>
      <c r="BI352">
        <v>118</v>
      </c>
      <c r="BP352">
        <v>76</v>
      </c>
      <c r="BR352">
        <v>71</v>
      </c>
      <c r="BS352">
        <v>13</v>
      </c>
      <c r="BT352">
        <v>36</v>
      </c>
      <c r="BV352">
        <v>11</v>
      </c>
      <c r="BW352">
        <v>207</v>
      </c>
      <c r="BX352">
        <f t="shared" si="39"/>
        <v>262</v>
      </c>
      <c r="BY352" s="5">
        <f t="shared" si="37"/>
        <v>-0.20992366412213739</v>
      </c>
      <c r="BZ352" s="6">
        <f t="shared" si="35"/>
        <v>-0.20992366412213739</v>
      </c>
      <c r="CA352" s="7">
        <v>41588</v>
      </c>
      <c r="CI352">
        <f t="shared" si="33"/>
        <v>2013</v>
      </c>
      <c r="CJ352" t="str">
        <f t="shared" si="34"/>
        <v>5595_2013</v>
      </c>
    </row>
    <row r="353" spans="1:88" x14ac:dyDescent="0.25">
      <c r="A353" t="s">
        <v>111</v>
      </c>
      <c r="B353" t="s">
        <v>157</v>
      </c>
      <c r="C353">
        <v>5595</v>
      </c>
      <c r="D353">
        <v>-37.887599999999999</v>
      </c>
      <c r="E353">
        <v>144.64269999999999</v>
      </c>
      <c r="F353">
        <v>4</v>
      </c>
      <c r="G353" t="s">
        <v>177</v>
      </c>
      <c r="H353">
        <v>70</v>
      </c>
      <c r="I353">
        <v>250</v>
      </c>
      <c r="J353">
        <v>150</v>
      </c>
      <c r="K353">
        <v>330</v>
      </c>
      <c r="L353">
        <v>271</v>
      </c>
      <c r="M353">
        <v>91</v>
      </c>
      <c r="N353">
        <v>335</v>
      </c>
      <c r="O353">
        <v>155</v>
      </c>
      <c r="T353">
        <v>9</v>
      </c>
      <c r="U353">
        <v>20</v>
      </c>
      <c r="V353">
        <v>13</v>
      </c>
      <c r="Y353">
        <v>10</v>
      </c>
      <c r="Z353">
        <v>14</v>
      </c>
      <c r="AA353">
        <v>44</v>
      </c>
      <c r="AD353">
        <v>17</v>
      </c>
      <c r="AE353">
        <v>20</v>
      </c>
      <c r="AF353">
        <v>20</v>
      </c>
      <c r="AI353">
        <v>17</v>
      </c>
      <c r="AJ353">
        <v>60</v>
      </c>
      <c r="AK353">
        <v>29</v>
      </c>
      <c r="AX353">
        <v>42</v>
      </c>
      <c r="AY353">
        <v>44</v>
      </c>
      <c r="AZ353">
        <v>86</v>
      </c>
      <c r="BA353">
        <v>68</v>
      </c>
      <c r="BB353">
        <v>89</v>
      </c>
      <c r="BC353">
        <v>157</v>
      </c>
      <c r="BD353">
        <v>57</v>
      </c>
      <c r="BE353">
        <v>63</v>
      </c>
      <c r="BF353">
        <v>120</v>
      </c>
      <c r="BG353">
        <v>106</v>
      </c>
      <c r="BH353">
        <v>77</v>
      </c>
      <c r="BI353">
        <v>183</v>
      </c>
      <c r="BP353">
        <v>116</v>
      </c>
      <c r="BR353">
        <v>96</v>
      </c>
      <c r="BS353">
        <v>11</v>
      </c>
      <c r="BT353">
        <v>47</v>
      </c>
      <c r="BV353">
        <v>3</v>
      </c>
      <c r="BW353">
        <v>273</v>
      </c>
      <c r="BX353">
        <f t="shared" si="39"/>
        <v>207</v>
      </c>
      <c r="BY353" s="5">
        <f t="shared" si="37"/>
        <v>0.3188405797101449</v>
      </c>
      <c r="BZ353" s="6">
        <f t="shared" si="35"/>
        <v>0.3188405797101449</v>
      </c>
      <c r="CA353" s="7">
        <v>41952</v>
      </c>
      <c r="CI353">
        <f t="shared" si="33"/>
        <v>2014</v>
      </c>
      <c r="CJ353" t="str">
        <f t="shared" si="34"/>
        <v>5595_2014</v>
      </c>
    </row>
    <row r="354" spans="1:88" x14ac:dyDescent="0.25">
      <c r="A354" t="s">
        <v>111</v>
      </c>
      <c r="B354" t="s">
        <v>157</v>
      </c>
      <c r="C354">
        <v>5595</v>
      </c>
      <c r="D354">
        <v>-37.887599999999999</v>
      </c>
      <c r="E354">
        <v>144.64269999999999</v>
      </c>
      <c r="F354">
        <v>4</v>
      </c>
      <c r="G354" t="s">
        <v>177</v>
      </c>
      <c r="H354">
        <v>70</v>
      </c>
      <c r="I354">
        <v>250</v>
      </c>
      <c r="J354">
        <v>150</v>
      </c>
      <c r="K354">
        <v>330</v>
      </c>
      <c r="L354">
        <v>271</v>
      </c>
      <c r="M354">
        <v>91</v>
      </c>
      <c r="N354">
        <v>335</v>
      </c>
      <c r="O354">
        <v>155</v>
      </c>
      <c r="T354">
        <v>5</v>
      </c>
      <c r="U354">
        <v>17</v>
      </c>
      <c r="V354">
        <v>13</v>
      </c>
      <c r="Y354">
        <v>7</v>
      </c>
      <c r="Z354">
        <v>9</v>
      </c>
      <c r="AA354">
        <v>32</v>
      </c>
      <c r="AD354">
        <v>32</v>
      </c>
      <c r="AE354">
        <v>16</v>
      </c>
      <c r="AF354">
        <v>13</v>
      </c>
      <c r="AI354">
        <v>7</v>
      </c>
      <c r="AJ354">
        <v>28</v>
      </c>
      <c r="AK354">
        <v>6</v>
      </c>
      <c r="AX354">
        <v>35</v>
      </c>
      <c r="AY354">
        <v>46</v>
      </c>
      <c r="AZ354">
        <v>81</v>
      </c>
      <c r="BA354">
        <v>48</v>
      </c>
      <c r="BB354">
        <v>49</v>
      </c>
      <c r="BC354">
        <v>97</v>
      </c>
      <c r="BD354">
        <v>61</v>
      </c>
      <c r="BE354">
        <v>32</v>
      </c>
      <c r="BF354">
        <v>93</v>
      </c>
      <c r="BG354">
        <v>41</v>
      </c>
      <c r="BH354">
        <v>58</v>
      </c>
      <c r="BI354">
        <v>99</v>
      </c>
      <c r="BP354">
        <v>77</v>
      </c>
      <c r="BR354">
        <v>59</v>
      </c>
      <c r="BS354">
        <v>26</v>
      </c>
      <c r="BT354">
        <v>17</v>
      </c>
      <c r="BV354">
        <v>6</v>
      </c>
      <c r="BW354">
        <v>185</v>
      </c>
      <c r="BX354">
        <f t="shared" si="39"/>
        <v>273</v>
      </c>
      <c r="BY354" s="5">
        <f t="shared" si="37"/>
        <v>-0.32234432234432236</v>
      </c>
      <c r="BZ354" s="6">
        <f t="shared" si="35"/>
        <v>-0.32234432234432236</v>
      </c>
      <c r="CA354" s="7">
        <v>42316</v>
      </c>
      <c r="CE354">
        <v>83</v>
      </c>
      <c r="CF354">
        <v>28</v>
      </c>
      <c r="CG354">
        <v>58</v>
      </c>
      <c r="CH354">
        <v>16</v>
      </c>
      <c r="CI354">
        <f t="shared" si="33"/>
        <v>2015</v>
      </c>
      <c r="CJ354" t="str">
        <f t="shared" si="34"/>
        <v>5595_2015</v>
      </c>
    </row>
    <row r="355" spans="1:88" x14ac:dyDescent="0.25">
      <c r="A355" t="s">
        <v>111</v>
      </c>
      <c r="B355" t="s">
        <v>157</v>
      </c>
      <c r="C355">
        <v>5595</v>
      </c>
      <c r="D355">
        <v>-37.887583999999997</v>
      </c>
      <c r="E355">
        <v>144.64265900000001</v>
      </c>
      <c r="F355">
        <v>4</v>
      </c>
      <c r="G355" t="s">
        <v>177</v>
      </c>
      <c r="H355">
        <v>70</v>
      </c>
      <c r="I355">
        <v>250</v>
      </c>
      <c r="J355">
        <v>150</v>
      </c>
      <c r="K355">
        <v>330</v>
      </c>
      <c r="L355">
        <v>271</v>
      </c>
      <c r="M355">
        <v>91</v>
      </c>
      <c r="N355">
        <v>335</v>
      </c>
      <c r="O355">
        <v>155</v>
      </c>
      <c r="T355">
        <v>10</v>
      </c>
      <c r="U355">
        <v>6</v>
      </c>
      <c r="V355">
        <v>0</v>
      </c>
      <c r="Y355">
        <v>7</v>
      </c>
      <c r="Z355">
        <v>2</v>
      </c>
      <c r="AA355">
        <v>108</v>
      </c>
      <c r="AD355">
        <v>11</v>
      </c>
      <c r="AE355">
        <v>1</v>
      </c>
      <c r="AF355">
        <v>0</v>
      </c>
      <c r="AI355">
        <v>1</v>
      </c>
      <c r="AJ355">
        <v>96</v>
      </c>
      <c r="AK355">
        <v>3</v>
      </c>
      <c r="AX355">
        <v>16</v>
      </c>
      <c r="AY355">
        <v>19</v>
      </c>
      <c r="AZ355">
        <v>35</v>
      </c>
      <c r="BA355">
        <v>117</v>
      </c>
      <c r="BB355">
        <v>107</v>
      </c>
      <c r="BC355">
        <v>224</v>
      </c>
      <c r="BD355">
        <v>12</v>
      </c>
      <c r="BE355">
        <v>11</v>
      </c>
      <c r="BF355">
        <v>23</v>
      </c>
      <c r="BG355">
        <v>100</v>
      </c>
      <c r="BH355">
        <v>108</v>
      </c>
      <c r="BI355">
        <v>208</v>
      </c>
      <c r="BP355">
        <v>17</v>
      </c>
      <c r="BR355">
        <v>134</v>
      </c>
      <c r="BS355">
        <v>2</v>
      </c>
      <c r="BT355">
        <v>91</v>
      </c>
      <c r="BV355">
        <v>1</v>
      </c>
      <c r="BW355">
        <v>245</v>
      </c>
      <c r="BX355">
        <f t="shared" si="39"/>
        <v>185</v>
      </c>
      <c r="BY355" s="5">
        <f t="shared" si="37"/>
        <v>0.32432432432432434</v>
      </c>
      <c r="BZ355" s="6">
        <f t="shared" si="35"/>
        <v>0.32432432432432434</v>
      </c>
      <c r="CA355" s="7">
        <v>42687</v>
      </c>
      <c r="CE355">
        <v>44</v>
      </c>
      <c r="CF355">
        <v>60</v>
      </c>
      <c r="CG355">
        <v>53</v>
      </c>
      <c r="CH355">
        <v>88</v>
      </c>
      <c r="CI355">
        <f t="shared" si="33"/>
        <v>2016</v>
      </c>
      <c r="CJ355" t="str">
        <f t="shared" si="34"/>
        <v>5595_2016</v>
      </c>
    </row>
    <row r="356" spans="1:88" x14ac:dyDescent="0.25">
      <c r="A356" t="s">
        <v>111</v>
      </c>
      <c r="B356" t="s">
        <v>157</v>
      </c>
      <c r="C356">
        <v>5595</v>
      </c>
      <c r="D356">
        <v>-37.887583999999997</v>
      </c>
      <c r="E356">
        <v>144.64265900000001</v>
      </c>
      <c r="F356">
        <v>4</v>
      </c>
      <c r="G356" t="s">
        <v>177</v>
      </c>
      <c r="H356">
        <v>70</v>
      </c>
      <c r="I356">
        <v>250</v>
      </c>
      <c r="J356">
        <v>150</v>
      </c>
      <c r="K356">
        <v>330</v>
      </c>
      <c r="L356">
        <v>271</v>
      </c>
      <c r="M356">
        <v>91</v>
      </c>
      <c r="N356">
        <v>335</v>
      </c>
      <c r="O356">
        <v>155</v>
      </c>
      <c r="T356">
        <v>2</v>
      </c>
      <c r="U356">
        <v>10</v>
      </c>
      <c r="V356">
        <v>2</v>
      </c>
      <c r="Y356">
        <v>2</v>
      </c>
      <c r="Z356">
        <v>20</v>
      </c>
      <c r="AA356">
        <v>19</v>
      </c>
      <c r="AD356">
        <v>23</v>
      </c>
      <c r="AE356">
        <v>15</v>
      </c>
      <c r="AF356">
        <v>32</v>
      </c>
      <c r="AI356">
        <v>2</v>
      </c>
      <c r="AJ356">
        <v>36</v>
      </c>
      <c r="AK356">
        <v>22</v>
      </c>
      <c r="AX356">
        <v>14</v>
      </c>
      <c r="AY356">
        <v>27</v>
      </c>
      <c r="AZ356">
        <v>41</v>
      </c>
      <c r="BA356">
        <v>41</v>
      </c>
      <c r="BB356">
        <v>53</v>
      </c>
      <c r="BC356">
        <v>94</v>
      </c>
      <c r="BD356">
        <v>70</v>
      </c>
      <c r="BE356">
        <v>52</v>
      </c>
      <c r="BF356">
        <v>122</v>
      </c>
      <c r="BG356">
        <v>60</v>
      </c>
      <c r="BH356">
        <v>53</v>
      </c>
      <c r="BI356">
        <v>113</v>
      </c>
      <c r="BP356">
        <v>79</v>
      </c>
      <c r="BR356">
        <v>55</v>
      </c>
      <c r="BS356">
        <v>10</v>
      </c>
      <c r="BT356">
        <v>37</v>
      </c>
      <c r="BV356">
        <v>4</v>
      </c>
      <c r="BW356">
        <v>185</v>
      </c>
      <c r="BX356">
        <f t="shared" si="39"/>
        <v>245</v>
      </c>
      <c r="BY356" s="5">
        <f t="shared" si="37"/>
        <v>-0.24489795918367346</v>
      </c>
      <c r="BZ356" s="6">
        <f t="shared" si="35"/>
        <v>-0.24489795918367346</v>
      </c>
      <c r="CA356" s="7">
        <v>43051</v>
      </c>
      <c r="CE356">
        <v>48</v>
      </c>
      <c r="CF356">
        <v>47</v>
      </c>
      <c r="CG356">
        <v>59</v>
      </c>
      <c r="CH356">
        <v>31</v>
      </c>
      <c r="CI356">
        <f t="shared" si="33"/>
        <v>2017</v>
      </c>
      <c r="CJ356" t="str">
        <f t="shared" si="34"/>
        <v>5595_2017</v>
      </c>
    </row>
    <row r="357" spans="1:88" x14ac:dyDescent="0.25">
      <c r="A357" t="s">
        <v>111</v>
      </c>
      <c r="B357" t="s">
        <v>157</v>
      </c>
      <c r="C357">
        <v>5595</v>
      </c>
      <c r="D357">
        <v>-37.887599999999999</v>
      </c>
      <c r="E357">
        <v>144.64269999999999</v>
      </c>
      <c r="F357">
        <v>4</v>
      </c>
      <c r="G357" t="s">
        <v>177</v>
      </c>
      <c r="H357">
        <v>70</v>
      </c>
      <c r="I357">
        <v>250</v>
      </c>
      <c r="J357">
        <v>150</v>
      </c>
      <c r="K357">
        <v>330</v>
      </c>
      <c r="L357">
        <v>271</v>
      </c>
      <c r="M357">
        <v>91</v>
      </c>
      <c r="N357">
        <v>335</v>
      </c>
      <c r="O357">
        <v>155</v>
      </c>
      <c r="T357">
        <v>5</v>
      </c>
      <c r="U357">
        <v>9</v>
      </c>
      <c r="V357">
        <v>0</v>
      </c>
      <c r="Y357">
        <v>0</v>
      </c>
      <c r="Z357">
        <v>7</v>
      </c>
      <c r="AA357">
        <v>40</v>
      </c>
      <c r="AD357">
        <v>12</v>
      </c>
      <c r="AE357">
        <v>1</v>
      </c>
      <c r="AF357">
        <v>0</v>
      </c>
      <c r="AI357">
        <v>0</v>
      </c>
      <c r="AJ357">
        <v>26</v>
      </c>
      <c r="AK357">
        <v>0</v>
      </c>
      <c r="AX357">
        <v>14</v>
      </c>
      <c r="AY357">
        <v>12</v>
      </c>
      <c r="AZ357">
        <v>26</v>
      </c>
      <c r="BA357">
        <v>47</v>
      </c>
      <c r="BB357">
        <v>32</v>
      </c>
      <c r="BC357">
        <v>79</v>
      </c>
      <c r="BD357">
        <v>13</v>
      </c>
      <c r="BE357">
        <v>16</v>
      </c>
      <c r="BF357">
        <v>29</v>
      </c>
      <c r="BG357">
        <v>26</v>
      </c>
      <c r="BH357">
        <v>40</v>
      </c>
      <c r="BI357">
        <v>66</v>
      </c>
      <c r="BP357">
        <v>35</v>
      </c>
      <c r="BR357">
        <v>35</v>
      </c>
      <c r="BS357">
        <v>5</v>
      </c>
      <c r="BT357">
        <v>25</v>
      </c>
      <c r="BV357">
        <v>0</v>
      </c>
      <c r="BW357">
        <v>100</v>
      </c>
      <c r="BX357" t="str">
        <f t="shared" si="39"/>
        <v>no data</v>
      </c>
      <c r="BY357" s="5"/>
      <c r="BZ357" s="6"/>
      <c r="CA357" s="7">
        <v>43779</v>
      </c>
      <c r="CE357">
        <v>41</v>
      </c>
      <c r="CF357">
        <v>31</v>
      </c>
      <c r="CG357">
        <v>20</v>
      </c>
      <c r="CH357">
        <v>8</v>
      </c>
      <c r="CI357">
        <f t="shared" si="33"/>
        <v>2019</v>
      </c>
      <c r="CJ357" t="str">
        <f t="shared" si="34"/>
        <v>5595_2019</v>
      </c>
    </row>
    <row r="358" spans="1:88" x14ac:dyDescent="0.25">
      <c r="A358" t="s">
        <v>111</v>
      </c>
      <c r="B358" t="s">
        <v>157</v>
      </c>
      <c r="C358">
        <v>5595</v>
      </c>
      <c r="D358">
        <v>-37.887583999999997</v>
      </c>
      <c r="E358">
        <v>144.64265900000001</v>
      </c>
      <c r="F358">
        <v>4</v>
      </c>
      <c r="G358" t="s">
        <v>177</v>
      </c>
      <c r="H358">
        <v>70</v>
      </c>
      <c r="I358">
        <v>250</v>
      </c>
      <c r="J358">
        <v>150</v>
      </c>
      <c r="K358">
        <v>330</v>
      </c>
      <c r="L358">
        <v>271</v>
      </c>
      <c r="M358">
        <v>91</v>
      </c>
      <c r="N358">
        <v>335</v>
      </c>
      <c r="O358">
        <v>155</v>
      </c>
      <c r="T358">
        <v>2</v>
      </c>
      <c r="U358">
        <v>11</v>
      </c>
      <c r="V358">
        <v>2</v>
      </c>
      <c r="Y358">
        <v>11</v>
      </c>
      <c r="Z358">
        <v>18</v>
      </c>
      <c r="AA358">
        <v>42</v>
      </c>
      <c r="AD358">
        <v>11</v>
      </c>
      <c r="AE358">
        <v>6</v>
      </c>
      <c r="AF358">
        <v>21</v>
      </c>
      <c r="AI358">
        <v>6</v>
      </c>
      <c r="AJ358">
        <v>45</v>
      </c>
      <c r="AK358">
        <v>12</v>
      </c>
      <c r="AX358">
        <v>15</v>
      </c>
      <c r="AY358">
        <v>28</v>
      </c>
      <c r="AZ358">
        <v>43</v>
      </c>
      <c r="BA358">
        <v>71</v>
      </c>
      <c r="BB358">
        <v>53</v>
      </c>
      <c r="BC358">
        <v>124</v>
      </c>
      <c r="BD358">
        <v>38</v>
      </c>
      <c r="BE358">
        <v>41</v>
      </c>
      <c r="BF358">
        <v>79</v>
      </c>
      <c r="BG358">
        <v>63</v>
      </c>
      <c r="BH358">
        <v>65</v>
      </c>
      <c r="BI358">
        <v>128</v>
      </c>
      <c r="BP358">
        <v>75</v>
      </c>
      <c r="BR358">
        <v>60</v>
      </c>
      <c r="BS358">
        <v>12</v>
      </c>
      <c r="BT358">
        <v>37</v>
      </c>
      <c r="BV358">
        <v>3</v>
      </c>
      <c r="BW358">
        <v>187</v>
      </c>
      <c r="BX358" t="str">
        <f t="shared" si="39"/>
        <v>no data</v>
      </c>
      <c r="BY358" s="5"/>
      <c r="BZ358" s="6"/>
      <c r="CA358" s="7">
        <v>44528</v>
      </c>
      <c r="CE358">
        <v>73</v>
      </c>
      <c r="CF358">
        <v>65</v>
      </c>
      <c r="CG358">
        <v>49</v>
      </c>
      <c r="CI358">
        <f t="shared" si="33"/>
        <v>2021</v>
      </c>
      <c r="CJ358" t="str">
        <f t="shared" si="34"/>
        <v>5595_2021</v>
      </c>
    </row>
    <row r="359" spans="1:88" x14ac:dyDescent="0.25">
      <c r="A359" t="s">
        <v>111</v>
      </c>
      <c r="B359" t="s">
        <v>157</v>
      </c>
      <c r="C359">
        <v>5595</v>
      </c>
      <c r="D359">
        <v>-37.887583999999997</v>
      </c>
      <c r="E359">
        <v>144.64265900000001</v>
      </c>
      <c r="F359">
        <v>4</v>
      </c>
      <c r="G359" t="s">
        <v>177</v>
      </c>
      <c r="H359">
        <v>70</v>
      </c>
      <c r="I359">
        <v>250</v>
      </c>
      <c r="J359">
        <v>150</v>
      </c>
      <c r="K359">
        <v>330</v>
      </c>
      <c r="L359">
        <v>271</v>
      </c>
      <c r="M359">
        <v>91</v>
      </c>
      <c r="N359">
        <v>335</v>
      </c>
      <c r="O359">
        <v>155</v>
      </c>
      <c r="T359">
        <v>3</v>
      </c>
      <c r="U359">
        <v>17</v>
      </c>
      <c r="V359">
        <v>8</v>
      </c>
      <c r="Y359">
        <v>1</v>
      </c>
      <c r="Z359">
        <v>6</v>
      </c>
      <c r="AA359">
        <v>27</v>
      </c>
      <c r="AD359">
        <v>12</v>
      </c>
      <c r="AE359">
        <v>6</v>
      </c>
      <c r="AF359">
        <v>11</v>
      </c>
      <c r="AI359">
        <v>15</v>
      </c>
      <c r="AJ359">
        <v>41</v>
      </c>
      <c r="AK359">
        <v>11</v>
      </c>
      <c r="AX359">
        <v>28</v>
      </c>
      <c r="AY359">
        <v>28</v>
      </c>
      <c r="AZ359">
        <v>56</v>
      </c>
      <c r="BA359">
        <v>34</v>
      </c>
      <c r="BB359">
        <v>50</v>
      </c>
      <c r="BC359">
        <v>84</v>
      </c>
      <c r="BD359">
        <v>29</v>
      </c>
      <c r="BE359">
        <v>34</v>
      </c>
      <c r="BF359">
        <v>63</v>
      </c>
      <c r="BG359">
        <v>67</v>
      </c>
      <c r="BH359">
        <v>46</v>
      </c>
      <c r="BI359">
        <v>113</v>
      </c>
      <c r="BP359">
        <v>43</v>
      </c>
      <c r="BR359">
        <v>64</v>
      </c>
      <c r="BS359">
        <v>19</v>
      </c>
      <c r="BT359">
        <v>25</v>
      </c>
      <c r="BU359">
        <v>7</v>
      </c>
      <c r="BV359">
        <v>0</v>
      </c>
      <c r="BW359">
        <v>158</v>
      </c>
      <c r="BX359">
        <f t="shared" si="39"/>
        <v>187</v>
      </c>
      <c r="BY359" s="5">
        <f t="shared" si="37"/>
        <v>-0.15508021390374332</v>
      </c>
      <c r="BZ359" s="6">
        <f t="shared" si="35"/>
        <v>-0.15508021390374332</v>
      </c>
      <c r="CA359" s="7">
        <v>44878</v>
      </c>
      <c r="CE359">
        <v>62</v>
      </c>
      <c r="CF359">
        <v>50</v>
      </c>
      <c r="CG359">
        <v>46</v>
      </c>
      <c r="CI359">
        <f t="shared" si="33"/>
        <v>2022</v>
      </c>
      <c r="CJ359" t="str">
        <f t="shared" si="34"/>
        <v>5595_2022</v>
      </c>
    </row>
    <row r="360" spans="1:88" x14ac:dyDescent="0.25">
      <c r="A360" t="s">
        <v>111</v>
      </c>
      <c r="B360" t="s">
        <v>157</v>
      </c>
      <c r="C360">
        <v>5596</v>
      </c>
      <c r="D360">
        <v>-37.9009</v>
      </c>
      <c r="E360">
        <v>144.65950000000001</v>
      </c>
      <c r="F360">
        <v>4</v>
      </c>
      <c r="G360" t="s">
        <v>178</v>
      </c>
      <c r="H360">
        <v>5</v>
      </c>
      <c r="I360">
        <v>185</v>
      </c>
      <c r="J360">
        <v>79</v>
      </c>
      <c r="K360">
        <v>259</v>
      </c>
      <c r="L360">
        <v>173</v>
      </c>
      <c r="M360">
        <v>353</v>
      </c>
      <c r="N360">
        <v>262</v>
      </c>
      <c r="O360">
        <v>82</v>
      </c>
      <c r="U360">
        <v>8</v>
      </c>
      <c r="V360">
        <v>4</v>
      </c>
      <c r="AD360">
        <v>8</v>
      </c>
      <c r="AF360">
        <v>2</v>
      </c>
      <c r="AI360">
        <v>3</v>
      </c>
      <c r="AK360">
        <v>2</v>
      </c>
      <c r="AX360">
        <v>12</v>
      </c>
      <c r="AY360">
        <v>11</v>
      </c>
      <c r="AZ360">
        <v>23</v>
      </c>
      <c r="BD360">
        <v>10</v>
      </c>
      <c r="BE360">
        <v>10</v>
      </c>
      <c r="BF360">
        <v>20</v>
      </c>
      <c r="BG360">
        <v>5</v>
      </c>
      <c r="BH360">
        <v>6</v>
      </c>
      <c r="BI360">
        <v>11</v>
      </c>
      <c r="BP360">
        <v>9</v>
      </c>
      <c r="BR360">
        <v>12</v>
      </c>
      <c r="BS360">
        <v>1</v>
      </c>
      <c r="BT360">
        <v>1</v>
      </c>
      <c r="BV360">
        <v>4</v>
      </c>
      <c r="BW360">
        <v>27</v>
      </c>
      <c r="BX360" t="s">
        <v>82</v>
      </c>
      <c r="BY360" s="5"/>
      <c r="BZ360" s="6"/>
      <c r="CA360" s="7">
        <v>40853</v>
      </c>
      <c r="CI360">
        <f t="shared" si="33"/>
        <v>2011</v>
      </c>
      <c r="CJ360" t="str">
        <f t="shared" si="34"/>
        <v>5596_2011</v>
      </c>
    </row>
    <row r="361" spans="1:88" x14ac:dyDescent="0.25">
      <c r="A361" t="s">
        <v>111</v>
      </c>
      <c r="B361" t="s">
        <v>157</v>
      </c>
      <c r="C361">
        <v>5596</v>
      </c>
      <c r="D361">
        <v>-37.9009</v>
      </c>
      <c r="E361">
        <v>144.65950000000001</v>
      </c>
      <c r="F361">
        <v>4</v>
      </c>
      <c r="G361" t="s">
        <v>178</v>
      </c>
      <c r="H361">
        <v>5</v>
      </c>
      <c r="I361">
        <v>185</v>
      </c>
      <c r="J361">
        <v>79</v>
      </c>
      <c r="K361">
        <v>259</v>
      </c>
      <c r="L361">
        <v>173</v>
      </c>
      <c r="M361">
        <v>353</v>
      </c>
      <c r="N361">
        <v>262</v>
      </c>
      <c r="O361">
        <v>82</v>
      </c>
      <c r="U361">
        <v>1</v>
      </c>
      <c r="V361">
        <v>3</v>
      </c>
      <c r="AD361">
        <v>2</v>
      </c>
      <c r="AF361">
        <v>3</v>
      </c>
      <c r="AI361">
        <v>13</v>
      </c>
      <c r="AK361">
        <v>0</v>
      </c>
      <c r="AX361">
        <v>4</v>
      </c>
      <c r="AY361">
        <v>15</v>
      </c>
      <c r="AZ361">
        <v>19</v>
      </c>
      <c r="BD361">
        <v>5</v>
      </c>
      <c r="BE361">
        <v>1</v>
      </c>
      <c r="BF361">
        <v>6</v>
      </c>
      <c r="BG361">
        <v>13</v>
      </c>
      <c r="BH361">
        <v>6</v>
      </c>
      <c r="BI361">
        <v>19</v>
      </c>
      <c r="BP361">
        <v>9</v>
      </c>
      <c r="BR361">
        <v>7</v>
      </c>
      <c r="BS361">
        <v>5</v>
      </c>
      <c r="BT361">
        <v>1</v>
      </c>
      <c r="BV361">
        <v>0</v>
      </c>
      <c r="BW361">
        <v>22</v>
      </c>
      <c r="BX361">
        <f t="shared" ref="BX361:BX370" si="40">IF(C361=C360,IF((CI361-1)=CI360,BW360,"no data"))</f>
        <v>27</v>
      </c>
      <c r="BY361" s="5">
        <f t="shared" si="37"/>
        <v>-0.18518518518518517</v>
      </c>
      <c r="BZ361" s="6">
        <f t="shared" si="35"/>
        <v>-0.18518518518518517</v>
      </c>
      <c r="CA361" s="7">
        <v>41224</v>
      </c>
      <c r="CI361">
        <f t="shared" si="33"/>
        <v>2012</v>
      </c>
      <c r="CJ361" t="str">
        <f t="shared" si="34"/>
        <v>5596_2012</v>
      </c>
    </row>
    <row r="362" spans="1:88" x14ac:dyDescent="0.25">
      <c r="A362" t="s">
        <v>111</v>
      </c>
      <c r="B362" t="s">
        <v>157</v>
      </c>
      <c r="C362">
        <v>5596</v>
      </c>
      <c r="D362">
        <v>-37.9009</v>
      </c>
      <c r="E362">
        <v>144.65950000000001</v>
      </c>
      <c r="F362">
        <v>4</v>
      </c>
      <c r="G362" t="s">
        <v>178</v>
      </c>
      <c r="H362">
        <v>5</v>
      </c>
      <c r="I362">
        <v>185</v>
      </c>
      <c r="J362">
        <v>79</v>
      </c>
      <c r="K362">
        <v>259</v>
      </c>
      <c r="L362">
        <v>173</v>
      </c>
      <c r="M362">
        <v>353</v>
      </c>
      <c r="N362">
        <v>262</v>
      </c>
      <c r="O362">
        <v>82</v>
      </c>
      <c r="U362">
        <v>32</v>
      </c>
      <c r="V362">
        <v>2</v>
      </c>
      <c r="AD362">
        <v>36</v>
      </c>
      <c r="AF362">
        <v>2</v>
      </c>
      <c r="AI362">
        <v>7</v>
      </c>
      <c r="AK362">
        <v>0</v>
      </c>
      <c r="AX362">
        <v>34</v>
      </c>
      <c r="AY362">
        <v>43</v>
      </c>
      <c r="AZ362">
        <v>77</v>
      </c>
      <c r="BD362">
        <v>38</v>
      </c>
      <c r="BE362">
        <v>32</v>
      </c>
      <c r="BF362">
        <v>70</v>
      </c>
      <c r="BG362">
        <v>7</v>
      </c>
      <c r="BH362">
        <v>4</v>
      </c>
      <c r="BI362">
        <v>11</v>
      </c>
      <c r="BP362">
        <v>9</v>
      </c>
      <c r="BR362">
        <v>39</v>
      </c>
      <c r="BS362">
        <v>20</v>
      </c>
      <c r="BT362">
        <v>10</v>
      </c>
      <c r="BV362">
        <v>1</v>
      </c>
      <c r="BW362">
        <v>79</v>
      </c>
      <c r="BX362">
        <f t="shared" si="40"/>
        <v>22</v>
      </c>
      <c r="BY362" s="5">
        <f t="shared" si="37"/>
        <v>2.5909090909090908</v>
      </c>
      <c r="BZ362" s="6">
        <f t="shared" si="35"/>
        <v>2.5909090909090908</v>
      </c>
      <c r="CA362" s="7">
        <v>41588</v>
      </c>
      <c r="CI362">
        <f t="shared" si="33"/>
        <v>2013</v>
      </c>
      <c r="CJ362" t="str">
        <f t="shared" si="34"/>
        <v>5596_2013</v>
      </c>
    </row>
    <row r="363" spans="1:88" x14ac:dyDescent="0.25">
      <c r="A363" t="s">
        <v>111</v>
      </c>
      <c r="B363" t="s">
        <v>157</v>
      </c>
      <c r="C363">
        <v>5596</v>
      </c>
      <c r="D363">
        <v>-37.9009</v>
      </c>
      <c r="E363">
        <v>144.65950000000001</v>
      </c>
      <c r="F363">
        <v>4</v>
      </c>
      <c r="G363" t="s">
        <v>178</v>
      </c>
      <c r="H363">
        <v>5</v>
      </c>
      <c r="I363">
        <v>185</v>
      </c>
      <c r="J363">
        <v>79</v>
      </c>
      <c r="K363">
        <v>259</v>
      </c>
      <c r="L363">
        <v>173</v>
      </c>
      <c r="M363">
        <v>353</v>
      </c>
      <c r="N363">
        <v>262</v>
      </c>
      <c r="O363">
        <v>82</v>
      </c>
      <c r="U363">
        <v>24</v>
      </c>
      <c r="V363">
        <v>11</v>
      </c>
      <c r="AD363">
        <v>37</v>
      </c>
      <c r="AF363">
        <v>20</v>
      </c>
      <c r="AI363">
        <v>8</v>
      </c>
      <c r="AK363">
        <v>26</v>
      </c>
      <c r="AX363">
        <v>35</v>
      </c>
      <c r="AY363">
        <v>45</v>
      </c>
      <c r="AZ363">
        <v>80</v>
      </c>
      <c r="BD363">
        <v>57</v>
      </c>
      <c r="BE363">
        <v>50</v>
      </c>
      <c r="BF363">
        <v>107</v>
      </c>
      <c r="BG363">
        <v>34</v>
      </c>
      <c r="BH363">
        <v>31</v>
      </c>
      <c r="BI363">
        <v>65</v>
      </c>
      <c r="BP363">
        <v>27</v>
      </c>
      <c r="BR363">
        <v>60</v>
      </c>
      <c r="BS363">
        <v>22</v>
      </c>
      <c r="BT363">
        <v>15</v>
      </c>
      <c r="BV363">
        <v>2</v>
      </c>
      <c r="BW363">
        <v>126</v>
      </c>
      <c r="BX363">
        <f t="shared" si="40"/>
        <v>79</v>
      </c>
      <c r="BY363" s="5">
        <f t="shared" si="37"/>
        <v>0.59493670886075944</v>
      </c>
      <c r="BZ363" s="6">
        <f t="shared" si="35"/>
        <v>0.59493670886075944</v>
      </c>
      <c r="CA363" s="7">
        <v>41952</v>
      </c>
      <c r="CI363">
        <f t="shared" si="33"/>
        <v>2014</v>
      </c>
      <c r="CJ363" t="str">
        <f t="shared" si="34"/>
        <v>5596_2014</v>
      </c>
    </row>
    <row r="364" spans="1:88" x14ac:dyDescent="0.25">
      <c r="A364" t="s">
        <v>111</v>
      </c>
      <c r="B364" t="s">
        <v>157</v>
      </c>
      <c r="C364">
        <v>5596</v>
      </c>
      <c r="D364">
        <v>-37.9009</v>
      </c>
      <c r="E364">
        <v>144.65950000000001</v>
      </c>
      <c r="F364">
        <v>4</v>
      </c>
      <c r="G364" t="s">
        <v>178</v>
      </c>
      <c r="H364">
        <v>5</v>
      </c>
      <c r="I364">
        <v>185</v>
      </c>
      <c r="J364">
        <v>79</v>
      </c>
      <c r="K364">
        <v>259</v>
      </c>
      <c r="L364">
        <v>173</v>
      </c>
      <c r="M364">
        <v>353</v>
      </c>
      <c r="N364">
        <v>262</v>
      </c>
      <c r="O364">
        <v>82</v>
      </c>
      <c r="U364">
        <v>24</v>
      </c>
      <c r="V364">
        <v>0</v>
      </c>
      <c r="AD364">
        <v>21</v>
      </c>
      <c r="AF364">
        <v>14</v>
      </c>
      <c r="AI364">
        <v>1</v>
      </c>
      <c r="AK364">
        <v>19</v>
      </c>
      <c r="AX364">
        <v>24</v>
      </c>
      <c r="AY364">
        <v>22</v>
      </c>
      <c r="AZ364">
        <v>46</v>
      </c>
      <c r="BD364">
        <v>35</v>
      </c>
      <c r="BE364">
        <v>43</v>
      </c>
      <c r="BF364">
        <v>78</v>
      </c>
      <c r="BG364">
        <v>20</v>
      </c>
      <c r="BH364">
        <v>14</v>
      </c>
      <c r="BI364">
        <v>34</v>
      </c>
      <c r="BP364">
        <v>36</v>
      </c>
      <c r="BR364">
        <v>30</v>
      </c>
      <c r="BS364">
        <v>6</v>
      </c>
      <c r="BT364">
        <v>6</v>
      </c>
      <c r="BV364">
        <v>1</v>
      </c>
      <c r="BW364">
        <v>79</v>
      </c>
      <c r="BX364">
        <f t="shared" si="40"/>
        <v>126</v>
      </c>
      <c r="BY364" s="5">
        <f t="shared" si="37"/>
        <v>-0.37301587301587302</v>
      </c>
      <c r="BZ364" s="6">
        <f t="shared" si="35"/>
        <v>-0.37301587301587302</v>
      </c>
      <c r="CA364" s="7">
        <v>42316</v>
      </c>
      <c r="CE364">
        <v>25</v>
      </c>
      <c r="CF364">
        <v>19</v>
      </c>
      <c r="CG364">
        <v>26</v>
      </c>
      <c r="CH364">
        <v>9</v>
      </c>
      <c r="CI364">
        <f t="shared" si="33"/>
        <v>2015</v>
      </c>
      <c r="CJ364" t="str">
        <f t="shared" si="34"/>
        <v>5596_2015</v>
      </c>
    </row>
    <row r="365" spans="1:88" x14ac:dyDescent="0.25">
      <c r="A365" t="s">
        <v>111</v>
      </c>
      <c r="B365" t="s">
        <v>157</v>
      </c>
      <c r="C365">
        <v>5596</v>
      </c>
      <c r="D365">
        <v>-37.900910000000003</v>
      </c>
      <c r="E365">
        <v>144.659459</v>
      </c>
      <c r="F365">
        <v>3</v>
      </c>
      <c r="G365" t="s">
        <v>179</v>
      </c>
      <c r="H365">
        <v>5</v>
      </c>
      <c r="I365">
        <v>185</v>
      </c>
      <c r="J365">
        <v>173</v>
      </c>
      <c r="K365">
        <v>353</v>
      </c>
      <c r="L365">
        <v>262</v>
      </c>
      <c r="M365">
        <v>82</v>
      </c>
      <c r="T365">
        <v>33</v>
      </c>
      <c r="U365">
        <v>14</v>
      </c>
      <c r="Y365">
        <v>16</v>
      </c>
      <c r="Z365">
        <v>22</v>
      </c>
      <c r="AD365">
        <v>12</v>
      </c>
      <c r="AE365">
        <v>43</v>
      </c>
      <c r="AX365">
        <v>47</v>
      </c>
      <c r="AY365">
        <v>28</v>
      </c>
      <c r="AZ365">
        <v>75</v>
      </c>
      <c r="BA365">
        <v>38</v>
      </c>
      <c r="BB365">
        <v>76</v>
      </c>
      <c r="BC365">
        <v>114</v>
      </c>
      <c r="BD365">
        <v>55</v>
      </c>
      <c r="BE365">
        <v>36</v>
      </c>
      <c r="BF365">
        <v>91</v>
      </c>
      <c r="BP365">
        <v>22</v>
      </c>
      <c r="BR365">
        <v>85</v>
      </c>
      <c r="BS365">
        <v>6</v>
      </c>
      <c r="BT365">
        <v>23</v>
      </c>
      <c r="BV365">
        <v>4</v>
      </c>
      <c r="BW365">
        <v>140</v>
      </c>
      <c r="BX365">
        <f t="shared" si="40"/>
        <v>79</v>
      </c>
      <c r="BY365" s="5">
        <f t="shared" si="37"/>
        <v>0.77215189873417722</v>
      </c>
      <c r="BZ365" s="6">
        <f t="shared" si="35"/>
        <v>0.77215189873417722</v>
      </c>
      <c r="CA365" s="7">
        <v>42687</v>
      </c>
      <c r="CE365">
        <v>57</v>
      </c>
      <c r="CF365">
        <v>26</v>
      </c>
      <c r="CG365">
        <v>25</v>
      </c>
      <c r="CH365">
        <v>32</v>
      </c>
      <c r="CI365">
        <f t="shared" si="33"/>
        <v>2016</v>
      </c>
      <c r="CJ365" t="str">
        <f t="shared" si="34"/>
        <v>5596_2016</v>
      </c>
    </row>
    <row r="366" spans="1:88" x14ac:dyDescent="0.25">
      <c r="A366" t="s">
        <v>111</v>
      </c>
      <c r="B366" t="s">
        <v>157</v>
      </c>
      <c r="C366">
        <v>5596</v>
      </c>
      <c r="D366">
        <v>-37.900910000000003</v>
      </c>
      <c r="E366">
        <v>144.659459</v>
      </c>
      <c r="F366">
        <v>3</v>
      </c>
      <c r="G366" t="s">
        <v>179</v>
      </c>
      <c r="H366">
        <v>5</v>
      </c>
      <c r="I366">
        <v>185</v>
      </c>
      <c r="J366">
        <v>79</v>
      </c>
      <c r="K366">
        <v>259</v>
      </c>
      <c r="L366">
        <v>173</v>
      </c>
      <c r="M366">
        <v>353</v>
      </c>
      <c r="N366">
        <v>262</v>
      </c>
      <c r="O366">
        <v>82</v>
      </c>
      <c r="T366">
        <v>0</v>
      </c>
      <c r="U366">
        <v>22</v>
      </c>
      <c r="V366">
        <v>0</v>
      </c>
      <c r="Y366">
        <v>0</v>
      </c>
      <c r="Z366">
        <v>0</v>
      </c>
      <c r="AA366">
        <v>69</v>
      </c>
      <c r="AD366">
        <v>20</v>
      </c>
      <c r="AE366">
        <v>0</v>
      </c>
      <c r="AF366">
        <v>0</v>
      </c>
      <c r="AI366">
        <v>0</v>
      </c>
      <c r="AJ366">
        <v>75</v>
      </c>
      <c r="AK366">
        <v>0</v>
      </c>
      <c r="AX366">
        <v>22</v>
      </c>
      <c r="AY366">
        <v>20</v>
      </c>
      <c r="AZ366">
        <v>42</v>
      </c>
      <c r="BA366">
        <v>69</v>
      </c>
      <c r="BB366">
        <v>75</v>
      </c>
      <c r="BC366">
        <v>144</v>
      </c>
      <c r="BD366">
        <v>20</v>
      </c>
      <c r="BE366">
        <v>22</v>
      </c>
      <c r="BF366">
        <v>42</v>
      </c>
      <c r="BG366">
        <v>75</v>
      </c>
      <c r="BH366">
        <v>69</v>
      </c>
      <c r="BI366">
        <v>144</v>
      </c>
      <c r="BP366">
        <v>60</v>
      </c>
      <c r="BR366">
        <v>98</v>
      </c>
      <c r="BS366">
        <v>9</v>
      </c>
      <c r="BT366">
        <v>17</v>
      </c>
      <c r="BV366">
        <v>2</v>
      </c>
      <c r="BW366">
        <v>186</v>
      </c>
      <c r="BX366">
        <f t="shared" si="40"/>
        <v>140</v>
      </c>
      <c r="BY366" s="5">
        <f t="shared" si="37"/>
        <v>0.32857142857142857</v>
      </c>
      <c r="BZ366" s="6">
        <f t="shared" si="35"/>
        <v>0.32857142857142857</v>
      </c>
      <c r="CA366" s="7">
        <v>43051</v>
      </c>
      <c r="CE366">
        <v>64</v>
      </c>
      <c r="CF366">
        <v>24</v>
      </c>
      <c r="CG366">
        <v>45</v>
      </c>
      <c r="CH366">
        <v>53</v>
      </c>
      <c r="CI366">
        <f t="shared" si="33"/>
        <v>2017</v>
      </c>
      <c r="CJ366" t="str">
        <f t="shared" si="34"/>
        <v>5596_2017</v>
      </c>
    </row>
    <row r="367" spans="1:88" x14ac:dyDescent="0.25">
      <c r="A367" t="s">
        <v>111</v>
      </c>
      <c r="B367" t="s">
        <v>157</v>
      </c>
      <c r="C367">
        <v>5596</v>
      </c>
      <c r="D367">
        <v>-37.900910000000003</v>
      </c>
      <c r="E367">
        <v>144.659459</v>
      </c>
      <c r="F367">
        <v>3</v>
      </c>
      <c r="G367" t="s">
        <v>179</v>
      </c>
      <c r="H367">
        <v>5</v>
      </c>
      <c r="I367">
        <v>185</v>
      </c>
      <c r="J367">
        <v>79</v>
      </c>
      <c r="K367">
        <v>259</v>
      </c>
      <c r="L367">
        <v>173</v>
      </c>
      <c r="M367">
        <v>353</v>
      </c>
      <c r="N367">
        <v>262</v>
      </c>
      <c r="O367">
        <v>82</v>
      </c>
      <c r="T367">
        <v>0</v>
      </c>
      <c r="U367">
        <v>11</v>
      </c>
      <c r="V367">
        <v>13</v>
      </c>
      <c r="Y367">
        <v>0</v>
      </c>
      <c r="Z367">
        <v>0</v>
      </c>
      <c r="AA367">
        <v>13</v>
      </c>
      <c r="AD367">
        <v>34</v>
      </c>
      <c r="AE367">
        <v>4</v>
      </c>
      <c r="AF367">
        <v>28</v>
      </c>
      <c r="AI367">
        <v>6</v>
      </c>
      <c r="AJ367">
        <v>22</v>
      </c>
      <c r="AK367">
        <v>24</v>
      </c>
      <c r="AX367">
        <v>24</v>
      </c>
      <c r="AY367">
        <v>40</v>
      </c>
      <c r="AZ367">
        <v>64</v>
      </c>
      <c r="BA367">
        <v>13</v>
      </c>
      <c r="BB367">
        <v>26</v>
      </c>
      <c r="BC367">
        <v>39</v>
      </c>
      <c r="BD367">
        <v>66</v>
      </c>
      <c r="BE367">
        <v>35</v>
      </c>
      <c r="BF367">
        <v>101</v>
      </c>
      <c r="BG367">
        <v>52</v>
      </c>
      <c r="BH367">
        <v>54</v>
      </c>
      <c r="BI367">
        <v>106</v>
      </c>
      <c r="BP367">
        <v>46</v>
      </c>
      <c r="BR367">
        <v>80</v>
      </c>
      <c r="BS367">
        <v>11</v>
      </c>
      <c r="BT367">
        <v>15</v>
      </c>
      <c r="BV367">
        <v>3</v>
      </c>
      <c r="BW367">
        <v>155</v>
      </c>
      <c r="BX367">
        <f t="shared" si="40"/>
        <v>186</v>
      </c>
      <c r="BY367" s="5">
        <f t="shared" si="37"/>
        <v>-0.16666666666666666</v>
      </c>
      <c r="BZ367" s="6">
        <f t="shared" si="35"/>
        <v>-0.16666666666666666</v>
      </c>
      <c r="CA367" s="7">
        <v>43415</v>
      </c>
      <c r="CE367">
        <v>34</v>
      </c>
      <c r="CF367">
        <v>44</v>
      </c>
      <c r="CG367">
        <v>39</v>
      </c>
      <c r="CH367">
        <v>38</v>
      </c>
      <c r="CI367">
        <f t="shared" si="33"/>
        <v>2018</v>
      </c>
      <c r="CJ367" t="str">
        <f t="shared" si="34"/>
        <v>5596_2018</v>
      </c>
    </row>
    <row r="368" spans="1:88" x14ac:dyDescent="0.25">
      <c r="A368" t="s">
        <v>111</v>
      </c>
      <c r="B368" t="s">
        <v>157</v>
      </c>
      <c r="C368">
        <v>5596</v>
      </c>
      <c r="D368">
        <v>-37.9009</v>
      </c>
      <c r="E368">
        <v>144.65950000000001</v>
      </c>
      <c r="F368">
        <v>4</v>
      </c>
      <c r="G368" t="s">
        <v>178</v>
      </c>
      <c r="H368">
        <v>5</v>
      </c>
      <c r="I368">
        <v>185</v>
      </c>
      <c r="J368">
        <v>79</v>
      </c>
      <c r="K368">
        <v>259</v>
      </c>
      <c r="L368">
        <v>173</v>
      </c>
      <c r="M368">
        <v>353</v>
      </c>
      <c r="N368">
        <v>262</v>
      </c>
      <c r="O368">
        <v>82</v>
      </c>
      <c r="T368">
        <v>1</v>
      </c>
      <c r="U368">
        <v>23</v>
      </c>
      <c r="V368">
        <v>1</v>
      </c>
      <c r="Y368">
        <v>5</v>
      </c>
      <c r="Z368">
        <v>4</v>
      </c>
      <c r="AA368">
        <v>17</v>
      </c>
      <c r="AD368">
        <v>12</v>
      </c>
      <c r="AE368">
        <v>8</v>
      </c>
      <c r="AF368">
        <v>2</v>
      </c>
      <c r="AI368">
        <v>4</v>
      </c>
      <c r="AJ368">
        <v>36</v>
      </c>
      <c r="AK368">
        <v>0</v>
      </c>
      <c r="AX368">
        <v>25</v>
      </c>
      <c r="AY368">
        <v>21</v>
      </c>
      <c r="AZ368">
        <v>46</v>
      </c>
      <c r="BA368">
        <v>26</v>
      </c>
      <c r="BB368">
        <v>45</v>
      </c>
      <c r="BC368">
        <v>71</v>
      </c>
      <c r="BD368">
        <v>22</v>
      </c>
      <c r="BE368">
        <v>27</v>
      </c>
      <c r="BF368">
        <v>49</v>
      </c>
      <c r="BG368">
        <v>40</v>
      </c>
      <c r="BH368">
        <v>20</v>
      </c>
      <c r="BI368">
        <v>60</v>
      </c>
      <c r="BP368">
        <v>17</v>
      </c>
      <c r="BR368">
        <v>67</v>
      </c>
      <c r="BS368">
        <v>25</v>
      </c>
      <c r="BT368">
        <v>4</v>
      </c>
      <c r="BV368">
        <v>0</v>
      </c>
      <c r="BW368">
        <v>113</v>
      </c>
      <c r="BX368">
        <f t="shared" si="40"/>
        <v>155</v>
      </c>
      <c r="BY368" s="5">
        <f t="shared" si="37"/>
        <v>-0.2709677419354839</v>
      </c>
      <c r="BZ368" s="6">
        <f t="shared" si="35"/>
        <v>-0.2709677419354839</v>
      </c>
      <c r="CA368" s="7">
        <v>43779</v>
      </c>
      <c r="CE368">
        <v>43</v>
      </c>
      <c r="CF368">
        <v>18</v>
      </c>
      <c r="CG368">
        <v>30</v>
      </c>
      <c r="CH368">
        <v>22</v>
      </c>
      <c r="CI368">
        <f t="shared" si="33"/>
        <v>2019</v>
      </c>
      <c r="CJ368" t="str">
        <f t="shared" si="34"/>
        <v>5596_2019</v>
      </c>
    </row>
    <row r="369" spans="1:88" x14ac:dyDescent="0.25">
      <c r="A369" t="s">
        <v>111</v>
      </c>
      <c r="B369" t="s">
        <v>157</v>
      </c>
      <c r="C369">
        <v>5596</v>
      </c>
      <c r="D369">
        <v>-37.900910000000003</v>
      </c>
      <c r="E369">
        <v>144.659459</v>
      </c>
      <c r="F369">
        <v>4</v>
      </c>
      <c r="G369" t="s">
        <v>178</v>
      </c>
      <c r="H369">
        <v>5</v>
      </c>
      <c r="I369">
        <v>185</v>
      </c>
      <c r="J369">
        <v>79</v>
      </c>
      <c r="K369">
        <v>259</v>
      </c>
      <c r="L369">
        <v>173</v>
      </c>
      <c r="M369">
        <v>353</v>
      </c>
      <c r="N369">
        <v>262</v>
      </c>
      <c r="O369">
        <v>82</v>
      </c>
      <c r="T369">
        <v>1</v>
      </c>
      <c r="U369">
        <v>41</v>
      </c>
      <c r="V369">
        <v>1</v>
      </c>
      <c r="Y369">
        <v>0</v>
      </c>
      <c r="Z369">
        <v>2</v>
      </c>
      <c r="AA369">
        <v>196</v>
      </c>
      <c r="AD369">
        <v>41</v>
      </c>
      <c r="AE369">
        <v>0</v>
      </c>
      <c r="AF369">
        <v>4</v>
      </c>
      <c r="AI369">
        <v>0</v>
      </c>
      <c r="AJ369">
        <v>114</v>
      </c>
      <c r="AK369">
        <v>0</v>
      </c>
      <c r="AX369">
        <v>43</v>
      </c>
      <c r="AY369">
        <v>41</v>
      </c>
      <c r="AZ369">
        <v>84</v>
      </c>
      <c r="BA369">
        <v>198</v>
      </c>
      <c r="BB369">
        <v>115</v>
      </c>
      <c r="BC369">
        <v>313</v>
      </c>
      <c r="BD369">
        <v>45</v>
      </c>
      <c r="BE369">
        <v>43</v>
      </c>
      <c r="BF369">
        <v>88</v>
      </c>
      <c r="BG369">
        <v>114</v>
      </c>
      <c r="BH369">
        <v>201</v>
      </c>
      <c r="BI369">
        <v>315</v>
      </c>
      <c r="BP369">
        <v>42</v>
      </c>
      <c r="BR369">
        <v>289</v>
      </c>
      <c r="BS369">
        <v>30</v>
      </c>
      <c r="BT369">
        <v>31</v>
      </c>
      <c r="BV369">
        <v>8</v>
      </c>
      <c r="BW369">
        <v>400</v>
      </c>
      <c r="BX369" t="str">
        <f t="shared" si="40"/>
        <v>no data</v>
      </c>
      <c r="BY369" s="5"/>
      <c r="BZ369" s="6"/>
      <c r="CA369" s="7">
        <v>44528</v>
      </c>
      <c r="CE369">
        <v>141</v>
      </c>
      <c r="CF369">
        <v>122</v>
      </c>
      <c r="CG369">
        <v>137</v>
      </c>
      <c r="CI369">
        <f t="shared" si="33"/>
        <v>2021</v>
      </c>
      <c r="CJ369" t="str">
        <f t="shared" si="34"/>
        <v>5596_2021</v>
      </c>
    </row>
    <row r="370" spans="1:88" x14ac:dyDescent="0.25">
      <c r="A370" t="s">
        <v>111</v>
      </c>
      <c r="B370" t="s">
        <v>157</v>
      </c>
      <c r="C370">
        <v>5596</v>
      </c>
      <c r="D370">
        <v>-37.900910000000003</v>
      </c>
      <c r="E370">
        <v>144.659459</v>
      </c>
      <c r="F370">
        <v>4</v>
      </c>
      <c r="G370" t="s">
        <v>178</v>
      </c>
      <c r="H370">
        <v>5</v>
      </c>
      <c r="I370">
        <v>185</v>
      </c>
      <c r="J370">
        <v>79</v>
      </c>
      <c r="K370">
        <v>259</v>
      </c>
      <c r="L370">
        <v>173</v>
      </c>
      <c r="M370">
        <v>353</v>
      </c>
      <c r="N370">
        <v>262</v>
      </c>
      <c r="O370">
        <v>82</v>
      </c>
      <c r="T370">
        <v>0</v>
      </c>
      <c r="U370">
        <v>8</v>
      </c>
      <c r="V370">
        <v>11</v>
      </c>
      <c r="Y370">
        <v>0</v>
      </c>
      <c r="Z370">
        <v>1</v>
      </c>
      <c r="AA370">
        <v>86</v>
      </c>
      <c r="AD370">
        <v>12</v>
      </c>
      <c r="AE370">
        <v>3</v>
      </c>
      <c r="AF370">
        <v>71</v>
      </c>
      <c r="AI370">
        <v>11</v>
      </c>
      <c r="AJ370">
        <v>74</v>
      </c>
      <c r="AK370">
        <v>47</v>
      </c>
      <c r="AX370">
        <v>19</v>
      </c>
      <c r="AY370">
        <v>23</v>
      </c>
      <c r="AZ370">
        <v>42</v>
      </c>
      <c r="BA370">
        <v>87</v>
      </c>
      <c r="BB370">
        <v>77</v>
      </c>
      <c r="BC370">
        <v>164</v>
      </c>
      <c r="BD370">
        <v>86</v>
      </c>
      <c r="BE370">
        <v>56</v>
      </c>
      <c r="BF370">
        <v>142</v>
      </c>
      <c r="BG370">
        <v>132</v>
      </c>
      <c r="BH370">
        <v>168</v>
      </c>
      <c r="BI370">
        <v>300</v>
      </c>
      <c r="BP370">
        <v>24</v>
      </c>
      <c r="BR370">
        <v>242</v>
      </c>
      <c r="BS370">
        <v>5</v>
      </c>
      <c r="BT370">
        <v>31</v>
      </c>
      <c r="BU370">
        <v>20</v>
      </c>
      <c r="BV370">
        <v>2</v>
      </c>
      <c r="BW370">
        <v>324</v>
      </c>
      <c r="BX370">
        <f t="shared" si="40"/>
        <v>400</v>
      </c>
      <c r="BY370" s="5">
        <f t="shared" si="37"/>
        <v>-0.19</v>
      </c>
      <c r="BZ370" s="6">
        <f t="shared" si="35"/>
        <v>-0.19</v>
      </c>
      <c r="CA370" s="7">
        <v>44892</v>
      </c>
      <c r="CE370">
        <v>92</v>
      </c>
      <c r="CF370">
        <v>118</v>
      </c>
      <c r="CG370">
        <v>114</v>
      </c>
      <c r="CI370">
        <f t="shared" si="33"/>
        <v>2022</v>
      </c>
      <c r="CJ370" t="str">
        <f t="shared" si="34"/>
        <v>5596_2022</v>
      </c>
    </row>
    <row r="371" spans="1:88" x14ac:dyDescent="0.25">
      <c r="A371" t="s">
        <v>111</v>
      </c>
      <c r="B371" t="s">
        <v>157</v>
      </c>
      <c r="C371">
        <v>5597</v>
      </c>
      <c r="D371">
        <v>-37.934800000000003</v>
      </c>
      <c r="E371">
        <v>144.66139999999999</v>
      </c>
      <c r="F371">
        <v>3</v>
      </c>
      <c r="G371" t="s">
        <v>180</v>
      </c>
      <c r="H371">
        <v>23</v>
      </c>
      <c r="I371">
        <v>203</v>
      </c>
      <c r="J371">
        <v>128</v>
      </c>
      <c r="K371">
        <v>308</v>
      </c>
      <c r="L371">
        <v>303</v>
      </c>
      <c r="M371">
        <v>123</v>
      </c>
      <c r="T371">
        <v>0</v>
      </c>
      <c r="U371">
        <v>13</v>
      </c>
      <c r="Y371">
        <v>0</v>
      </c>
      <c r="Z371">
        <v>6</v>
      </c>
      <c r="AD371">
        <v>21</v>
      </c>
      <c r="AE371">
        <v>4</v>
      </c>
      <c r="AX371">
        <v>13</v>
      </c>
      <c r="AY371">
        <v>21</v>
      </c>
      <c r="AZ371">
        <v>34</v>
      </c>
      <c r="BA371">
        <v>6</v>
      </c>
      <c r="BB371">
        <v>4</v>
      </c>
      <c r="BC371">
        <v>10</v>
      </c>
      <c r="BD371">
        <v>25</v>
      </c>
      <c r="BE371">
        <v>19</v>
      </c>
      <c r="BF371">
        <v>44</v>
      </c>
      <c r="BP371">
        <v>15</v>
      </c>
      <c r="BR371">
        <v>5</v>
      </c>
      <c r="BS371">
        <v>2</v>
      </c>
      <c r="BT371">
        <v>0</v>
      </c>
      <c r="BV371">
        <v>22</v>
      </c>
      <c r="BW371">
        <v>44</v>
      </c>
      <c r="BX371" t="s">
        <v>82</v>
      </c>
      <c r="BY371" s="5"/>
      <c r="BZ371" s="6"/>
      <c r="CA371" s="7">
        <v>40853</v>
      </c>
      <c r="CI371">
        <f t="shared" si="33"/>
        <v>2011</v>
      </c>
      <c r="CJ371" t="str">
        <f t="shared" si="34"/>
        <v>5597_2011</v>
      </c>
    </row>
    <row r="372" spans="1:88" x14ac:dyDescent="0.25">
      <c r="A372" t="s">
        <v>111</v>
      </c>
      <c r="B372" t="s">
        <v>157</v>
      </c>
      <c r="C372">
        <v>5597</v>
      </c>
      <c r="D372">
        <v>-37.934800000000003</v>
      </c>
      <c r="E372">
        <v>144.66139999999999</v>
      </c>
      <c r="F372">
        <v>3</v>
      </c>
      <c r="G372" t="s">
        <v>180</v>
      </c>
      <c r="H372">
        <v>23</v>
      </c>
      <c r="I372">
        <v>203</v>
      </c>
      <c r="J372">
        <v>128</v>
      </c>
      <c r="K372">
        <v>308</v>
      </c>
      <c r="L372">
        <v>303</v>
      </c>
      <c r="M372">
        <v>123</v>
      </c>
      <c r="T372">
        <v>2</v>
      </c>
      <c r="U372">
        <v>21</v>
      </c>
      <c r="Y372">
        <v>0</v>
      </c>
      <c r="Z372">
        <v>4</v>
      </c>
      <c r="AD372">
        <v>31</v>
      </c>
      <c r="AE372">
        <v>4</v>
      </c>
      <c r="AX372">
        <v>23</v>
      </c>
      <c r="AY372">
        <v>31</v>
      </c>
      <c r="AZ372">
        <v>54</v>
      </c>
      <c r="BA372">
        <v>4</v>
      </c>
      <c r="BB372">
        <v>6</v>
      </c>
      <c r="BC372">
        <v>10</v>
      </c>
      <c r="BD372">
        <v>35</v>
      </c>
      <c r="BE372">
        <v>25</v>
      </c>
      <c r="BF372">
        <v>60</v>
      </c>
      <c r="BP372">
        <v>45</v>
      </c>
      <c r="BR372">
        <v>17</v>
      </c>
      <c r="BS372">
        <v>0</v>
      </c>
      <c r="BT372">
        <v>0</v>
      </c>
      <c r="BV372">
        <v>0</v>
      </c>
      <c r="BW372">
        <v>62</v>
      </c>
      <c r="BX372">
        <f t="shared" ref="BX372:BX381" si="41">IF(C372=C371,IF((CI372-1)=CI371,BW371,"no data"))</f>
        <v>44</v>
      </c>
      <c r="BY372" s="5">
        <f t="shared" si="37"/>
        <v>0.40909090909090912</v>
      </c>
      <c r="BZ372" s="6">
        <f t="shared" si="35"/>
        <v>0.40909090909090912</v>
      </c>
      <c r="CA372" s="7">
        <v>41224</v>
      </c>
      <c r="CI372">
        <f t="shared" si="33"/>
        <v>2012</v>
      </c>
      <c r="CJ372" t="str">
        <f t="shared" si="34"/>
        <v>5597_2012</v>
      </c>
    </row>
    <row r="373" spans="1:88" x14ac:dyDescent="0.25">
      <c r="A373" t="s">
        <v>111</v>
      </c>
      <c r="B373" t="s">
        <v>157</v>
      </c>
      <c r="C373">
        <v>5597</v>
      </c>
      <c r="D373">
        <v>-37.934800000000003</v>
      </c>
      <c r="E373">
        <v>144.66139999999999</v>
      </c>
      <c r="F373">
        <v>3</v>
      </c>
      <c r="G373" t="s">
        <v>180</v>
      </c>
      <c r="H373">
        <v>23</v>
      </c>
      <c r="I373">
        <v>203</v>
      </c>
      <c r="J373">
        <v>128</v>
      </c>
      <c r="K373">
        <v>308</v>
      </c>
      <c r="L373">
        <v>303</v>
      </c>
      <c r="M373">
        <v>123</v>
      </c>
      <c r="T373">
        <v>2</v>
      </c>
      <c r="U373">
        <v>4</v>
      </c>
      <c r="Y373">
        <v>1</v>
      </c>
      <c r="Z373">
        <v>0</v>
      </c>
      <c r="AD373">
        <v>6</v>
      </c>
      <c r="AE373">
        <v>0</v>
      </c>
      <c r="AX373">
        <v>6</v>
      </c>
      <c r="AY373">
        <v>7</v>
      </c>
      <c r="AZ373">
        <v>13</v>
      </c>
      <c r="BA373">
        <v>1</v>
      </c>
      <c r="BB373">
        <v>2</v>
      </c>
      <c r="BC373">
        <v>3</v>
      </c>
      <c r="BD373">
        <v>6</v>
      </c>
      <c r="BE373">
        <v>4</v>
      </c>
      <c r="BF373">
        <v>10</v>
      </c>
      <c r="BP373">
        <v>7</v>
      </c>
      <c r="BR373">
        <v>6</v>
      </c>
      <c r="BS373">
        <v>0</v>
      </c>
      <c r="BT373">
        <v>0</v>
      </c>
      <c r="BV373">
        <v>0</v>
      </c>
      <c r="BW373">
        <v>13</v>
      </c>
      <c r="BX373">
        <f t="shared" si="41"/>
        <v>62</v>
      </c>
      <c r="BY373" s="5">
        <f t="shared" si="37"/>
        <v>-0.79032258064516125</v>
      </c>
      <c r="BZ373" s="6">
        <f t="shared" si="35"/>
        <v>-0.79032258064516125</v>
      </c>
      <c r="CA373" s="7">
        <v>41588</v>
      </c>
      <c r="CI373">
        <f t="shared" si="33"/>
        <v>2013</v>
      </c>
      <c r="CJ373" t="str">
        <f t="shared" si="34"/>
        <v>5597_2013</v>
      </c>
    </row>
    <row r="374" spans="1:88" x14ac:dyDescent="0.25">
      <c r="A374" t="s">
        <v>111</v>
      </c>
      <c r="B374" t="s">
        <v>157</v>
      </c>
      <c r="C374">
        <v>5597</v>
      </c>
      <c r="D374">
        <v>-37.934800000000003</v>
      </c>
      <c r="E374">
        <v>144.66139999999999</v>
      </c>
      <c r="F374">
        <v>3</v>
      </c>
      <c r="G374" t="s">
        <v>180</v>
      </c>
      <c r="H374">
        <v>23</v>
      </c>
      <c r="I374">
        <v>203</v>
      </c>
      <c r="J374">
        <v>128</v>
      </c>
      <c r="K374">
        <v>308</v>
      </c>
      <c r="L374">
        <v>303</v>
      </c>
      <c r="M374">
        <v>123</v>
      </c>
      <c r="T374">
        <v>0</v>
      </c>
      <c r="U374">
        <v>7</v>
      </c>
      <c r="Y374">
        <v>1</v>
      </c>
      <c r="Z374">
        <v>5</v>
      </c>
      <c r="AD374">
        <v>17</v>
      </c>
      <c r="AE374">
        <v>0</v>
      </c>
      <c r="AX374">
        <v>7</v>
      </c>
      <c r="AY374">
        <v>18</v>
      </c>
      <c r="AZ374">
        <v>25</v>
      </c>
      <c r="BA374">
        <v>6</v>
      </c>
      <c r="BB374">
        <v>0</v>
      </c>
      <c r="BC374">
        <v>6</v>
      </c>
      <c r="BD374">
        <v>17</v>
      </c>
      <c r="BE374">
        <v>12</v>
      </c>
      <c r="BF374">
        <v>29</v>
      </c>
      <c r="BP374">
        <v>10</v>
      </c>
      <c r="BR374">
        <v>17</v>
      </c>
      <c r="BS374">
        <v>1</v>
      </c>
      <c r="BT374">
        <v>2</v>
      </c>
      <c r="BV374">
        <v>0</v>
      </c>
      <c r="BW374">
        <v>30</v>
      </c>
      <c r="BX374">
        <f t="shared" si="41"/>
        <v>13</v>
      </c>
      <c r="BY374" s="5">
        <f t="shared" si="37"/>
        <v>1.3076923076923077</v>
      </c>
      <c r="BZ374" s="6">
        <f t="shared" si="35"/>
        <v>1.3076923076923077</v>
      </c>
      <c r="CA374" s="7">
        <v>41952</v>
      </c>
      <c r="CI374">
        <f t="shared" si="33"/>
        <v>2014</v>
      </c>
      <c r="CJ374" t="str">
        <f t="shared" si="34"/>
        <v>5597_2014</v>
      </c>
    </row>
    <row r="375" spans="1:88" x14ac:dyDescent="0.25">
      <c r="A375" t="s">
        <v>111</v>
      </c>
      <c r="B375" t="s">
        <v>157</v>
      </c>
      <c r="C375">
        <v>5597</v>
      </c>
      <c r="D375">
        <v>-37.934800000000003</v>
      </c>
      <c r="E375">
        <v>144.66139999999999</v>
      </c>
      <c r="F375">
        <v>3</v>
      </c>
      <c r="G375" t="s">
        <v>180</v>
      </c>
      <c r="H375">
        <v>23</v>
      </c>
      <c r="I375">
        <v>203</v>
      </c>
      <c r="J375">
        <v>128</v>
      </c>
      <c r="K375">
        <v>308</v>
      </c>
      <c r="L375">
        <v>303</v>
      </c>
      <c r="M375">
        <v>123</v>
      </c>
      <c r="T375">
        <v>1</v>
      </c>
      <c r="U375">
        <v>10</v>
      </c>
      <c r="Y375">
        <v>4</v>
      </c>
      <c r="Z375">
        <v>1</v>
      </c>
      <c r="AD375">
        <v>12</v>
      </c>
      <c r="AE375">
        <v>2</v>
      </c>
      <c r="AX375">
        <v>11</v>
      </c>
      <c r="AY375">
        <v>16</v>
      </c>
      <c r="AZ375">
        <v>27</v>
      </c>
      <c r="BA375">
        <v>5</v>
      </c>
      <c r="BB375">
        <v>3</v>
      </c>
      <c r="BC375">
        <v>8</v>
      </c>
      <c r="BD375">
        <v>14</v>
      </c>
      <c r="BE375">
        <v>11</v>
      </c>
      <c r="BF375">
        <v>25</v>
      </c>
      <c r="BP375">
        <v>6</v>
      </c>
      <c r="BR375">
        <v>21</v>
      </c>
      <c r="BS375">
        <v>1</v>
      </c>
      <c r="BT375">
        <v>0</v>
      </c>
      <c r="BV375">
        <v>2</v>
      </c>
      <c r="BW375">
        <v>30</v>
      </c>
      <c r="BX375">
        <f t="shared" si="41"/>
        <v>30</v>
      </c>
      <c r="BY375" s="5">
        <f t="shared" si="37"/>
        <v>0</v>
      </c>
      <c r="BZ375" s="6">
        <f t="shared" si="35"/>
        <v>0</v>
      </c>
      <c r="CA375" s="7">
        <v>42316</v>
      </c>
      <c r="CE375">
        <v>2</v>
      </c>
      <c r="CF375">
        <v>5</v>
      </c>
      <c r="CG375">
        <v>12</v>
      </c>
      <c r="CH375">
        <v>11</v>
      </c>
      <c r="CI375">
        <f t="shared" si="33"/>
        <v>2015</v>
      </c>
      <c r="CJ375" t="str">
        <f t="shared" si="34"/>
        <v>5597_2015</v>
      </c>
    </row>
    <row r="376" spans="1:88" x14ac:dyDescent="0.25">
      <c r="A376" t="s">
        <v>111</v>
      </c>
      <c r="B376" t="s">
        <v>157</v>
      </c>
      <c r="C376">
        <v>5597</v>
      </c>
      <c r="D376">
        <v>-37.934781000000001</v>
      </c>
      <c r="E376">
        <v>144.66141300000001</v>
      </c>
      <c r="F376">
        <v>3</v>
      </c>
      <c r="G376" t="s">
        <v>180</v>
      </c>
      <c r="H376">
        <v>23</v>
      </c>
      <c r="I376">
        <v>203</v>
      </c>
      <c r="J376">
        <v>128</v>
      </c>
      <c r="K376">
        <v>308</v>
      </c>
      <c r="L376">
        <v>303</v>
      </c>
      <c r="M376">
        <v>123</v>
      </c>
      <c r="T376">
        <v>0</v>
      </c>
      <c r="U376">
        <v>0</v>
      </c>
      <c r="Y376">
        <v>0</v>
      </c>
      <c r="Z376">
        <v>1</v>
      </c>
      <c r="AD376">
        <v>0</v>
      </c>
      <c r="AE376">
        <v>1</v>
      </c>
      <c r="AX376">
        <v>0</v>
      </c>
      <c r="AY376">
        <v>0</v>
      </c>
      <c r="AZ376">
        <v>0</v>
      </c>
      <c r="BA376">
        <v>1</v>
      </c>
      <c r="BB376">
        <v>1</v>
      </c>
      <c r="BC376">
        <v>2</v>
      </c>
      <c r="BD376">
        <v>1</v>
      </c>
      <c r="BE376">
        <v>1</v>
      </c>
      <c r="BF376">
        <v>2</v>
      </c>
      <c r="BP376">
        <v>0</v>
      </c>
      <c r="BR376">
        <v>0</v>
      </c>
      <c r="BS376">
        <v>0</v>
      </c>
      <c r="BT376">
        <v>0</v>
      </c>
      <c r="BV376">
        <v>2</v>
      </c>
      <c r="BW376">
        <v>2</v>
      </c>
      <c r="BX376">
        <f t="shared" si="41"/>
        <v>30</v>
      </c>
      <c r="BY376" s="5">
        <f t="shared" si="37"/>
        <v>-0.93333333333333335</v>
      </c>
      <c r="BZ376" s="6">
        <f t="shared" si="35"/>
        <v>-0.93333333333333335</v>
      </c>
      <c r="CA376" s="7">
        <v>42687</v>
      </c>
      <c r="CE376">
        <v>0</v>
      </c>
      <c r="CF376">
        <v>0</v>
      </c>
      <c r="CG376">
        <v>2</v>
      </c>
      <c r="CH376">
        <v>0</v>
      </c>
      <c r="CI376">
        <f t="shared" si="33"/>
        <v>2016</v>
      </c>
      <c r="CJ376" t="str">
        <f t="shared" si="34"/>
        <v>5597_2016</v>
      </c>
    </row>
    <row r="377" spans="1:88" x14ac:dyDescent="0.25">
      <c r="A377" t="s">
        <v>111</v>
      </c>
      <c r="B377" t="s">
        <v>157</v>
      </c>
      <c r="C377">
        <v>5597</v>
      </c>
      <c r="D377">
        <v>-37.934781000000001</v>
      </c>
      <c r="E377">
        <v>144.66141300000001</v>
      </c>
      <c r="F377">
        <v>3</v>
      </c>
      <c r="G377" t="s">
        <v>180</v>
      </c>
      <c r="H377">
        <v>23</v>
      </c>
      <c r="I377">
        <v>203</v>
      </c>
      <c r="J377">
        <v>128</v>
      </c>
      <c r="K377">
        <v>308</v>
      </c>
      <c r="L377">
        <v>303</v>
      </c>
      <c r="M377">
        <v>123</v>
      </c>
      <c r="T377">
        <v>1</v>
      </c>
      <c r="U377">
        <v>9</v>
      </c>
      <c r="Y377">
        <v>2</v>
      </c>
      <c r="Z377">
        <v>1</v>
      </c>
      <c r="AD377">
        <v>4</v>
      </c>
      <c r="AE377">
        <v>0</v>
      </c>
      <c r="AX377">
        <v>10</v>
      </c>
      <c r="AY377">
        <v>6</v>
      </c>
      <c r="AZ377">
        <v>16</v>
      </c>
      <c r="BA377">
        <v>3</v>
      </c>
      <c r="BB377">
        <v>1</v>
      </c>
      <c r="BC377">
        <v>4</v>
      </c>
      <c r="BD377">
        <v>4</v>
      </c>
      <c r="BE377">
        <v>10</v>
      </c>
      <c r="BF377">
        <v>14</v>
      </c>
      <c r="BP377">
        <v>14</v>
      </c>
      <c r="BR377">
        <v>2</v>
      </c>
      <c r="BS377">
        <v>0</v>
      </c>
      <c r="BT377">
        <v>0</v>
      </c>
      <c r="BV377">
        <v>1</v>
      </c>
      <c r="BW377">
        <v>17</v>
      </c>
      <c r="BX377">
        <f t="shared" si="41"/>
        <v>2</v>
      </c>
      <c r="BY377" s="5">
        <f t="shared" si="37"/>
        <v>7.5</v>
      </c>
      <c r="BZ377" s="6">
        <f t="shared" si="35"/>
        <v>7.5</v>
      </c>
      <c r="CA377" s="7">
        <v>43051</v>
      </c>
      <c r="CE377">
        <v>0</v>
      </c>
      <c r="CF377">
        <v>2</v>
      </c>
      <c r="CG377">
        <v>5</v>
      </c>
      <c r="CH377">
        <v>10</v>
      </c>
      <c r="CI377">
        <f t="shared" si="33"/>
        <v>2017</v>
      </c>
      <c r="CJ377" t="str">
        <f t="shared" si="34"/>
        <v>5597_2017</v>
      </c>
    </row>
    <row r="378" spans="1:88" x14ac:dyDescent="0.25">
      <c r="A378" t="s">
        <v>111</v>
      </c>
      <c r="B378" t="s">
        <v>157</v>
      </c>
      <c r="C378">
        <v>5597</v>
      </c>
      <c r="D378">
        <v>-37.934781000000001</v>
      </c>
      <c r="E378">
        <v>144.66141300000001</v>
      </c>
      <c r="F378">
        <v>3</v>
      </c>
      <c r="G378" t="s">
        <v>180</v>
      </c>
      <c r="H378">
        <v>23</v>
      </c>
      <c r="I378">
        <v>203</v>
      </c>
      <c r="J378">
        <v>128</v>
      </c>
      <c r="K378">
        <v>308</v>
      </c>
      <c r="L378">
        <v>303</v>
      </c>
      <c r="M378">
        <v>123</v>
      </c>
      <c r="T378">
        <v>11</v>
      </c>
      <c r="U378">
        <v>9</v>
      </c>
      <c r="Y378">
        <v>10</v>
      </c>
      <c r="Z378">
        <v>7</v>
      </c>
      <c r="AD378">
        <v>23</v>
      </c>
      <c r="AE378">
        <v>3</v>
      </c>
      <c r="AX378">
        <v>20</v>
      </c>
      <c r="AY378">
        <v>33</v>
      </c>
      <c r="AZ378">
        <v>53</v>
      </c>
      <c r="BA378">
        <v>17</v>
      </c>
      <c r="BB378">
        <v>14</v>
      </c>
      <c r="BC378">
        <v>31</v>
      </c>
      <c r="BD378">
        <v>26</v>
      </c>
      <c r="BE378">
        <v>16</v>
      </c>
      <c r="BF378">
        <v>42</v>
      </c>
      <c r="BP378">
        <v>24</v>
      </c>
      <c r="BR378">
        <v>39</v>
      </c>
      <c r="BS378">
        <v>0</v>
      </c>
      <c r="BT378">
        <v>0</v>
      </c>
      <c r="BV378">
        <v>0</v>
      </c>
      <c r="BW378">
        <v>63</v>
      </c>
      <c r="BX378">
        <f t="shared" si="41"/>
        <v>17</v>
      </c>
      <c r="BY378" s="5">
        <f t="shared" si="37"/>
        <v>2.7058823529411766</v>
      </c>
      <c r="BZ378" s="6">
        <f t="shared" si="35"/>
        <v>2.7058823529411766</v>
      </c>
      <c r="CA378" s="7">
        <v>43415</v>
      </c>
      <c r="CE378">
        <v>10</v>
      </c>
      <c r="CF378">
        <v>3</v>
      </c>
      <c r="CG378">
        <v>35</v>
      </c>
      <c r="CH378">
        <v>15</v>
      </c>
      <c r="CI378">
        <f t="shared" si="33"/>
        <v>2018</v>
      </c>
      <c r="CJ378" t="str">
        <f t="shared" si="34"/>
        <v>5597_2018</v>
      </c>
    </row>
    <row r="379" spans="1:88" x14ac:dyDescent="0.25">
      <c r="A379" t="s">
        <v>111</v>
      </c>
      <c r="B379" t="s">
        <v>157</v>
      </c>
      <c r="C379">
        <v>5597</v>
      </c>
      <c r="D379">
        <v>-37.934800000000003</v>
      </c>
      <c r="E379">
        <v>144.66139999999999</v>
      </c>
      <c r="F379">
        <v>3</v>
      </c>
      <c r="G379" t="s">
        <v>180</v>
      </c>
      <c r="H379">
        <v>23</v>
      </c>
      <c r="I379">
        <v>203</v>
      </c>
      <c r="J379">
        <v>128</v>
      </c>
      <c r="K379">
        <v>308</v>
      </c>
      <c r="L379">
        <v>303</v>
      </c>
      <c r="M379">
        <v>123</v>
      </c>
      <c r="T379">
        <v>2</v>
      </c>
      <c r="U379">
        <v>36</v>
      </c>
      <c r="Y379">
        <v>0</v>
      </c>
      <c r="Z379">
        <v>1</v>
      </c>
      <c r="AD379">
        <v>11</v>
      </c>
      <c r="AE379">
        <v>0</v>
      </c>
      <c r="AX379">
        <v>38</v>
      </c>
      <c r="AY379">
        <v>11</v>
      </c>
      <c r="AZ379">
        <v>49</v>
      </c>
      <c r="BA379">
        <v>1</v>
      </c>
      <c r="BB379">
        <v>2</v>
      </c>
      <c r="BC379">
        <v>3</v>
      </c>
      <c r="BD379">
        <v>11</v>
      </c>
      <c r="BE379">
        <v>37</v>
      </c>
      <c r="BF379">
        <v>48</v>
      </c>
      <c r="BP379">
        <v>6</v>
      </c>
      <c r="BR379">
        <v>43</v>
      </c>
      <c r="BS379">
        <v>1</v>
      </c>
      <c r="BT379">
        <v>0</v>
      </c>
      <c r="BV379">
        <v>0</v>
      </c>
      <c r="BW379">
        <v>50</v>
      </c>
      <c r="BX379">
        <f t="shared" si="41"/>
        <v>63</v>
      </c>
      <c r="BY379" s="5">
        <f t="shared" si="37"/>
        <v>-0.20634920634920634</v>
      </c>
      <c r="BZ379" s="6">
        <f t="shared" si="35"/>
        <v>-0.20634920634920634</v>
      </c>
      <c r="CA379" s="7">
        <v>43779</v>
      </c>
      <c r="CE379">
        <v>0</v>
      </c>
      <c r="CF379">
        <v>2</v>
      </c>
      <c r="CG379">
        <v>2</v>
      </c>
      <c r="CH379">
        <v>46</v>
      </c>
      <c r="CI379">
        <f t="shared" si="33"/>
        <v>2019</v>
      </c>
      <c r="CJ379" t="str">
        <f t="shared" si="34"/>
        <v>5597_2019</v>
      </c>
    </row>
    <row r="380" spans="1:88" x14ac:dyDescent="0.25">
      <c r="A380" t="s">
        <v>111</v>
      </c>
      <c r="B380" t="s">
        <v>157</v>
      </c>
      <c r="C380">
        <v>5597</v>
      </c>
      <c r="D380">
        <v>-37.934781000000001</v>
      </c>
      <c r="E380">
        <v>144.66141300000001</v>
      </c>
      <c r="F380">
        <v>3</v>
      </c>
      <c r="G380" t="s">
        <v>180</v>
      </c>
      <c r="H380">
        <v>23</v>
      </c>
      <c r="I380">
        <v>203</v>
      </c>
      <c r="J380">
        <v>128</v>
      </c>
      <c r="K380">
        <v>308</v>
      </c>
      <c r="L380">
        <v>303</v>
      </c>
      <c r="M380">
        <v>123</v>
      </c>
      <c r="T380">
        <v>5</v>
      </c>
      <c r="U380">
        <v>16</v>
      </c>
      <c r="Y380">
        <v>2</v>
      </c>
      <c r="Z380">
        <v>3</v>
      </c>
      <c r="AD380">
        <v>19</v>
      </c>
      <c r="AE380">
        <v>1</v>
      </c>
      <c r="AX380">
        <v>21</v>
      </c>
      <c r="AY380">
        <v>21</v>
      </c>
      <c r="AZ380">
        <v>42</v>
      </c>
      <c r="BA380">
        <v>5</v>
      </c>
      <c r="BB380">
        <v>6</v>
      </c>
      <c r="BC380">
        <v>11</v>
      </c>
      <c r="BD380">
        <v>20</v>
      </c>
      <c r="BE380">
        <v>19</v>
      </c>
      <c r="BF380">
        <v>39</v>
      </c>
      <c r="BP380">
        <v>31</v>
      </c>
      <c r="BR380">
        <v>12</v>
      </c>
      <c r="BS380">
        <v>3</v>
      </c>
      <c r="BT380">
        <v>0</v>
      </c>
      <c r="BV380">
        <v>0</v>
      </c>
      <c r="BW380">
        <v>46</v>
      </c>
      <c r="BX380" t="str">
        <f t="shared" si="41"/>
        <v>no data</v>
      </c>
      <c r="BY380" s="5"/>
      <c r="BZ380" s="6"/>
      <c r="CA380" s="7">
        <v>44528</v>
      </c>
      <c r="CE380">
        <v>4</v>
      </c>
      <c r="CF380">
        <v>8</v>
      </c>
      <c r="CG380">
        <v>34</v>
      </c>
      <c r="CI380">
        <f t="shared" si="33"/>
        <v>2021</v>
      </c>
      <c r="CJ380" t="str">
        <f t="shared" si="34"/>
        <v>5597_2021</v>
      </c>
    </row>
    <row r="381" spans="1:88" x14ac:dyDescent="0.25">
      <c r="A381" t="s">
        <v>111</v>
      </c>
      <c r="B381" t="s">
        <v>157</v>
      </c>
      <c r="C381">
        <v>5597</v>
      </c>
      <c r="D381">
        <v>-37.934781000000001</v>
      </c>
      <c r="E381">
        <v>144.66141300000001</v>
      </c>
      <c r="F381">
        <v>3</v>
      </c>
      <c r="G381" t="s">
        <v>180</v>
      </c>
      <c r="H381">
        <v>23</v>
      </c>
      <c r="I381">
        <v>203</v>
      </c>
      <c r="J381">
        <v>128</v>
      </c>
      <c r="K381">
        <v>308</v>
      </c>
      <c r="L381">
        <v>303</v>
      </c>
      <c r="M381">
        <v>123</v>
      </c>
      <c r="T381">
        <v>0</v>
      </c>
      <c r="U381">
        <v>0</v>
      </c>
      <c r="Y381">
        <v>0</v>
      </c>
      <c r="Z381">
        <v>0</v>
      </c>
      <c r="AD381">
        <v>0</v>
      </c>
      <c r="AE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P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f t="shared" si="41"/>
        <v>46</v>
      </c>
      <c r="BY381" s="5">
        <f t="shared" si="37"/>
        <v>-1</v>
      </c>
      <c r="BZ381" s="6">
        <f t="shared" si="35"/>
        <v>-1</v>
      </c>
      <c r="CA381" s="7">
        <v>44885</v>
      </c>
      <c r="CE381">
        <v>0</v>
      </c>
      <c r="CF381">
        <v>0</v>
      </c>
      <c r="CG381">
        <v>0</v>
      </c>
      <c r="CI381">
        <f t="shared" si="33"/>
        <v>2022</v>
      </c>
      <c r="CJ381" t="str">
        <f t="shared" si="34"/>
        <v>5597_2022</v>
      </c>
    </row>
    <row r="382" spans="1:88" x14ac:dyDescent="0.25">
      <c r="A382" t="s">
        <v>111</v>
      </c>
      <c r="B382" t="s">
        <v>129</v>
      </c>
      <c r="C382">
        <v>5598</v>
      </c>
      <c r="D382">
        <v>-37.874600000000001</v>
      </c>
      <c r="E382">
        <v>144.7585</v>
      </c>
      <c r="F382">
        <v>4</v>
      </c>
      <c r="G382" t="s">
        <v>181</v>
      </c>
      <c r="H382">
        <v>26</v>
      </c>
      <c r="I382">
        <v>206</v>
      </c>
      <c r="J382">
        <v>92</v>
      </c>
      <c r="K382">
        <v>272</v>
      </c>
      <c r="L382">
        <v>197</v>
      </c>
      <c r="M382">
        <v>17</v>
      </c>
      <c r="N382">
        <v>274</v>
      </c>
      <c r="O382">
        <v>94</v>
      </c>
      <c r="T382">
        <v>0</v>
      </c>
      <c r="U382">
        <v>8</v>
      </c>
      <c r="V382">
        <v>4</v>
      </c>
      <c r="Y382">
        <v>0</v>
      </c>
      <c r="Z382">
        <v>0</v>
      </c>
      <c r="AA382">
        <v>1</v>
      </c>
      <c r="AD382">
        <v>18</v>
      </c>
      <c r="AE382">
        <v>4</v>
      </c>
      <c r="AF382">
        <v>0</v>
      </c>
      <c r="AI382">
        <v>4</v>
      </c>
      <c r="AJ382">
        <v>3</v>
      </c>
      <c r="AK382">
        <v>1</v>
      </c>
      <c r="AX382">
        <v>12</v>
      </c>
      <c r="AY382">
        <v>22</v>
      </c>
      <c r="AZ382">
        <v>34</v>
      </c>
      <c r="BA382">
        <v>1</v>
      </c>
      <c r="BB382">
        <v>7</v>
      </c>
      <c r="BC382">
        <v>8</v>
      </c>
      <c r="BD382">
        <v>22</v>
      </c>
      <c r="BE382">
        <v>9</v>
      </c>
      <c r="BF382">
        <v>31</v>
      </c>
      <c r="BG382">
        <v>8</v>
      </c>
      <c r="BH382">
        <v>5</v>
      </c>
      <c r="BI382">
        <v>13</v>
      </c>
      <c r="BP382">
        <v>19</v>
      </c>
      <c r="BR382">
        <v>17</v>
      </c>
      <c r="BS382">
        <v>2</v>
      </c>
      <c r="BT382">
        <v>3</v>
      </c>
      <c r="BV382">
        <v>2</v>
      </c>
      <c r="BW382">
        <v>43</v>
      </c>
      <c r="BX382" t="s">
        <v>82</v>
      </c>
      <c r="BY382" s="5"/>
      <c r="BZ382" s="6"/>
      <c r="CA382" s="7">
        <v>40853</v>
      </c>
      <c r="CI382">
        <f t="shared" si="33"/>
        <v>2011</v>
      </c>
      <c r="CJ382" t="str">
        <f t="shared" si="34"/>
        <v>5598_2011</v>
      </c>
    </row>
    <row r="383" spans="1:88" x14ac:dyDescent="0.25">
      <c r="A383" t="s">
        <v>111</v>
      </c>
      <c r="B383" t="s">
        <v>157</v>
      </c>
      <c r="C383">
        <v>5599</v>
      </c>
      <c r="D383">
        <v>-37.879100000000001</v>
      </c>
      <c r="E383">
        <v>144.7287</v>
      </c>
      <c r="F383">
        <v>3</v>
      </c>
      <c r="G383" t="s">
        <v>182</v>
      </c>
      <c r="H383">
        <v>10</v>
      </c>
      <c r="I383">
        <v>190</v>
      </c>
      <c r="J383">
        <v>104</v>
      </c>
      <c r="K383">
        <v>284</v>
      </c>
      <c r="L383">
        <v>223</v>
      </c>
      <c r="M383">
        <v>43</v>
      </c>
      <c r="T383">
        <v>18</v>
      </c>
      <c r="U383">
        <v>4</v>
      </c>
      <c r="Y383">
        <v>23</v>
      </c>
      <c r="Z383">
        <v>0</v>
      </c>
      <c r="AD383">
        <v>4</v>
      </c>
      <c r="AE383">
        <v>0</v>
      </c>
      <c r="AX383">
        <v>22</v>
      </c>
      <c r="AY383">
        <v>27</v>
      </c>
      <c r="AZ383">
        <v>49</v>
      </c>
      <c r="BA383">
        <v>23</v>
      </c>
      <c r="BB383">
        <v>18</v>
      </c>
      <c r="BC383">
        <v>41</v>
      </c>
      <c r="BD383">
        <v>4</v>
      </c>
      <c r="BE383">
        <v>4</v>
      </c>
      <c r="BF383">
        <v>8</v>
      </c>
      <c r="BP383">
        <v>25</v>
      </c>
      <c r="BR383">
        <v>7</v>
      </c>
      <c r="BS383">
        <v>0</v>
      </c>
      <c r="BT383">
        <v>15</v>
      </c>
      <c r="BV383">
        <v>2</v>
      </c>
      <c r="BW383">
        <v>49</v>
      </c>
      <c r="BX383" t="s">
        <v>82</v>
      </c>
      <c r="BY383" s="5"/>
      <c r="BZ383" s="6"/>
      <c r="CA383" s="7">
        <v>40853</v>
      </c>
      <c r="CI383">
        <f t="shared" si="33"/>
        <v>2011</v>
      </c>
      <c r="CJ383" t="str">
        <f t="shared" si="34"/>
        <v>5599_2011</v>
      </c>
    </row>
    <row r="384" spans="1:88" x14ac:dyDescent="0.25">
      <c r="A384" t="s">
        <v>111</v>
      </c>
      <c r="B384" t="s">
        <v>175</v>
      </c>
      <c r="C384">
        <v>5604</v>
      </c>
      <c r="D384">
        <v>-37.7239</v>
      </c>
      <c r="E384">
        <v>144.86539999999999</v>
      </c>
      <c r="F384">
        <v>3</v>
      </c>
      <c r="G384" t="s">
        <v>183</v>
      </c>
      <c r="H384">
        <v>22</v>
      </c>
      <c r="I384">
        <v>202</v>
      </c>
      <c r="J384">
        <v>45</v>
      </c>
      <c r="K384">
        <v>225</v>
      </c>
      <c r="L384">
        <v>223</v>
      </c>
      <c r="M384">
        <v>43</v>
      </c>
      <c r="T384">
        <v>0</v>
      </c>
      <c r="U384">
        <v>10</v>
      </c>
      <c r="Y384">
        <v>0</v>
      </c>
      <c r="Z384">
        <v>2</v>
      </c>
      <c r="AD384">
        <v>5</v>
      </c>
      <c r="AE384">
        <v>1</v>
      </c>
      <c r="AX384">
        <v>10</v>
      </c>
      <c r="AY384">
        <v>5</v>
      </c>
      <c r="AZ384">
        <v>15</v>
      </c>
      <c r="BA384">
        <v>2</v>
      </c>
      <c r="BB384">
        <v>1</v>
      </c>
      <c r="BC384">
        <v>3</v>
      </c>
      <c r="BD384">
        <v>6</v>
      </c>
      <c r="BE384">
        <v>12</v>
      </c>
      <c r="BF384">
        <v>18</v>
      </c>
      <c r="BP384">
        <v>13</v>
      </c>
      <c r="BR384">
        <v>0</v>
      </c>
      <c r="BS384">
        <v>0</v>
      </c>
      <c r="BT384">
        <v>5</v>
      </c>
      <c r="BV384">
        <v>0</v>
      </c>
      <c r="BW384">
        <v>18</v>
      </c>
      <c r="BX384" t="s">
        <v>82</v>
      </c>
      <c r="BY384" s="5"/>
      <c r="BZ384" s="6"/>
      <c r="CA384" s="7">
        <v>40853</v>
      </c>
      <c r="CI384">
        <f t="shared" si="33"/>
        <v>2011</v>
      </c>
      <c r="CJ384" t="str">
        <f t="shared" si="34"/>
        <v>5604_2011</v>
      </c>
    </row>
    <row r="385" spans="1:88" x14ac:dyDescent="0.25">
      <c r="A385" t="s">
        <v>111</v>
      </c>
      <c r="B385" t="s">
        <v>135</v>
      </c>
      <c r="C385">
        <v>5606</v>
      </c>
      <c r="D385">
        <v>-37.753222000000001</v>
      </c>
      <c r="E385">
        <v>144.880852</v>
      </c>
      <c r="F385">
        <v>4</v>
      </c>
      <c r="G385" t="s">
        <v>184</v>
      </c>
      <c r="H385">
        <v>17</v>
      </c>
      <c r="I385">
        <v>197</v>
      </c>
      <c r="J385">
        <v>92</v>
      </c>
      <c r="K385">
        <v>272</v>
      </c>
      <c r="L385">
        <v>196</v>
      </c>
      <c r="M385">
        <v>16</v>
      </c>
      <c r="N385">
        <v>235</v>
      </c>
      <c r="O385">
        <v>55</v>
      </c>
      <c r="T385">
        <v>2</v>
      </c>
      <c r="U385">
        <v>12</v>
      </c>
      <c r="V385">
        <v>14</v>
      </c>
      <c r="Y385">
        <v>2</v>
      </c>
      <c r="Z385">
        <v>0</v>
      </c>
      <c r="AA385">
        <v>2</v>
      </c>
      <c r="AD385">
        <v>8</v>
      </c>
      <c r="AE385">
        <v>1</v>
      </c>
      <c r="AF385">
        <v>25</v>
      </c>
      <c r="AI385">
        <v>13</v>
      </c>
      <c r="AJ385">
        <v>6</v>
      </c>
      <c r="AK385">
        <v>19</v>
      </c>
      <c r="AX385">
        <v>28</v>
      </c>
      <c r="AY385">
        <v>23</v>
      </c>
      <c r="AZ385">
        <v>51</v>
      </c>
      <c r="BA385">
        <v>4</v>
      </c>
      <c r="BB385">
        <v>9</v>
      </c>
      <c r="BC385">
        <v>13</v>
      </c>
      <c r="BD385">
        <v>34</v>
      </c>
      <c r="BE385">
        <v>31</v>
      </c>
      <c r="BF385">
        <v>65</v>
      </c>
      <c r="BG385">
        <v>38</v>
      </c>
      <c r="BH385">
        <v>41</v>
      </c>
      <c r="BI385">
        <v>79</v>
      </c>
      <c r="BP385">
        <v>66</v>
      </c>
      <c r="BR385">
        <v>21</v>
      </c>
      <c r="BS385">
        <v>8</v>
      </c>
      <c r="BT385">
        <v>7</v>
      </c>
      <c r="BV385">
        <v>2</v>
      </c>
      <c r="BW385">
        <v>104</v>
      </c>
      <c r="BX385" t="s">
        <v>82</v>
      </c>
      <c r="BY385" s="5"/>
      <c r="BZ385" s="6"/>
      <c r="CA385" s="7">
        <v>40853</v>
      </c>
      <c r="CI385">
        <f t="shared" si="33"/>
        <v>2011</v>
      </c>
      <c r="CJ385" t="str">
        <f t="shared" si="34"/>
        <v>5606_2011</v>
      </c>
    </row>
    <row r="386" spans="1:88" x14ac:dyDescent="0.25">
      <c r="A386" t="s">
        <v>111</v>
      </c>
      <c r="B386" t="s">
        <v>135</v>
      </c>
      <c r="C386">
        <v>5607</v>
      </c>
      <c r="D386">
        <v>-37.761147000000001</v>
      </c>
      <c r="E386">
        <v>144.889151</v>
      </c>
      <c r="F386">
        <v>4</v>
      </c>
      <c r="G386" t="s">
        <v>185</v>
      </c>
      <c r="H386">
        <v>8</v>
      </c>
      <c r="I386">
        <v>188</v>
      </c>
      <c r="J386">
        <v>142</v>
      </c>
      <c r="K386">
        <v>322</v>
      </c>
      <c r="L386">
        <v>183</v>
      </c>
      <c r="M386">
        <v>3</v>
      </c>
      <c r="N386">
        <v>288</v>
      </c>
      <c r="O386">
        <v>108</v>
      </c>
      <c r="T386">
        <v>41</v>
      </c>
      <c r="U386">
        <v>103</v>
      </c>
      <c r="V386">
        <v>17</v>
      </c>
      <c r="Y386">
        <v>53</v>
      </c>
      <c r="Z386">
        <v>332</v>
      </c>
      <c r="AA386">
        <v>37</v>
      </c>
      <c r="AD386">
        <v>72</v>
      </c>
      <c r="AE386">
        <v>142</v>
      </c>
      <c r="AF386">
        <v>16</v>
      </c>
      <c r="AI386">
        <v>23</v>
      </c>
      <c r="AJ386">
        <v>18</v>
      </c>
      <c r="AK386">
        <v>18</v>
      </c>
      <c r="AX386">
        <v>161</v>
      </c>
      <c r="AY386">
        <v>148</v>
      </c>
      <c r="AZ386">
        <v>309</v>
      </c>
      <c r="BA386">
        <v>422</v>
      </c>
      <c r="BB386">
        <v>201</v>
      </c>
      <c r="BC386">
        <v>623</v>
      </c>
      <c r="BD386">
        <v>230</v>
      </c>
      <c r="BE386">
        <v>453</v>
      </c>
      <c r="BF386">
        <v>683</v>
      </c>
      <c r="BG386">
        <v>59</v>
      </c>
      <c r="BH386">
        <v>70</v>
      </c>
      <c r="BI386">
        <v>129</v>
      </c>
      <c r="BP386">
        <v>172</v>
      </c>
      <c r="BR386">
        <v>533</v>
      </c>
      <c r="BS386">
        <v>88</v>
      </c>
      <c r="BT386">
        <v>75</v>
      </c>
      <c r="BV386">
        <v>4</v>
      </c>
      <c r="BW386">
        <v>872</v>
      </c>
      <c r="BX386" t="s">
        <v>82</v>
      </c>
      <c r="BY386" s="5"/>
      <c r="BZ386" s="6"/>
      <c r="CA386" s="7">
        <v>40853</v>
      </c>
      <c r="CI386">
        <f t="shared" si="33"/>
        <v>2011</v>
      </c>
      <c r="CJ386" t="str">
        <f t="shared" si="34"/>
        <v>5607_2011</v>
      </c>
    </row>
    <row r="387" spans="1:88" x14ac:dyDescent="0.25">
      <c r="A387" t="s">
        <v>111</v>
      </c>
      <c r="B387" t="s">
        <v>186</v>
      </c>
      <c r="C387">
        <v>5609</v>
      </c>
      <c r="D387">
        <v>-37.806401000000001</v>
      </c>
      <c r="E387">
        <v>144.90808999999999</v>
      </c>
      <c r="F387">
        <v>3</v>
      </c>
      <c r="G387" t="s">
        <v>187</v>
      </c>
      <c r="H387">
        <v>16</v>
      </c>
      <c r="I387">
        <v>196</v>
      </c>
      <c r="J387">
        <v>111</v>
      </c>
      <c r="K387">
        <v>291</v>
      </c>
      <c r="L387">
        <v>292</v>
      </c>
      <c r="M387">
        <v>112</v>
      </c>
      <c r="T387">
        <v>155</v>
      </c>
      <c r="U387">
        <v>141</v>
      </c>
      <c r="Y387">
        <v>141</v>
      </c>
      <c r="Z387">
        <v>110</v>
      </c>
      <c r="AD387">
        <v>120</v>
      </c>
      <c r="AE387">
        <v>133</v>
      </c>
      <c r="AX387">
        <v>296</v>
      </c>
      <c r="AY387">
        <v>261</v>
      </c>
      <c r="AZ387">
        <v>557</v>
      </c>
      <c r="BA387">
        <v>251</v>
      </c>
      <c r="BB387">
        <v>288</v>
      </c>
      <c r="BC387">
        <v>539</v>
      </c>
      <c r="BD387">
        <v>253</v>
      </c>
      <c r="BE387">
        <v>251</v>
      </c>
      <c r="BF387">
        <v>504</v>
      </c>
      <c r="BP387">
        <v>689</v>
      </c>
      <c r="BR387">
        <v>31</v>
      </c>
      <c r="BS387">
        <v>77</v>
      </c>
      <c r="BT387">
        <v>3</v>
      </c>
      <c r="BV387">
        <v>0</v>
      </c>
      <c r="BW387">
        <v>800</v>
      </c>
      <c r="BX387" t="s">
        <v>82</v>
      </c>
      <c r="BY387" s="5"/>
      <c r="BZ387" s="6"/>
      <c r="CA387" s="7">
        <v>42715</v>
      </c>
      <c r="CE387">
        <v>220</v>
      </c>
      <c r="CF387">
        <v>239</v>
      </c>
      <c r="CG387">
        <v>186</v>
      </c>
      <c r="CH387">
        <v>155</v>
      </c>
      <c r="CI387">
        <f t="shared" ref="CI387:CI450" si="42">YEAR(CA387)</f>
        <v>2016</v>
      </c>
      <c r="CJ387" t="str">
        <f t="shared" ref="CJ387:CJ450" si="43">_xlfn.CONCAT(C387,"_",CI387)</f>
        <v>5609_2016</v>
      </c>
    </row>
    <row r="388" spans="1:88" x14ac:dyDescent="0.25">
      <c r="A388" t="s">
        <v>111</v>
      </c>
      <c r="B388" t="s">
        <v>186</v>
      </c>
      <c r="C388">
        <v>5609</v>
      </c>
      <c r="D388">
        <v>-37.806401000000001</v>
      </c>
      <c r="E388">
        <v>144.90808999999999</v>
      </c>
      <c r="F388">
        <v>3</v>
      </c>
      <c r="G388" t="s">
        <v>187</v>
      </c>
      <c r="H388">
        <v>16</v>
      </c>
      <c r="I388">
        <v>196</v>
      </c>
      <c r="J388">
        <v>111</v>
      </c>
      <c r="K388">
        <v>291</v>
      </c>
      <c r="L388">
        <v>292</v>
      </c>
      <c r="M388">
        <v>112</v>
      </c>
      <c r="T388">
        <v>23</v>
      </c>
      <c r="U388">
        <v>30</v>
      </c>
      <c r="Y388">
        <v>32</v>
      </c>
      <c r="Z388">
        <v>239</v>
      </c>
      <c r="AD388">
        <v>23</v>
      </c>
      <c r="AE388">
        <v>249</v>
      </c>
      <c r="AX388">
        <v>53</v>
      </c>
      <c r="AY388">
        <v>55</v>
      </c>
      <c r="AZ388">
        <v>108</v>
      </c>
      <c r="BA388">
        <v>271</v>
      </c>
      <c r="BB388">
        <v>272</v>
      </c>
      <c r="BC388">
        <v>543</v>
      </c>
      <c r="BD388">
        <v>272</v>
      </c>
      <c r="BE388">
        <v>269</v>
      </c>
      <c r="BF388">
        <v>541</v>
      </c>
      <c r="BP388">
        <v>563</v>
      </c>
      <c r="BR388">
        <v>21</v>
      </c>
      <c r="BS388">
        <v>6</v>
      </c>
      <c r="BT388">
        <v>4</v>
      </c>
      <c r="BV388">
        <v>2</v>
      </c>
      <c r="BW388">
        <v>596</v>
      </c>
      <c r="BX388">
        <f>IF(C388=C387,IF((CI388-1)=CI387,BW387,"no data"))</f>
        <v>800</v>
      </c>
      <c r="BY388" s="5">
        <f t="shared" si="37"/>
        <v>-0.255</v>
      </c>
      <c r="BZ388" s="6">
        <f t="shared" si="35"/>
        <v>-0.255</v>
      </c>
      <c r="CA388" s="7">
        <v>43051</v>
      </c>
      <c r="CE388">
        <v>157</v>
      </c>
      <c r="CF388">
        <v>166</v>
      </c>
      <c r="CG388">
        <v>175</v>
      </c>
      <c r="CH388">
        <v>98</v>
      </c>
      <c r="CI388">
        <f t="shared" si="42"/>
        <v>2017</v>
      </c>
      <c r="CJ388" t="str">
        <f t="shared" si="43"/>
        <v>5609_2017</v>
      </c>
    </row>
    <row r="389" spans="1:88" x14ac:dyDescent="0.25">
      <c r="A389" t="s">
        <v>111</v>
      </c>
      <c r="B389" t="s">
        <v>186</v>
      </c>
      <c r="C389">
        <v>5609</v>
      </c>
      <c r="D389">
        <v>-37.806401000000001</v>
      </c>
      <c r="E389">
        <v>144.90808999999999</v>
      </c>
      <c r="F389">
        <v>3</v>
      </c>
      <c r="G389" t="s">
        <v>187</v>
      </c>
      <c r="H389">
        <v>16</v>
      </c>
      <c r="I389">
        <v>196</v>
      </c>
      <c r="J389">
        <v>111</v>
      </c>
      <c r="K389">
        <v>291</v>
      </c>
      <c r="L389">
        <v>292</v>
      </c>
      <c r="M389">
        <v>112</v>
      </c>
      <c r="T389">
        <v>35</v>
      </c>
      <c r="U389">
        <v>34</v>
      </c>
      <c r="Y389">
        <v>35</v>
      </c>
      <c r="Z389">
        <v>252</v>
      </c>
      <c r="AD389">
        <v>9</v>
      </c>
      <c r="AE389">
        <v>202</v>
      </c>
      <c r="AX389">
        <v>69</v>
      </c>
      <c r="AY389">
        <v>44</v>
      </c>
      <c r="AZ389">
        <v>113</v>
      </c>
      <c r="BA389">
        <v>287</v>
      </c>
      <c r="BB389">
        <v>237</v>
      </c>
      <c r="BC389">
        <v>524</v>
      </c>
      <c r="BD389">
        <v>211</v>
      </c>
      <c r="BE389">
        <v>286</v>
      </c>
      <c r="BF389">
        <v>497</v>
      </c>
      <c r="BP389">
        <v>539</v>
      </c>
      <c r="BR389">
        <v>10</v>
      </c>
      <c r="BS389">
        <v>16</v>
      </c>
      <c r="BT389">
        <v>0</v>
      </c>
      <c r="BV389">
        <v>2</v>
      </c>
      <c r="BW389">
        <v>567</v>
      </c>
      <c r="BX389">
        <f>IF(C389=C388,IF((CI389-1)=CI388,BW388,"no data"))</f>
        <v>596</v>
      </c>
      <c r="BY389" s="5">
        <f t="shared" si="37"/>
        <v>-4.8657718120805368E-2</v>
      </c>
      <c r="BZ389" s="6">
        <f t="shared" ref="BZ389:BZ452" si="44">BY389</f>
        <v>-4.8657718120805368E-2</v>
      </c>
      <c r="CA389" s="7">
        <v>43415</v>
      </c>
      <c r="CE389">
        <v>168</v>
      </c>
      <c r="CF389">
        <v>154</v>
      </c>
      <c r="CG389">
        <v>134</v>
      </c>
      <c r="CH389">
        <v>111</v>
      </c>
      <c r="CI389">
        <f t="shared" si="42"/>
        <v>2018</v>
      </c>
      <c r="CJ389" t="str">
        <f t="shared" si="43"/>
        <v>5609_2018</v>
      </c>
    </row>
    <row r="390" spans="1:88" x14ac:dyDescent="0.25">
      <c r="A390" t="s">
        <v>111</v>
      </c>
      <c r="B390" t="s">
        <v>186</v>
      </c>
      <c r="C390">
        <v>5609</v>
      </c>
      <c r="D390">
        <v>-37.806399999999996</v>
      </c>
      <c r="E390">
        <v>144.90809999999999</v>
      </c>
      <c r="F390">
        <v>3</v>
      </c>
      <c r="G390" t="s">
        <v>187</v>
      </c>
      <c r="H390">
        <v>16</v>
      </c>
      <c r="I390">
        <v>196</v>
      </c>
      <c r="J390">
        <v>111</v>
      </c>
      <c r="K390">
        <v>291</v>
      </c>
      <c r="L390">
        <v>292</v>
      </c>
      <c r="M390">
        <v>112</v>
      </c>
      <c r="T390">
        <v>56</v>
      </c>
      <c r="U390">
        <v>103</v>
      </c>
      <c r="Y390">
        <v>33</v>
      </c>
      <c r="Z390">
        <v>553</v>
      </c>
      <c r="AD390">
        <v>78</v>
      </c>
      <c r="AE390">
        <v>577</v>
      </c>
      <c r="AX390">
        <v>159</v>
      </c>
      <c r="AY390">
        <v>111</v>
      </c>
      <c r="AZ390">
        <v>270</v>
      </c>
      <c r="BA390">
        <v>586</v>
      </c>
      <c r="BB390">
        <v>633</v>
      </c>
      <c r="BC390">
        <v>1219</v>
      </c>
      <c r="BD390">
        <v>655</v>
      </c>
      <c r="BE390">
        <v>656</v>
      </c>
      <c r="BF390">
        <v>1311</v>
      </c>
      <c r="BP390">
        <v>1302</v>
      </c>
      <c r="BR390">
        <v>54</v>
      </c>
      <c r="BS390">
        <v>38</v>
      </c>
      <c r="BT390">
        <v>4</v>
      </c>
      <c r="BV390">
        <v>2</v>
      </c>
      <c r="BW390">
        <v>1400</v>
      </c>
      <c r="BX390" t="str">
        <f>IF(C390=C389,IF((CI390-1)=CI389,BW389,"no data"))</f>
        <v>no data</v>
      </c>
      <c r="BY390" s="5"/>
      <c r="BZ390" s="6"/>
      <c r="CA390" s="7">
        <v>44143</v>
      </c>
      <c r="CE390">
        <v>353</v>
      </c>
      <c r="CF390">
        <v>338</v>
      </c>
      <c r="CG390">
        <v>382</v>
      </c>
      <c r="CH390">
        <v>327</v>
      </c>
      <c r="CI390">
        <f t="shared" si="42"/>
        <v>2020</v>
      </c>
      <c r="CJ390" t="str">
        <f t="shared" si="43"/>
        <v>5609_2020</v>
      </c>
    </row>
    <row r="391" spans="1:88" x14ac:dyDescent="0.25">
      <c r="A391" t="s">
        <v>111</v>
      </c>
      <c r="B391" t="s">
        <v>186</v>
      </c>
      <c r="C391">
        <v>5609</v>
      </c>
      <c r="D391">
        <v>-37.806401000000001</v>
      </c>
      <c r="E391">
        <v>144.90808999999999</v>
      </c>
      <c r="F391">
        <v>3</v>
      </c>
      <c r="G391" t="s">
        <v>187</v>
      </c>
      <c r="H391">
        <v>16</v>
      </c>
      <c r="I391">
        <v>196</v>
      </c>
      <c r="J391">
        <v>111</v>
      </c>
      <c r="K391">
        <v>291</v>
      </c>
      <c r="L391">
        <v>292</v>
      </c>
      <c r="M391">
        <v>112</v>
      </c>
      <c r="T391">
        <v>12</v>
      </c>
      <c r="U391">
        <v>40</v>
      </c>
      <c r="Y391">
        <v>4</v>
      </c>
      <c r="Z391">
        <v>90</v>
      </c>
      <c r="AD391">
        <v>25</v>
      </c>
      <c r="AE391">
        <v>99</v>
      </c>
      <c r="AX391">
        <v>52</v>
      </c>
      <c r="AY391">
        <v>29</v>
      </c>
      <c r="AZ391">
        <v>81</v>
      </c>
      <c r="BA391">
        <v>94</v>
      </c>
      <c r="BB391">
        <v>111</v>
      </c>
      <c r="BC391">
        <v>205</v>
      </c>
      <c r="BD391">
        <v>124</v>
      </c>
      <c r="BE391">
        <v>130</v>
      </c>
      <c r="BF391">
        <v>254</v>
      </c>
      <c r="BP391">
        <v>232</v>
      </c>
      <c r="BR391">
        <v>12</v>
      </c>
      <c r="BS391">
        <v>16</v>
      </c>
      <c r="BT391">
        <v>4</v>
      </c>
      <c r="BV391">
        <v>0</v>
      </c>
      <c r="BW391">
        <v>264</v>
      </c>
      <c r="BX391" t="str">
        <f>IF(C391=C390,IF((CI391-1)=CI390,BW390,"no data"))</f>
        <v>no data</v>
      </c>
      <c r="BY391" s="5"/>
      <c r="BZ391" s="6"/>
      <c r="CA391" s="7">
        <v>44878</v>
      </c>
      <c r="CE391">
        <v>93</v>
      </c>
      <c r="CF391">
        <v>131</v>
      </c>
      <c r="CG391">
        <v>46</v>
      </c>
      <c r="CI391">
        <f t="shared" si="42"/>
        <v>2022</v>
      </c>
      <c r="CJ391" t="str">
        <f t="shared" si="43"/>
        <v>5609_2022</v>
      </c>
    </row>
    <row r="392" spans="1:88" x14ac:dyDescent="0.25">
      <c r="A392" t="s">
        <v>111</v>
      </c>
      <c r="B392" t="s">
        <v>186</v>
      </c>
      <c r="C392">
        <v>5610</v>
      </c>
      <c r="D392">
        <v>-37.809894999999997</v>
      </c>
      <c r="E392">
        <v>144.935722</v>
      </c>
      <c r="F392">
        <v>4</v>
      </c>
      <c r="G392" t="s">
        <v>188</v>
      </c>
      <c r="H392">
        <v>6</v>
      </c>
      <c r="I392">
        <v>186</v>
      </c>
      <c r="J392">
        <v>106</v>
      </c>
      <c r="K392">
        <v>286</v>
      </c>
      <c r="L392">
        <v>179</v>
      </c>
      <c r="M392">
        <v>359</v>
      </c>
      <c r="N392">
        <v>281</v>
      </c>
      <c r="O392">
        <v>101</v>
      </c>
      <c r="T392">
        <v>75</v>
      </c>
      <c r="U392">
        <v>25</v>
      </c>
      <c r="V392">
        <v>4</v>
      </c>
      <c r="Y392">
        <v>32</v>
      </c>
      <c r="Z392">
        <v>2</v>
      </c>
      <c r="AA392">
        <v>27</v>
      </c>
      <c r="AD392">
        <v>4</v>
      </c>
      <c r="AE392">
        <v>2</v>
      </c>
      <c r="AF392">
        <v>5</v>
      </c>
      <c r="AI392">
        <v>12</v>
      </c>
      <c r="AJ392">
        <v>43</v>
      </c>
      <c r="AK392">
        <v>3</v>
      </c>
      <c r="AX392">
        <v>104</v>
      </c>
      <c r="AY392">
        <v>48</v>
      </c>
      <c r="AZ392">
        <v>152</v>
      </c>
      <c r="BA392">
        <v>61</v>
      </c>
      <c r="BB392">
        <v>120</v>
      </c>
      <c r="BC392">
        <v>181</v>
      </c>
      <c r="BD392">
        <v>11</v>
      </c>
      <c r="BE392">
        <v>30</v>
      </c>
      <c r="BF392">
        <v>41</v>
      </c>
      <c r="BG392">
        <v>58</v>
      </c>
      <c r="BH392">
        <v>36</v>
      </c>
      <c r="BI392">
        <v>94</v>
      </c>
      <c r="BP392">
        <v>191</v>
      </c>
      <c r="BR392">
        <v>9</v>
      </c>
      <c r="BS392">
        <v>33</v>
      </c>
      <c r="BT392">
        <v>0</v>
      </c>
      <c r="BV392">
        <v>1</v>
      </c>
      <c r="BW392">
        <v>234</v>
      </c>
      <c r="BX392" t="s">
        <v>82</v>
      </c>
      <c r="BY392" s="5"/>
      <c r="BZ392" s="6"/>
      <c r="CA392" s="7">
        <v>42687</v>
      </c>
      <c r="CE392">
        <v>74</v>
      </c>
      <c r="CF392">
        <v>58</v>
      </c>
      <c r="CG392">
        <v>57</v>
      </c>
      <c r="CH392">
        <v>45</v>
      </c>
      <c r="CI392">
        <f t="shared" si="42"/>
        <v>2016</v>
      </c>
      <c r="CJ392" t="str">
        <f t="shared" si="43"/>
        <v>5610_2016</v>
      </c>
    </row>
    <row r="393" spans="1:88" x14ac:dyDescent="0.25">
      <c r="A393" t="s">
        <v>111</v>
      </c>
      <c r="B393" t="s">
        <v>186</v>
      </c>
      <c r="C393">
        <v>5610</v>
      </c>
      <c r="D393">
        <v>-37.809894999999997</v>
      </c>
      <c r="E393">
        <v>144.935722</v>
      </c>
      <c r="F393">
        <v>4</v>
      </c>
      <c r="G393" t="s">
        <v>188</v>
      </c>
      <c r="H393">
        <v>6</v>
      </c>
      <c r="I393">
        <v>186</v>
      </c>
      <c r="J393">
        <v>106</v>
      </c>
      <c r="K393">
        <v>286</v>
      </c>
      <c r="L393">
        <v>179</v>
      </c>
      <c r="M393">
        <v>359</v>
      </c>
      <c r="N393">
        <v>281</v>
      </c>
      <c r="O393">
        <v>101</v>
      </c>
      <c r="T393">
        <v>72</v>
      </c>
      <c r="U393">
        <v>3</v>
      </c>
      <c r="V393">
        <v>12</v>
      </c>
      <c r="Y393">
        <v>25</v>
      </c>
      <c r="Z393">
        <v>0</v>
      </c>
      <c r="AA393">
        <v>38</v>
      </c>
      <c r="AD393">
        <v>0</v>
      </c>
      <c r="AE393">
        <v>1</v>
      </c>
      <c r="AF393">
        <v>0</v>
      </c>
      <c r="AI393">
        <v>0</v>
      </c>
      <c r="AJ393">
        <v>39</v>
      </c>
      <c r="AK393">
        <v>0</v>
      </c>
      <c r="AX393">
        <v>87</v>
      </c>
      <c r="AY393">
        <v>25</v>
      </c>
      <c r="AZ393">
        <v>112</v>
      </c>
      <c r="BA393">
        <v>63</v>
      </c>
      <c r="BB393">
        <v>112</v>
      </c>
      <c r="BC393">
        <v>175</v>
      </c>
      <c r="BD393">
        <v>1</v>
      </c>
      <c r="BE393">
        <v>3</v>
      </c>
      <c r="BF393">
        <v>4</v>
      </c>
      <c r="BG393">
        <v>39</v>
      </c>
      <c r="BH393">
        <v>50</v>
      </c>
      <c r="BI393">
        <v>89</v>
      </c>
      <c r="BP393">
        <v>181</v>
      </c>
      <c r="BR393">
        <v>7</v>
      </c>
      <c r="BS393">
        <v>1</v>
      </c>
      <c r="BT393">
        <v>1</v>
      </c>
      <c r="BV393">
        <v>0</v>
      </c>
      <c r="BW393">
        <v>190</v>
      </c>
      <c r="BX393">
        <f>IF(C393=C392,IF((CI393-1)=CI392,BW392,"no data"))</f>
        <v>234</v>
      </c>
      <c r="BY393" s="5">
        <f t="shared" si="37"/>
        <v>-0.18803418803418803</v>
      </c>
      <c r="BZ393" s="6">
        <f t="shared" si="44"/>
        <v>-0.18803418803418803</v>
      </c>
      <c r="CA393" s="7">
        <v>43051</v>
      </c>
      <c r="CE393">
        <v>42</v>
      </c>
      <c r="CF393">
        <v>60</v>
      </c>
      <c r="CG393">
        <v>52</v>
      </c>
      <c r="CH393">
        <v>36</v>
      </c>
      <c r="CI393">
        <f t="shared" si="42"/>
        <v>2017</v>
      </c>
      <c r="CJ393" t="str">
        <f t="shared" si="43"/>
        <v>5610_2017</v>
      </c>
    </row>
    <row r="394" spans="1:88" x14ac:dyDescent="0.25">
      <c r="A394" t="s">
        <v>111</v>
      </c>
      <c r="B394" t="s">
        <v>186</v>
      </c>
      <c r="C394">
        <v>5610</v>
      </c>
      <c r="D394">
        <v>-37.809894999999997</v>
      </c>
      <c r="E394">
        <v>144.935722</v>
      </c>
      <c r="F394">
        <v>4</v>
      </c>
      <c r="G394" t="s">
        <v>188</v>
      </c>
      <c r="H394">
        <v>6</v>
      </c>
      <c r="I394">
        <v>186</v>
      </c>
      <c r="J394">
        <v>106</v>
      </c>
      <c r="K394">
        <v>286</v>
      </c>
      <c r="L394">
        <v>179</v>
      </c>
      <c r="M394">
        <v>359</v>
      </c>
      <c r="N394">
        <v>281</v>
      </c>
      <c r="O394">
        <v>101</v>
      </c>
      <c r="T394">
        <v>247</v>
      </c>
      <c r="U394">
        <v>68</v>
      </c>
      <c r="V394">
        <v>91</v>
      </c>
      <c r="Y394">
        <v>186</v>
      </c>
      <c r="Z394">
        <v>7</v>
      </c>
      <c r="AA394">
        <v>199</v>
      </c>
      <c r="AD394">
        <v>17</v>
      </c>
      <c r="AE394">
        <v>3</v>
      </c>
      <c r="AF394">
        <v>14</v>
      </c>
      <c r="AI394">
        <v>62</v>
      </c>
      <c r="AJ394">
        <v>178</v>
      </c>
      <c r="AK394">
        <v>46</v>
      </c>
      <c r="AX394">
        <v>406</v>
      </c>
      <c r="AY394">
        <v>265</v>
      </c>
      <c r="AZ394">
        <v>671</v>
      </c>
      <c r="BA394">
        <v>392</v>
      </c>
      <c r="BB394">
        <v>428</v>
      </c>
      <c r="BC394">
        <v>820</v>
      </c>
      <c r="BD394">
        <v>34</v>
      </c>
      <c r="BE394">
        <v>121</v>
      </c>
      <c r="BF394">
        <v>155</v>
      </c>
      <c r="BG394">
        <v>286</v>
      </c>
      <c r="BH394">
        <v>304</v>
      </c>
      <c r="BI394">
        <v>590</v>
      </c>
      <c r="BP394">
        <v>1055</v>
      </c>
      <c r="BR394">
        <v>45</v>
      </c>
      <c r="BS394">
        <v>13</v>
      </c>
      <c r="BT394">
        <v>2</v>
      </c>
      <c r="BV394">
        <v>3</v>
      </c>
      <c r="BW394">
        <v>1118</v>
      </c>
      <c r="BX394">
        <f>IF(C394=C393,IF((CI394-1)=CI393,BW393,"no data"))</f>
        <v>190</v>
      </c>
      <c r="BY394" s="5">
        <f t="shared" si="37"/>
        <v>4.8842105263157896</v>
      </c>
      <c r="BZ394" s="6">
        <f t="shared" si="44"/>
        <v>4.8842105263157896</v>
      </c>
      <c r="CA394" s="7">
        <v>43415</v>
      </c>
      <c r="CE394">
        <v>280</v>
      </c>
      <c r="CF394">
        <v>264</v>
      </c>
      <c r="CG394">
        <v>289</v>
      </c>
      <c r="CH394">
        <v>285</v>
      </c>
      <c r="CI394">
        <f t="shared" si="42"/>
        <v>2018</v>
      </c>
      <c r="CJ394" t="str">
        <f t="shared" si="43"/>
        <v>5610_2018</v>
      </c>
    </row>
    <row r="395" spans="1:88" x14ac:dyDescent="0.25">
      <c r="A395" t="s">
        <v>111</v>
      </c>
      <c r="B395" t="s">
        <v>186</v>
      </c>
      <c r="C395">
        <v>5610</v>
      </c>
      <c r="D395">
        <v>-37.809899999999999</v>
      </c>
      <c r="E395">
        <v>144.9357</v>
      </c>
      <c r="F395">
        <v>4</v>
      </c>
      <c r="G395" t="s">
        <v>188</v>
      </c>
      <c r="H395">
        <v>6</v>
      </c>
      <c r="I395">
        <v>186</v>
      </c>
      <c r="J395">
        <v>106</v>
      </c>
      <c r="K395">
        <v>286</v>
      </c>
      <c r="L395">
        <v>179</v>
      </c>
      <c r="M395">
        <v>359</v>
      </c>
      <c r="N395">
        <v>281</v>
      </c>
      <c r="O395">
        <v>101</v>
      </c>
      <c r="T395">
        <v>422</v>
      </c>
      <c r="U395">
        <v>155</v>
      </c>
      <c r="V395">
        <v>109</v>
      </c>
      <c r="Y395">
        <v>254</v>
      </c>
      <c r="Z395">
        <v>18</v>
      </c>
      <c r="AA395">
        <v>319</v>
      </c>
      <c r="AD395">
        <v>31</v>
      </c>
      <c r="AE395">
        <v>13</v>
      </c>
      <c r="AF395">
        <v>51</v>
      </c>
      <c r="AI395">
        <v>87</v>
      </c>
      <c r="AJ395">
        <v>338</v>
      </c>
      <c r="AK395">
        <v>48</v>
      </c>
      <c r="AX395">
        <v>686</v>
      </c>
      <c r="AY395">
        <v>372</v>
      </c>
      <c r="AZ395">
        <v>1058</v>
      </c>
      <c r="BA395">
        <v>591</v>
      </c>
      <c r="BB395">
        <v>773</v>
      </c>
      <c r="BC395">
        <v>1364</v>
      </c>
      <c r="BD395">
        <v>95</v>
      </c>
      <c r="BE395">
        <v>221</v>
      </c>
      <c r="BF395">
        <v>316</v>
      </c>
      <c r="BG395">
        <v>473</v>
      </c>
      <c r="BH395">
        <v>479</v>
      </c>
      <c r="BI395">
        <v>952</v>
      </c>
      <c r="BP395">
        <v>1770</v>
      </c>
      <c r="BR395">
        <v>37</v>
      </c>
      <c r="BS395">
        <v>31</v>
      </c>
      <c r="BT395">
        <v>2</v>
      </c>
      <c r="BV395">
        <v>5</v>
      </c>
      <c r="BW395">
        <v>1845</v>
      </c>
      <c r="BX395" t="str">
        <f>IF(C395=C394,IF((CI395-1)=CI394,BW394,"no data"))</f>
        <v>no data</v>
      </c>
      <c r="BY395" s="5"/>
      <c r="BZ395" s="6"/>
      <c r="CA395" s="7">
        <v>44143</v>
      </c>
      <c r="CE395">
        <v>477</v>
      </c>
      <c r="CF395">
        <v>418</v>
      </c>
      <c r="CG395">
        <v>562</v>
      </c>
      <c r="CH395">
        <v>388</v>
      </c>
      <c r="CI395">
        <f t="shared" si="42"/>
        <v>2020</v>
      </c>
      <c r="CJ395" t="str">
        <f t="shared" si="43"/>
        <v>5610_2020</v>
      </c>
    </row>
    <row r="396" spans="1:88" x14ac:dyDescent="0.25">
      <c r="A396" t="s">
        <v>111</v>
      </c>
      <c r="B396" t="s">
        <v>186</v>
      </c>
      <c r="C396">
        <v>5610</v>
      </c>
      <c r="D396">
        <v>-37.809894999999997</v>
      </c>
      <c r="E396">
        <v>144.935722</v>
      </c>
      <c r="F396">
        <v>4</v>
      </c>
      <c r="G396" t="s">
        <v>188</v>
      </c>
      <c r="H396">
        <v>6</v>
      </c>
      <c r="I396">
        <v>186</v>
      </c>
      <c r="J396">
        <v>106</v>
      </c>
      <c r="K396">
        <v>286</v>
      </c>
      <c r="L396">
        <v>179</v>
      </c>
      <c r="M396">
        <v>359</v>
      </c>
      <c r="N396">
        <v>281</v>
      </c>
      <c r="O396">
        <v>101</v>
      </c>
      <c r="T396">
        <v>542</v>
      </c>
      <c r="U396">
        <v>154</v>
      </c>
      <c r="V396">
        <v>123</v>
      </c>
      <c r="Y396">
        <v>319</v>
      </c>
      <c r="Z396">
        <v>8</v>
      </c>
      <c r="AA396">
        <v>306</v>
      </c>
      <c r="AD396">
        <v>78</v>
      </c>
      <c r="AE396">
        <v>19</v>
      </c>
      <c r="AF396">
        <v>47</v>
      </c>
      <c r="AI396">
        <v>85</v>
      </c>
      <c r="AJ396">
        <v>370</v>
      </c>
      <c r="AK396">
        <v>72</v>
      </c>
      <c r="AX396">
        <v>819</v>
      </c>
      <c r="AY396">
        <v>482</v>
      </c>
      <c r="AZ396">
        <v>1301</v>
      </c>
      <c r="BA396">
        <v>633</v>
      </c>
      <c r="BB396">
        <v>931</v>
      </c>
      <c r="BC396">
        <v>1564</v>
      </c>
      <c r="BD396">
        <v>144</v>
      </c>
      <c r="BE396">
        <v>234</v>
      </c>
      <c r="BF396">
        <v>378</v>
      </c>
      <c r="BG396">
        <v>527</v>
      </c>
      <c r="BH396">
        <v>476</v>
      </c>
      <c r="BI396">
        <v>1003</v>
      </c>
      <c r="BP396">
        <v>1825</v>
      </c>
      <c r="BR396">
        <v>89</v>
      </c>
      <c r="BS396">
        <v>116</v>
      </c>
      <c r="BT396">
        <v>8</v>
      </c>
      <c r="BU396">
        <v>85</v>
      </c>
      <c r="BV396">
        <v>0</v>
      </c>
      <c r="BW396">
        <v>2123</v>
      </c>
      <c r="BX396" t="str">
        <f>IF(C396=C395,IF((CI396-1)=CI395,BW395,"no data"))</f>
        <v>no data</v>
      </c>
      <c r="BY396" s="5"/>
      <c r="BZ396" s="6"/>
      <c r="CA396" s="7">
        <v>44878</v>
      </c>
      <c r="CE396">
        <v>886</v>
      </c>
      <c r="CF396">
        <v>635</v>
      </c>
      <c r="CG396">
        <v>602</v>
      </c>
      <c r="CI396">
        <f t="shared" si="42"/>
        <v>2022</v>
      </c>
      <c r="CJ396" t="str">
        <f t="shared" si="43"/>
        <v>5610_2022</v>
      </c>
    </row>
    <row r="397" spans="1:88" x14ac:dyDescent="0.25">
      <c r="A397" t="s">
        <v>111</v>
      </c>
      <c r="B397" t="s">
        <v>186</v>
      </c>
      <c r="C397">
        <v>5611</v>
      </c>
      <c r="D397">
        <v>-37.823698999999998</v>
      </c>
      <c r="E397">
        <v>144.95602600000001</v>
      </c>
      <c r="F397">
        <v>4</v>
      </c>
      <c r="G397" t="s">
        <v>189</v>
      </c>
      <c r="H397">
        <v>57</v>
      </c>
      <c r="I397">
        <v>237</v>
      </c>
      <c r="J397">
        <v>157</v>
      </c>
      <c r="K397">
        <v>337</v>
      </c>
      <c r="L397">
        <v>233</v>
      </c>
      <c r="M397">
        <v>53</v>
      </c>
      <c r="N397">
        <v>343</v>
      </c>
      <c r="O397">
        <v>163</v>
      </c>
      <c r="T397">
        <v>235</v>
      </c>
      <c r="U397">
        <v>1561</v>
      </c>
      <c r="V397">
        <v>193</v>
      </c>
      <c r="Y397">
        <v>448</v>
      </c>
      <c r="Z397">
        <v>491</v>
      </c>
      <c r="AA397">
        <v>313</v>
      </c>
      <c r="AD397">
        <v>882</v>
      </c>
      <c r="AE397">
        <v>90</v>
      </c>
      <c r="AF397">
        <v>110</v>
      </c>
      <c r="AI397">
        <v>149</v>
      </c>
      <c r="AJ397">
        <v>141</v>
      </c>
      <c r="AK397">
        <v>685</v>
      </c>
      <c r="AX397">
        <v>1989</v>
      </c>
      <c r="AY397">
        <v>1479</v>
      </c>
      <c r="AZ397">
        <v>3468</v>
      </c>
      <c r="BA397">
        <v>1252</v>
      </c>
      <c r="BB397">
        <v>466</v>
      </c>
      <c r="BC397">
        <v>1718</v>
      </c>
      <c r="BD397">
        <v>1082</v>
      </c>
      <c r="BE397">
        <v>2737</v>
      </c>
      <c r="BF397">
        <v>3819</v>
      </c>
      <c r="BG397">
        <v>975</v>
      </c>
      <c r="BH397">
        <v>616</v>
      </c>
      <c r="BI397">
        <v>1591</v>
      </c>
      <c r="BP397">
        <v>355</v>
      </c>
      <c r="BR397">
        <v>4911</v>
      </c>
      <c r="BS397">
        <v>27</v>
      </c>
      <c r="BT397">
        <v>0</v>
      </c>
      <c r="BV397">
        <v>5</v>
      </c>
      <c r="BW397">
        <v>5298</v>
      </c>
      <c r="BX397" t="s">
        <v>82</v>
      </c>
      <c r="BY397" s="5"/>
      <c r="BZ397" s="6"/>
      <c r="CA397" s="7">
        <v>42687</v>
      </c>
      <c r="CE397">
        <v>794</v>
      </c>
      <c r="CF397">
        <v>993</v>
      </c>
      <c r="CG397">
        <v>1639</v>
      </c>
      <c r="CH397">
        <v>1872</v>
      </c>
      <c r="CI397">
        <f t="shared" si="42"/>
        <v>2016</v>
      </c>
      <c r="CJ397" t="str">
        <f t="shared" si="43"/>
        <v>5611_2016</v>
      </c>
    </row>
    <row r="398" spans="1:88" x14ac:dyDescent="0.25">
      <c r="A398" t="s">
        <v>111</v>
      </c>
      <c r="B398" t="s">
        <v>186</v>
      </c>
      <c r="C398">
        <v>5611</v>
      </c>
      <c r="D398">
        <v>-37.823698999999998</v>
      </c>
      <c r="E398">
        <v>144.95602600000001</v>
      </c>
      <c r="F398">
        <v>4</v>
      </c>
      <c r="G398" t="s">
        <v>189</v>
      </c>
      <c r="H398">
        <v>57</v>
      </c>
      <c r="I398">
        <v>237</v>
      </c>
      <c r="J398">
        <v>157</v>
      </c>
      <c r="K398">
        <v>337</v>
      </c>
      <c r="L398">
        <v>233</v>
      </c>
      <c r="M398">
        <v>53</v>
      </c>
      <c r="N398">
        <v>343</v>
      </c>
      <c r="O398">
        <v>163</v>
      </c>
      <c r="T398">
        <v>237</v>
      </c>
      <c r="U398">
        <v>2277</v>
      </c>
      <c r="V398">
        <v>200</v>
      </c>
      <c r="Y398">
        <v>601</v>
      </c>
      <c r="Z398">
        <v>466</v>
      </c>
      <c r="AA398">
        <v>354</v>
      </c>
      <c r="AD398">
        <v>1153</v>
      </c>
      <c r="AE398">
        <v>42</v>
      </c>
      <c r="AF398">
        <v>206</v>
      </c>
      <c r="AI398">
        <v>1539</v>
      </c>
      <c r="AJ398">
        <v>762</v>
      </c>
      <c r="AK398">
        <v>1333</v>
      </c>
      <c r="AX398">
        <v>2714</v>
      </c>
      <c r="AY398">
        <v>3293</v>
      </c>
      <c r="AZ398">
        <v>6007</v>
      </c>
      <c r="BA398">
        <v>1421</v>
      </c>
      <c r="BB398">
        <v>1041</v>
      </c>
      <c r="BC398">
        <v>2462</v>
      </c>
      <c r="BD398">
        <v>1401</v>
      </c>
      <c r="BE398">
        <v>4076</v>
      </c>
      <c r="BF398">
        <v>5477</v>
      </c>
      <c r="BG398">
        <v>3634</v>
      </c>
      <c r="BH398">
        <v>760</v>
      </c>
      <c r="BI398">
        <v>4394</v>
      </c>
      <c r="BP398">
        <v>898</v>
      </c>
      <c r="BR398">
        <v>8207</v>
      </c>
      <c r="BS398">
        <v>30</v>
      </c>
      <c r="BT398">
        <v>4</v>
      </c>
      <c r="BV398">
        <v>31</v>
      </c>
      <c r="BW398">
        <v>9170</v>
      </c>
      <c r="BX398">
        <f>IF(C398=C397,IF((CI398-1)=CI397,BW397,"no data"))</f>
        <v>5298</v>
      </c>
      <c r="BY398" s="5">
        <f t="shared" ref="BY398:BY461" si="45">(BW398-BX398)/BX398</f>
        <v>0.7308418271045678</v>
      </c>
      <c r="BZ398" s="6">
        <f t="shared" si="44"/>
        <v>0.7308418271045678</v>
      </c>
      <c r="CA398" s="7">
        <v>43051</v>
      </c>
      <c r="CE398">
        <v>1320</v>
      </c>
      <c r="CF398">
        <v>1995</v>
      </c>
      <c r="CG398">
        <v>2686</v>
      </c>
      <c r="CH398">
        <v>3169</v>
      </c>
      <c r="CI398">
        <f t="shared" si="42"/>
        <v>2017</v>
      </c>
      <c r="CJ398" t="str">
        <f t="shared" si="43"/>
        <v>5611_2017</v>
      </c>
    </row>
    <row r="399" spans="1:88" x14ac:dyDescent="0.25">
      <c r="A399" t="s">
        <v>111</v>
      </c>
      <c r="B399" t="s">
        <v>186</v>
      </c>
      <c r="C399">
        <v>5611</v>
      </c>
      <c r="D399">
        <v>-37.823700000000002</v>
      </c>
      <c r="E399">
        <v>144.95599999999999</v>
      </c>
      <c r="F399">
        <v>4</v>
      </c>
      <c r="G399" t="s">
        <v>189</v>
      </c>
      <c r="H399">
        <v>57</v>
      </c>
      <c r="I399">
        <v>237</v>
      </c>
      <c r="J399">
        <v>157</v>
      </c>
      <c r="K399">
        <v>337</v>
      </c>
      <c r="L399">
        <v>233</v>
      </c>
      <c r="M399">
        <v>53</v>
      </c>
      <c r="N399">
        <v>343</v>
      </c>
      <c r="O399">
        <v>163</v>
      </c>
      <c r="T399">
        <v>33</v>
      </c>
      <c r="U399">
        <v>122</v>
      </c>
      <c r="V399">
        <v>10</v>
      </c>
      <c r="Y399">
        <v>46</v>
      </c>
      <c r="Z399">
        <v>25</v>
      </c>
      <c r="AA399">
        <v>42</v>
      </c>
      <c r="AD399">
        <v>111</v>
      </c>
      <c r="AE399">
        <v>38</v>
      </c>
      <c r="AF399">
        <v>11</v>
      </c>
      <c r="AI399">
        <v>9</v>
      </c>
      <c r="AJ399">
        <v>33</v>
      </c>
      <c r="AK399">
        <v>6</v>
      </c>
      <c r="AX399">
        <v>165</v>
      </c>
      <c r="AY399">
        <v>166</v>
      </c>
      <c r="AZ399">
        <v>331</v>
      </c>
      <c r="BA399">
        <v>113</v>
      </c>
      <c r="BB399">
        <v>104</v>
      </c>
      <c r="BC399">
        <v>217</v>
      </c>
      <c r="BD399">
        <v>160</v>
      </c>
      <c r="BE399">
        <v>153</v>
      </c>
      <c r="BF399">
        <v>313</v>
      </c>
      <c r="BG399">
        <v>48</v>
      </c>
      <c r="BH399">
        <v>63</v>
      </c>
      <c r="BI399">
        <v>111</v>
      </c>
      <c r="BP399">
        <v>486</v>
      </c>
      <c r="BR399">
        <v>0</v>
      </c>
      <c r="BS399">
        <v>0</v>
      </c>
      <c r="BT399">
        <v>0</v>
      </c>
      <c r="BV399">
        <v>0</v>
      </c>
      <c r="BW399">
        <v>486</v>
      </c>
      <c r="BX399" t="str">
        <f>IF(C399=C398,IF((CI399-1)=CI398,BW398,"no data"))</f>
        <v>no data</v>
      </c>
      <c r="BY399" s="5"/>
      <c r="BZ399" s="6"/>
      <c r="CA399" s="7">
        <v>44143</v>
      </c>
      <c r="CE399">
        <v>112</v>
      </c>
      <c r="CF399">
        <v>91</v>
      </c>
      <c r="CG399">
        <v>122</v>
      </c>
      <c r="CH399">
        <v>161</v>
      </c>
      <c r="CI399">
        <f t="shared" si="42"/>
        <v>2020</v>
      </c>
      <c r="CJ399" t="str">
        <f t="shared" si="43"/>
        <v>5611_2020</v>
      </c>
    </row>
    <row r="400" spans="1:88" x14ac:dyDescent="0.25">
      <c r="A400" t="s">
        <v>111</v>
      </c>
      <c r="B400" t="s">
        <v>186</v>
      </c>
      <c r="C400">
        <v>5611</v>
      </c>
      <c r="D400">
        <v>-37.823698999999998</v>
      </c>
      <c r="E400">
        <v>144.95602600000001</v>
      </c>
      <c r="F400">
        <v>4</v>
      </c>
      <c r="G400" t="s">
        <v>189</v>
      </c>
      <c r="H400">
        <v>57</v>
      </c>
      <c r="I400">
        <v>237</v>
      </c>
      <c r="J400">
        <v>157</v>
      </c>
      <c r="K400">
        <v>337</v>
      </c>
      <c r="L400">
        <v>233</v>
      </c>
      <c r="M400">
        <v>53</v>
      </c>
      <c r="N400">
        <v>343</v>
      </c>
      <c r="O400">
        <v>163</v>
      </c>
      <c r="T400">
        <v>55</v>
      </c>
      <c r="U400">
        <v>145</v>
      </c>
      <c r="V400">
        <v>4</v>
      </c>
      <c r="Y400">
        <v>63</v>
      </c>
      <c r="Z400">
        <v>50</v>
      </c>
      <c r="AA400">
        <v>61</v>
      </c>
      <c r="AD400">
        <v>188</v>
      </c>
      <c r="AE400">
        <v>53</v>
      </c>
      <c r="AF400">
        <v>4</v>
      </c>
      <c r="AI400">
        <v>8</v>
      </c>
      <c r="AJ400">
        <v>47</v>
      </c>
      <c r="AK400">
        <v>13</v>
      </c>
      <c r="AX400">
        <v>204</v>
      </c>
      <c r="AY400">
        <v>259</v>
      </c>
      <c r="AZ400">
        <v>463</v>
      </c>
      <c r="BA400">
        <v>174</v>
      </c>
      <c r="BB400">
        <v>155</v>
      </c>
      <c r="BC400">
        <v>329</v>
      </c>
      <c r="BD400">
        <v>245</v>
      </c>
      <c r="BE400">
        <v>208</v>
      </c>
      <c r="BF400">
        <v>453</v>
      </c>
      <c r="BG400">
        <v>68</v>
      </c>
      <c r="BH400">
        <v>69</v>
      </c>
      <c r="BI400">
        <v>137</v>
      </c>
      <c r="BP400">
        <v>573</v>
      </c>
      <c r="BR400">
        <v>0</v>
      </c>
      <c r="BS400">
        <v>0</v>
      </c>
      <c r="BT400">
        <v>0</v>
      </c>
      <c r="BU400">
        <v>106</v>
      </c>
      <c r="BV400">
        <v>12</v>
      </c>
      <c r="BW400">
        <v>691</v>
      </c>
      <c r="BX400" t="str">
        <f>IF(C400=C399,IF((CI400-1)=CI399,BW399,"no data"))</f>
        <v>no data</v>
      </c>
      <c r="BY400" s="5"/>
      <c r="BZ400" s="6"/>
      <c r="CA400" s="7">
        <v>44878</v>
      </c>
      <c r="CE400">
        <v>209</v>
      </c>
      <c r="CF400">
        <v>243</v>
      </c>
      <c r="CG400">
        <v>239</v>
      </c>
      <c r="CI400">
        <f t="shared" si="42"/>
        <v>2022</v>
      </c>
      <c r="CJ400" t="str">
        <f t="shared" si="43"/>
        <v>5611_2022</v>
      </c>
    </row>
    <row r="401" spans="1:88" x14ac:dyDescent="0.25">
      <c r="A401" t="s">
        <v>111</v>
      </c>
      <c r="B401" t="s">
        <v>186</v>
      </c>
      <c r="C401">
        <v>5612</v>
      </c>
      <c r="D401">
        <v>-37.821176000000001</v>
      </c>
      <c r="E401">
        <v>144.97603000000001</v>
      </c>
      <c r="F401">
        <v>3</v>
      </c>
      <c r="G401" t="s">
        <v>190</v>
      </c>
      <c r="H401">
        <v>3</v>
      </c>
      <c r="I401">
        <v>183</v>
      </c>
      <c r="J401">
        <v>146</v>
      </c>
      <c r="K401">
        <v>326</v>
      </c>
      <c r="L401">
        <v>325</v>
      </c>
      <c r="M401">
        <v>145</v>
      </c>
      <c r="T401">
        <v>96</v>
      </c>
      <c r="U401">
        <v>14</v>
      </c>
      <c r="Y401">
        <v>92</v>
      </c>
      <c r="Z401">
        <v>338</v>
      </c>
      <c r="AD401">
        <v>7</v>
      </c>
      <c r="AE401">
        <v>207</v>
      </c>
      <c r="AX401">
        <v>110</v>
      </c>
      <c r="AY401">
        <v>99</v>
      </c>
      <c r="AZ401">
        <v>209</v>
      </c>
      <c r="BA401">
        <v>430</v>
      </c>
      <c r="BB401">
        <v>303</v>
      </c>
      <c r="BC401">
        <v>733</v>
      </c>
      <c r="BD401">
        <v>214</v>
      </c>
      <c r="BE401">
        <v>352</v>
      </c>
      <c r="BF401">
        <v>566</v>
      </c>
      <c r="BP401">
        <v>144</v>
      </c>
      <c r="BR401">
        <v>420</v>
      </c>
      <c r="BS401">
        <v>122</v>
      </c>
      <c r="BT401">
        <v>9</v>
      </c>
      <c r="BV401">
        <v>59</v>
      </c>
      <c r="BW401">
        <v>754</v>
      </c>
      <c r="BX401" t="s">
        <v>82</v>
      </c>
      <c r="BY401" s="5"/>
      <c r="BZ401" s="6"/>
      <c r="CA401" s="7">
        <v>42687</v>
      </c>
      <c r="CE401">
        <v>172</v>
      </c>
      <c r="CF401">
        <v>143</v>
      </c>
      <c r="CG401">
        <v>185</v>
      </c>
      <c r="CH401">
        <v>254</v>
      </c>
      <c r="CI401">
        <f t="shared" si="42"/>
        <v>2016</v>
      </c>
      <c r="CJ401" t="str">
        <f t="shared" si="43"/>
        <v>5612_2016</v>
      </c>
    </row>
    <row r="402" spans="1:88" x14ac:dyDescent="0.25">
      <c r="A402" t="s">
        <v>111</v>
      </c>
      <c r="B402" t="s">
        <v>186</v>
      </c>
      <c r="C402">
        <v>5612</v>
      </c>
      <c r="D402">
        <v>-37.821176000000001</v>
      </c>
      <c r="E402">
        <v>144.97603000000001</v>
      </c>
      <c r="F402">
        <v>3</v>
      </c>
      <c r="G402" t="s">
        <v>190</v>
      </c>
      <c r="H402">
        <v>3</v>
      </c>
      <c r="I402">
        <v>183</v>
      </c>
      <c r="J402">
        <v>146</v>
      </c>
      <c r="K402">
        <v>326</v>
      </c>
      <c r="L402">
        <v>325</v>
      </c>
      <c r="M402">
        <v>145</v>
      </c>
      <c r="T402">
        <v>141</v>
      </c>
      <c r="U402">
        <v>4</v>
      </c>
      <c r="Y402">
        <v>95</v>
      </c>
      <c r="Z402">
        <v>290</v>
      </c>
      <c r="AD402">
        <v>7</v>
      </c>
      <c r="AE402">
        <v>607</v>
      </c>
      <c r="AX402">
        <v>145</v>
      </c>
      <c r="AY402">
        <v>102</v>
      </c>
      <c r="AZ402">
        <v>247</v>
      </c>
      <c r="BA402">
        <v>385</v>
      </c>
      <c r="BB402">
        <v>748</v>
      </c>
      <c r="BC402">
        <v>1133</v>
      </c>
      <c r="BD402">
        <v>614</v>
      </c>
      <c r="BE402">
        <v>294</v>
      </c>
      <c r="BF402">
        <v>908</v>
      </c>
      <c r="BP402">
        <v>317</v>
      </c>
      <c r="BR402">
        <v>757</v>
      </c>
      <c r="BS402">
        <v>59</v>
      </c>
      <c r="BT402">
        <v>11</v>
      </c>
      <c r="BV402">
        <v>0</v>
      </c>
      <c r="BW402">
        <v>1144</v>
      </c>
      <c r="BX402">
        <f>IF(C402=C401,IF((CI402-1)=CI401,BW401,"no data"))</f>
        <v>754</v>
      </c>
      <c r="BY402" s="5">
        <f t="shared" si="45"/>
        <v>0.51724137931034486</v>
      </c>
      <c r="BZ402" s="6">
        <f t="shared" si="44"/>
        <v>0.51724137931034486</v>
      </c>
      <c r="CA402" s="7">
        <v>43051</v>
      </c>
      <c r="CE402">
        <v>140</v>
      </c>
      <c r="CF402">
        <v>162</v>
      </c>
      <c r="CG402">
        <v>300</v>
      </c>
      <c r="CH402">
        <v>542</v>
      </c>
      <c r="CI402">
        <f t="shared" si="42"/>
        <v>2017</v>
      </c>
      <c r="CJ402" t="str">
        <f t="shared" si="43"/>
        <v>5612_2017</v>
      </c>
    </row>
    <row r="403" spans="1:88" x14ac:dyDescent="0.25">
      <c r="A403" t="s">
        <v>111</v>
      </c>
      <c r="B403" t="s">
        <v>186</v>
      </c>
      <c r="C403">
        <v>5612</v>
      </c>
      <c r="D403">
        <v>-37.821176000000001</v>
      </c>
      <c r="E403">
        <v>144.97603000000001</v>
      </c>
      <c r="F403">
        <v>3</v>
      </c>
      <c r="G403" t="s">
        <v>190</v>
      </c>
      <c r="H403">
        <v>3</v>
      </c>
      <c r="I403">
        <v>183</v>
      </c>
      <c r="J403">
        <v>146</v>
      </c>
      <c r="K403">
        <v>326</v>
      </c>
      <c r="L403">
        <v>325</v>
      </c>
      <c r="M403">
        <v>145</v>
      </c>
      <c r="T403">
        <v>100</v>
      </c>
      <c r="U403">
        <v>4</v>
      </c>
      <c r="Y403">
        <v>97</v>
      </c>
      <c r="Z403">
        <v>311</v>
      </c>
      <c r="AD403">
        <v>8</v>
      </c>
      <c r="AE403">
        <v>244</v>
      </c>
      <c r="AX403">
        <v>104</v>
      </c>
      <c r="AY403">
        <v>105</v>
      </c>
      <c r="AZ403">
        <v>209</v>
      </c>
      <c r="BA403">
        <v>408</v>
      </c>
      <c r="BB403">
        <v>344</v>
      </c>
      <c r="BC403">
        <v>752</v>
      </c>
      <c r="BD403">
        <v>252</v>
      </c>
      <c r="BE403">
        <v>315</v>
      </c>
      <c r="BF403">
        <v>567</v>
      </c>
      <c r="BP403">
        <v>312</v>
      </c>
      <c r="BR403">
        <v>352</v>
      </c>
      <c r="BS403">
        <v>91</v>
      </c>
      <c r="BT403">
        <v>8</v>
      </c>
      <c r="BV403">
        <v>1</v>
      </c>
      <c r="BW403">
        <v>764</v>
      </c>
      <c r="BX403">
        <f>IF(C403=C402,IF((CI403-1)=CI402,BW402,"no data"))</f>
        <v>1144</v>
      </c>
      <c r="BY403" s="5">
        <f t="shared" si="45"/>
        <v>-0.33216783216783219</v>
      </c>
      <c r="BZ403" s="6">
        <f t="shared" si="44"/>
        <v>-0.33216783216783219</v>
      </c>
      <c r="CA403" s="7">
        <v>43443</v>
      </c>
      <c r="CE403">
        <v>162</v>
      </c>
      <c r="CF403">
        <v>194</v>
      </c>
      <c r="CG403">
        <v>245</v>
      </c>
      <c r="CH403">
        <v>163</v>
      </c>
      <c r="CI403">
        <f t="shared" si="42"/>
        <v>2018</v>
      </c>
      <c r="CJ403" t="str">
        <f t="shared" si="43"/>
        <v>5612_2018</v>
      </c>
    </row>
    <row r="404" spans="1:88" x14ac:dyDescent="0.25">
      <c r="A404" t="s">
        <v>111</v>
      </c>
      <c r="B404" t="s">
        <v>186</v>
      </c>
      <c r="C404">
        <v>5612</v>
      </c>
      <c r="D404">
        <v>-37.821199999999997</v>
      </c>
      <c r="E404">
        <v>144.976</v>
      </c>
      <c r="F404">
        <v>3</v>
      </c>
      <c r="G404" t="s">
        <v>190</v>
      </c>
      <c r="H404">
        <v>3</v>
      </c>
      <c r="I404">
        <v>183</v>
      </c>
      <c r="J404">
        <v>146</v>
      </c>
      <c r="K404">
        <v>326</v>
      </c>
      <c r="L404">
        <v>325</v>
      </c>
      <c r="M404">
        <v>145</v>
      </c>
      <c r="T404">
        <v>165</v>
      </c>
      <c r="U404">
        <v>3</v>
      </c>
      <c r="Y404">
        <v>209</v>
      </c>
      <c r="Z404">
        <v>860</v>
      </c>
      <c r="AD404">
        <v>6</v>
      </c>
      <c r="AE404">
        <v>657</v>
      </c>
      <c r="AX404">
        <v>168</v>
      </c>
      <c r="AY404">
        <v>215</v>
      </c>
      <c r="AZ404">
        <v>383</v>
      </c>
      <c r="BA404">
        <v>1069</v>
      </c>
      <c r="BB404">
        <v>822</v>
      </c>
      <c r="BC404">
        <v>1891</v>
      </c>
      <c r="BD404">
        <v>663</v>
      </c>
      <c r="BE404">
        <v>863</v>
      </c>
      <c r="BF404">
        <v>1526</v>
      </c>
      <c r="BP404">
        <v>905</v>
      </c>
      <c r="BR404">
        <v>658</v>
      </c>
      <c r="BS404">
        <v>268</v>
      </c>
      <c r="BT404">
        <v>51</v>
      </c>
      <c r="BV404">
        <v>18</v>
      </c>
      <c r="BW404">
        <v>1900</v>
      </c>
      <c r="BX404" t="str">
        <f>IF(C404=C403,IF((CI404-1)=CI403,BW403,"no data"))</f>
        <v>no data</v>
      </c>
      <c r="BY404" s="5"/>
      <c r="BZ404" s="6"/>
      <c r="CA404" s="7">
        <v>44143</v>
      </c>
      <c r="CE404">
        <v>401</v>
      </c>
      <c r="CF404">
        <v>479</v>
      </c>
      <c r="CG404">
        <v>514</v>
      </c>
      <c r="CH404">
        <v>506</v>
      </c>
      <c r="CI404">
        <f t="shared" si="42"/>
        <v>2020</v>
      </c>
      <c r="CJ404" t="str">
        <f t="shared" si="43"/>
        <v>5612_2020</v>
      </c>
    </row>
    <row r="405" spans="1:88" x14ac:dyDescent="0.25">
      <c r="A405" t="s">
        <v>111</v>
      </c>
      <c r="B405" t="s">
        <v>186</v>
      </c>
      <c r="C405">
        <v>5612</v>
      </c>
      <c r="D405">
        <v>-37.821176000000001</v>
      </c>
      <c r="E405">
        <v>144.97603000000001</v>
      </c>
      <c r="F405">
        <v>3</v>
      </c>
      <c r="G405" t="s">
        <v>190</v>
      </c>
      <c r="H405">
        <v>3</v>
      </c>
      <c r="I405">
        <v>183</v>
      </c>
      <c r="J405">
        <v>146</v>
      </c>
      <c r="K405">
        <v>326</v>
      </c>
      <c r="L405">
        <v>325</v>
      </c>
      <c r="M405">
        <v>145</v>
      </c>
      <c r="T405">
        <v>154</v>
      </c>
      <c r="U405">
        <v>11</v>
      </c>
      <c r="Y405">
        <v>137</v>
      </c>
      <c r="Z405">
        <v>336</v>
      </c>
      <c r="AD405">
        <v>16</v>
      </c>
      <c r="AE405">
        <v>218</v>
      </c>
      <c r="AX405">
        <v>165</v>
      </c>
      <c r="AY405">
        <v>153</v>
      </c>
      <c r="AZ405">
        <v>318</v>
      </c>
      <c r="BA405">
        <v>473</v>
      </c>
      <c r="BB405">
        <v>372</v>
      </c>
      <c r="BC405">
        <v>845</v>
      </c>
      <c r="BD405">
        <v>234</v>
      </c>
      <c r="BE405">
        <v>347</v>
      </c>
      <c r="BF405">
        <v>581</v>
      </c>
      <c r="BP405">
        <v>268</v>
      </c>
      <c r="BR405">
        <v>437</v>
      </c>
      <c r="BS405">
        <v>119</v>
      </c>
      <c r="BT405">
        <v>16</v>
      </c>
      <c r="BU405">
        <v>32</v>
      </c>
      <c r="BV405">
        <v>0</v>
      </c>
      <c r="BW405">
        <v>872</v>
      </c>
      <c r="BX405" t="str">
        <f>IF(C405=C404,IF((CI405-1)=CI404,BW404,"no data"))</f>
        <v>no data</v>
      </c>
      <c r="BY405" s="5"/>
      <c r="BZ405" s="6"/>
      <c r="CA405" s="7">
        <v>44878</v>
      </c>
      <c r="CE405">
        <v>265</v>
      </c>
      <c r="CF405">
        <v>300</v>
      </c>
      <c r="CG405">
        <v>307</v>
      </c>
      <c r="CI405">
        <f t="shared" si="42"/>
        <v>2022</v>
      </c>
      <c r="CJ405" t="str">
        <f t="shared" si="43"/>
        <v>5612_2022</v>
      </c>
    </row>
    <row r="406" spans="1:88" x14ac:dyDescent="0.25">
      <c r="A406" t="s">
        <v>111</v>
      </c>
      <c r="B406" t="s">
        <v>186</v>
      </c>
      <c r="C406">
        <v>5613</v>
      </c>
      <c r="D406">
        <v>-37.828184999999998</v>
      </c>
      <c r="E406">
        <v>144.984906</v>
      </c>
      <c r="F406">
        <v>4</v>
      </c>
      <c r="G406" t="s">
        <v>191</v>
      </c>
      <c r="H406">
        <v>10</v>
      </c>
      <c r="I406">
        <v>190</v>
      </c>
      <c r="J406">
        <v>117</v>
      </c>
      <c r="K406">
        <v>297</v>
      </c>
      <c r="L406">
        <v>189</v>
      </c>
      <c r="M406">
        <v>9</v>
      </c>
      <c r="N406">
        <v>281</v>
      </c>
      <c r="O406">
        <v>101</v>
      </c>
      <c r="T406">
        <v>43</v>
      </c>
      <c r="U406">
        <v>186</v>
      </c>
      <c r="V406">
        <v>98</v>
      </c>
      <c r="Y406">
        <v>30</v>
      </c>
      <c r="Z406">
        <v>12</v>
      </c>
      <c r="AA406">
        <v>173</v>
      </c>
      <c r="AD406">
        <v>195</v>
      </c>
      <c r="AE406">
        <v>14</v>
      </c>
      <c r="AF406">
        <v>32</v>
      </c>
      <c r="AI406">
        <v>97</v>
      </c>
      <c r="AJ406">
        <v>191</v>
      </c>
      <c r="AK406">
        <v>18</v>
      </c>
      <c r="AX406">
        <v>327</v>
      </c>
      <c r="AY406">
        <v>322</v>
      </c>
      <c r="AZ406">
        <v>649</v>
      </c>
      <c r="BA406">
        <v>215</v>
      </c>
      <c r="BB406">
        <v>248</v>
      </c>
      <c r="BC406">
        <v>463</v>
      </c>
      <c r="BD406">
        <v>241</v>
      </c>
      <c r="BE406">
        <v>216</v>
      </c>
      <c r="BF406">
        <v>457</v>
      </c>
      <c r="BG406">
        <v>306</v>
      </c>
      <c r="BH406">
        <v>303</v>
      </c>
      <c r="BI406">
        <v>609</v>
      </c>
      <c r="BP406">
        <v>234</v>
      </c>
      <c r="BR406">
        <v>422</v>
      </c>
      <c r="BS406">
        <v>253</v>
      </c>
      <c r="BT406">
        <v>23</v>
      </c>
      <c r="BV406">
        <v>157</v>
      </c>
      <c r="BW406">
        <v>1089</v>
      </c>
      <c r="BX406" t="s">
        <v>82</v>
      </c>
      <c r="BY406" s="5"/>
      <c r="BZ406" s="6"/>
      <c r="CA406" s="7">
        <v>42687</v>
      </c>
      <c r="CE406">
        <v>243</v>
      </c>
      <c r="CF406">
        <v>338</v>
      </c>
      <c r="CG406">
        <v>216</v>
      </c>
      <c r="CH406">
        <v>292</v>
      </c>
      <c r="CI406">
        <f t="shared" si="42"/>
        <v>2016</v>
      </c>
      <c r="CJ406" t="str">
        <f t="shared" si="43"/>
        <v>5613_2016</v>
      </c>
    </row>
    <row r="407" spans="1:88" x14ac:dyDescent="0.25">
      <c r="A407" t="s">
        <v>111</v>
      </c>
      <c r="B407" t="s">
        <v>186</v>
      </c>
      <c r="C407">
        <v>5613</v>
      </c>
      <c r="D407">
        <v>-37.828184999999998</v>
      </c>
      <c r="E407">
        <v>144.984906</v>
      </c>
      <c r="F407">
        <v>4</v>
      </c>
      <c r="G407" t="s">
        <v>191</v>
      </c>
      <c r="H407">
        <v>10</v>
      </c>
      <c r="I407">
        <v>190</v>
      </c>
      <c r="J407">
        <v>117</v>
      </c>
      <c r="K407">
        <v>297</v>
      </c>
      <c r="L407">
        <v>189</v>
      </c>
      <c r="M407">
        <v>9</v>
      </c>
      <c r="N407">
        <v>281</v>
      </c>
      <c r="O407">
        <v>101</v>
      </c>
      <c r="T407">
        <v>51</v>
      </c>
      <c r="U407">
        <v>369</v>
      </c>
      <c r="V407">
        <v>228</v>
      </c>
      <c r="Y407">
        <v>60</v>
      </c>
      <c r="Z407">
        <v>59</v>
      </c>
      <c r="AA407">
        <v>182</v>
      </c>
      <c r="AD407">
        <v>347</v>
      </c>
      <c r="AE407">
        <v>61</v>
      </c>
      <c r="AF407">
        <v>164</v>
      </c>
      <c r="AI407">
        <v>189</v>
      </c>
      <c r="AJ407">
        <v>138</v>
      </c>
      <c r="AK407">
        <v>74</v>
      </c>
      <c r="AX407">
        <v>648</v>
      </c>
      <c r="AY407">
        <v>596</v>
      </c>
      <c r="AZ407">
        <v>1244</v>
      </c>
      <c r="BA407">
        <v>301</v>
      </c>
      <c r="BB407">
        <v>250</v>
      </c>
      <c r="BC407">
        <v>551</v>
      </c>
      <c r="BD407">
        <v>572</v>
      </c>
      <c r="BE407">
        <v>502</v>
      </c>
      <c r="BF407">
        <v>1074</v>
      </c>
      <c r="BG407">
        <v>401</v>
      </c>
      <c r="BH407">
        <v>574</v>
      </c>
      <c r="BI407">
        <v>975</v>
      </c>
      <c r="BP407">
        <v>678</v>
      </c>
      <c r="BR407">
        <v>901</v>
      </c>
      <c r="BS407">
        <v>269</v>
      </c>
      <c r="BT407">
        <v>62</v>
      </c>
      <c r="BV407">
        <v>12</v>
      </c>
      <c r="BW407">
        <v>1922</v>
      </c>
      <c r="BX407">
        <f>IF(C407=C406,IF((CI407-1)=CI406,BW406,"no data"))</f>
        <v>1089</v>
      </c>
      <c r="BY407" s="5">
        <f t="shared" si="45"/>
        <v>0.76492194674012859</v>
      </c>
      <c r="BZ407" s="6">
        <f t="shared" si="44"/>
        <v>0.76492194674012859</v>
      </c>
      <c r="CA407" s="7">
        <v>43051</v>
      </c>
      <c r="CE407">
        <v>518</v>
      </c>
      <c r="CF407">
        <v>528</v>
      </c>
      <c r="CG407">
        <v>392</v>
      </c>
      <c r="CH407">
        <v>484</v>
      </c>
      <c r="CI407">
        <f t="shared" si="42"/>
        <v>2017</v>
      </c>
      <c r="CJ407" t="str">
        <f t="shared" si="43"/>
        <v>5613_2017</v>
      </c>
    </row>
    <row r="408" spans="1:88" x14ac:dyDescent="0.25">
      <c r="A408" t="s">
        <v>111</v>
      </c>
      <c r="B408" t="s">
        <v>186</v>
      </c>
      <c r="C408">
        <v>5613</v>
      </c>
      <c r="D408">
        <v>-37.828184999999998</v>
      </c>
      <c r="E408">
        <v>144.984906</v>
      </c>
      <c r="F408">
        <v>4</v>
      </c>
      <c r="G408" t="s">
        <v>191</v>
      </c>
      <c r="H408">
        <v>10</v>
      </c>
      <c r="I408">
        <v>190</v>
      </c>
      <c r="J408">
        <v>117</v>
      </c>
      <c r="K408">
        <v>297</v>
      </c>
      <c r="L408">
        <v>189</v>
      </c>
      <c r="M408">
        <v>9</v>
      </c>
      <c r="N408">
        <v>281</v>
      </c>
      <c r="O408">
        <v>101</v>
      </c>
      <c r="T408">
        <v>56</v>
      </c>
      <c r="U408">
        <v>453</v>
      </c>
      <c r="V408">
        <v>189</v>
      </c>
      <c r="Y408">
        <v>50</v>
      </c>
      <c r="Z408">
        <v>56</v>
      </c>
      <c r="AA408">
        <v>89</v>
      </c>
      <c r="AD408">
        <v>447</v>
      </c>
      <c r="AE408">
        <v>68</v>
      </c>
      <c r="AF408">
        <v>88</v>
      </c>
      <c r="AI408">
        <v>325</v>
      </c>
      <c r="AJ408">
        <v>46</v>
      </c>
      <c r="AK408">
        <v>169</v>
      </c>
      <c r="AX408">
        <v>698</v>
      </c>
      <c r="AY408">
        <v>822</v>
      </c>
      <c r="AZ408">
        <v>1520</v>
      </c>
      <c r="BA408">
        <v>195</v>
      </c>
      <c r="BB408">
        <v>170</v>
      </c>
      <c r="BC408">
        <v>365</v>
      </c>
      <c r="BD408">
        <v>603</v>
      </c>
      <c r="BE408">
        <v>678</v>
      </c>
      <c r="BF408">
        <v>1281</v>
      </c>
      <c r="BG408">
        <v>540</v>
      </c>
      <c r="BH408">
        <v>366</v>
      </c>
      <c r="BI408">
        <v>906</v>
      </c>
      <c r="BP408">
        <v>647</v>
      </c>
      <c r="BR408">
        <v>1027</v>
      </c>
      <c r="BS408">
        <v>262</v>
      </c>
      <c r="BT408">
        <v>69</v>
      </c>
      <c r="BV408">
        <v>31</v>
      </c>
      <c r="BW408">
        <v>2036</v>
      </c>
      <c r="BX408">
        <f>IF(C408=C407,IF((CI408-1)=CI407,BW407,"no data"))</f>
        <v>1922</v>
      </c>
      <c r="BY408" s="5">
        <f t="shared" si="45"/>
        <v>5.9313215400624349E-2</v>
      </c>
      <c r="BZ408" s="6">
        <f t="shared" si="44"/>
        <v>5.9313215400624349E-2</v>
      </c>
      <c r="CA408" s="7">
        <v>43415</v>
      </c>
      <c r="CE408">
        <v>417</v>
      </c>
      <c r="CF408">
        <v>560</v>
      </c>
      <c r="CG408">
        <v>396</v>
      </c>
      <c r="CH408">
        <v>663</v>
      </c>
      <c r="CI408">
        <f t="shared" si="42"/>
        <v>2018</v>
      </c>
      <c r="CJ408" t="str">
        <f t="shared" si="43"/>
        <v>5613_2018</v>
      </c>
    </row>
    <row r="409" spans="1:88" x14ac:dyDescent="0.25">
      <c r="A409" t="s">
        <v>111</v>
      </c>
      <c r="B409" t="s">
        <v>186</v>
      </c>
      <c r="C409">
        <v>5613</v>
      </c>
      <c r="D409">
        <v>-37.828200000000002</v>
      </c>
      <c r="E409">
        <v>144.98490000000001</v>
      </c>
      <c r="F409">
        <v>4</v>
      </c>
      <c r="G409" t="s">
        <v>191</v>
      </c>
      <c r="H409">
        <v>10</v>
      </c>
      <c r="I409">
        <v>190</v>
      </c>
      <c r="J409">
        <v>117</v>
      </c>
      <c r="K409">
        <v>297</v>
      </c>
      <c r="L409">
        <v>189</v>
      </c>
      <c r="M409">
        <v>9</v>
      </c>
      <c r="N409">
        <v>281</v>
      </c>
      <c r="O409">
        <v>101</v>
      </c>
      <c r="T409">
        <v>65</v>
      </c>
      <c r="U409">
        <v>475</v>
      </c>
      <c r="V409">
        <v>304</v>
      </c>
      <c r="Y409">
        <v>54</v>
      </c>
      <c r="Z409">
        <v>55</v>
      </c>
      <c r="AA409">
        <v>99</v>
      </c>
      <c r="AD409">
        <v>418</v>
      </c>
      <c r="AE409">
        <v>40</v>
      </c>
      <c r="AF409">
        <v>114</v>
      </c>
      <c r="AI409">
        <v>300</v>
      </c>
      <c r="AJ409">
        <v>92</v>
      </c>
      <c r="AK409">
        <v>205</v>
      </c>
      <c r="AX409">
        <v>844</v>
      </c>
      <c r="AY409">
        <v>772</v>
      </c>
      <c r="AZ409">
        <v>1616</v>
      </c>
      <c r="BA409">
        <v>208</v>
      </c>
      <c r="BB409">
        <v>197</v>
      </c>
      <c r="BC409">
        <v>405</v>
      </c>
      <c r="BD409">
        <v>572</v>
      </c>
      <c r="BE409">
        <v>735</v>
      </c>
      <c r="BF409">
        <v>1307</v>
      </c>
      <c r="BG409">
        <v>597</v>
      </c>
      <c r="BH409">
        <v>517</v>
      </c>
      <c r="BI409">
        <v>1114</v>
      </c>
      <c r="BP409">
        <v>869</v>
      </c>
      <c r="BR409">
        <v>1006</v>
      </c>
      <c r="BS409">
        <v>241</v>
      </c>
      <c r="BT409">
        <v>89</v>
      </c>
      <c r="BV409">
        <v>16</v>
      </c>
      <c r="BW409">
        <v>2221</v>
      </c>
      <c r="BX409" t="str">
        <f>IF(C409=C408,IF((CI409-1)=CI408,BW408,"no data"))</f>
        <v>no data</v>
      </c>
      <c r="BY409" s="5"/>
      <c r="BZ409" s="6"/>
      <c r="CA409" s="7">
        <v>44143</v>
      </c>
      <c r="CE409">
        <v>608</v>
      </c>
      <c r="CF409">
        <v>534</v>
      </c>
      <c r="CG409">
        <v>538</v>
      </c>
      <c r="CH409">
        <v>541</v>
      </c>
      <c r="CI409">
        <f t="shared" si="42"/>
        <v>2020</v>
      </c>
      <c r="CJ409" t="str">
        <f t="shared" si="43"/>
        <v>5613_2020</v>
      </c>
    </row>
    <row r="410" spans="1:88" x14ac:dyDescent="0.25">
      <c r="A410" t="s">
        <v>111</v>
      </c>
      <c r="B410" t="s">
        <v>186</v>
      </c>
      <c r="C410">
        <v>5613</v>
      </c>
      <c r="D410">
        <v>-37.828184999999998</v>
      </c>
      <c r="E410">
        <v>144.984906</v>
      </c>
      <c r="F410">
        <v>4</v>
      </c>
      <c r="G410" t="s">
        <v>191</v>
      </c>
      <c r="H410">
        <v>10</v>
      </c>
      <c r="I410">
        <v>190</v>
      </c>
      <c r="J410">
        <v>117</v>
      </c>
      <c r="K410">
        <v>297</v>
      </c>
      <c r="L410">
        <v>189</v>
      </c>
      <c r="M410">
        <v>9</v>
      </c>
      <c r="N410">
        <v>281</v>
      </c>
      <c r="O410">
        <v>101</v>
      </c>
      <c r="T410">
        <v>16</v>
      </c>
      <c r="U410">
        <v>75</v>
      </c>
      <c r="V410">
        <v>74</v>
      </c>
      <c r="Y410">
        <v>25</v>
      </c>
      <c r="Z410">
        <v>19</v>
      </c>
      <c r="AA410">
        <v>153</v>
      </c>
      <c r="AD410">
        <v>67</v>
      </c>
      <c r="AE410">
        <v>16</v>
      </c>
      <c r="AF410">
        <v>32</v>
      </c>
      <c r="AI410">
        <v>74</v>
      </c>
      <c r="AJ410">
        <v>169</v>
      </c>
      <c r="AK410">
        <v>15</v>
      </c>
      <c r="AX410">
        <v>165</v>
      </c>
      <c r="AY410">
        <v>166</v>
      </c>
      <c r="AZ410">
        <v>331</v>
      </c>
      <c r="BA410">
        <v>197</v>
      </c>
      <c r="BB410">
        <v>201</v>
      </c>
      <c r="BC410">
        <v>398</v>
      </c>
      <c r="BD410">
        <v>115</v>
      </c>
      <c r="BE410">
        <v>109</v>
      </c>
      <c r="BF410">
        <v>224</v>
      </c>
      <c r="BG410">
        <v>258</v>
      </c>
      <c r="BH410">
        <v>259</v>
      </c>
      <c r="BI410">
        <v>517</v>
      </c>
      <c r="BP410">
        <v>717</v>
      </c>
      <c r="BR410">
        <v>0</v>
      </c>
      <c r="BS410">
        <v>0</v>
      </c>
      <c r="BT410">
        <v>0</v>
      </c>
      <c r="BU410">
        <v>18</v>
      </c>
      <c r="BV410">
        <v>0</v>
      </c>
      <c r="BW410">
        <v>735</v>
      </c>
      <c r="BX410" t="str">
        <f>IF(C410=C409,IF((CI410-1)=CI409,BW409,"no data"))</f>
        <v>no data</v>
      </c>
      <c r="BY410" s="5"/>
      <c r="BZ410" s="6"/>
      <c r="CA410" s="7">
        <v>44878</v>
      </c>
      <c r="CE410">
        <v>308</v>
      </c>
      <c r="CF410">
        <v>216</v>
      </c>
      <c r="CG410">
        <v>211</v>
      </c>
      <c r="CI410">
        <f t="shared" si="42"/>
        <v>2022</v>
      </c>
      <c r="CJ410" t="str">
        <f t="shared" si="43"/>
        <v>5613_2022</v>
      </c>
    </row>
    <row r="411" spans="1:88" x14ac:dyDescent="0.25">
      <c r="A411" t="s">
        <v>111</v>
      </c>
      <c r="B411" t="s">
        <v>186</v>
      </c>
      <c r="C411">
        <v>5614</v>
      </c>
      <c r="D411">
        <v>-37.82714</v>
      </c>
      <c r="E411">
        <v>144.98510899999999</v>
      </c>
      <c r="F411">
        <v>4</v>
      </c>
      <c r="G411" t="s">
        <v>192</v>
      </c>
      <c r="H411">
        <v>10</v>
      </c>
      <c r="I411">
        <v>190</v>
      </c>
      <c r="J411">
        <v>117</v>
      </c>
      <c r="K411">
        <v>297</v>
      </c>
      <c r="L411">
        <v>190</v>
      </c>
      <c r="M411">
        <v>10</v>
      </c>
      <c r="N411">
        <v>289</v>
      </c>
      <c r="O411">
        <v>109</v>
      </c>
      <c r="T411">
        <v>16</v>
      </c>
      <c r="U411">
        <v>148</v>
      </c>
      <c r="V411">
        <v>30</v>
      </c>
      <c r="Y411">
        <v>10</v>
      </c>
      <c r="Z411">
        <v>139</v>
      </c>
      <c r="AA411">
        <v>140</v>
      </c>
      <c r="AD411">
        <v>129</v>
      </c>
      <c r="AE411">
        <v>123</v>
      </c>
      <c r="AF411">
        <v>60</v>
      </c>
      <c r="AI411">
        <v>3</v>
      </c>
      <c r="AJ411">
        <v>70</v>
      </c>
      <c r="AK411">
        <v>33</v>
      </c>
      <c r="AX411">
        <v>194</v>
      </c>
      <c r="AY411">
        <v>142</v>
      </c>
      <c r="AZ411">
        <v>336</v>
      </c>
      <c r="BA411">
        <v>289</v>
      </c>
      <c r="BB411">
        <v>209</v>
      </c>
      <c r="BC411">
        <v>498</v>
      </c>
      <c r="BD411">
        <v>312</v>
      </c>
      <c r="BE411">
        <v>320</v>
      </c>
      <c r="BF411">
        <v>632</v>
      </c>
      <c r="BG411">
        <v>106</v>
      </c>
      <c r="BH411">
        <v>230</v>
      </c>
      <c r="BI411">
        <v>336</v>
      </c>
      <c r="BP411">
        <v>288</v>
      </c>
      <c r="BR411">
        <v>348</v>
      </c>
      <c r="BS411">
        <v>229</v>
      </c>
      <c r="BT411">
        <v>30</v>
      </c>
      <c r="BV411">
        <v>6</v>
      </c>
      <c r="BW411">
        <v>901</v>
      </c>
      <c r="BX411" t="s">
        <v>82</v>
      </c>
      <c r="BY411" s="5"/>
      <c r="BZ411" s="6"/>
      <c r="CA411" s="7">
        <v>42687</v>
      </c>
      <c r="CE411">
        <v>260</v>
      </c>
      <c r="CF411">
        <v>233</v>
      </c>
      <c r="CG411">
        <v>210</v>
      </c>
      <c r="CH411">
        <v>198</v>
      </c>
      <c r="CI411">
        <f t="shared" si="42"/>
        <v>2016</v>
      </c>
      <c r="CJ411" t="str">
        <f t="shared" si="43"/>
        <v>5614_2016</v>
      </c>
    </row>
    <row r="412" spans="1:88" x14ac:dyDescent="0.25">
      <c r="A412" t="s">
        <v>111</v>
      </c>
      <c r="B412" t="s">
        <v>186</v>
      </c>
      <c r="C412">
        <v>5614</v>
      </c>
      <c r="D412">
        <v>-37.82714</v>
      </c>
      <c r="E412">
        <v>144.98510899999999</v>
      </c>
      <c r="F412">
        <v>4</v>
      </c>
      <c r="G412" t="s">
        <v>192</v>
      </c>
      <c r="H412">
        <v>10</v>
      </c>
      <c r="I412">
        <v>190</v>
      </c>
      <c r="J412">
        <v>117</v>
      </c>
      <c r="K412">
        <v>297</v>
      </c>
      <c r="L412">
        <v>190</v>
      </c>
      <c r="M412">
        <v>10</v>
      </c>
      <c r="N412">
        <v>289</v>
      </c>
      <c r="O412">
        <v>109</v>
      </c>
      <c r="T412">
        <v>9</v>
      </c>
      <c r="U412">
        <v>252</v>
      </c>
      <c r="V412">
        <v>26</v>
      </c>
      <c r="Y412">
        <v>0</v>
      </c>
      <c r="Z412">
        <v>1</v>
      </c>
      <c r="AA412">
        <v>14</v>
      </c>
      <c r="AD412">
        <v>315</v>
      </c>
      <c r="AE412">
        <v>10</v>
      </c>
      <c r="AF412">
        <v>225</v>
      </c>
      <c r="AI412">
        <v>7</v>
      </c>
      <c r="AJ412">
        <v>5</v>
      </c>
      <c r="AK412">
        <v>191</v>
      </c>
      <c r="AX412">
        <v>287</v>
      </c>
      <c r="AY412">
        <v>322</v>
      </c>
      <c r="AZ412">
        <v>609</v>
      </c>
      <c r="BA412">
        <v>15</v>
      </c>
      <c r="BB412">
        <v>24</v>
      </c>
      <c r="BC412">
        <v>39</v>
      </c>
      <c r="BD412">
        <v>550</v>
      </c>
      <c r="BE412">
        <v>444</v>
      </c>
      <c r="BF412">
        <v>994</v>
      </c>
      <c r="BG412">
        <v>203</v>
      </c>
      <c r="BH412">
        <v>265</v>
      </c>
      <c r="BI412">
        <v>468</v>
      </c>
      <c r="BP412">
        <v>299</v>
      </c>
      <c r="BR412">
        <v>567</v>
      </c>
      <c r="BS412">
        <v>137</v>
      </c>
      <c r="BT412">
        <v>48</v>
      </c>
      <c r="BV412">
        <v>4</v>
      </c>
      <c r="BW412">
        <v>1055</v>
      </c>
      <c r="BX412">
        <f>IF(C412=C411,IF((CI412-1)=CI411,BW411,"no data"))</f>
        <v>901</v>
      </c>
      <c r="BY412" s="5">
        <f t="shared" si="45"/>
        <v>0.17092119866814651</v>
      </c>
      <c r="BZ412" s="6">
        <f t="shared" si="44"/>
        <v>0.17092119866814651</v>
      </c>
      <c r="CA412" s="7">
        <v>43051</v>
      </c>
      <c r="CE412">
        <v>231</v>
      </c>
      <c r="CF412">
        <v>268</v>
      </c>
      <c r="CG412">
        <v>260</v>
      </c>
      <c r="CH412">
        <v>296</v>
      </c>
      <c r="CI412">
        <f t="shared" si="42"/>
        <v>2017</v>
      </c>
      <c r="CJ412" t="str">
        <f t="shared" si="43"/>
        <v>5614_2017</v>
      </c>
    </row>
    <row r="413" spans="1:88" x14ac:dyDescent="0.25">
      <c r="A413" t="s">
        <v>111</v>
      </c>
      <c r="B413" t="s">
        <v>186</v>
      </c>
      <c r="C413">
        <v>5614</v>
      </c>
      <c r="D413">
        <v>-37.82714</v>
      </c>
      <c r="E413">
        <v>144.98510899999999</v>
      </c>
      <c r="F413">
        <v>4</v>
      </c>
      <c r="G413" t="s">
        <v>192</v>
      </c>
      <c r="H413">
        <v>10</v>
      </c>
      <c r="I413">
        <v>190</v>
      </c>
      <c r="J413">
        <v>117</v>
      </c>
      <c r="K413">
        <v>297</v>
      </c>
      <c r="L413">
        <v>190</v>
      </c>
      <c r="M413">
        <v>10</v>
      </c>
      <c r="N413">
        <v>289</v>
      </c>
      <c r="O413">
        <v>109</v>
      </c>
      <c r="T413">
        <v>23</v>
      </c>
      <c r="U413">
        <v>398</v>
      </c>
      <c r="V413">
        <v>18</v>
      </c>
      <c r="Y413">
        <v>34</v>
      </c>
      <c r="Z413">
        <v>213</v>
      </c>
      <c r="AA413">
        <v>311</v>
      </c>
      <c r="AD413">
        <v>416</v>
      </c>
      <c r="AE413">
        <v>182</v>
      </c>
      <c r="AF413">
        <v>51</v>
      </c>
      <c r="AI413">
        <v>28</v>
      </c>
      <c r="AJ413">
        <v>170</v>
      </c>
      <c r="AK413">
        <v>49</v>
      </c>
      <c r="AX413">
        <v>439</v>
      </c>
      <c r="AY413">
        <v>478</v>
      </c>
      <c r="AZ413">
        <v>917</v>
      </c>
      <c r="BA413">
        <v>558</v>
      </c>
      <c r="BB413">
        <v>375</v>
      </c>
      <c r="BC413">
        <v>933</v>
      </c>
      <c r="BD413">
        <v>649</v>
      </c>
      <c r="BE413">
        <v>660</v>
      </c>
      <c r="BF413">
        <v>1309</v>
      </c>
      <c r="BG413">
        <v>247</v>
      </c>
      <c r="BH413">
        <v>380</v>
      </c>
      <c r="BI413">
        <v>627</v>
      </c>
      <c r="BP413">
        <v>815</v>
      </c>
      <c r="BR413">
        <v>806</v>
      </c>
      <c r="BS413">
        <v>206</v>
      </c>
      <c r="BT413">
        <v>64</v>
      </c>
      <c r="BV413">
        <v>2</v>
      </c>
      <c r="BW413">
        <v>1893</v>
      </c>
      <c r="BX413">
        <f>IF(C413=C412,IF((CI413-1)=CI412,BW412,"no data"))</f>
        <v>1055</v>
      </c>
      <c r="BY413" s="5">
        <f t="shared" si="45"/>
        <v>0.79431279620853079</v>
      </c>
      <c r="BZ413" s="6">
        <f t="shared" si="44"/>
        <v>0.79431279620853079</v>
      </c>
      <c r="CA413" s="7">
        <v>43415</v>
      </c>
      <c r="CE413">
        <v>285</v>
      </c>
      <c r="CF413">
        <v>532</v>
      </c>
      <c r="CG413">
        <v>497</v>
      </c>
      <c r="CH413">
        <v>579</v>
      </c>
      <c r="CI413">
        <f t="shared" si="42"/>
        <v>2018</v>
      </c>
      <c r="CJ413" t="str">
        <f t="shared" si="43"/>
        <v>5614_2018</v>
      </c>
    </row>
    <row r="414" spans="1:88" x14ac:dyDescent="0.25">
      <c r="A414" t="s">
        <v>111</v>
      </c>
      <c r="B414" t="s">
        <v>186</v>
      </c>
      <c r="C414">
        <v>5614</v>
      </c>
      <c r="D414">
        <v>-37.827100000000002</v>
      </c>
      <c r="E414">
        <v>144.98509999999999</v>
      </c>
      <c r="F414">
        <v>4</v>
      </c>
      <c r="G414" t="s">
        <v>192</v>
      </c>
      <c r="H414">
        <v>10</v>
      </c>
      <c r="I414">
        <v>190</v>
      </c>
      <c r="J414">
        <v>117</v>
      </c>
      <c r="K414">
        <v>297</v>
      </c>
      <c r="L414">
        <v>190</v>
      </c>
      <c r="M414">
        <v>10</v>
      </c>
      <c r="N414">
        <v>289</v>
      </c>
      <c r="O414">
        <v>109</v>
      </c>
      <c r="T414">
        <v>81</v>
      </c>
      <c r="U414">
        <v>425</v>
      </c>
      <c r="V414">
        <v>108</v>
      </c>
      <c r="Y414">
        <v>64</v>
      </c>
      <c r="Z414">
        <v>604</v>
      </c>
      <c r="AA414">
        <v>697</v>
      </c>
      <c r="AD414">
        <v>428</v>
      </c>
      <c r="AE414">
        <v>352</v>
      </c>
      <c r="AF414">
        <v>240</v>
      </c>
      <c r="AI414">
        <v>59</v>
      </c>
      <c r="AJ414">
        <v>445</v>
      </c>
      <c r="AK414">
        <v>169</v>
      </c>
      <c r="AX414">
        <v>614</v>
      </c>
      <c r="AY414">
        <v>551</v>
      </c>
      <c r="AZ414">
        <v>1165</v>
      </c>
      <c r="BA414">
        <v>1365</v>
      </c>
      <c r="BB414">
        <v>878</v>
      </c>
      <c r="BC414">
        <v>2243</v>
      </c>
      <c r="BD414">
        <v>1020</v>
      </c>
      <c r="BE414">
        <v>1198</v>
      </c>
      <c r="BF414">
        <v>2218</v>
      </c>
      <c r="BG414">
        <v>673</v>
      </c>
      <c r="BH414">
        <v>1045</v>
      </c>
      <c r="BI414">
        <v>1718</v>
      </c>
      <c r="BP414">
        <v>1956</v>
      </c>
      <c r="BR414">
        <v>1123</v>
      </c>
      <c r="BS414">
        <v>477</v>
      </c>
      <c r="BT414">
        <v>105</v>
      </c>
      <c r="BV414">
        <v>11</v>
      </c>
      <c r="BW414">
        <v>3672</v>
      </c>
      <c r="BX414" t="str">
        <f>IF(C414=C413,IF((CI414-1)=CI413,BW413,"no data"))</f>
        <v>no data</v>
      </c>
      <c r="BY414" s="5"/>
      <c r="BZ414" s="6"/>
      <c r="CA414" s="7">
        <v>44143</v>
      </c>
      <c r="CE414">
        <v>802</v>
      </c>
      <c r="CF414">
        <v>818</v>
      </c>
      <c r="CG414">
        <v>1091</v>
      </c>
      <c r="CH414">
        <v>961</v>
      </c>
      <c r="CI414">
        <f t="shared" si="42"/>
        <v>2020</v>
      </c>
      <c r="CJ414" t="str">
        <f t="shared" si="43"/>
        <v>5614_2020</v>
      </c>
    </row>
    <row r="415" spans="1:88" x14ac:dyDescent="0.25">
      <c r="A415" t="s">
        <v>111</v>
      </c>
      <c r="B415" t="s">
        <v>186</v>
      </c>
      <c r="C415">
        <v>5614</v>
      </c>
      <c r="D415">
        <v>-37.82714</v>
      </c>
      <c r="E415">
        <v>144.98510899999999</v>
      </c>
      <c r="F415">
        <v>4</v>
      </c>
      <c r="G415" t="s">
        <v>192</v>
      </c>
      <c r="H415">
        <v>10</v>
      </c>
      <c r="I415">
        <v>190</v>
      </c>
      <c r="J415">
        <v>117</v>
      </c>
      <c r="K415">
        <v>297</v>
      </c>
      <c r="L415">
        <v>190</v>
      </c>
      <c r="M415">
        <v>10</v>
      </c>
      <c r="N415">
        <v>289</v>
      </c>
      <c r="O415">
        <v>109</v>
      </c>
      <c r="T415">
        <v>24</v>
      </c>
      <c r="U415">
        <v>346</v>
      </c>
      <c r="V415">
        <v>38</v>
      </c>
      <c r="Y415">
        <v>31</v>
      </c>
      <c r="Z415">
        <v>171</v>
      </c>
      <c r="AA415">
        <v>279</v>
      </c>
      <c r="AD415">
        <v>318</v>
      </c>
      <c r="AE415">
        <v>149</v>
      </c>
      <c r="AF415">
        <v>96</v>
      </c>
      <c r="AI415">
        <v>28</v>
      </c>
      <c r="AJ415">
        <v>160</v>
      </c>
      <c r="AK415">
        <v>64</v>
      </c>
      <c r="AX415">
        <v>408</v>
      </c>
      <c r="AY415">
        <v>377</v>
      </c>
      <c r="AZ415">
        <v>785</v>
      </c>
      <c r="BA415">
        <v>481</v>
      </c>
      <c r="BB415">
        <v>333</v>
      </c>
      <c r="BC415">
        <v>814</v>
      </c>
      <c r="BD415">
        <v>563</v>
      </c>
      <c r="BE415">
        <v>581</v>
      </c>
      <c r="BF415">
        <v>1144</v>
      </c>
      <c r="BG415">
        <v>252</v>
      </c>
      <c r="BH415">
        <v>413</v>
      </c>
      <c r="BI415">
        <v>665</v>
      </c>
      <c r="BP415">
        <v>506</v>
      </c>
      <c r="BR415">
        <v>662</v>
      </c>
      <c r="BS415">
        <v>384</v>
      </c>
      <c r="BT415">
        <v>131</v>
      </c>
      <c r="BU415">
        <v>21</v>
      </c>
      <c r="BV415">
        <v>0</v>
      </c>
      <c r="BW415">
        <v>1704</v>
      </c>
      <c r="BX415" t="str">
        <f>IF(C415=C414,IF((CI415-1)=CI414,BW414,"no data"))</f>
        <v>no data</v>
      </c>
      <c r="BY415" s="5"/>
      <c r="BZ415" s="6"/>
      <c r="CA415" s="7">
        <v>44878</v>
      </c>
      <c r="CE415">
        <v>565</v>
      </c>
      <c r="CF415">
        <v>592</v>
      </c>
      <c r="CG415">
        <v>547</v>
      </c>
      <c r="CI415">
        <f t="shared" si="42"/>
        <v>2022</v>
      </c>
      <c r="CJ415" t="str">
        <f t="shared" si="43"/>
        <v>5614_2022</v>
      </c>
    </row>
    <row r="416" spans="1:88" x14ac:dyDescent="0.25">
      <c r="A416" t="s">
        <v>111</v>
      </c>
      <c r="B416" t="s">
        <v>193</v>
      </c>
      <c r="C416">
        <v>5615</v>
      </c>
      <c r="D416">
        <v>-37.834000000000003</v>
      </c>
      <c r="E416">
        <v>145.00460000000001</v>
      </c>
      <c r="F416">
        <v>2</v>
      </c>
      <c r="G416" t="s">
        <v>194</v>
      </c>
      <c r="H416">
        <v>233</v>
      </c>
      <c r="I416">
        <v>53</v>
      </c>
      <c r="J416">
        <v>358</v>
      </c>
      <c r="K416">
        <v>178</v>
      </c>
      <c r="T416">
        <v>3514</v>
      </c>
      <c r="Y416">
        <v>2478</v>
      </c>
      <c r="AX416">
        <v>3514</v>
      </c>
      <c r="AY416">
        <v>2478</v>
      </c>
      <c r="AZ416">
        <v>5992</v>
      </c>
      <c r="BA416">
        <v>2478</v>
      </c>
      <c r="BB416">
        <v>3514</v>
      </c>
      <c r="BC416">
        <v>5992</v>
      </c>
      <c r="BP416">
        <v>3682</v>
      </c>
      <c r="BR416">
        <v>1750</v>
      </c>
      <c r="BS416">
        <v>364</v>
      </c>
      <c r="BT416">
        <v>98</v>
      </c>
      <c r="BV416">
        <v>98</v>
      </c>
      <c r="BW416">
        <v>5992</v>
      </c>
      <c r="BX416" t="s">
        <v>82</v>
      </c>
      <c r="BY416" s="5"/>
      <c r="BZ416" s="6"/>
      <c r="CA416" s="7">
        <v>40853</v>
      </c>
      <c r="CI416">
        <f t="shared" si="42"/>
        <v>2011</v>
      </c>
      <c r="CJ416" t="str">
        <f t="shared" si="43"/>
        <v>5615_2011</v>
      </c>
    </row>
    <row r="417" spans="1:88" x14ac:dyDescent="0.25">
      <c r="A417" t="s">
        <v>111</v>
      </c>
      <c r="B417" t="s">
        <v>193</v>
      </c>
      <c r="C417">
        <v>5615</v>
      </c>
      <c r="D417">
        <v>-37.834000000000003</v>
      </c>
      <c r="E417">
        <v>145.00460000000001</v>
      </c>
      <c r="F417">
        <v>2</v>
      </c>
      <c r="G417" t="s">
        <v>194</v>
      </c>
      <c r="H417">
        <v>233</v>
      </c>
      <c r="I417">
        <v>53</v>
      </c>
      <c r="J417">
        <v>358</v>
      </c>
      <c r="K417">
        <v>178</v>
      </c>
      <c r="T417">
        <v>427</v>
      </c>
      <c r="Y417">
        <v>324</v>
      </c>
      <c r="AX417">
        <v>427</v>
      </c>
      <c r="AY417">
        <v>324</v>
      </c>
      <c r="AZ417">
        <v>751</v>
      </c>
      <c r="BA417">
        <v>324</v>
      </c>
      <c r="BB417">
        <v>427</v>
      </c>
      <c r="BC417">
        <v>751</v>
      </c>
      <c r="BP417">
        <v>349</v>
      </c>
      <c r="BR417">
        <v>264</v>
      </c>
      <c r="BS417">
        <v>102</v>
      </c>
      <c r="BT417">
        <v>19</v>
      </c>
      <c r="BV417">
        <v>17</v>
      </c>
      <c r="BW417">
        <v>751</v>
      </c>
      <c r="BX417">
        <f t="shared" ref="BX417:BX425" si="46">IF(C417=C416,IF((CI417-1)=CI416,BW416,"no data"))</f>
        <v>5992</v>
      </c>
      <c r="BY417" s="5">
        <f t="shared" si="45"/>
        <v>-0.87466622162883845</v>
      </c>
      <c r="BZ417" s="6">
        <f t="shared" si="44"/>
        <v>-0.87466622162883845</v>
      </c>
      <c r="CA417" s="7">
        <v>41224</v>
      </c>
      <c r="CI417">
        <f t="shared" si="42"/>
        <v>2012</v>
      </c>
      <c r="CJ417" t="str">
        <f t="shared" si="43"/>
        <v>5615_2012</v>
      </c>
    </row>
    <row r="418" spans="1:88" x14ac:dyDescent="0.25">
      <c r="A418" t="s">
        <v>111</v>
      </c>
      <c r="B418" t="s">
        <v>193</v>
      </c>
      <c r="C418">
        <v>5615</v>
      </c>
      <c r="D418">
        <v>-37.834000000000003</v>
      </c>
      <c r="E418">
        <v>145.00460000000001</v>
      </c>
      <c r="F418">
        <v>2</v>
      </c>
      <c r="G418" t="s">
        <v>194</v>
      </c>
      <c r="H418">
        <v>233</v>
      </c>
      <c r="I418">
        <v>53</v>
      </c>
      <c r="J418">
        <v>358</v>
      </c>
      <c r="K418">
        <v>178</v>
      </c>
      <c r="T418">
        <v>466</v>
      </c>
      <c r="Y418">
        <v>376</v>
      </c>
      <c r="AX418">
        <v>466</v>
      </c>
      <c r="AY418">
        <v>376</v>
      </c>
      <c r="AZ418">
        <v>842</v>
      </c>
      <c r="BA418">
        <v>376</v>
      </c>
      <c r="BB418">
        <v>466</v>
      </c>
      <c r="BC418">
        <v>842</v>
      </c>
      <c r="BP418">
        <v>382</v>
      </c>
      <c r="BR418">
        <v>246</v>
      </c>
      <c r="BS418">
        <v>179</v>
      </c>
      <c r="BT418">
        <v>30</v>
      </c>
      <c r="BV418">
        <v>5</v>
      </c>
      <c r="BW418">
        <v>842</v>
      </c>
      <c r="BX418">
        <f t="shared" si="46"/>
        <v>751</v>
      </c>
      <c r="BY418" s="5">
        <f t="shared" si="45"/>
        <v>0.12117177097203728</v>
      </c>
      <c r="BZ418" s="6">
        <f t="shared" si="44"/>
        <v>0.12117177097203728</v>
      </c>
      <c r="CA418" s="7">
        <v>41588</v>
      </c>
      <c r="CI418">
        <f t="shared" si="42"/>
        <v>2013</v>
      </c>
      <c r="CJ418" t="str">
        <f t="shared" si="43"/>
        <v>5615_2013</v>
      </c>
    </row>
    <row r="419" spans="1:88" x14ac:dyDescent="0.25">
      <c r="A419" t="s">
        <v>111</v>
      </c>
      <c r="B419" t="s">
        <v>193</v>
      </c>
      <c r="C419">
        <v>5615</v>
      </c>
      <c r="D419">
        <v>-37.834000000000003</v>
      </c>
      <c r="E419">
        <v>145.00460000000001</v>
      </c>
      <c r="F419">
        <v>2</v>
      </c>
      <c r="G419" t="s">
        <v>194</v>
      </c>
      <c r="H419">
        <v>233</v>
      </c>
      <c r="I419">
        <v>53</v>
      </c>
      <c r="J419">
        <v>358</v>
      </c>
      <c r="K419">
        <v>178</v>
      </c>
      <c r="T419">
        <v>429</v>
      </c>
      <c r="Y419">
        <v>349</v>
      </c>
      <c r="AX419">
        <v>429</v>
      </c>
      <c r="AY419">
        <v>349</v>
      </c>
      <c r="AZ419">
        <v>778</v>
      </c>
      <c r="BA419">
        <v>349</v>
      </c>
      <c r="BB419">
        <v>429</v>
      </c>
      <c r="BC419">
        <v>778</v>
      </c>
      <c r="BP419">
        <v>303</v>
      </c>
      <c r="BR419">
        <v>273</v>
      </c>
      <c r="BS419">
        <v>89</v>
      </c>
      <c r="BT419">
        <v>73</v>
      </c>
      <c r="BV419">
        <v>40</v>
      </c>
      <c r="BW419">
        <v>778</v>
      </c>
      <c r="BX419">
        <f t="shared" si="46"/>
        <v>842</v>
      </c>
      <c r="BY419" s="5">
        <f t="shared" si="45"/>
        <v>-7.6009501187648459E-2</v>
      </c>
      <c r="BZ419" s="6">
        <f t="shared" si="44"/>
        <v>-7.6009501187648459E-2</v>
      </c>
      <c r="CA419" s="7">
        <v>41952</v>
      </c>
      <c r="CI419">
        <f t="shared" si="42"/>
        <v>2014</v>
      </c>
      <c r="CJ419" t="str">
        <f t="shared" si="43"/>
        <v>5615_2014</v>
      </c>
    </row>
    <row r="420" spans="1:88" x14ac:dyDescent="0.25">
      <c r="A420" t="s">
        <v>111</v>
      </c>
      <c r="B420" t="s">
        <v>193</v>
      </c>
      <c r="C420">
        <v>5615</v>
      </c>
      <c r="D420">
        <v>-37.834000000000003</v>
      </c>
      <c r="E420">
        <v>145.00460000000001</v>
      </c>
      <c r="F420">
        <v>2</v>
      </c>
      <c r="G420" t="s">
        <v>194</v>
      </c>
      <c r="H420">
        <v>233</v>
      </c>
      <c r="I420">
        <v>53</v>
      </c>
      <c r="J420">
        <v>358</v>
      </c>
      <c r="K420">
        <v>178</v>
      </c>
      <c r="T420">
        <v>457</v>
      </c>
      <c r="Y420">
        <v>548</v>
      </c>
      <c r="AX420">
        <v>457</v>
      </c>
      <c r="AY420">
        <v>548</v>
      </c>
      <c r="AZ420">
        <v>1005</v>
      </c>
      <c r="BA420">
        <v>548</v>
      </c>
      <c r="BB420">
        <v>457</v>
      </c>
      <c r="BC420">
        <v>1005</v>
      </c>
      <c r="BP420">
        <v>358</v>
      </c>
      <c r="BR420">
        <v>427</v>
      </c>
      <c r="BS420">
        <v>168</v>
      </c>
      <c r="BT420">
        <v>42</v>
      </c>
      <c r="BV420">
        <v>10</v>
      </c>
      <c r="BW420">
        <v>1005</v>
      </c>
      <c r="BX420">
        <f t="shared" si="46"/>
        <v>778</v>
      </c>
      <c r="BY420" s="5">
        <f t="shared" si="45"/>
        <v>0.29177377892030848</v>
      </c>
      <c r="BZ420" s="6">
        <f t="shared" si="44"/>
        <v>0.29177377892030848</v>
      </c>
      <c r="CA420" s="7">
        <v>42316</v>
      </c>
      <c r="CE420">
        <v>246</v>
      </c>
      <c r="CF420">
        <v>288</v>
      </c>
      <c r="CG420">
        <v>218</v>
      </c>
      <c r="CH420">
        <v>253</v>
      </c>
      <c r="CI420">
        <f t="shared" si="42"/>
        <v>2015</v>
      </c>
      <c r="CJ420" t="str">
        <f t="shared" si="43"/>
        <v>5615_2015</v>
      </c>
    </row>
    <row r="421" spans="1:88" x14ac:dyDescent="0.25">
      <c r="A421" t="s">
        <v>111</v>
      </c>
      <c r="B421" t="s">
        <v>193</v>
      </c>
      <c r="C421">
        <v>5615</v>
      </c>
      <c r="D421">
        <v>-37.834007999999997</v>
      </c>
      <c r="E421">
        <v>145.00463099999999</v>
      </c>
      <c r="F421">
        <v>2</v>
      </c>
      <c r="G421" t="s">
        <v>194</v>
      </c>
      <c r="H421">
        <v>233</v>
      </c>
      <c r="I421">
        <v>53</v>
      </c>
      <c r="J421">
        <v>358</v>
      </c>
      <c r="K421">
        <v>178</v>
      </c>
      <c r="T421">
        <v>139</v>
      </c>
      <c r="Y421">
        <v>127</v>
      </c>
      <c r="AX421">
        <v>139</v>
      </c>
      <c r="AY421">
        <v>127</v>
      </c>
      <c r="AZ421">
        <v>266</v>
      </c>
      <c r="BA421">
        <v>127</v>
      </c>
      <c r="BB421">
        <v>139</v>
      </c>
      <c r="BC421">
        <v>266</v>
      </c>
      <c r="BP421">
        <v>60</v>
      </c>
      <c r="BR421">
        <v>110</v>
      </c>
      <c r="BS421">
        <v>79</v>
      </c>
      <c r="BT421">
        <v>13</v>
      </c>
      <c r="BV421">
        <v>4</v>
      </c>
      <c r="BW421">
        <v>266</v>
      </c>
      <c r="BX421">
        <f t="shared" si="46"/>
        <v>1005</v>
      </c>
      <c r="BY421" s="5">
        <f t="shared" si="45"/>
        <v>-0.73532338308457712</v>
      </c>
      <c r="BZ421" s="6">
        <f t="shared" si="44"/>
        <v>-0.73532338308457712</v>
      </c>
      <c r="CA421" s="7">
        <v>42687</v>
      </c>
      <c r="CE421">
        <v>93</v>
      </c>
      <c r="CF421">
        <v>60</v>
      </c>
      <c r="CG421">
        <v>50</v>
      </c>
      <c r="CH421">
        <v>63</v>
      </c>
      <c r="CI421">
        <f t="shared" si="42"/>
        <v>2016</v>
      </c>
      <c r="CJ421" t="str">
        <f t="shared" si="43"/>
        <v>5615_2016</v>
      </c>
    </row>
    <row r="422" spans="1:88" x14ac:dyDescent="0.25">
      <c r="A422" t="s">
        <v>111</v>
      </c>
      <c r="B422" t="s">
        <v>193</v>
      </c>
      <c r="C422">
        <v>5615</v>
      </c>
      <c r="D422">
        <v>-37.834007999999997</v>
      </c>
      <c r="E422">
        <v>145.00463099999999</v>
      </c>
      <c r="F422">
        <v>2</v>
      </c>
      <c r="G422" t="s">
        <v>194</v>
      </c>
      <c r="H422">
        <v>233</v>
      </c>
      <c r="I422">
        <v>53</v>
      </c>
      <c r="J422">
        <v>358</v>
      </c>
      <c r="K422">
        <v>178</v>
      </c>
      <c r="T422">
        <v>448</v>
      </c>
      <c r="Y422">
        <v>473</v>
      </c>
      <c r="AX422">
        <v>448</v>
      </c>
      <c r="AY422">
        <v>473</v>
      </c>
      <c r="AZ422">
        <v>921</v>
      </c>
      <c r="BA422">
        <v>473</v>
      </c>
      <c r="BB422">
        <v>448</v>
      </c>
      <c r="BC422">
        <v>921</v>
      </c>
      <c r="BP422">
        <v>360</v>
      </c>
      <c r="BR422">
        <v>405</v>
      </c>
      <c r="BS422">
        <v>103</v>
      </c>
      <c r="BT422">
        <v>27</v>
      </c>
      <c r="BV422">
        <v>26</v>
      </c>
      <c r="BW422">
        <v>921</v>
      </c>
      <c r="BX422">
        <f t="shared" si="46"/>
        <v>266</v>
      </c>
      <c r="BY422" s="5">
        <f t="shared" si="45"/>
        <v>2.4624060150375939</v>
      </c>
      <c r="BZ422" s="6">
        <f t="shared" si="44"/>
        <v>2.4624060150375939</v>
      </c>
      <c r="CA422" s="7">
        <v>43051</v>
      </c>
      <c r="CE422">
        <v>208</v>
      </c>
      <c r="CF422">
        <v>157</v>
      </c>
      <c r="CG422">
        <v>325</v>
      </c>
      <c r="CH422">
        <v>231</v>
      </c>
      <c r="CI422">
        <f t="shared" si="42"/>
        <v>2017</v>
      </c>
      <c r="CJ422" t="str">
        <f t="shared" si="43"/>
        <v>5615_2017</v>
      </c>
    </row>
    <row r="423" spans="1:88" x14ac:dyDescent="0.25">
      <c r="A423" t="s">
        <v>111</v>
      </c>
      <c r="B423" t="s">
        <v>193</v>
      </c>
      <c r="C423">
        <v>5615</v>
      </c>
      <c r="D423">
        <v>-37.834007999999997</v>
      </c>
      <c r="E423">
        <v>145.00463099999999</v>
      </c>
      <c r="F423">
        <v>2</v>
      </c>
      <c r="G423" t="s">
        <v>194</v>
      </c>
      <c r="H423">
        <v>233</v>
      </c>
      <c r="I423">
        <v>53</v>
      </c>
      <c r="J423">
        <v>358</v>
      </c>
      <c r="K423">
        <v>178</v>
      </c>
      <c r="T423">
        <v>214</v>
      </c>
      <c r="Y423">
        <v>135</v>
      </c>
      <c r="AX423">
        <v>214</v>
      </c>
      <c r="AY423">
        <v>135</v>
      </c>
      <c r="AZ423">
        <v>349</v>
      </c>
      <c r="BA423">
        <v>135</v>
      </c>
      <c r="BB423">
        <v>214</v>
      </c>
      <c r="BC423">
        <v>349</v>
      </c>
      <c r="BP423">
        <v>114</v>
      </c>
      <c r="BR423">
        <v>140</v>
      </c>
      <c r="BS423">
        <v>64</v>
      </c>
      <c r="BT423">
        <v>27</v>
      </c>
      <c r="BV423">
        <v>4</v>
      </c>
      <c r="BW423">
        <v>349</v>
      </c>
      <c r="BX423">
        <f t="shared" si="46"/>
        <v>921</v>
      </c>
      <c r="BY423" s="5">
        <f t="shared" si="45"/>
        <v>-0.62106406080347454</v>
      </c>
      <c r="BZ423" s="6">
        <f t="shared" si="44"/>
        <v>-0.62106406080347454</v>
      </c>
      <c r="CA423" s="7">
        <v>43443</v>
      </c>
      <c r="CE423">
        <v>110</v>
      </c>
      <c r="CF423">
        <v>97</v>
      </c>
      <c r="CG423">
        <v>82</v>
      </c>
      <c r="CH423">
        <v>60</v>
      </c>
      <c r="CI423">
        <f t="shared" si="42"/>
        <v>2018</v>
      </c>
      <c r="CJ423" t="str">
        <f t="shared" si="43"/>
        <v>5615_2018</v>
      </c>
    </row>
    <row r="424" spans="1:88" x14ac:dyDescent="0.25">
      <c r="A424" t="s">
        <v>111</v>
      </c>
      <c r="B424" t="s">
        <v>193</v>
      </c>
      <c r="C424">
        <v>5615</v>
      </c>
      <c r="D424">
        <v>-37.834000000000003</v>
      </c>
      <c r="E424">
        <v>145.00460000000001</v>
      </c>
      <c r="F424">
        <v>2</v>
      </c>
      <c r="G424" t="s">
        <v>194</v>
      </c>
      <c r="H424">
        <v>233</v>
      </c>
      <c r="I424">
        <v>53</v>
      </c>
      <c r="J424">
        <v>358</v>
      </c>
      <c r="K424">
        <v>178</v>
      </c>
      <c r="T424">
        <v>394</v>
      </c>
      <c r="Y424">
        <v>288</v>
      </c>
      <c r="AX424">
        <v>394</v>
      </c>
      <c r="AY424">
        <v>288</v>
      </c>
      <c r="AZ424">
        <v>682</v>
      </c>
      <c r="BA424">
        <v>288</v>
      </c>
      <c r="BB424">
        <v>394</v>
      </c>
      <c r="BC424">
        <v>682</v>
      </c>
      <c r="BP424">
        <v>193</v>
      </c>
      <c r="BR424">
        <v>300</v>
      </c>
      <c r="BS424">
        <v>144</v>
      </c>
      <c r="BT424">
        <v>33</v>
      </c>
      <c r="BV424">
        <v>12</v>
      </c>
      <c r="BW424">
        <v>682</v>
      </c>
      <c r="BX424">
        <f t="shared" si="46"/>
        <v>349</v>
      </c>
      <c r="BY424" s="5">
        <f t="shared" si="45"/>
        <v>0.95415472779369626</v>
      </c>
      <c r="BZ424" s="6">
        <f t="shared" si="44"/>
        <v>0.95415472779369626</v>
      </c>
      <c r="CA424" s="7">
        <v>43779</v>
      </c>
      <c r="CE424">
        <v>196</v>
      </c>
      <c r="CF424">
        <v>171</v>
      </c>
      <c r="CG424">
        <v>166</v>
      </c>
      <c r="CH424">
        <v>149</v>
      </c>
      <c r="CI424">
        <f t="shared" si="42"/>
        <v>2019</v>
      </c>
      <c r="CJ424" t="str">
        <f t="shared" si="43"/>
        <v>5615_2019</v>
      </c>
    </row>
    <row r="425" spans="1:88" x14ac:dyDescent="0.25">
      <c r="A425" t="s">
        <v>111</v>
      </c>
      <c r="B425" t="s">
        <v>193</v>
      </c>
      <c r="C425">
        <v>5615</v>
      </c>
      <c r="D425">
        <v>-37.834007999999997</v>
      </c>
      <c r="E425">
        <v>145.00463099999999</v>
      </c>
      <c r="F425">
        <v>2</v>
      </c>
      <c r="G425" t="s">
        <v>194</v>
      </c>
      <c r="H425">
        <v>233</v>
      </c>
      <c r="I425">
        <v>53</v>
      </c>
      <c r="J425">
        <v>358</v>
      </c>
      <c r="K425">
        <v>178</v>
      </c>
      <c r="T425">
        <v>198</v>
      </c>
      <c r="Y425">
        <v>147</v>
      </c>
      <c r="AX425">
        <v>198</v>
      </c>
      <c r="AY425">
        <v>147</v>
      </c>
      <c r="AZ425">
        <v>345</v>
      </c>
      <c r="BA425">
        <v>147</v>
      </c>
      <c r="BB425">
        <v>198</v>
      </c>
      <c r="BC425">
        <v>345</v>
      </c>
      <c r="BP425">
        <v>90</v>
      </c>
      <c r="BR425">
        <v>104</v>
      </c>
      <c r="BS425">
        <v>92</v>
      </c>
      <c r="BT425">
        <v>48</v>
      </c>
      <c r="BU425">
        <v>11</v>
      </c>
      <c r="BV425">
        <v>0</v>
      </c>
      <c r="BW425">
        <v>345</v>
      </c>
      <c r="BX425" t="str">
        <f t="shared" si="46"/>
        <v>no data</v>
      </c>
      <c r="BY425" s="5"/>
      <c r="BZ425" s="6"/>
      <c r="CA425" s="7">
        <v>44878</v>
      </c>
      <c r="CE425">
        <v>118</v>
      </c>
      <c r="CF425">
        <v>112</v>
      </c>
      <c r="CG425">
        <v>115</v>
      </c>
      <c r="CI425">
        <f t="shared" si="42"/>
        <v>2022</v>
      </c>
      <c r="CJ425" t="str">
        <f t="shared" si="43"/>
        <v>5615_2022</v>
      </c>
    </row>
    <row r="426" spans="1:88" x14ac:dyDescent="0.25">
      <c r="A426" t="s">
        <v>111</v>
      </c>
      <c r="B426" t="s">
        <v>186</v>
      </c>
      <c r="C426">
        <v>5616</v>
      </c>
      <c r="D426">
        <v>-37.830424000000001</v>
      </c>
      <c r="E426">
        <v>145.014128</v>
      </c>
      <c r="F426">
        <v>3</v>
      </c>
      <c r="G426" t="s">
        <v>195</v>
      </c>
      <c r="H426">
        <v>125</v>
      </c>
      <c r="I426">
        <v>305</v>
      </c>
      <c r="J426">
        <v>277</v>
      </c>
      <c r="K426">
        <v>97</v>
      </c>
      <c r="L426">
        <v>319</v>
      </c>
      <c r="M426">
        <v>139</v>
      </c>
      <c r="T426">
        <v>214</v>
      </c>
      <c r="U426">
        <v>72</v>
      </c>
      <c r="Y426">
        <v>139</v>
      </c>
      <c r="Z426">
        <v>24</v>
      </c>
      <c r="AD426">
        <v>74</v>
      </c>
      <c r="AE426">
        <v>16</v>
      </c>
      <c r="AX426">
        <v>286</v>
      </c>
      <c r="AY426">
        <v>213</v>
      </c>
      <c r="AZ426">
        <v>499</v>
      </c>
      <c r="BA426">
        <v>163</v>
      </c>
      <c r="BB426">
        <v>230</v>
      </c>
      <c r="BC426">
        <v>393</v>
      </c>
      <c r="BD426">
        <v>90</v>
      </c>
      <c r="BE426">
        <v>96</v>
      </c>
      <c r="BF426">
        <v>186</v>
      </c>
      <c r="BP426">
        <v>256</v>
      </c>
      <c r="BR426">
        <v>91</v>
      </c>
      <c r="BS426">
        <v>174</v>
      </c>
      <c r="BT426">
        <v>13</v>
      </c>
      <c r="BV426">
        <v>5</v>
      </c>
      <c r="BW426">
        <v>539</v>
      </c>
      <c r="BX426" t="s">
        <v>82</v>
      </c>
      <c r="BY426" s="5"/>
      <c r="BZ426" s="6"/>
      <c r="CA426" s="7">
        <v>42687</v>
      </c>
      <c r="CE426">
        <v>132</v>
      </c>
      <c r="CF426">
        <v>142</v>
      </c>
      <c r="CG426">
        <v>131</v>
      </c>
      <c r="CH426">
        <v>134</v>
      </c>
      <c r="CI426">
        <f t="shared" si="42"/>
        <v>2016</v>
      </c>
      <c r="CJ426" t="str">
        <f t="shared" si="43"/>
        <v>5616_2016</v>
      </c>
    </row>
    <row r="427" spans="1:88" x14ac:dyDescent="0.25">
      <c r="A427" t="s">
        <v>111</v>
      </c>
      <c r="B427" t="s">
        <v>186</v>
      </c>
      <c r="C427">
        <v>5616</v>
      </c>
      <c r="D427">
        <v>-37.830424000000001</v>
      </c>
      <c r="E427">
        <v>145.014128</v>
      </c>
      <c r="F427">
        <v>3</v>
      </c>
      <c r="G427" t="s">
        <v>195</v>
      </c>
      <c r="H427">
        <v>125</v>
      </c>
      <c r="I427">
        <v>305</v>
      </c>
      <c r="J427">
        <v>277</v>
      </c>
      <c r="K427">
        <v>97</v>
      </c>
      <c r="L427">
        <v>319</v>
      </c>
      <c r="M427">
        <v>139</v>
      </c>
      <c r="T427">
        <v>480</v>
      </c>
      <c r="U427">
        <v>233</v>
      </c>
      <c r="Y427">
        <v>374</v>
      </c>
      <c r="Z427">
        <v>62</v>
      </c>
      <c r="AD427">
        <v>180</v>
      </c>
      <c r="AE427">
        <v>56</v>
      </c>
      <c r="AX427">
        <v>713</v>
      </c>
      <c r="AY427">
        <v>554</v>
      </c>
      <c r="AZ427">
        <v>1267</v>
      </c>
      <c r="BA427">
        <v>436</v>
      </c>
      <c r="BB427">
        <v>536</v>
      </c>
      <c r="BC427">
        <v>972</v>
      </c>
      <c r="BD427">
        <v>236</v>
      </c>
      <c r="BE427">
        <v>295</v>
      </c>
      <c r="BF427">
        <v>531</v>
      </c>
      <c r="BP427">
        <v>1047</v>
      </c>
      <c r="BR427">
        <v>143</v>
      </c>
      <c r="BS427">
        <v>159</v>
      </c>
      <c r="BT427">
        <v>16</v>
      </c>
      <c r="BV427">
        <v>20</v>
      </c>
      <c r="BW427">
        <v>1385</v>
      </c>
      <c r="BX427">
        <f>IF(C427=C426,IF((CI427-1)=CI426,BW426,"no data"))</f>
        <v>539</v>
      </c>
      <c r="BY427" s="5">
        <f t="shared" si="45"/>
        <v>1.5695732838589982</v>
      </c>
      <c r="BZ427" s="6">
        <f t="shared" si="44"/>
        <v>1.5695732838589982</v>
      </c>
      <c r="CA427" s="7">
        <v>43051</v>
      </c>
      <c r="CE427">
        <v>318</v>
      </c>
      <c r="CF427">
        <v>328</v>
      </c>
      <c r="CG427">
        <v>386</v>
      </c>
      <c r="CH427">
        <v>353</v>
      </c>
      <c r="CI427">
        <f t="shared" si="42"/>
        <v>2017</v>
      </c>
      <c r="CJ427" t="str">
        <f t="shared" si="43"/>
        <v>5616_2017</v>
      </c>
    </row>
    <row r="428" spans="1:88" x14ac:dyDescent="0.25">
      <c r="A428" t="s">
        <v>111</v>
      </c>
      <c r="B428" t="s">
        <v>186</v>
      </c>
      <c r="C428">
        <v>5616</v>
      </c>
      <c r="D428">
        <v>-37.830424000000001</v>
      </c>
      <c r="E428">
        <v>145.014128</v>
      </c>
      <c r="F428">
        <v>3</v>
      </c>
      <c r="G428" t="s">
        <v>195</v>
      </c>
      <c r="H428">
        <v>125</v>
      </c>
      <c r="I428">
        <v>305</v>
      </c>
      <c r="J428">
        <v>277</v>
      </c>
      <c r="K428">
        <v>97</v>
      </c>
      <c r="L428">
        <v>319</v>
      </c>
      <c r="M428">
        <v>139</v>
      </c>
      <c r="T428">
        <v>663</v>
      </c>
      <c r="U428">
        <v>140</v>
      </c>
      <c r="Y428">
        <v>502</v>
      </c>
      <c r="Z428">
        <v>23</v>
      </c>
      <c r="AD428">
        <v>188</v>
      </c>
      <c r="AE428">
        <v>38</v>
      </c>
      <c r="AX428">
        <v>803</v>
      </c>
      <c r="AY428">
        <v>690</v>
      </c>
      <c r="AZ428">
        <v>1493</v>
      </c>
      <c r="BA428">
        <v>525</v>
      </c>
      <c r="BB428">
        <v>701</v>
      </c>
      <c r="BC428">
        <v>1226</v>
      </c>
      <c r="BD428">
        <v>226</v>
      </c>
      <c r="BE428">
        <v>163</v>
      </c>
      <c r="BF428">
        <v>389</v>
      </c>
      <c r="BP428">
        <v>1124</v>
      </c>
      <c r="BR428">
        <v>145</v>
      </c>
      <c r="BS428">
        <v>260</v>
      </c>
      <c r="BT428">
        <v>19</v>
      </c>
      <c r="BV428">
        <v>6</v>
      </c>
      <c r="BW428">
        <v>1554</v>
      </c>
      <c r="BX428">
        <f>IF(C428=C427,IF((CI428-1)=CI427,BW427,"no data"))</f>
        <v>1385</v>
      </c>
      <c r="BY428" s="5">
        <f t="shared" si="45"/>
        <v>0.12202166064981949</v>
      </c>
      <c r="BZ428" s="6">
        <f t="shared" si="44"/>
        <v>0.12202166064981949</v>
      </c>
      <c r="CA428" s="7">
        <v>43415</v>
      </c>
      <c r="CE428">
        <v>395</v>
      </c>
      <c r="CF428">
        <v>399</v>
      </c>
      <c r="CG428">
        <v>381</v>
      </c>
      <c r="CH428">
        <v>379</v>
      </c>
      <c r="CI428">
        <f t="shared" si="42"/>
        <v>2018</v>
      </c>
      <c r="CJ428" t="str">
        <f t="shared" si="43"/>
        <v>5616_2018</v>
      </c>
    </row>
    <row r="429" spans="1:88" x14ac:dyDescent="0.25">
      <c r="A429" t="s">
        <v>111</v>
      </c>
      <c r="B429" t="s">
        <v>186</v>
      </c>
      <c r="C429">
        <v>5616</v>
      </c>
      <c r="D429">
        <v>-37.830399999999997</v>
      </c>
      <c r="E429">
        <v>145.01410000000001</v>
      </c>
      <c r="F429">
        <v>3</v>
      </c>
      <c r="G429" t="s">
        <v>195</v>
      </c>
      <c r="H429">
        <v>125</v>
      </c>
      <c r="I429">
        <v>305</v>
      </c>
      <c r="J429">
        <v>277</v>
      </c>
      <c r="K429">
        <v>97</v>
      </c>
      <c r="L429">
        <v>319</v>
      </c>
      <c r="M429">
        <v>139</v>
      </c>
      <c r="T429">
        <v>828</v>
      </c>
      <c r="U429">
        <v>332</v>
      </c>
      <c r="Y429">
        <v>800</v>
      </c>
      <c r="Z429">
        <v>242</v>
      </c>
      <c r="AD429">
        <v>419</v>
      </c>
      <c r="AE429">
        <v>211</v>
      </c>
      <c r="AX429">
        <v>1160</v>
      </c>
      <c r="AY429">
        <v>1219</v>
      </c>
      <c r="AZ429">
        <v>2379</v>
      </c>
      <c r="BA429">
        <v>1042</v>
      </c>
      <c r="BB429">
        <v>1039</v>
      </c>
      <c r="BC429">
        <v>2081</v>
      </c>
      <c r="BD429">
        <v>630</v>
      </c>
      <c r="BE429">
        <v>574</v>
      </c>
      <c r="BF429">
        <v>1204</v>
      </c>
      <c r="BP429">
        <v>1674</v>
      </c>
      <c r="BR429">
        <v>585</v>
      </c>
      <c r="BS429">
        <v>481</v>
      </c>
      <c r="BT429">
        <v>62</v>
      </c>
      <c r="BV429">
        <v>30</v>
      </c>
      <c r="BW429">
        <v>2832</v>
      </c>
      <c r="BX429" t="str">
        <f>IF(C429=C428,IF((CI429-1)=CI428,BW428,"no data"))</f>
        <v>no data</v>
      </c>
      <c r="BY429" s="5"/>
      <c r="BZ429" s="6"/>
      <c r="CA429" s="7">
        <v>44143</v>
      </c>
      <c r="CE429">
        <v>523</v>
      </c>
      <c r="CF429">
        <v>482</v>
      </c>
      <c r="CG429">
        <v>1232</v>
      </c>
      <c r="CH429">
        <v>595</v>
      </c>
      <c r="CI429">
        <f t="shared" si="42"/>
        <v>2020</v>
      </c>
      <c r="CJ429" t="str">
        <f t="shared" si="43"/>
        <v>5616_2020</v>
      </c>
    </row>
    <row r="430" spans="1:88" x14ac:dyDescent="0.25">
      <c r="A430" t="s">
        <v>111</v>
      </c>
      <c r="B430" t="s">
        <v>186</v>
      </c>
      <c r="C430">
        <v>5616</v>
      </c>
      <c r="D430">
        <v>-37.830424000000001</v>
      </c>
      <c r="E430">
        <v>145.014128</v>
      </c>
      <c r="F430">
        <v>3</v>
      </c>
      <c r="G430" t="s">
        <v>195</v>
      </c>
      <c r="H430">
        <v>125</v>
      </c>
      <c r="I430">
        <v>305</v>
      </c>
      <c r="J430">
        <v>277</v>
      </c>
      <c r="K430">
        <v>97</v>
      </c>
      <c r="L430">
        <v>319</v>
      </c>
      <c r="M430">
        <v>139</v>
      </c>
      <c r="T430">
        <v>369</v>
      </c>
      <c r="U430">
        <v>91</v>
      </c>
      <c r="Y430">
        <v>267</v>
      </c>
      <c r="Z430">
        <v>27</v>
      </c>
      <c r="AD430">
        <v>166</v>
      </c>
      <c r="AE430">
        <v>16</v>
      </c>
      <c r="AX430">
        <v>460</v>
      </c>
      <c r="AY430">
        <v>433</v>
      </c>
      <c r="AZ430">
        <v>893</v>
      </c>
      <c r="BA430">
        <v>294</v>
      </c>
      <c r="BB430">
        <v>385</v>
      </c>
      <c r="BC430">
        <v>679</v>
      </c>
      <c r="BD430">
        <v>182</v>
      </c>
      <c r="BE430">
        <v>118</v>
      </c>
      <c r="BF430">
        <v>300</v>
      </c>
      <c r="BP430">
        <v>470</v>
      </c>
      <c r="BR430">
        <v>110</v>
      </c>
      <c r="BS430">
        <v>327</v>
      </c>
      <c r="BT430">
        <v>21</v>
      </c>
      <c r="BU430">
        <v>8</v>
      </c>
      <c r="BV430">
        <v>0</v>
      </c>
      <c r="BW430">
        <v>936</v>
      </c>
      <c r="BX430" t="str">
        <f>IF(C430=C429,IF((CI430-1)=CI429,BW429,"no data"))</f>
        <v>no data</v>
      </c>
      <c r="BY430" s="5"/>
      <c r="BZ430" s="6"/>
      <c r="CA430" s="7">
        <v>44878</v>
      </c>
      <c r="CE430">
        <v>309</v>
      </c>
      <c r="CF430">
        <v>340</v>
      </c>
      <c r="CG430">
        <v>287</v>
      </c>
      <c r="CI430">
        <f t="shared" si="42"/>
        <v>2022</v>
      </c>
      <c r="CJ430" t="str">
        <f t="shared" si="43"/>
        <v>5616_2022</v>
      </c>
    </row>
    <row r="431" spans="1:88" x14ac:dyDescent="0.25">
      <c r="A431" t="s">
        <v>111</v>
      </c>
      <c r="B431" t="s">
        <v>196</v>
      </c>
      <c r="C431">
        <v>5617</v>
      </c>
      <c r="D431">
        <v>-37.834009999999999</v>
      </c>
      <c r="E431">
        <v>145.02362600000001</v>
      </c>
      <c r="F431">
        <v>3</v>
      </c>
      <c r="G431" t="s">
        <v>197</v>
      </c>
      <c r="H431">
        <v>80</v>
      </c>
      <c r="I431">
        <v>260</v>
      </c>
      <c r="J431">
        <v>130</v>
      </c>
      <c r="K431">
        <v>310</v>
      </c>
      <c r="L431">
        <v>327</v>
      </c>
      <c r="M431">
        <v>147</v>
      </c>
      <c r="T431">
        <v>39</v>
      </c>
      <c r="U431">
        <v>100</v>
      </c>
      <c r="Y431">
        <v>38</v>
      </c>
      <c r="Z431">
        <v>122</v>
      </c>
      <c r="AD431">
        <v>145</v>
      </c>
      <c r="AE431">
        <v>180</v>
      </c>
      <c r="AX431">
        <v>139</v>
      </c>
      <c r="AY431">
        <v>183</v>
      </c>
      <c r="AZ431">
        <v>322</v>
      </c>
      <c r="BA431">
        <v>160</v>
      </c>
      <c r="BB431">
        <v>219</v>
      </c>
      <c r="BC431">
        <v>379</v>
      </c>
      <c r="BD431">
        <v>325</v>
      </c>
      <c r="BE431">
        <v>222</v>
      </c>
      <c r="BF431">
        <v>547</v>
      </c>
      <c r="BP431">
        <v>529</v>
      </c>
      <c r="BR431">
        <v>46</v>
      </c>
      <c r="BS431">
        <v>44</v>
      </c>
      <c r="BT431">
        <v>3</v>
      </c>
      <c r="BV431">
        <v>2</v>
      </c>
      <c r="BW431">
        <v>624</v>
      </c>
      <c r="BX431" t="s">
        <v>82</v>
      </c>
      <c r="BY431" s="5"/>
      <c r="BZ431" s="6"/>
      <c r="CA431" s="7">
        <v>40853</v>
      </c>
      <c r="CI431">
        <f t="shared" si="42"/>
        <v>2011</v>
      </c>
      <c r="CJ431" t="str">
        <f t="shared" si="43"/>
        <v>5617_2011</v>
      </c>
    </row>
    <row r="432" spans="1:88" x14ac:dyDescent="0.25">
      <c r="A432" t="s">
        <v>111</v>
      </c>
      <c r="B432" t="s">
        <v>196</v>
      </c>
      <c r="C432">
        <v>5617</v>
      </c>
      <c r="D432">
        <v>-37.834009999999999</v>
      </c>
      <c r="E432">
        <v>145.02362600000001</v>
      </c>
      <c r="F432">
        <v>3</v>
      </c>
      <c r="G432" t="s">
        <v>197</v>
      </c>
      <c r="H432">
        <v>80</v>
      </c>
      <c r="I432">
        <v>260</v>
      </c>
      <c r="J432">
        <v>130</v>
      </c>
      <c r="K432">
        <v>310</v>
      </c>
      <c r="L432">
        <v>327</v>
      </c>
      <c r="M432">
        <v>147</v>
      </c>
      <c r="T432">
        <v>422</v>
      </c>
      <c r="U432">
        <v>127</v>
      </c>
      <c r="Y432">
        <v>520</v>
      </c>
      <c r="Z432">
        <v>505</v>
      </c>
      <c r="AD432">
        <v>186</v>
      </c>
      <c r="AE432">
        <v>610</v>
      </c>
      <c r="AX432">
        <v>549</v>
      </c>
      <c r="AY432">
        <v>706</v>
      </c>
      <c r="AZ432">
        <v>1255</v>
      </c>
      <c r="BA432">
        <v>1025</v>
      </c>
      <c r="BB432">
        <v>1032</v>
      </c>
      <c r="BC432">
        <v>2057</v>
      </c>
      <c r="BD432">
        <v>796</v>
      </c>
      <c r="BE432">
        <v>632</v>
      </c>
      <c r="BF432">
        <v>1428</v>
      </c>
      <c r="BP432">
        <v>2004</v>
      </c>
      <c r="BR432">
        <v>163</v>
      </c>
      <c r="BS432">
        <v>168</v>
      </c>
      <c r="BT432">
        <v>29</v>
      </c>
      <c r="BV432">
        <v>6</v>
      </c>
      <c r="BW432">
        <v>2370</v>
      </c>
      <c r="BX432">
        <f t="shared" ref="BX432:BX441" si="47">IF(C432=C431,IF((CI432-1)=CI431,BW431,"no data"))</f>
        <v>624</v>
      </c>
      <c r="BY432" s="5">
        <f t="shared" si="45"/>
        <v>2.7980769230769229</v>
      </c>
      <c r="BZ432" s="6">
        <f t="shared" si="44"/>
        <v>2.7980769230769229</v>
      </c>
      <c r="CA432" s="7">
        <v>41224</v>
      </c>
      <c r="CI432">
        <f t="shared" si="42"/>
        <v>2012</v>
      </c>
      <c r="CJ432" t="str">
        <f t="shared" si="43"/>
        <v>5617_2012</v>
      </c>
    </row>
    <row r="433" spans="1:88" x14ac:dyDescent="0.25">
      <c r="A433" t="s">
        <v>111</v>
      </c>
      <c r="B433" t="s">
        <v>196</v>
      </c>
      <c r="C433">
        <v>5617</v>
      </c>
      <c r="D433">
        <v>-37.834009999999999</v>
      </c>
      <c r="E433">
        <v>145.02362600000001</v>
      </c>
      <c r="F433">
        <v>3</v>
      </c>
      <c r="G433" t="s">
        <v>197</v>
      </c>
      <c r="H433">
        <v>80</v>
      </c>
      <c r="I433">
        <v>260</v>
      </c>
      <c r="J433">
        <v>130</v>
      </c>
      <c r="K433">
        <v>310</v>
      </c>
      <c r="L433">
        <v>327</v>
      </c>
      <c r="M433">
        <v>147</v>
      </c>
      <c r="T433">
        <v>205</v>
      </c>
      <c r="U433">
        <v>431</v>
      </c>
      <c r="Y433">
        <v>147</v>
      </c>
      <c r="Z433">
        <v>381</v>
      </c>
      <c r="AD433">
        <v>338</v>
      </c>
      <c r="AE433">
        <v>404</v>
      </c>
      <c r="AX433">
        <v>636</v>
      </c>
      <c r="AY433">
        <v>485</v>
      </c>
      <c r="AZ433">
        <v>1121</v>
      </c>
      <c r="BA433">
        <v>528</v>
      </c>
      <c r="BB433">
        <v>609</v>
      </c>
      <c r="BC433">
        <v>1137</v>
      </c>
      <c r="BD433">
        <v>742</v>
      </c>
      <c r="BE433">
        <v>812</v>
      </c>
      <c r="BF433">
        <v>1554</v>
      </c>
      <c r="BP433">
        <v>1462</v>
      </c>
      <c r="BR433">
        <v>134</v>
      </c>
      <c r="BS433">
        <v>273</v>
      </c>
      <c r="BT433">
        <v>34</v>
      </c>
      <c r="BV433">
        <v>3</v>
      </c>
      <c r="BW433">
        <v>1906</v>
      </c>
      <c r="BX433">
        <f t="shared" si="47"/>
        <v>2370</v>
      </c>
      <c r="BY433" s="5">
        <f t="shared" si="45"/>
        <v>-0.19578059071729959</v>
      </c>
      <c r="BZ433" s="6">
        <f t="shared" si="44"/>
        <v>-0.19578059071729959</v>
      </c>
      <c r="CA433" s="7">
        <v>41588</v>
      </c>
      <c r="CI433">
        <f t="shared" si="42"/>
        <v>2013</v>
      </c>
      <c r="CJ433" t="str">
        <f t="shared" si="43"/>
        <v>5617_2013</v>
      </c>
    </row>
    <row r="434" spans="1:88" x14ac:dyDescent="0.25">
      <c r="A434" t="s">
        <v>111</v>
      </c>
      <c r="B434" t="s">
        <v>196</v>
      </c>
      <c r="C434">
        <v>5617</v>
      </c>
      <c r="D434">
        <v>-37.834009999999999</v>
      </c>
      <c r="E434">
        <v>145.02362600000001</v>
      </c>
      <c r="F434">
        <v>3</v>
      </c>
      <c r="G434" t="s">
        <v>197</v>
      </c>
      <c r="H434">
        <v>80</v>
      </c>
      <c r="I434">
        <v>260</v>
      </c>
      <c r="J434">
        <v>130</v>
      </c>
      <c r="K434">
        <v>310</v>
      </c>
      <c r="L434">
        <v>327</v>
      </c>
      <c r="M434">
        <v>147</v>
      </c>
      <c r="T434">
        <v>87</v>
      </c>
      <c r="U434">
        <v>931</v>
      </c>
      <c r="Y434">
        <v>73</v>
      </c>
      <c r="Z434">
        <v>210</v>
      </c>
      <c r="AD434">
        <v>531</v>
      </c>
      <c r="AE434">
        <v>362</v>
      </c>
      <c r="AX434">
        <v>1018</v>
      </c>
      <c r="AY434">
        <v>604</v>
      </c>
      <c r="AZ434">
        <v>1622</v>
      </c>
      <c r="BA434">
        <v>283</v>
      </c>
      <c r="BB434">
        <v>449</v>
      </c>
      <c r="BC434">
        <v>732</v>
      </c>
      <c r="BD434">
        <v>893</v>
      </c>
      <c r="BE434">
        <v>1141</v>
      </c>
      <c r="BF434">
        <v>2034</v>
      </c>
      <c r="BP434">
        <v>1503</v>
      </c>
      <c r="BR434">
        <v>685</v>
      </c>
      <c r="BS434">
        <v>0</v>
      </c>
      <c r="BT434">
        <v>6</v>
      </c>
      <c r="BV434">
        <v>0</v>
      </c>
      <c r="BW434">
        <v>2194</v>
      </c>
      <c r="BX434">
        <f t="shared" si="47"/>
        <v>1906</v>
      </c>
      <c r="BY434" s="5">
        <f t="shared" si="45"/>
        <v>0.15110178384050368</v>
      </c>
      <c r="BZ434" s="6">
        <f t="shared" si="44"/>
        <v>0.15110178384050368</v>
      </c>
      <c r="CA434" s="7">
        <v>41952</v>
      </c>
      <c r="CI434">
        <f t="shared" si="42"/>
        <v>2014</v>
      </c>
      <c r="CJ434" t="str">
        <f t="shared" si="43"/>
        <v>5617_2014</v>
      </c>
    </row>
    <row r="435" spans="1:88" x14ac:dyDescent="0.25">
      <c r="A435" t="s">
        <v>111</v>
      </c>
      <c r="B435" t="s">
        <v>196</v>
      </c>
      <c r="C435">
        <v>5617</v>
      </c>
      <c r="D435">
        <v>-37.834009999999999</v>
      </c>
      <c r="E435">
        <v>145.02362600000001</v>
      </c>
      <c r="F435">
        <v>3</v>
      </c>
      <c r="G435" t="s">
        <v>197</v>
      </c>
      <c r="H435">
        <v>80</v>
      </c>
      <c r="I435">
        <v>260</v>
      </c>
      <c r="J435">
        <v>130</v>
      </c>
      <c r="K435">
        <v>310</v>
      </c>
      <c r="L435">
        <v>327</v>
      </c>
      <c r="M435">
        <v>147</v>
      </c>
      <c r="T435">
        <v>161</v>
      </c>
      <c r="U435">
        <v>545</v>
      </c>
      <c r="Y435">
        <v>239</v>
      </c>
      <c r="Z435">
        <v>558</v>
      </c>
      <c r="AD435">
        <v>441</v>
      </c>
      <c r="AE435">
        <v>426</v>
      </c>
      <c r="AX435">
        <v>706</v>
      </c>
      <c r="AY435">
        <v>680</v>
      </c>
      <c r="AZ435">
        <v>1386</v>
      </c>
      <c r="BA435">
        <v>797</v>
      </c>
      <c r="BB435">
        <v>587</v>
      </c>
      <c r="BC435">
        <v>1384</v>
      </c>
      <c r="BD435">
        <v>867</v>
      </c>
      <c r="BE435">
        <v>1103</v>
      </c>
      <c r="BF435">
        <v>1970</v>
      </c>
      <c r="BP435">
        <v>1893</v>
      </c>
      <c r="BR435">
        <v>202</v>
      </c>
      <c r="BS435">
        <v>260</v>
      </c>
      <c r="BT435">
        <v>9</v>
      </c>
      <c r="BV435">
        <v>6</v>
      </c>
      <c r="BW435">
        <v>2370</v>
      </c>
      <c r="BX435">
        <f t="shared" si="47"/>
        <v>2194</v>
      </c>
      <c r="BY435" s="5">
        <f t="shared" si="45"/>
        <v>8.0218778486782133E-2</v>
      </c>
      <c r="BZ435" s="6">
        <f t="shared" si="44"/>
        <v>8.0218778486782133E-2</v>
      </c>
      <c r="CA435" s="7">
        <v>42316</v>
      </c>
      <c r="CE435">
        <v>630</v>
      </c>
      <c r="CF435">
        <v>631</v>
      </c>
      <c r="CG435">
        <v>635</v>
      </c>
      <c r="CH435">
        <v>474</v>
      </c>
      <c r="CI435">
        <f t="shared" si="42"/>
        <v>2015</v>
      </c>
      <c r="CJ435" t="str">
        <f t="shared" si="43"/>
        <v>5617_2015</v>
      </c>
    </row>
    <row r="436" spans="1:88" x14ac:dyDescent="0.25">
      <c r="A436" t="s">
        <v>111</v>
      </c>
      <c r="B436" t="s">
        <v>196</v>
      </c>
      <c r="C436">
        <v>5617</v>
      </c>
      <c r="D436">
        <v>-37.834009999999999</v>
      </c>
      <c r="E436">
        <v>145.02362600000001</v>
      </c>
      <c r="F436">
        <v>3</v>
      </c>
      <c r="G436" t="s">
        <v>197</v>
      </c>
      <c r="H436">
        <v>80</v>
      </c>
      <c r="I436">
        <v>260</v>
      </c>
      <c r="J436">
        <v>130</v>
      </c>
      <c r="K436">
        <v>310</v>
      </c>
      <c r="L436">
        <v>327</v>
      </c>
      <c r="M436">
        <v>147</v>
      </c>
      <c r="T436">
        <v>62</v>
      </c>
      <c r="U436">
        <v>145</v>
      </c>
      <c r="Y436">
        <v>72</v>
      </c>
      <c r="Z436">
        <v>157</v>
      </c>
      <c r="AD436">
        <v>117</v>
      </c>
      <c r="AE436">
        <v>109</v>
      </c>
      <c r="AX436">
        <v>207</v>
      </c>
      <c r="AY436">
        <v>189</v>
      </c>
      <c r="AZ436">
        <v>396</v>
      </c>
      <c r="BA436">
        <v>229</v>
      </c>
      <c r="BB436">
        <v>171</v>
      </c>
      <c r="BC436">
        <v>400</v>
      </c>
      <c r="BD436">
        <v>226</v>
      </c>
      <c r="BE436">
        <v>302</v>
      </c>
      <c r="BF436">
        <v>528</v>
      </c>
      <c r="BP436">
        <v>303</v>
      </c>
      <c r="BR436">
        <v>129</v>
      </c>
      <c r="BS436">
        <v>209</v>
      </c>
      <c r="BT436">
        <v>15</v>
      </c>
      <c r="BV436">
        <v>6</v>
      </c>
      <c r="BW436">
        <v>662</v>
      </c>
      <c r="BX436">
        <f t="shared" si="47"/>
        <v>2370</v>
      </c>
      <c r="BY436" s="5">
        <f t="shared" si="45"/>
        <v>-0.72067510548523206</v>
      </c>
      <c r="BZ436" s="6">
        <f t="shared" si="44"/>
        <v>-0.72067510548523206</v>
      </c>
      <c r="CA436" s="7">
        <v>42687</v>
      </c>
      <c r="CE436">
        <v>174</v>
      </c>
      <c r="CF436">
        <v>173</v>
      </c>
      <c r="CG436">
        <v>150</v>
      </c>
      <c r="CH436">
        <v>165</v>
      </c>
      <c r="CI436">
        <f t="shared" si="42"/>
        <v>2016</v>
      </c>
      <c r="CJ436" t="str">
        <f t="shared" si="43"/>
        <v>5617_2016</v>
      </c>
    </row>
    <row r="437" spans="1:88" x14ac:dyDescent="0.25">
      <c r="A437" t="s">
        <v>111</v>
      </c>
      <c r="B437" t="s">
        <v>196</v>
      </c>
      <c r="C437">
        <v>5617</v>
      </c>
      <c r="D437">
        <v>-37.834009999999999</v>
      </c>
      <c r="E437">
        <v>145.02362600000001</v>
      </c>
      <c r="F437">
        <v>3</v>
      </c>
      <c r="G437" t="s">
        <v>197</v>
      </c>
      <c r="H437">
        <v>80</v>
      </c>
      <c r="I437">
        <v>260</v>
      </c>
      <c r="J437">
        <v>130</v>
      </c>
      <c r="K437">
        <v>310</v>
      </c>
      <c r="L437">
        <v>327</v>
      </c>
      <c r="M437">
        <v>147</v>
      </c>
      <c r="T437">
        <v>153</v>
      </c>
      <c r="U437">
        <v>353</v>
      </c>
      <c r="Y437">
        <v>101</v>
      </c>
      <c r="Z437">
        <v>445</v>
      </c>
      <c r="AD437">
        <v>308</v>
      </c>
      <c r="AE437">
        <v>409</v>
      </c>
      <c r="AX437">
        <v>506</v>
      </c>
      <c r="AY437">
        <v>409</v>
      </c>
      <c r="AZ437">
        <v>915</v>
      </c>
      <c r="BA437">
        <v>546</v>
      </c>
      <c r="BB437">
        <v>562</v>
      </c>
      <c r="BC437">
        <v>1108</v>
      </c>
      <c r="BD437">
        <v>717</v>
      </c>
      <c r="BE437">
        <v>798</v>
      </c>
      <c r="BF437">
        <v>1515</v>
      </c>
      <c r="BP437">
        <v>1186</v>
      </c>
      <c r="BR437">
        <v>250</v>
      </c>
      <c r="BS437">
        <v>289</v>
      </c>
      <c r="BT437">
        <v>38</v>
      </c>
      <c r="BV437">
        <v>6</v>
      </c>
      <c r="BW437">
        <v>1769</v>
      </c>
      <c r="BX437" t="str">
        <f t="shared" si="47"/>
        <v>no data</v>
      </c>
      <c r="BY437" s="5"/>
      <c r="BZ437" s="6"/>
      <c r="CA437" s="7">
        <v>43415</v>
      </c>
      <c r="CE437">
        <v>436</v>
      </c>
      <c r="CF437">
        <v>466</v>
      </c>
      <c r="CG437">
        <v>428</v>
      </c>
      <c r="CH437">
        <v>439</v>
      </c>
      <c r="CI437">
        <f t="shared" si="42"/>
        <v>2018</v>
      </c>
      <c r="CJ437" t="str">
        <f t="shared" si="43"/>
        <v>5617_2018</v>
      </c>
    </row>
    <row r="438" spans="1:88" x14ac:dyDescent="0.25">
      <c r="A438" t="s">
        <v>111</v>
      </c>
      <c r="B438" t="s">
        <v>196</v>
      </c>
      <c r="C438">
        <v>5617</v>
      </c>
      <c r="D438">
        <v>-37.834009999999999</v>
      </c>
      <c r="E438">
        <v>145.02362600000001</v>
      </c>
      <c r="F438">
        <v>3</v>
      </c>
      <c r="G438" t="s">
        <v>197</v>
      </c>
      <c r="H438">
        <v>80</v>
      </c>
      <c r="I438">
        <v>260</v>
      </c>
      <c r="J438">
        <v>130</v>
      </c>
      <c r="K438">
        <v>310</v>
      </c>
      <c r="L438">
        <v>327</v>
      </c>
      <c r="M438">
        <v>147</v>
      </c>
      <c r="T438">
        <v>135</v>
      </c>
      <c r="U438">
        <v>286</v>
      </c>
      <c r="Y438">
        <v>86</v>
      </c>
      <c r="Z438">
        <v>291</v>
      </c>
      <c r="AD438">
        <v>310</v>
      </c>
      <c r="AE438">
        <v>276</v>
      </c>
      <c r="AX438">
        <v>421</v>
      </c>
      <c r="AY438">
        <v>396</v>
      </c>
      <c r="AZ438">
        <v>817</v>
      </c>
      <c r="BA438">
        <v>377</v>
      </c>
      <c r="BB438">
        <v>411</v>
      </c>
      <c r="BC438">
        <v>788</v>
      </c>
      <c r="BD438">
        <v>586</v>
      </c>
      <c r="BE438">
        <v>577</v>
      </c>
      <c r="BF438">
        <v>1163</v>
      </c>
      <c r="BP438">
        <v>838</v>
      </c>
      <c r="BR438">
        <v>194</v>
      </c>
      <c r="BS438">
        <v>317</v>
      </c>
      <c r="BT438">
        <v>31</v>
      </c>
      <c r="BV438">
        <v>4</v>
      </c>
      <c r="BW438">
        <v>1384</v>
      </c>
      <c r="BX438">
        <f t="shared" si="47"/>
        <v>1769</v>
      </c>
      <c r="BY438" s="5">
        <f t="shared" si="45"/>
        <v>-0.21763708309779536</v>
      </c>
      <c r="BZ438" s="6">
        <f t="shared" si="44"/>
        <v>-0.21763708309779536</v>
      </c>
      <c r="CA438" s="7">
        <v>43779</v>
      </c>
      <c r="CE438">
        <v>345</v>
      </c>
      <c r="CF438">
        <v>387</v>
      </c>
      <c r="CG438">
        <v>345</v>
      </c>
      <c r="CH438">
        <v>307</v>
      </c>
      <c r="CI438">
        <f t="shared" si="42"/>
        <v>2019</v>
      </c>
      <c r="CJ438" t="str">
        <f t="shared" si="43"/>
        <v>5617_2019</v>
      </c>
    </row>
    <row r="439" spans="1:88" x14ac:dyDescent="0.25">
      <c r="A439" t="s">
        <v>111</v>
      </c>
      <c r="B439" t="s">
        <v>196</v>
      </c>
      <c r="C439">
        <v>5617</v>
      </c>
      <c r="D439">
        <v>-37.834000000000003</v>
      </c>
      <c r="E439">
        <v>145.02359999999999</v>
      </c>
      <c r="F439">
        <v>3</v>
      </c>
      <c r="G439" t="s">
        <v>197</v>
      </c>
      <c r="H439">
        <v>80</v>
      </c>
      <c r="I439">
        <v>260</v>
      </c>
      <c r="J439">
        <v>130</v>
      </c>
      <c r="K439">
        <v>310</v>
      </c>
      <c r="L439">
        <v>327</v>
      </c>
      <c r="M439">
        <v>147</v>
      </c>
      <c r="T439">
        <v>142</v>
      </c>
      <c r="U439">
        <v>357</v>
      </c>
      <c r="Y439">
        <v>160</v>
      </c>
      <c r="Z439">
        <v>135</v>
      </c>
      <c r="AD439">
        <v>303</v>
      </c>
      <c r="AE439">
        <v>205</v>
      </c>
      <c r="AX439">
        <v>499</v>
      </c>
      <c r="AY439">
        <v>463</v>
      </c>
      <c r="AZ439">
        <v>962</v>
      </c>
      <c r="BA439">
        <v>295</v>
      </c>
      <c r="BB439">
        <v>347</v>
      </c>
      <c r="BC439">
        <v>642</v>
      </c>
      <c r="BD439">
        <v>508</v>
      </c>
      <c r="BE439">
        <v>492</v>
      </c>
      <c r="BF439">
        <v>1000</v>
      </c>
      <c r="BP439">
        <v>1082</v>
      </c>
      <c r="BR439">
        <v>82</v>
      </c>
      <c r="BS439">
        <v>125</v>
      </c>
      <c r="BT439">
        <v>9</v>
      </c>
      <c r="BV439">
        <v>4</v>
      </c>
      <c r="BW439">
        <v>1302</v>
      </c>
      <c r="BX439">
        <f t="shared" si="47"/>
        <v>1384</v>
      </c>
      <c r="BY439" s="5">
        <f t="shared" si="45"/>
        <v>-5.9248554913294796E-2</v>
      </c>
      <c r="BZ439" s="6">
        <f t="shared" si="44"/>
        <v>-5.9248554913294796E-2</v>
      </c>
      <c r="CA439" s="7">
        <v>44143</v>
      </c>
      <c r="CE439">
        <v>372</v>
      </c>
      <c r="CF439">
        <v>310</v>
      </c>
      <c r="CG439">
        <v>369</v>
      </c>
      <c r="CH439">
        <v>251</v>
      </c>
      <c r="CI439">
        <f t="shared" si="42"/>
        <v>2020</v>
      </c>
      <c r="CJ439" t="str">
        <f t="shared" si="43"/>
        <v>5617_2020</v>
      </c>
    </row>
    <row r="440" spans="1:88" x14ac:dyDescent="0.25">
      <c r="A440" t="s">
        <v>111</v>
      </c>
      <c r="B440" t="s">
        <v>196</v>
      </c>
      <c r="C440">
        <v>5617</v>
      </c>
      <c r="D440">
        <v>-37.834009999999999</v>
      </c>
      <c r="E440">
        <v>145.02362600000001</v>
      </c>
      <c r="F440">
        <v>3</v>
      </c>
      <c r="G440" t="s">
        <v>197</v>
      </c>
      <c r="H440">
        <v>80</v>
      </c>
      <c r="I440">
        <v>260</v>
      </c>
      <c r="J440">
        <v>130</v>
      </c>
      <c r="K440">
        <v>310</v>
      </c>
      <c r="L440">
        <v>327</v>
      </c>
      <c r="M440">
        <v>147</v>
      </c>
      <c r="T440">
        <v>146</v>
      </c>
      <c r="U440">
        <v>497</v>
      </c>
      <c r="Y440">
        <v>96</v>
      </c>
      <c r="Z440">
        <v>409</v>
      </c>
      <c r="AD440">
        <v>505</v>
      </c>
      <c r="AE440">
        <v>246</v>
      </c>
      <c r="AX440">
        <v>643</v>
      </c>
      <c r="AY440">
        <v>601</v>
      </c>
      <c r="AZ440">
        <v>1244</v>
      </c>
      <c r="BA440">
        <v>505</v>
      </c>
      <c r="BB440">
        <v>392</v>
      </c>
      <c r="BC440">
        <v>897</v>
      </c>
      <c r="BD440">
        <v>751</v>
      </c>
      <c r="BE440">
        <v>906</v>
      </c>
      <c r="BF440">
        <v>1657</v>
      </c>
      <c r="BP440">
        <v>1268</v>
      </c>
      <c r="BR440">
        <v>181</v>
      </c>
      <c r="BS440">
        <v>420</v>
      </c>
      <c r="BT440">
        <v>25</v>
      </c>
      <c r="BV440">
        <v>5</v>
      </c>
      <c r="BW440">
        <v>1899</v>
      </c>
      <c r="BX440">
        <f t="shared" si="47"/>
        <v>1302</v>
      </c>
      <c r="BY440" s="5">
        <f t="shared" si="45"/>
        <v>0.45852534562211983</v>
      </c>
      <c r="BZ440" s="6">
        <f t="shared" si="44"/>
        <v>0.45852534562211983</v>
      </c>
      <c r="CA440" s="7">
        <v>44528</v>
      </c>
      <c r="CE440">
        <v>681</v>
      </c>
      <c r="CF440">
        <v>620</v>
      </c>
      <c r="CG440">
        <v>598</v>
      </c>
      <c r="CI440">
        <f t="shared" si="42"/>
        <v>2021</v>
      </c>
      <c r="CJ440" t="str">
        <f t="shared" si="43"/>
        <v>5617_2021</v>
      </c>
    </row>
    <row r="441" spans="1:88" x14ac:dyDescent="0.25">
      <c r="A441" t="s">
        <v>111</v>
      </c>
      <c r="B441" t="s">
        <v>196</v>
      </c>
      <c r="C441">
        <v>5617</v>
      </c>
      <c r="D441">
        <v>-37.834009999999999</v>
      </c>
      <c r="E441">
        <v>145.02362600000001</v>
      </c>
      <c r="F441">
        <v>3</v>
      </c>
      <c r="G441" t="s">
        <v>197</v>
      </c>
      <c r="H441">
        <v>80</v>
      </c>
      <c r="I441">
        <v>260</v>
      </c>
      <c r="J441">
        <v>130</v>
      </c>
      <c r="K441">
        <v>310</v>
      </c>
      <c r="L441">
        <v>327</v>
      </c>
      <c r="M441">
        <v>147</v>
      </c>
      <c r="T441">
        <v>106</v>
      </c>
      <c r="U441">
        <v>427</v>
      </c>
      <c r="Y441">
        <v>91</v>
      </c>
      <c r="Z441">
        <v>298</v>
      </c>
      <c r="AD441">
        <v>423</v>
      </c>
      <c r="AE441">
        <v>235</v>
      </c>
      <c r="AX441">
        <v>533</v>
      </c>
      <c r="AY441">
        <v>514</v>
      </c>
      <c r="AZ441">
        <v>1047</v>
      </c>
      <c r="BA441">
        <v>389</v>
      </c>
      <c r="BB441">
        <v>341</v>
      </c>
      <c r="BC441">
        <v>730</v>
      </c>
      <c r="BD441">
        <v>658</v>
      </c>
      <c r="BE441">
        <v>725</v>
      </c>
      <c r="BF441">
        <v>1383</v>
      </c>
      <c r="BP441">
        <v>955</v>
      </c>
      <c r="BR441">
        <v>201</v>
      </c>
      <c r="BS441">
        <v>387</v>
      </c>
      <c r="BT441">
        <v>23</v>
      </c>
      <c r="BU441">
        <v>10</v>
      </c>
      <c r="BV441">
        <v>4</v>
      </c>
      <c r="BW441">
        <v>1580</v>
      </c>
      <c r="BX441">
        <f t="shared" si="47"/>
        <v>1899</v>
      </c>
      <c r="BY441" s="5">
        <f t="shared" si="45"/>
        <v>-0.16798314902580305</v>
      </c>
      <c r="BZ441" s="6">
        <f t="shared" si="44"/>
        <v>-0.16798314902580305</v>
      </c>
      <c r="CA441" s="7">
        <v>44878</v>
      </c>
      <c r="CE441">
        <v>593</v>
      </c>
      <c r="CF441">
        <v>579</v>
      </c>
      <c r="CG441">
        <v>408</v>
      </c>
      <c r="CI441">
        <f t="shared" si="42"/>
        <v>2022</v>
      </c>
      <c r="CJ441" t="str">
        <f t="shared" si="43"/>
        <v>5617_2022</v>
      </c>
    </row>
    <row r="442" spans="1:88" x14ac:dyDescent="0.25">
      <c r="A442" t="s">
        <v>111</v>
      </c>
      <c r="B442" t="s">
        <v>196</v>
      </c>
      <c r="C442">
        <v>5618</v>
      </c>
      <c r="D442">
        <v>-37.805456999999997</v>
      </c>
      <c r="E442">
        <v>144.99900299999999</v>
      </c>
      <c r="F442">
        <v>3</v>
      </c>
      <c r="G442" t="s">
        <v>198</v>
      </c>
      <c r="H442">
        <v>24</v>
      </c>
      <c r="I442">
        <v>204</v>
      </c>
      <c r="J442">
        <v>89</v>
      </c>
      <c r="K442">
        <v>269</v>
      </c>
      <c r="L442">
        <v>270</v>
      </c>
      <c r="M442">
        <v>90</v>
      </c>
      <c r="T442">
        <v>172</v>
      </c>
      <c r="U442">
        <v>120</v>
      </c>
      <c r="Y442">
        <v>218</v>
      </c>
      <c r="Z442">
        <v>105</v>
      </c>
      <c r="AD442">
        <v>118</v>
      </c>
      <c r="AE442">
        <v>159</v>
      </c>
      <c r="AX442">
        <v>292</v>
      </c>
      <c r="AY442">
        <v>336</v>
      </c>
      <c r="AZ442">
        <v>628</v>
      </c>
      <c r="BA442">
        <v>323</v>
      </c>
      <c r="BB442">
        <v>331</v>
      </c>
      <c r="BC442">
        <v>654</v>
      </c>
      <c r="BD442">
        <v>277</v>
      </c>
      <c r="BE442">
        <v>225</v>
      </c>
      <c r="BF442">
        <v>502</v>
      </c>
      <c r="BP442">
        <v>407</v>
      </c>
      <c r="BR442">
        <v>387</v>
      </c>
      <c r="BS442">
        <v>37</v>
      </c>
      <c r="BT442">
        <v>48</v>
      </c>
      <c r="BV442">
        <v>13</v>
      </c>
      <c r="BW442">
        <v>892</v>
      </c>
      <c r="BX442" t="s">
        <v>82</v>
      </c>
      <c r="BY442" s="5"/>
      <c r="BZ442" s="6"/>
      <c r="CA442" s="7">
        <v>40853</v>
      </c>
      <c r="CI442">
        <f t="shared" si="42"/>
        <v>2011</v>
      </c>
      <c r="CJ442" t="str">
        <f t="shared" si="43"/>
        <v>5618_2011</v>
      </c>
    </row>
    <row r="443" spans="1:88" x14ac:dyDescent="0.25">
      <c r="A443" t="s">
        <v>111</v>
      </c>
      <c r="B443" t="s">
        <v>196</v>
      </c>
      <c r="C443">
        <v>5618</v>
      </c>
      <c r="D443">
        <v>-37.805456999999997</v>
      </c>
      <c r="E443">
        <v>144.99900299999999</v>
      </c>
      <c r="F443">
        <v>3</v>
      </c>
      <c r="G443" t="s">
        <v>198</v>
      </c>
      <c r="H443">
        <v>24</v>
      </c>
      <c r="I443">
        <v>204</v>
      </c>
      <c r="J443">
        <v>89</v>
      </c>
      <c r="K443">
        <v>269</v>
      </c>
      <c r="L443">
        <v>270</v>
      </c>
      <c r="M443">
        <v>90</v>
      </c>
      <c r="T443">
        <v>356</v>
      </c>
      <c r="U443">
        <v>90</v>
      </c>
      <c r="Y443">
        <v>313</v>
      </c>
      <c r="Z443">
        <v>220</v>
      </c>
      <c r="AD443">
        <v>177</v>
      </c>
      <c r="AE443">
        <v>246</v>
      </c>
      <c r="AX443">
        <v>446</v>
      </c>
      <c r="AY443">
        <v>490</v>
      </c>
      <c r="AZ443">
        <v>936</v>
      </c>
      <c r="BA443">
        <v>533</v>
      </c>
      <c r="BB443">
        <v>602</v>
      </c>
      <c r="BC443">
        <v>1135</v>
      </c>
      <c r="BD443">
        <v>423</v>
      </c>
      <c r="BE443">
        <v>310</v>
      </c>
      <c r="BF443">
        <v>733</v>
      </c>
      <c r="BP443">
        <v>710</v>
      </c>
      <c r="BR443">
        <v>488</v>
      </c>
      <c r="BS443">
        <v>83</v>
      </c>
      <c r="BT443">
        <v>101</v>
      </c>
      <c r="BV443">
        <v>20</v>
      </c>
      <c r="BW443">
        <v>1402</v>
      </c>
      <c r="BX443">
        <f t="shared" ref="BX443:BX452" si="48">IF(C443=C442,IF((CI443-1)=CI442,BW442,"no data"))</f>
        <v>892</v>
      </c>
      <c r="BY443" s="5">
        <f t="shared" si="45"/>
        <v>0.5717488789237668</v>
      </c>
      <c r="BZ443" s="6">
        <f t="shared" si="44"/>
        <v>0.5717488789237668</v>
      </c>
      <c r="CA443" s="7">
        <v>41224</v>
      </c>
      <c r="CI443">
        <f t="shared" si="42"/>
        <v>2012</v>
      </c>
      <c r="CJ443" t="str">
        <f t="shared" si="43"/>
        <v>5618_2012</v>
      </c>
    </row>
    <row r="444" spans="1:88" x14ac:dyDescent="0.25">
      <c r="A444" t="s">
        <v>111</v>
      </c>
      <c r="B444" t="s">
        <v>196</v>
      </c>
      <c r="C444">
        <v>5618</v>
      </c>
      <c r="D444">
        <v>-37.805456999999997</v>
      </c>
      <c r="E444">
        <v>144.99900299999999</v>
      </c>
      <c r="F444">
        <v>3</v>
      </c>
      <c r="G444" t="s">
        <v>198</v>
      </c>
      <c r="H444">
        <v>24</v>
      </c>
      <c r="I444">
        <v>204</v>
      </c>
      <c r="J444">
        <v>89</v>
      </c>
      <c r="K444">
        <v>269</v>
      </c>
      <c r="L444">
        <v>270</v>
      </c>
      <c r="M444">
        <v>90</v>
      </c>
      <c r="T444">
        <v>303</v>
      </c>
      <c r="U444">
        <v>79</v>
      </c>
      <c r="Y444">
        <v>264</v>
      </c>
      <c r="Z444">
        <v>155</v>
      </c>
      <c r="AD444">
        <v>101</v>
      </c>
      <c r="AE444">
        <v>172</v>
      </c>
      <c r="AX444">
        <v>382</v>
      </c>
      <c r="AY444">
        <v>365</v>
      </c>
      <c r="AZ444">
        <v>747</v>
      </c>
      <c r="BA444">
        <v>419</v>
      </c>
      <c r="BB444">
        <v>475</v>
      </c>
      <c r="BC444">
        <v>894</v>
      </c>
      <c r="BD444">
        <v>273</v>
      </c>
      <c r="BE444">
        <v>234</v>
      </c>
      <c r="BF444">
        <v>507</v>
      </c>
      <c r="BP444">
        <v>495</v>
      </c>
      <c r="BR444">
        <v>413</v>
      </c>
      <c r="BS444">
        <v>82</v>
      </c>
      <c r="BT444">
        <v>69</v>
      </c>
      <c r="BV444">
        <v>15</v>
      </c>
      <c r="BW444">
        <v>1074</v>
      </c>
      <c r="BX444">
        <f t="shared" si="48"/>
        <v>1402</v>
      </c>
      <c r="BY444" s="5">
        <f t="shared" si="45"/>
        <v>-0.23395149786019973</v>
      </c>
      <c r="BZ444" s="6">
        <f t="shared" si="44"/>
        <v>-0.23395149786019973</v>
      </c>
      <c r="CA444" s="7">
        <v>41588</v>
      </c>
      <c r="CI444">
        <f t="shared" si="42"/>
        <v>2013</v>
      </c>
      <c r="CJ444" t="str">
        <f t="shared" si="43"/>
        <v>5618_2013</v>
      </c>
    </row>
    <row r="445" spans="1:88" x14ac:dyDescent="0.25">
      <c r="A445" t="s">
        <v>111</v>
      </c>
      <c r="B445" t="s">
        <v>196</v>
      </c>
      <c r="C445">
        <v>5618</v>
      </c>
      <c r="D445">
        <v>-37.805456999999997</v>
      </c>
      <c r="E445">
        <v>144.99900299999999</v>
      </c>
      <c r="F445">
        <v>3</v>
      </c>
      <c r="G445" t="s">
        <v>198</v>
      </c>
      <c r="H445">
        <v>24</v>
      </c>
      <c r="I445">
        <v>204</v>
      </c>
      <c r="J445">
        <v>89</v>
      </c>
      <c r="K445">
        <v>269</v>
      </c>
      <c r="L445">
        <v>270</v>
      </c>
      <c r="M445">
        <v>90</v>
      </c>
      <c r="T445">
        <v>286</v>
      </c>
      <c r="U445">
        <v>57</v>
      </c>
      <c r="Y445">
        <v>311</v>
      </c>
      <c r="Z445">
        <v>206</v>
      </c>
      <c r="AD445">
        <v>235</v>
      </c>
      <c r="AE445">
        <v>163</v>
      </c>
      <c r="AX445">
        <v>343</v>
      </c>
      <c r="AY445">
        <v>546</v>
      </c>
      <c r="AZ445">
        <v>889</v>
      </c>
      <c r="BA445">
        <v>517</v>
      </c>
      <c r="BB445">
        <v>449</v>
      </c>
      <c r="BC445">
        <v>966</v>
      </c>
      <c r="BD445">
        <v>398</v>
      </c>
      <c r="BE445">
        <v>263</v>
      </c>
      <c r="BF445">
        <v>661</v>
      </c>
      <c r="BP445">
        <v>531</v>
      </c>
      <c r="BR445">
        <v>498</v>
      </c>
      <c r="BS445">
        <v>108</v>
      </c>
      <c r="BT445">
        <v>121</v>
      </c>
      <c r="BV445">
        <v>0</v>
      </c>
      <c r="BW445">
        <v>1258</v>
      </c>
      <c r="BX445">
        <f t="shared" si="48"/>
        <v>1074</v>
      </c>
      <c r="BY445" s="5">
        <f t="shared" si="45"/>
        <v>0.17132216014897581</v>
      </c>
      <c r="BZ445" s="6">
        <f t="shared" si="44"/>
        <v>0.17132216014897581</v>
      </c>
      <c r="CA445" s="7">
        <v>41952</v>
      </c>
      <c r="CI445">
        <f t="shared" si="42"/>
        <v>2014</v>
      </c>
      <c r="CJ445" t="str">
        <f t="shared" si="43"/>
        <v>5618_2014</v>
      </c>
    </row>
    <row r="446" spans="1:88" x14ac:dyDescent="0.25">
      <c r="A446" t="s">
        <v>111</v>
      </c>
      <c r="B446" t="s">
        <v>196</v>
      </c>
      <c r="C446">
        <v>5618</v>
      </c>
      <c r="D446">
        <v>-37.805456999999997</v>
      </c>
      <c r="E446">
        <v>144.99900299999999</v>
      </c>
      <c r="F446">
        <v>3</v>
      </c>
      <c r="G446" t="s">
        <v>198</v>
      </c>
      <c r="H446">
        <v>24</v>
      </c>
      <c r="I446">
        <v>204</v>
      </c>
      <c r="J446">
        <v>89</v>
      </c>
      <c r="K446">
        <v>269</v>
      </c>
      <c r="L446">
        <v>270</v>
      </c>
      <c r="M446">
        <v>90</v>
      </c>
      <c r="T446">
        <v>430</v>
      </c>
      <c r="U446">
        <v>160</v>
      </c>
      <c r="Y446">
        <v>407</v>
      </c>
      <c r="Z446">
        <v>308</v>
      </c>
      <c r="AD446">
        <v>227</v>
      </c>
      <c r="AE446">
        <v>328</v>
      </c>
      <c r="AX446">
        <v>590</v>
      </c>
      <c r="AY446">
        <v>634</v>
      </c>
      <c r="AZ446">
        <v>1224</v>
      </c>
      <c r="BA446">
        <v>715</v>
      </c>
      <c r="BB446">
        <v>758</v>
      </c>
      <c r="BC446">
        <v>1473</v>
      </c>
      <c r="BD446">
        <v>555</v>
      </c>
      <c r="BE446">
        <v>468</v>
      </c>
      <c r="BF446">
        <v>1023</v>
      </c>
      <c r="BP446">
        <v>880</v>
      </c>
      <c r="BR446">
        <v>725</v>
      </c>
      <c r="BS446">
        <v>108</v>
      </c>
      <c r="BT446">
        <v>106</v>
      </c>
      <c r="BV446">
        <v>41</v>
      </c>
      <c r="BW446">
        <v>1860</v>
      </c>
      <c r="BX446">
        <f t="shared" si="48"/>
        <v>1258</v>
      </c>
      <c r="BY446" s="5">
        <f t="shared" si="45"/>
        <v>0.47853736089030208</v>
      </c>
      <c r="BZ446" s="6">
        <f t="shared" si="44"/>
        <v>0.47853736089030208</v>
      </c>
      <c r="CA446" s="7">
        <v>42316</v>
      </c>
      <c r="CE446">
        <v>316</v>
      </c>
      <c r="CF446">
        <v>393</v>
      </c>
      <c r="CG446">
        <v>655</v>
      </c>
      <c r="CH446">
        <v>496</v>
      </c>
      <c r="CI446">
        <f t="shared" si="42"/>
        <v>2015</v>
      </c>
      <c r="CJ446" t="str">
        <f t="shared" si="43"/>
        <v>5618_2015</v>
      </c>
    </row>
    <row r="447" spans="1:88" x14ac:dyDescent="0.25">
      <c r="A447" t="s">
        <v>111</v>
      </c>
      <c r="B447" t="s">
        <v>196</v>
      </c>
      <c r="C447">
        <v>5618</v>
      </c>
      <c r="D447">
        <v>-37.805456999999997</v>
      </c>
      <c r="E447">
        <v>144.99900299999999</v>
      </c>
      <c r="F447">
        <v>3</v>
      </c>
      <c r="G447" t="s">
        <v>198</v>
      </c>
      <c r="H447">
        <v>24</v>
      </c>
      <c r="I447">
        <v>204</v>
      </c>
      <c r="J447">
        <v>89</v>
      </c>
      <c r="K447">
        <v>269</v>
      </c>
      <c r="L447">
        <v>270</v>
      </c>
      <c r="M447">
        <v>90</v>
      </c>
      <c r="T447">
        <v>101</v>
      </c>
      <c r="U447">
        <v>64</v>
      </c>
      <c r="Y447">
        <v>106</v>
      </c>
      <c r="Z447">
        <v>142</v>
      </c>
      <c r="AD447">
        <v>77</v>
      </c>
      <c r="AE447">
        <v>129</v>
      </c>
      <c r="AX447">
        <v>165</v>
      </c>
      <c r="AY447">
        <v>183</v>
      </c>
      <c r="AZ447">
        <v>348</v>
      </c>
      <c r="BA447">
        <v>248</v>
      </c>
      <c r="BB447">
        <v>230</v>
      </c>
      <c r="BC447">
        <v>478</v>
      </c>
      <c r="BD447">
        <v>206</v>
      </c>
      <c r="BE447">
        <v>206</v>
      </c>
      <c r="BF447">
        <v>412</v>
      </c>
      <c r="BP447">
        <v>156</v>
      </c>
      <c r="BR447">
        <v>286</v>
      </c>
      <c r="BS447">
        <v>98</v>
      </c>
      <c r="BT447">
        <v>79</v>
      </c>
      <c r="BV447">
        <v>0</v>
      </c>
      <c r="BW447">
        <v>619</v>
      </c>
      <c r="BX447">
        <f t="shared" si="48"/>
        <v>1860</v>
      </c>
      <c r="BY447" s="5">
        <f t="shared" si="45"/>
        <v>-0.66720430107526885</v>
      </c>
      <c r="BZ447" s="6">
        <f t="shared" si="44"/>
        <v>-0.66720430107526885</v>
      </c>
      <c r="CA447" s="7">
        <v>42687</v>
      </c>
      <c r="CE447">
        <v>139</v>
      </c>
      <c r="CF447">
        <v>185</v>
      </c>
      <c r="CG447">
        <v>165</v>
      </c>
      <c r="CH447">
        <v>130</v>
      </c>
      <c r="CI447">
        <f t="shared" si="42"/>
        <v>2016</v>
      </c>
      <c r="CJ447" t="str">
        <f t="shared" si="43"/>
        <v>5618_2016</v>
      </c>
    </row>
    <row r="448" spans="1:88" x14ac:dyDescent="0.25">
      <c r="A448" t="s">
        <v>111</v>
      </c>
      <c r="B448" t="s">
        <v>196</v>
      </c>
      <c r="C448">
        <v>5618</v>
      </c>
      <c r="D448">
        <v>-37.805456999999997</v>
      </c>
      <c r="E448">
        <v>144.99900299999999</v>
      </c>
      <c r="F448">
        <v>3</v>
      </c>
      <c r="G448" t="s">
        <v>198</v>
      </c>
      <c r="H448">
        <v>24</v>
      </c>
      <c r="I448">
        <v>204</v>
      </c>
      <c r="J448">
        <v>89</v>
      </c>
      <c r="K448">
        <v>269</v>
      </c>
      <c r="L448">
        <v>270</v>
      </c>
      <c r="M448">
        <v>90</v>
      </c>
      <c r="T448">
        <v>579</v>
      </c>
      <c r="U448">
        <v>249</v>
      </c>
      <c r="Y448">
        <v>508</v>
      </c>
      <c r="Z448">
        <v>484</v>
      </c>
      <c r="AD448">
        <v>235</v>
      </c>
      <c r="AE448">
        <v>559</v>
      </c>
      <c r="AX448">
        <v>828</v>
      </c>
      <c r="AY448">
        <v>743</v>
      </c>
      <c r="AZ448">
        <v>1571</v>
      </c>
      <c r="BA448">
        <v>992</v>
      </c>
      <c r="BB448">
        <v>1138</v>
      </c>
      <c r="BC448">
        <v>2130</v>
      </c>
      <c r="BD448">
        <v>794</v>
      </c>
      <c r="BE448">
        <v>733</v>
      </c>
      <c r="BF448">
        <v>1527</v>
      </c>
      <c r="BP448">
        <v>926</v>
      </c>
      <c r="BR448">
        <v>1246</v>
      </c>
      <c r="BS448">
        <v>296</v>
      </c>
      <c r="BT448">
        <v>146</v>
      </c>
      <c r="BV448">
        <v>0</v>
      </c>
      <c r="BW448">
        <v>2614</v>
      </c>
      <c r="BX448" t="str">
        <f t="shared" si="48"/>
        <v>no data</v>
      </c>
      <c r="BY448" s="5"/>
      <c r="BZ448" s="6"/>
      <c r="CA448" s="7">
        <v>43415</v>
      </c>
      <c r="CE448">
        <v>772</v>
      </c>
      <c r="CF448">
        <v>345</v>
      </c>
      <c r="CG448">
        <v>516</v>
      </c>
      <c r="CH448">
        <v>981</v>
      </c>
      <c r="CI448">
        <f t="shared" si="42"/>
        <v>2018</v>
      </c>
      <c r="CJ448" t="str">
        <f t="shared" si="43"/>
        <v>5618_2018</v>
      </c>
    </row>
    <row r="449" spans="1:88" x14ac:dyDescent="0.25">
      <c r="A449" t="s">
        <v>111</v>
      </c>
      <c r="B449" t="s">
        <v>196</v>
      </c>
      <c r="C449">
        <v>5618</v>
      </c>
      <c r="D449">
        <v>-37.805456999999997</v>
      </c>
      <c r="E449">
        <v>144.99900299999999</v>
      </c>
      <c r="F449">
        <v>3</v>
      </c>
      <c r="G449" t="s">
        <v>198</v>
      </c>
      <c r="H449">
        <v>24</v>
      </c>
      <c r="I449">
        <v>204</v>
      </c>
      <c r="J449">
        <v>89</v>
      </c>
      <c r="K449">
        <v>269</v>
      </c>
      <c r="L449">
        <v>270</v>
      </c>
      <c r="M449">
        <v>90</v>
      </c>
      <c r="T449">
        <v>213</v>
      </c>
      <c r="U449">
        <v>201</v>
      </c>
      <c r="Y449">
        <v>168</v>
      </c>
      <c r="Z449">
        <v>128</v>
      </c>
      <c r="AD449">
        <v>197</v>
      </c>
      <c r="AE449">
        <v>159</v>
      </c>
      <c r="AX449">
        <v>414</v>
      </c>
      <c r="AY449">
        <v>365</v>
      </c>
      <c r="AZ449">
        <v>779</v>
      </c>
      <c r="BA449">
        <v>296</v>
      </c>
      <c r="BB449">
        <v>372</v>
      </c>
      <c r="BC449">
        <v>668</v>
      </c>
      <c r="BD449">
        <v>356</v>
      </c>
      <c r="BE449">
        <v>329</v>
      </c>
      <c r="BF449">
        <v>685</v>
      </c>
      <c r="BP449">
        <v>303</v>
      </c>
      <c r="BR449">
        <v>529</v>
      </c>
      <c r="BS449">
        <v>109</v>
      </c>
      <c r="BT449">
        <v>125</v>
      </c>
      <c r="BV449">
        <v>0</v>
      </c>
      <c r="BW449">
        <v>1066</v>
      </c>
      <c r="BX449">
        <f t="shared" si="48"/>
        <v>2614</v>
      </c>
      <c r="BY449" s="5">
        <f t="shared" si="45"/>
        <v>-0.59219586840091809</v>
      </c>
      <c r="BZ449" s="6">
        <f t="shared" si="44"/>
        <v>-0.59219586840091809</v>
      </c>
      <c r="CA449" s="7">
        <v>43779</v>
      </c>
      <c r="CE449">
        <v>220</v>
      </c>
      <c r="CF449">
        <v>273</v>
      </c>
      <c r="CG449">
        <v>268</v>
      </c>
      <c r="CH449">
        <v>305</v>
      </c>
      <c r="CI449">
        <f t="shared" si="42"/>
        <v>2019</v>
      </c>
      <c r="CJ449" t="str">
        <f t="shared" si="43"/>
        <v>5618_2019</v>
      </c>
    </row>
    <row r="450" spans="1:88" x14ac:dyDescent="0.25">
      <c r="A450" t="s">
        <v>111</v>
      </c>
      <c r="B450" t="s">
        <v>196</v>
      </c>
      <c r="C450">
        <v>5618</v>
      </c>
      <c r="D450">
        <v>-37.805500000000002</v>
      </c>
      <c r="E450">
        <v>144.999</v>
      </c>
      <c r="F450">
        <v>3</v>
      </c>
      <c r="G450" t="s">
        <v>198</v>
      </c>
      <c r="H450">
        <v>24</v>
      </c>
      <c r="I450">
        <v>204</v>
      </c>
      <c r="J450">
        <v>89</v>
      </c>
      <c r="K450">
        <v>269</v>
      </c>
      <c r="L450">
        <v>270</v>
      </c>
      <c r="M450">
        <v>90</v>
      </c>
      <c r="T450">
        <v>394</v>
      </c>
      <c r="U450">
        <v>253</v>
      </c>
      <c r="Y450">
        <v>351</v>
      </c>
      <c r="Z450">
        <v>381</v>
      </c>
      <c r="AD450">
        <v>221</v>
      </c>
      <c r="AE450">
        <v>442</v>
      </c>
      <c r="AX450">
        <v>647</v>
      </c>
      <c r="AY450">
        <v>572</v>
      </c>
      <c r="AZ450">
        <v>1219</v>
      </c>
      <c r="BA450">
        <v>732</v>
      </c>
      <c r="BB450">
        <v>836</v>
      </c>
      <c r="BC450">
        <v>1568</v>
      </c>
      <c r="BD450">
        <v>663</v>
      </c>
      <c r="BE450">
        <v>634</v>
      </c>
      <c r="BF450">
        <v>1297</v>
      </c>
      <c r="BP450">
        <v>775</v>
      </c>
      <c r="BR450">
        <v>992</v>
      </c>
      <c r="BS450">
        <v>174</v>
      </c>
      <c r="BT450">
        <v>101</v>
      </c>
      <c r="BV450">
        <v>0</v>
      </c>
      <c r="BW450">
        <v>2042</v>
      </c>
      <c r="BX450">
        <f t="shared" si="48"/>
        <v>1066</v>
      </c>
      <c r="BY450" s="5">
        <f t="shared" si="45"/>
        <v>0.91557223264540333</v>
      </c>
      <c r="BZ450" s="6">
        <f t="shared" si="44"/>
        <v>0.91557223264540333</v>
      </c>
      <c r="CA450" s="7">
        <v>44143</v>
      </c>
      <c r="CE450">
        <v>357</v>
      </c>
      <c r="CF450">
        <v>647</v>
      </c>
      <c r="CG450">
        <v>467</v>
      </c>
      <c r="CH450">
        <v>571</v>
      </c>
      <c r="CI450">
        <f t="shared" si="42"/>
        <v>2020</v>
      </c>
      <c r="CJ450" t="str">
        <f t="shared" si="43"/>
        <v>5618_2020</v>
      </c>
    </row>
    <row r="451" spans="1:88" x14ac:dyDescent="0.25">
      <c r="A451" t="s">
        <v>111</v>
      </c>
      <c r="B451" t="s">
        <v>196</v>
      </c>
      <c r="C451">
        <v>5618</v>
      </c>
      <c r="D451">
        <v>-37.805456999999997</v>
      </c>
      <c r="E451">
        <v>144.99900299999999</v>
      </c>
      <c r="F451">
        <v>3</v>
      </c>
      <c r="G451" t="s">
        <v>198</v>
      </c>
      <c r="H451">
        <v>24</v>
      </c>
      <c r="I451">
        <v>204</v>
      </c>
      <c r="J451">
        <v>89</v>
      </c>
      <c r="K451">
        <v>269</v>
      </c>
      <c r="L451">
        <v>270</v>
      </c>
      <c r="M451">
        <v>90</v>
      </c>
      <c r="T451">
        <v>197</v>
      </c>
      <c r="U451">
        <v>124</v>
      </c>
      <c r="Y451">
        <v>183</v>
      </c>
      <c r="Z451">
        <v>244</v>
      </c>
      <c r="AD451">
        <v>158</v>
      </c>
      <c r="AE451">
        <v>281</v>
      </c>
      <c r="AX451">
        <v>321</v>
      </c>
      <c r="AY451">
        <v>341</v>
      </c>
      <c r="AZ451">
        <v>662</v>
      </c>
      <c r="BA451">
        <v>427</v>
      </c>
      <c r="BB451">
        <v>478</v>
      </c>
      <c r="BC451">
        <v>905</v>
      </c>
      <c r="BD451">
        <v>439</v>
      </c>
      <c r="BE451">
        <v>368</v>
      </c>
      <c r="BF451">
        <v>807</v>
      </c>
      <c r="BP451">
        <v>330</v>
      </c>
      <c r="BR451">
        <v>623</v>
      </c>
      <c r="BS451">
        <v>111</v>
      </c>
      <c r="BT451">
        <v>123</v>
      </c>
      <c r="BV451">
        <v>0</v>
      </c>
      <c r="BW451">
        <v>1187</v>
      </c>
      <c r="BX451">
        <f t="shared" si="48"/>
        <v>2042</v>
      </c>
      <c r="BY451" s="5">
        <f t="shared" si="45"/>
        <v>-0.41870714985308521</v>
      </c>
      <c r="BZ451" s="6">
        <f t="shared" si="44"/>
        <v>-0.41870714985308521</v>
      </c>
      <c r="CA451" s="7">
        <v>44528</v>
      </c>
      <c r="CE451">
        <v>302</v>
      </c>
      <c r="CF451">
        <v>411</v>
      </c>
      <c r="CG451">
        <v>474</v>
      </c>
      <c r="CI451">
        <f t="shared" ref="CI451:CI514" si="49">YEAR(CA451)</f>
        <v>2021</v>
      </c>
      <c r="CJ451" t="str">
        <f t="shared" ref="CJ451:CJ514" si="50">_xlfn.CONCAT(C451,"_",CI451)</f>
        <v>5618_2021</v>
      </c>
    </row>
    <row r="452" spans="1:88" x14ac:dyDescent="0.25">
      <c r="A452" t="s">
        <v>111</v>
      </c>
      <c r="B452" t="s">
        <v>196</v>
      </c>
      <c r="C452">
        <v>5618</v>
      </c>
      <c r="D452">
        <v>-37.805456999999997</v>
      </c>
      <c r="E452">
        <v>144.99900299999999</v>
      </c>
      <c r="F452">
        <v>3</v>
      </c>
      <c r="G452" t="s">
        <v>198</v>
      </c>
      <c r="H452">
        <v>24</v>
      </c>
      <c r="I452">
        <v>204</v>
      </c>
      <c r="J452">
        <v>89</v>
      </c>
      <c r="K452">
        <v>269</v>
      </c>
      <c r="L452">
        <v>270</v>
      </c>
      <c r="M452">
        <v>90</v>
      </c>
      <c r="T452">
        <v>91</v>
      </c>
      <c r="U452">
        <v>126</v>
      </c>
      <c r="Y452">
        <v>64</v>
      </c>
      <c r="Z452">
        <v>206</v>
      </c>
      <c r="AD452">
        <v>146</v>
      </c>
      <c r="AE452">
        <v>275</v>
      </c>
      <c r="AX452">
        <v>217</v>
      </c>
      <c r="AY452">
        <v>210</v>
      </c>
      <c r="AZ452">
        <v>427</v>
      </c>
      <c r="BA452">
        <v>270</v>
      </c>
      <c r="BB452">
        <v>366</v>
      </c>
      <c r="BC452">
        <v>636</v>
      </c>
      <c r="BD452">
        <v>421</v>
      </c>
      <c r="BE452">
        <v>332</v>
      </c>
      <c r="BF452">
        <v>753</v>
      </c>
      <c r="BP452">
        <v>239</v>
      </c>
      <c r="BR452">
        <v>438</v>
      </c>
      <c r="BS452">
        <v>90</v>
      </c>
      <c r="BT452">
        <v>135</v>
      </c>
      <c r="BU452">
        <v>6</v>
      </c>
      <c r="BV452">
        <v>0</v>
      </c>
      <c r="BW452">
        <v>908</v>
      </c>
      <c r="BX452">
        <f t="shared" si="48"/>
        <v>1187</v>
      </c>
      <c r="BY452" s="5">
        <f t="shared" si="45"/>
        <v>-0.23504633529907329</v>
      </c>
      <c r="BZ452" s="6">
        <f t="shared" si="44"/>
        <v>-0.23504633529907329</v>
      </c>
      <c r="CA452" s="7">
        <v>44878</v>
      </c>
      <c r="CE452">
        <v>316</v>
      </c>
      <c r="CF452">
        <v>328</v>
      </c>
      <c r="CG452">
        <v>264</v>
      </c>
      <c r="CI452">
        <f t="shared" si="49"/>
        <v>2022</v>
      </c>
      <c r="CJ452" t="str">
        <f t="shared" si="50"/>
        <v>5618_2022</v>
      </c>
    </row>
    <row r="453" spans="1:88" x14ac:dyDescent="0.25">
      <c r="A453" t="s">
        <v>111</v>
      </c>
      <c r="B453" t="s">
        <v>196</v>
      </c>
      <c r="C453">
        <v>5619</v>
      </c>
      <c r="D453">
        <v>-37.796014</v>
      </c>
      <c r="E453">
        <v>145.00105600000001</v>
      </c>
      <c r="F453">
        <v>3</v>
      </c>
      <c r="G453" t="s">
        <v>199</v>
      </c>
      <c r="H453">
        <v>14</v>
      </c>
      <c r="I453">
        <v>194</v>
      </c>
      <c r="J453">
        <v>78</v>
      </c>
      <c r="K453">
        <v>258</v>
      </c>
      <c r="L453">
        <v>248</v>
      </c>
      <c r="M453">
        <v>68</v>
      </c>
      <c r="T453">
        <v>3</v>
      </c>
      <c r="U453">
        <v>3</v>
      </c>
      <c r="Y453">
        <v>3</v>
      </c>
      <c r="Z453">
        <v>310</v>
      </c>
      <c r="AD453">
        <v>5</v>
      </c>
      <c r="AE453">
        <v>374</v>
      </c>
      <c r="AX453">
        <v>6</v>
      </c>
      <c r="AY453">
        <v>8</v>
      </c>
      <c r="AZ453">
        <v>14</v>
      </c>
      <c r="BA453">
        <v>313</v>
      </c>
      <c r="BB453">
        <v>377</v>
      </c>
      <c r="BC453">
        <v>690</v>
      </c>
      <c r="BD453">
        <v>379</v>
      </c>
      <c r="BE453">
        <v>313</v>
      </c>
      <c r="BF453">
        <v>692</v>
      </c>
      <c r="BP453">
        <v>375</v>
      </c>
      <c r="BR453">
        <v>221</v>
      </c>
      <c r="BS453">
        <v>49</v>
      </c>
      <c r="BT453">
        <v>43</v>
      </c>
      <c r="BV453">
        <v>10</v>
      </c>
      <c r="BW453">
        <v>698</v>
      </c>
      <c r="BX453" t="s">
        <v>82</v>
      </c>
      <c r="BY453" s="5"/>
      <c r="BZ453" s="6"/>
      <c r="CA453" s="7">
        <v>40853</v>
      </c>
      <c r="CI453">
        <f t="shared" si="49"/>
        <v>2011</v>
      </c>
      <c r="CJ453" t="str">
        <f t="shared" si="50"/>
        <v>5619_2011</v>
      </c>
    </row>
    <row r="454" spans="1:88" x14ac:dyDescent="0.25">
      <c r="A454" t="s">
        <v>111</v>
      </c>
      <c r="B454" t="s">
        <v>196</v>
      </c>
      <c r="C454">
        <v>5619</v>
      </c>
      <c r="D454">
        <v>-37.796014</v>
      </c>
      <c r="E454">
        <v>145.00105600000001</v>
      </c>
      <c r="F454">
        <v>3</v>
      </c>
      <c r="G454" t="s">
        <v>199</v>
      </c>
      <c r="H454">
        <v>14</v>
      </c>
      <c r="I454">
        <v>194</v>
      </c>
      <c r="J454">
        <v>78</v>
      </c>
      <c r="K454">
        <v>258</v>
      </c>
      <c r="L454">
        <v>248</v>
      </c>
      <c r="M454">
        <v>68</v>
      </c>
      <c r="T454">
        <v>93</v>
      </c>
      <c r="U454">
        <v>116</v>
      </c>
      <c r="Y454">
        <v>39</v>
      </c>
      <c r="Z454">
        <v>500</v>
      </c>
      <c r="AD454">
        <v>36</v>
      </c>
      <c r="AE454">
        <v>330</v>
      </c>
      <c r="AX454">
        <v>209</v>
      </c>
      <c r="AY454">
        <v>75</v>
      </c>
      <c r="AZ454">
        <v>284</v>
      </c>
      <c r="BA454">
        <v>539</v>
      </c>
      <c r="BB454">
        <v>423</v>
      </c>
      <c r="BC454">
        <v>962</v>
      </c>
      <c r="BD454">
        <v>366</v>
      </c>
      <c r="BE454">
        <v>616</v>
      </c>
      <c r="BF454">
        <v>982</v>
      </c>
      <c r="BP454">
        <v>688</v>
      </c>
      <c r="BR454">
        <v>294</v>
      </c>
      <c r="BS454">
        <v>86</v>
      </c>
      <c r="BT454">
        <v>44</v>
      </c>
      <c r="BV454">
        <v>2</v>
      </c>
      <c r="BW454">
        <v>1114</v>
      </c>
      <c r="BX454">
        <f t="shared" ref="BX454:BX463" si="51">IF(C454=C453,IF((CI454-1)=CI453,BW453,"no data"))</f>
        <v>698</v>
      </c>
      <c r="BY454" s="5">
        <f t="shared" si="45"/>
        <v>0.59598853868194845</v>
      </c>
      <c r="BZ454" s="6">
        <f t="shared" ref="BZ454:BZ517" si="52">BY454</f>
        <v>0.59598853868194845</v>
      </c>
      <c r="CA454" s="7">
        <v>41224</v>
      </c>
      <c r="CI454">
        <f t="shared" si="49"/>
        <v>2012</v>
      </c>
      <c r="CJ454" t="str">
        <f t="shared" si="50"/>
        <v>5619_2012</v>
      </c>
    </row>
    <row r="455" spans="1:88" x14ac:dyDescent="0.25">
      <c r="A455" t="s">
        <v>111</v>
      </c>
      <c r="B455" t="s">
        <v>196</v>
      </c>
      <c r="C455">
        <v>5619</v>
      </c>
      <c r="D455">
        <v>-37.796014</v>
      </c>
      <c r="E455">
        <v>145.00105600000001</v>
      </c>
      <c r="F455">
        <v>3</v>
      </c>
      <c r="G455" t="s">
        <v>199</v>
      </c>
      <c r="H455">
        <v>14</v>
      </c>
      <c r="I455">
        <v>194</v>
      </c>
      <c r="J455">
        <v>78</v>
      </c>
      <c r="K455">
        <v>258</v>
      </c>
      <c r="L455">
        <v>248</v>
      </c>
      <c r="M455">
        <v>68</v>
      </c>
      <c r="T455">
        <v>25</v>
      </c>
      <c r="U455">
        <v>129</v>
      </c>
      <c r="Y455">
        <v>6</v>
      </c>
      <c r="Z455">
        <v>434</v>
      </c>
      <c r="AD455">
        <v>99</v>
      </c>
      <c r="AE455">
        <v>278</v>
      </c>
      <c r="AX455">
        <v>154</v>
      </c>
      <c r="AY455">
        <v>105</v>
      </c>
      <c r="AZ455">
        <v>259</v>
      </c>
      <c r="BA455">
        <v>440</v>
      </c>
      <c r="BB455">
        <v>303</v>
      </c>
      <c r="BC455">
        <v>743</v>
      </c>
      <c r="BD455">
        <v>377</v>
      </c>
      <c r="BE455">
        <v>563</v>
      </c>
      <c r="BF455">
        <v>940</v>
      </c>
      <c r="BP455">
        <v>588</v>
      </c>
      <c r="BR455">
        <v>207</v>
      </c>
      <c r="BS455">
        <v>117</v>
      </c>
      <c r="BT455">
        <v>56</v>
      </c>
      <c r="BV455">
        <v>3</v>
      </c>
      <c r="BW455">
        <v>971</v>
      </c>
      <c r="BX455">
        <f t="shared" si="51"/>
        <v>1114</v>
      </c>
      <c r="BY455" s="5">
        <f t="shared" si="45"/>
        <v>-0.12836624775583483</v>
      </c>
      <c r="BZ455" s="6">
        <f t="shared" si="52"/>
        <v>-0.12836624775583483</v>
      </c>
      <c r="CA455" s="7">
        <v>41588</v>
      </c>
      <c r="CI455">
        <f t="shared" si="49"/>
        <v>2013</v>
      </c>
      <c r="CJ455" t="str">
        <f t="shared" si="50"/>
        <v>5619_2013</v>
      </c>
    </row>
    <row r="456" spans="1:88" x14ac:dyDescent="0.25">
      <c r="A456" t="s">
        <v>111</v>
      </c>
      <c r="B456" t="s">
        <v>196</v>
      </c>
      <c r="C456">
        <v>5619</v>
      </c>
      <c r="D456">
        <v>-37.796014</v>
      </c>
      <c r="E456">
        <v>145.00105600000001</v>
      </c>
      <c r="F456">
        <v>3</v>
      </c>
      <c r="G456" t="s">
        <v>199</v>
      </c>
      <c r="H456">
        <v>14</v>
      </c>
      <c r="I456">
        <v>194</v>
      </c>
      <c r="J456">
        <v>78</v>
      </c>
      <c r="K456">
        <v>258</v>
      </c>
      <c r="L456">
        <v>248</v>
      </c>
      <c r="M456">
        <v>68</v>
      </c>
      <c r="T456">
        <v>41</v>
      </c>
      <c r="U456">
        <v>163</v>
      </c>
      <c r="Y456">
        <v>29</v>
      </c>
      <c r="Z456">
        <v>360</v>
      </c>
      <c r="AD456">
        <v>101</v>
      </c>
      <c r="AE456">
        <v>274</v>
      </c>
      <c r="AX456">
        <v>204</v>
      </c>
      <c r="AY456">
        <v>130</v>
      </c>
      <c r="AZ456">
        <v>334</v>
      </c>
      <c r="BA456">
        <v>389</v>
      </c>
      <c r="BB456">
        <v>315</v>
      </c>
      <c r="BC456">
        <v>704</v>
      </c>
      <c r="BD456">
        <v>375</v>
      </c>
      <c r="BE456">
        <v>523</v>
      </c>
      <c r="BF456">
        <v>898</v>
      </c>
      <c r="BP456">
        <v>549</v>
      </c>
      <c r="BR456">
        <v>222</v>
      </c>
      <c r="BS456">
        <v>151</v>
      </c>
      <c r="BT456">
        <v>37</v>
      </c>
      <c r="BV456">
        <v>9</v>
      </c>
      <c r="BW456">
        <v>968</v>
      </c>
      <c r="BX456">
        <f t="shared" si="51"/>
        <v>971</v>
      </c>
      <c r="BY456" s="5">
        <f t="shared" si="45"/>
        <v>-3.089598352214212E-3</v>
      </c>
      <c r="BZ456" s="6">
        <f t="shared" si="52"/>
        <v>-3.089598352214212E-3</v>
      </c>
      <c r="CA456" s="7">
        <v>41952</v>
      </c>
      <c r="CI456">
        <f t="shared" si="49"/>
        <v>2014</v>
      </c>
      <c r="CJ456" t="str">
        <f t="shared" si="50"/>
        <v>5619_2014</v>
      </c>
    </row>
    <row r="457" spans="1:88" x14ac:dyDescent="0.25">
      <c r="A457" t="s">
        <v>111</v>
      </c>
      <c r="B457" t="s">
        <v>196</v>
      </c>
      <c r="C457">
        <v>5619</v>
      </c>
      <c r="D457">
        <v>-37.796014</v>
      </c>
      <c r="E457">
        <v>145.00105600000001</v>
      </c>
      <c r="F457">
        <v>3</v>
      </c>
      <c r="G457" t="s">
        <v>199</v>
      </c>
      <c r="H457">
        <v>14</v>
      </c>
      <c r="I457">
        <v>194</v>
      </c>
      <c r="J457">
        <v>78</v>
      </c>
      <c r="K457">
        <v>258</v>
      </c>
      <c r="L457">
        <v>248</v>
      </c>
      <c r="M457">
        <v>68</v>
      </c>
      <c r="T457">
        <v>72</v>
      </c>
      <c r="U457">
        <v>254</v>
      </c>
      <c r="Y457">
        <v>31</v>
      </c>
      <c r="Z457">
        <v>604</v>
      </c>
      <c r="AD457">
        <v>143</v>
      </c>
      <c r="AE457">
        <v>404</v>
      </c>
      <c r="AX457">
        <v>326</v>
      </c>
      <c r="AY457">
        <v>174</v>
      </c>
      <c r="AZ457">
        <v>500</v>
      </c>
      <c r="BA457">
        <v>635</v>
      </c>
      <c r="BB457">
        <v>476</v>
      </c>
      <c r="BC457">
        <v>1111</v>
      </c>
      <c r="BD457">
        <v>547</v>
      </c>
      <c r="BE457">
        <v>858</v>
      </c>
      <c r="BF457">
        <v>1405</v>
      </c>
      <c r="BP457">
        <v>800</v>
      </c>
      <c r="BR457">
        <v>453</v>
      </c>
      <c r="BS457">
        <v>153</v>
      </c>
      <c r="BT457">
        <v>70</v>
      </c>
      <c r="BV457">
        <v>32</v>
      </c>
      <c r="BW457">
        <v>1508</v>
      </c>
      <c r="BX457">
        <f t="shared" si="51"/>
        <v>968</v>
      </c>
      <c r="BY457" s="5">
        <f t="shared" si="45"/>
        <v>0.55785123966942152</v>
      </c>
      <c r="BZ457" s="6">
        <f t="shared" si="52"/>
        <v>0.55785123966942152</v>
      </c>
      <c r="CA457" s="7">
        <v>42316</v>
      </c>
      <c r="CE457">
        <v>288</v>
      </c>
      <c r="CF457">
        <v>398</v>
      </c>
      <c r="CG457">
        <v>422</v>
      </c>
      <c r="CH457">
        <v>400</v>
      </c>
      <c r="CI457">
        <f t="shared" si="49"/>
        <v>2015</v>
      </c>
      <c r="CJ457" t="str">
        <f t="shared" si="50"/>
        <v>5619_2015</v>
      </c>
    </row>
    <row r="458" spans="1:88" x14ac:dyDescent="0.25">
      <c r="A458" t="s">
        <v>111</v>
      </c>
      <c r="B458" t="s">
        <v>196</v>
      </c>
      <c r="C458">
        <v>5619</v>
      </c>
      <c r="D458">
        <v>-37.796014</v>
      </c>
      <c r="E458">
        <v>145.00105600000001</v>
      </c>
      <c r="F458">
        <v>3</v>
      </c>
      <c r="G458" t="s">
        <v>199</v>
      </c>
      <c r="H458">
        <v>14</v>
      </c>
      <c r="I458">
        <v>194</v>
      </c>
      <c r="J458">
        <v>78</v>
      </c>
      <c r="K458">
        <v>258</v>
      </c>
      <c r="L458">
        <v>248</v>
      </c>
      <c r="M458">
        <v>68</v>
      </c>
      <c r="T458">
        <v>12</v>
      </c>
      <c r="U458">
        <v>74</v>
      </c>
      <c r="Y458">
        <v>15</v>
      </c>
      <c r="Z458">
        <v>168</v>
      </c>
      <c r="AD458">
        <v>45</v>
      </c>
      <c r="AE458">
        <v>142</v>
      </c>
      <c r="AX458">
        <v>86</v>
      </c>
      <c r="AY458">
        <v>60</v>
      </c>
      <c r="AZ458">
        <v>146</v>
      </c>
      <c r="BA458">
        <v>183</v>
      </c>
      <c r="BB458">
        <v>154</v>
      </c>
      <c r="BC458">
        <v>337</v>
      </c>
      <c r="BD458">
        <v>187</v>
      </c>
      <c r="BE458">
        <v>242</v>
      </c>
      <c r="BF458">
        <v>429</v>
      </c>
      <c r="BP458">
        <v>118</v>
      </c>
      <c r="BR458">
        <v>186</v>
      </c>
      <c r="BS458">
        <v>113</v>
      </c>
      <c r="BT458">
        <v>25</v>
      </c>
      <c r="BV458">
        <v>14</v>
      </c>
      <c r="BW458">
        <v>456</v>
      </c>
      <c r="BX458">
        <f t="shared" si="51"/>
        <v>1508</v>
      </c>
      <c r="BY458" s="5">
        <f t="shared" si="45"/>
        <v>-0.69761273209549068</v>
      </c>
      <c r="BZ458" s="6">
        <f t="shared" si="52"/>
        <v>-0.69761273209549068</v>
      </c>
      <c r="CA458" s="7">
        <v>42687</v>
      </c>
      <c r="CE458">
        <v>132</v>
      </c>
      <c r="CF458">
        <v>128</v>
      </c>
      <c r="CG458">
        <v>114</v>
      </c>
      <c r="CH458">
        <v>82</v>
      </c>
      <c r="CI458">
        <f t="shared" si="49"/>
        <v>2016</v>
      </c>
      <c r="CJ458" t="str">
        <f t="shared" si="50"/>
        <v>5619_2016</v>
      </c>
    </row>
    <row r="459" spans="1:88" x14ac:dyDescent="0.25">
      <c r="A459" t="s">
        <v>111</v>
      </c>
      <c r="B459" t="s">
        <v>196</v>
      </c>
      <c r="C459">
        <v>5619</v>
      </c>
      <c r="D459">
        <v>-37.796014</v>
      </c>
      <c r="E459">
        <v>145.00105600000001</v>
      </c>
      <c r="F459">
        <v>3</v>
      </c>
      <c r="G459" t="s">
        <v>199</v>
      </c>
      <c r="H459">
        <v>14</v>
      </c>
      <c r="I459">
        <v>194</v>
      </c>
      <c r="J459">
        <v>78</v>
      </c>
      <c r="K459">
        <v>258</v>
      </c>
      <c r="L459">
        <v>248</v>
      </c>
      <c r="M459">
        <v>68</v>
      </c>
      <c r="T459">
        <v>48</v>
      </c>
      <c r="U459">
        <v>178</v>
      </c>
      <c r="Y459">
        <v>60</v>
      </c>
      <c r="Z459">
        <v>630</v>
      </c>
      <c r="AD459">
        <v>127</v>
      </c>
      <c r="AE459">
        <v>580</v>
      </c>
      <c r="AX459">
        <v>226</v>
      </c>
      <c r="AY459">
        <v>187</v>
      </c>
      <c r="AZ459">
        <v>413</v>
      </c>
      <c r="BA459">
        <v>690</v>
      </c>
      <c r="BB459">
        <v>628</v>
      </c>
      <c r="BC459">
        <v>1318</v>
      </c>
      <c r="BD459">
        <v>707</v>
      </c>
      <c r="BE459">
        <v>808</v>
      </c>
      <c r="BF459">
        <v>1515</v>
      </c>
      <c r="BP459">
        <v>647</v>
      </c>
      <c r="BR459">
        <v>628</v>
      </c>
      <c r="BS459">
        <v>208</v>
      </c>
      <c r="BT459">
        <v>139</v>
      </c>
      <c r="BV459">
        <v>1</v>
      </c>
      <c r="BW459">
        <v>1623</v>
      </c>
      <c r="BX459" t="str">
        <f t="shared" si="51"/>
        <v>no data</v>
      </c>
      <c r="BY459" s="5"/>
      <c r="BZ459" s="6"/>
      <c r="CA459" s="7">
        <v>43415</v>
      </c>
      <c r="CE459">
        <v>393</v>
      </c>
      <c r="CF459">
        <v>388</v>
      </c>
      <c r="CG459">
        <v>422</v>
      </c>
      <c r="CH459">
        <v>420</v>
      </c>
      <c r="CI459">
        <f t="shared" si="49"/>
        <v>2018</v>
      </c>
      <c r="CJ459" t="str">
        <f t="shared" si="50"/>
        <v>5619_2018</v>
      </c>
    </row>
    <row r="460" spans="1:88" x14ac:dyDescent="0.25">
      <c r="A460" t="s">
        <v>111</v>
      </c>
      <c r="B460" t="s">
        <v>196</v>
      </c>
      <c r="C460">
        <v>5619</v>
      </c>
      <c r="D460">
        <v>-37.796014</v>
      </c>
      <c r="E460">
        <v>145.00105600000001</v>
      </c>
      <c r="F460">
        <v>3</v>
      </c>
      <c r="G460" t="s">
        <v>199</v>
      </c>
      <c r="H460">
        <v>14</v>
      </c>
      <c r="I460">
        <v>194</v>
      </c>
      <c r="J460">
        <v>78</v>
      </c>
      <c r="K460">
        <v>258</v>
      </c>
      <c r="L460">
        <v>248</v>
      </c>
      <c r="M460">
        <v>68</v>
      </c>
      <c r="T460">
        <v>173</v>
      </c>
      <c r="U460">
        <v>501</v>
      </c>
      <c r="Y460">
        <v>125</v>
      </c>
      <c r="Z460">
        <v>325</v>
      </c>
      <c r="AD460">
        <v>326</v>
      </c>
      <c r="AE460">
        <v>243</v>
      </c>
      <c r="AX460">
        <v>674</v>
      </c>
      <c r="AY460">
        <v>451</v>
      </c>
      <c r="AZ460">
        <v>1125</v>
      </c>
      <c r="BA460">
        <v>450</v>
      </c>
      <c r="BB460">
        <v>416</v>
      </c>
      <c r="BC460">
        <v>866</v>
      </c>
      <c r="BD460">
        <v>569</v>
      </c>
      <c r="BE460">
        <v>826</v>
      </c>
      <c r="BF460">
        <v>1395</v>
      </c>
      <c r="BP460">
        <v>509</v>
      </c>
      <c r="BR460">
        <v>711</v>
      </c>
      <c r="BS460">
        <v>237</v>
      </c>
      <c r="BT460">
        <v>177</v>
      </c>
      <c r="BV460">
        <v>59</v>
      </c>
      <c r="BW460">
        <v>1693</v>
      </c>
      <c r="BX460">
        <f t="shared" si="51"/>
        <v>1623</v>
      </c>
      <c r="BY460" s="5">
        <f t="shared" si="45"/>
        <v>4.3130006161429452E-2</v>
      </c>
      <c r="BZ460" s="6">
        <f t="shared" si="52"/>
        <v>4.3130006161429452E-2</v>
      </c>
      <c r="CA460" s="7">
        <v>43779</v>
      </c>
      <c r="CE460">
        <v>348</v>
      </c>
      <c r="CF460">
        <v>460</v>
      </c>
      <c r="CG460">
        <v>495</v>
      </c>
      <c r="CH460">
        <v>390</v>
      </c>
      <c r="CI460">
        <f t="shared" si="49"/>
        <v>2019</v>
      </c>
      <c r="CJ460" t="str">
        <f t="shared" si="50"/>
        <v>5619_2019</v>
      </c>
    </row>
    <row r="461" spans="1:88" x14ac:dyDescent="0.25">
      <c r="A461" t="s">
        <v>111</v>
      </c>
      <c r="B461" t="s">
        <v>196</v>
      </c>
      <c r="C461">
        <v>5619</v>
      </c>
      <c r="D461">
        <v>-37.795999999999999</v>
      </c>
      <c r="E461">
        <v>145.00110000000001</v>
      </c>
      <c r="F461">
        <v>3</v>
      </c>
      <c r="G461" t="s">
        <v>199</v>
      </c>
      <c r="H461">
        <v>14</v>
      </c>
      <c r="I461">
        <v>194</v>
      </c>
      <c r="J461">
        <v>78</v>
      </c>
      <c r="K461">
        <v>258</v>
      </c>
      <c r="L461">
        <v>248</v>
      </c>
      <c r="M461">
        <v>68</v>
      </c>
      <c r="T461">
        <v>97</v>
      </c>
      <c r="U461">
        <v>225</v>
      </c>
      <c r="Y461">
        <v>60</v>
      </c>
      <c r="Z461">
        <v>728</v>
      </c>
      <c r="AD461">
        <v>192</v>
      </c>
      <c r="AE461">
        <v>585</v>
      </c>
      <c r="AX461">
        <v>322</v>
      </c>
      <c r="AY461">
        <v>252</v>
      </c>
      <c r="AZ461">
        <v>574</v>
      </c>
      <c r="BA461">
        <v>788</v>
      </c>
      <c r="BB461">
        <v>682</v>
      </c>
      <c r="BC461">
        <v>1470</v>
      </c>
      <c r="BD461">
        <v>777</v>
      </c>
      <c r="BE461">
        <v>953</v>
      </c>
      <c r="BF461">
        <v>1730</v>
      </c>
      <c r="BP461">
        <v>719</v>
      </c>
      <c r="BR461">
        <v>731</v>
      </c>
      <c r="BS461">
        <v>255</v>
      </c>
      <c r="BT461">
        <v>176</v>
      </c>
      <c r="BV461">
        <v>6</v>
      </c>
      <c r="BW461">
        <v>1887</v>
      </c>
      <c r="BX461">
        <f t="shared" si="51"/>
        <v>1693</v>
      </c>
      <c r="BY461" s="5">
        <f t="shared" si="45"/>
        <v>0.11458948611931483</v>
      </c>
      <c r="BZ461" s="6">
        <f t="shared" si="52"/>
        <v>0.11458948611931483</v>
      </c>
      <c r="CA461" s="7">
        <v>44143</v>
      </c>
      <c r="CE461">
        <v>318</v>
      </c>
      <c r="CF461">
        <v>523</v>
      </c>
      <c r="CG461">
        <v>538</v>
      </c>
      <c r="CH461">
        <v>508</v>
      </c>
      <c r="CI461">
        <f t="shared" si="49"/>
        <v>2020</v>
      </c>
      <c r="CJ461" t="str">
        <f t="shared" si="50"/>
        <v>5619_2020</v>
      </c>
    </row>
    <row r="462" spans="1:88" x14ac:dyDescent="0.25">
      <c r="A462" t="s">
        <v>111</v>
      </c>
      <c r="B462" t="s">
        <v>196</v>
      </c>
      <c r="C462">
        <v>5619</v>
      </c>
      <c r="D462">
        <v>-37.796014</v>
      </c>
      <c r="E462">
        <v>145.00105600000001</v>
      </c>
      <c r="F462">
        <v>3</v>
      </c>
      <c r="G462" t="s">
        <v>199</v>
      </c>
      <c r="H462">
        <v>14</v>
      </c>
      <c r="I462">
        <v>194</v>
      </c>
      <c r="J462">
        <v>78</v>
      </c>
      <c r="K462">
        <v>258</v>
      </c>
      <c r="L462">
        <v>248</v>
      </c>
      <c r="M462">
        <v>68</v>
      </c>
      <c r="T462">
        <v>71</v>
      </c>
      <c r="U462">
        <v>122</v>
      </c>
      <c r="Y462">
        <v>54</v>
      </c>
      <c r="Z462">
        <v>497</v>
      </c>
      <c r="AD462">
        <v>97</v>
      </c>
      <c r="AE462">
        <v>448</v>
      </c>
      <c r="AX462">
        <v>193</v>
      </c>
      <c r="AY462">
        <v>151</v>
      </c>
      <c r="AZ462">
        <v>344</v>
      </c>
      <c r="BA462">
        <v>551</v>
      </c>
      <c r="BB462">
        <v>519</v>
      </c>
      <c r="BC462">
        <v>1070</v>
      </c>
      <c r="BD462">
        <v>545</v>
      </c>
      <c r="BE462">
        <v>619</v>
      </c>
      <c r="BF462">
        <v>1164</v>
      </c>
      <c r="BP462">
        <v>326</v>
      </c>
      <c r="BR462">
        <v>545</v>
      </c>
      <c r="BS462">
        <v>197</v>
      </c>
      <c r="BT462">
        <v>130</v>
      </c>
      <c r="BV462">
        <v>91</v>
      </c>
      <c r="BW462">
        <v>1289</v>
      </c>
      <c r="BX462">
        <f t="shared" si="51"/>
        <v>1887</v>
      </c>
      <c r="BY462" s="5">
        <f t="shared" ref="BY462:BY525" si="53">(BW462-BX462)/BX462</f>
        <v>-0.3169051404345522</v>
      </c>
      <c r="BZ462" s="6">
        <f t="shared" si="52"/>
        <v>-0.3169051404345522</v>
      </c>
      <c r="CA462" s="7">
        <v>44528</v>
      </c>
      <c r="CE462">
        <v>472</v>
      </c>
      <c r="CF462">
        <v>401</v>
      </c>
      <c r="CG462">
        <v>416</v>
      </c>
      <c r="CI462">
        <f t="shared" si="49"/>
        <v>2021</v>
      </c>
      <c r="CJ462" t="str">
        <f t="shared" si="50"/>
        <v>5619_2021</v>
      </c>
    </row>
    <row r="463" spans="1:88" x14ac:dyDescent="0.25">
      <c r="A463" t="s">
        <v>111</v>
      </c>
      <c r="B463" t="s">
        <v>196</v>
      </c>
      <c r="C463">
        <v>5619</v>
      </c>
      <c r="D463">
        <v>-37.796014</v>
      </c>
      <c r="E463">
        <v>145.00105600000001</v>
      </c>
      <c r="F463">
        <v>3</v>
      </c>
      <c r="G463" t="s">
        <v>199</v>
      </c>
      <c r="H463">
        <v>14</v>
      </c>
      <c r="I463">
        <v>194</v>
      </c>
      <c r="J463">
        <v>78</v>
      </c>
      <c r="K463">
        <v>258</v>
      </c>
      <c r="L463">
        <v>248</v>
      </c>
      <c r="M463">
        <v>68</v>
      </c>
      <c r="T463">
        <v>46</v>
      </c>
      <c r="U463">
        <v>123</v>
      </c>
      <c r="Y463">
        <v>56</v>
      </c>
      <c r="Z463">
        <v>307</v>
      </c>
      <c r="AD463">
        <v>74</v>
      </c>
      <c r="AE463">
        <v>275</v>
      </c>
      <c r="AX463">
        <v>169</v>
      </c>
      <c r="AY463">
        <v>130</v>
      </c>
      <c r="AZ463">
        <v>299</v>
      </c>
      <c r="BA463">
        <v>363</v>
      </c>
      <c r="BB463">
        <v>321</v>
      </c>
      <c r="BC463">
        <v>684</v>
      </c>
      <c r="BD463">
        <v>349</v>
      </c>
      <c r="BE463">
        <v>430</v>
      </c>
      <c r="BF463">
        <v>779</v>
      </c>
      <c r="BP463">
        <v>194</v>
      </c>
      <c r="BR463">
        <v>345</v>
      </c>
      <c r="BS463">
        <v>180</v>
      </c>
      <c r="BT463">
        <v>154</v>
      </c>
      <c r="BU463">
        <v>7</v>
      </c>
      <c r="BV463">
        <v>1</v>
      </c>
      <c r="BW463">
        <v>881</v>
      </c>
      <c r="BX463">
        <f t="shared" si="51"/>
        <v>1289</v>
      </c>
      <c r="BY463" s="5">
        <f t="shared" si="53"/>
        <v>-0.31652443754848719</v>
      </c>
      <c r="BZ463" s="6">
        <f t="shared" si="52"/>
        <v>-0.31652443754848719</v>
      </c>
      <c r="CA463" s="7">
        <v>44878</v>
      </c>
      <c r="CE463">
        <v>293</v>
      </c>
      <c r="CF463">
        <v>295</v>
      </c>
      <c r="CG463">
        <v>293</v>
      </c>
      <c r="CI463">
        <f t="shared" si="49"/>
        <v>2022</v>
      </c>
      <c r="CJ463" t="str">
        <f t="shared" si="50"/>
        <v>5619_2022</v>
      </c>
    </row>
    <row r="464" spans="1:88" x14ac:dyDescent="0.25">
      <c r="A464" t="s">
        <v>111</v>
      </c>
      <c r="B464" t="s">
        <v>196</v>
      </c>
      <c r="C464">
        <v>5620</v>
      </c>
      <c r="D464">
        <v>-37.778438000000001</v>
      </c>
      <c r="E464">
        <v>144.99042399999999</v>
      </c>
      <c r="F464">
        <v>4</v>
      </c>
      <c r="G464" t="s">
        <v>200</v>
      </c>
      <c r="H464">
        <v>98</v>
      </c>
      <c r="I464">
        <v>278</v>
      </c>
      <c r="J464">
        <v>145</v>
      </c>
      <c r="K464">
        <v>325</v>
      </c>
      <c r="L464">
        <v>171</v>
      </c>
      <c r="M464">
        <v>351</v>
      </c>
      <c r="N464">
        <v>341</v>
      </c>
      <c r="O464">
        <v>161</v>
      </c>
      <c r="Z464">
        <v>33</v>
      </c>
      <c r="AA464">
        <v>66</v>
      </c>
      <c r="AE464">
        <v>41</v>
      </c>
      <c r="AF464">
        <v>27</v>
      </c>
      <c r="AJ464">
        <v>49</v>
      </c>
      <c r="AK464">
        <v>36</v>
      </c>
      <c r="BA464">
        <v>99</v>
      </c>
      <c r="BB464">
        <v>90</v>
      </c>
      <c r="BC464">
        <v>189</v>
      </c>
      <c r="BD464">
        <v>68</v>
      </c>
      <c r="BE464">
        <v>69</v>
      </c>
      <c r="BF464">
        <v>137</v>
      </c>
      <c r="BG464">
        <v>85</v>
      </c>
      <c r="BH464">
        <v>93</v>
      </c>
      <c r="BI464">
        <v>178</v>
      </c>
      <c r="BP464">
        <v>213</v>
      </c>
      <c r="BR464">
        <v>28</v>
      </c>
      <c r="BS464">
        <v>6</v>
      </c>
      <c r="BT464">
        <v>4</v>
      </c>
      <c r="BV464">
        <v>1</v>
      </c>
      <c r="BW464">
        <v>252</v>
      </c>
      <c r="BX464" t="s">
        <v>82</v>
      </c>
      <c r="BY464" s="5"/>
      <c r="BZ464" s="6"/>
      <c r="CA464" s="7">
        <v>40853</v>
      </c>
      <c r="CI464">
        <f t="shared" si="49"/>
        <v>2011</v>
      </c>
      <c r="CJ464" t="str">
        <f t="shared" si="50"/>
        <v>5620_2011</v>
      </c>
    </row>
    <row r="465" spans="1:88" x14ac:dyDescent="0.25">
      <c r="A465" t="s">
        <v>111</v>
      </c>
      <c r="B465" t="s">
        <v>196</v>
      </c>
      <c r="C465">
        <v>5620</v>
      </c>
      <c r="D465">
        <v>-37.778438000000001</v>
      </c>
      <c r="E465">
        <v>144.99042399999999</v>
      </c>
      <c r="F465">
        <v>4</v>
      </c>
      <c r="G465" t="s">
        <v>200</v>
      </c>
      <c r="H465">
        <v>98</v>
      </c>
      <c r="I465">
        <v>278</v>
      </c>
      <c r="J465">
        <v>145</v>
      </c>
      <c r="K465">
        <v>325</v>
      </c>
      <c r="L465">
        <v>171</v>
      </c>
      <c r="M465">
        <v>351</v>
      </c>
      <c r="N465">
        <v>341</v>
      </c>
      <c r="O465">
        <v>161</v>
      </c>
      <c r="Z465">
        <v>77</v>
      </c>
      <c r="AA465">
        <v>115</v>
      </c>
      <c r="AE465">
        <v>76</v>
      </c>
      <c r="AF465">
        <v>72</v>
      </c>
      <c r="AJ465">
        <v>109</v>
      </c>
      <c r="AK465">
        <v>94</v>
      </c>
      <c r="BA465">
        <v>192</v>
      </c>
      <c r="BB465">
        <v>185</v>
      </c>
      <c r="BC465">
        <v>377</v>
      </c>
      <c r="BD465">
        <v>148</v>
      </c>
      <c r="BE465">
        <v>171</v>
      </c>
      <c r="BF465">
        <v>319</v>
      </c>
      <c r="BG465">
        <v>203</v>
      </c>
      <c r="BH465">
        <v>187</v>
      </c>
      <c r="BI465">
        <v>390</v>
      </c>
      <c r="BP465">
        <v>439</v>
      </c>
      <c r="BR465">
        <v>71</v>
      </c>
      <c r="BS465">
        <v>20</v>
      </c>
      <c r="BT465">
        <v>10</v>
      </c>
      <c r="BV465">
        <v>3</v>
      </c>
      <c r="BW465">
        <v>543</v>
      </c>
      <c r="BX465">
        <f t="shared" ref="BX465:BX474" si="54">IF(C465=C464,IF((CI465-1)=CI464,BW464,"no data"))</f>
        <v>252</v>
      </c>
      <c r="BY465" s="5">
        <f t="shared" si="53"/>
        <v>1.1547619047619047</v>
      </c>
      <c r="BZ465" s="6">
        <f t="shared" si="52"/>
        <v>1.1547619047619047</v>
      </c>
      <c r="CA465" s="7">
        <v>41224</v>
      </c>
      <c r="CI465">
        <f t="shared" si="49"/>
        <v>2012</v>
      </c>
      <c r="CJ465" t="str">
        <f t="shared" si="50"/>
        <v>5620_2012</v>
      </c>
    </row>
    <row r="466" spans="1:88" x14ac:dyDescent="0.25">
      <c r="A466" t="s">
        <v>111</v>
      </c>
      <c r="B466" t="s">
        <v>196</v>
      </c>
      <c r="C466">
        <v>5620</v>
      </c>
      <c r="D466">
        <v>-37.778438000000001</v>
      </c>
      <c r="E466">
        <v>144.99042399999999</v>
      </c>
      <c r="F466">
        <v>4</v>
      </c>
      <c r="G466" t="s">
        <v>200</v>
      </c>
      <c r="H466">
        <v>98</v>
      </c>
      <c r="I466">
        <v>278</v>
      </c>
      <c r="J466">
        <v>145</v>
      </c>
      <c r="K466">
        <v>325</v>
      </c>
      <c r="L466">
        <v>171</v>
      </c>
      <c r="M466">
        <v>351</v>
      </c>
      <c r="N466">
        <v>341</v>
      </c>
      <c r="O466">
        <v>161</v>
      </c>
      <c r="Z466">
        <v>95</v>
      </c>
      <c r="AA466">
        <v>135</v>
      </c>
      <c r="AE466">
        <v>83</v>
      </c>
      <c r="AF466">
        <v>53</v>
      </c>
      <c r="AJ466">
        <v>96</v>
      </c>
      <c r="AK466">
        <v>89</v>
      </c>
      <c r="BA466">
        <v>230</v>
      </c>
      <c r="BB466">
        <v>179</v>
      </c>
      <c r="BC466">
        <v>409</v>
      </c>
      <c r="BD466">
        <v>136</v>
      </c>
      <c r="BE466">
        <v>184</v>
      </c>
      <c r="BF466">
        <v>320</v>
      </c>
      <c r="BG466">
        <v>185</v>
      </c>
      <c r="BH466">
        <v>188</v>
      </c>
      <c r="BI466">
        <v>373</v>
      </c>
      <c r="BP466">
        <v>403</v>
      </c>
      <c r="BR466">
        <v>88</v>
      </c>
      <c r="BS466">
        <v>47</v>
      </c>
      <c r="BT466">
        <v>13</v>
      </c>
      <c r="BV466">
        <v>0</v>
      </c>
      <c r="BW466">
        <v>551</v>
      </c>
      <c r="BX466">
        <f t="shared" si="54"/>
        <v>543</v>
      </c>
      <c r="BY466" s="5">
        <f t="shared" si="53"/>
        <v>1.4732965009208104E-2</v>
      </c>
      <c r="BZ466" s="6">
        <f t="shared" si="52"/>
        <v>1.4732965009208104E-2</v>
      </c>
      <c r="CA466" s="7">
        <v>41588</v>
      </c>
      <c r="CI466">
        <f t="shared" si="49"/>
        <v>2013</v>
      </c>
      <c r="CJ466" t="str">
        <f t="shared" si="50"/>
        <v>5620_2013</v>
      </c>
    </row>
    <row r="467" spans="1:88" x14ac:dyDescent="0.25">
      <c r="A467" t="s">
        <v>111</v>
      </c>
      <c r="B467" t="s">
        <v>196</v>
      </c>
      <c r="C467">
        <v>5620</v>
      </c>
      <c r="D467">
        <v>-37.778438000000001</v>
      </c>
      <c r="E467">
        <v>144.99042399999999</v>
      </c>
      <c r="F467">
        <v>4</v>
      </c>
      <c r="G467" t="s">
        <v>200</v>
      </c>
      <c r="H467">
        <v>98</v>
      </c>
      <c r="I467">
        <v>278</v>
      </c>
      <c r="J467">
        <v>145</v>
      </c>
      <c r="K467">
        <v>325</v>
      </c>
      <c r="L467">
        <v>171</v>
      </c>
      <c r="M467">
        <v>351</v>
      </c>
      <c r="N467">
        <v>341</v>
      </c>
      <c r="O467">
        <v>161</v>
      </c>
      <c r="Z467">
        <v>81</v>
      </c>
      <c r="AA467">
        <v>107</v>
      </c>
      <c r="AE467">
        <v>75</v>
      </c>
      <c r="AF467">
        <v>99</v>
      </c>
      <c r="AJ467">
        <v>154</v>
      </c>
      <c r="AK467">
        <v>95</v>
      </c>
      <c r="BA467">
        <v>188</v>
      </c>
      <c r="BB467">
        <v>229</v>
      </c>
      <c r="BC467">
        <v>417</v>
      </c>
      <c r="BD467">
        <v>174</v>
      </c>
      <c r="BE467">
        <v>176</v>
      </c>
      <c r="BF467">
        <v>350</v>
      </c>
      <c r="BG467">
        <v>249</v>
      </c>
      <c r="BH467">
        <v>206</v>
      </c>
      <c r="BI467">
        <v>455</v>
      </c>
      <c r="BP467">
        <v>514</v>
      </c>
      <c r="BR467">
        <v>46</v>
      </c>
      <c r="BS467">
        <v>43</v>
      </c>
      <c r="BT467">
        <v>5</v>
      </c>
      <c r="BV467">
        <v>3</v>
      </c>
      <c r="BW467">
        <v>611</v>
      </c>
      <c r="BX467">
        <f t="shared" si="54"/>
        <v>551</v>
      </c>
      <c r="BY467" s="5">
        <f t="shared" si="53"/>
        <v>0.10889292196007259</v>
      </c>
      <c r="BZ467" s="6">
        <f t="shared" si="52"/>
        <v>0.10889292196007259</v>
      </c>
      <c r="CA467" s="7">
        <v>41952</v>
      </c>
      <c r="CI467">
        <f t="shared" si="49"/>
        <v>2014</v>
      </c>
      <c r="CJ467" t="str">
        <f t="shared" si="50"/>
        <v>5620_2014</v>
      </c>
    </row>
    <row r="468" spans="1:88" x14ac:dyDescent="0.25">
      <c r="A468" t="s">
        <v>111</v>
      </c>
      <c r="B468" t="s">
        <v>196</v>
      </c>
      <c r="C468">
        <v>5620</v>
      </c>
      <c r="D468">
        <v>-37.778438000000001</v>
      </c>
      <c r="E468">
        <v>144.99042399999999</v>
      </c>
      <c r="F468">
        <v>4</v>
      </c>
      <c r="G468" t="s">
        <v>200</v>
      </c>
      <c r="H468">
        <v>98</v>
      </c>
      <c r="I468">
        <v>278</v>
      </c>
      <c r="J468">
        <v>145</v>
      </c>
      <c r="K468">
        <v>325</v>
      </c>
      <c r="L468">
        <v>171</v>
      </c>
      <c r="M468">
        <v>351</v>
      </c>
      <c r="N468">
        <v>341</v>
      </c>
      <c r="O468">
        <v>161</v>
      </c>
      <c r="Z468">
        <v>136</v>
      </c>
      <c r="AA468">
        <v>131</v>
      </c>
      <c r="AE468">
        <v>74</v>
      </c>
      <c r="AF468">
        <v>154</v>
      </c>
      <c r="AJ468">
        <v>124</v>
      </c>
      <c r="AK468">
        <v>154</v>
      </c>
      <c r="BA468">
        <v>267</v>
      </c>
      <c r="BB468">
        <v>198</v>
      </c>
      <c r="BC468">
        <v>465</v>
      </c>
      <c r="BD468">
        <v>228</v>
      </c>
      <c r="BE468">
        <v>290</v>
      </c>
      <c r="BF468">
        <v>518</v>
      </c>
      <c r="BG468">
        <v>278</v>
      </c>
      <c r="BH468">
        <v>285</v>
      </c>
      <c r="BI468">
        <v>563</v>
      </c>
      <c r="BP468">
        <v>605</v>
      </c>
      <c r="BR468">
        <v>100</v>
      </c>
      <c r="BS468">
        <v>32</v>
      </c>
      <c r="BT468">
        <v>35</v>
      </c>
      <c r="BV468">
        <v>1</v>
      </c>
      <c r="BW468">
        <v>773</v>
      </c>
      <c r="BX468">
        <f t="shared" si="54"/>
        <v>611</v>
      </c>
      <c r="BY468" s="5">
        <f t="shared" si="53"/>
        <v>0.265139116202946</v>
      </c>
      <c r="BZ468" s="6">
        <f t="shared" si="52"/>
        <v>0.265139116202946</v>
      </c>
      <c r="CA468" s="7">
        <v>42316</v>
      </c>
      <c r="CE468">
        <v>156</v>
      </c>
      <c r="CF468">
        <v>181</v>
      </c>
      <c r="CG468">
        <v>213</v>
      </c>
      <c r="CH468">
        <v>223</v>
      </c>
      <c r="CI468">
        <f t="shared" si="49"/>
        <v>2015</v>
      </c>
      <c r="CJ468" t="str">
        <f t="shared" si="50"/>
        <v>5620_2015</v>
      </c>
    </row>
    <row r="469" spans="1:88" x14ac:dyDescent="0.25">
      <c r="A469" t="s">
        <v>111</v>
      </c>
      <c r="B469" t="s">
        <v>196</v>
      </c>
      <c r="C469">
        <v>5620</v>
      </c>
      <c r="D469">
        <v>-37.778438000000001</v>
      </c>
      <c r="E469">
        <v>144.99042399999999</v>
      </c>
      <c r="F469">
        <v>4</v>
      </c>
      <c r="G469" t="s">
        <v>200</v>
      </c>
      <c r="H469">
        <v>98</v>
      </c>
      <c r="I469">
        <v>278</v>
      </c>
      <c r="J469">
        <v>145</v>
      </c>
      <c r="K469">
        <v>325</v>
      </c>
      <c r="L469">
        <v>171</v>
      </c>
      <c r="M469">
        <v>351</v>
      </c>
      <c r="N469">
        <v>341</v>
      </c>
      <c r="O469">
        <v>161</v>
      </c>
      <c r="T469">
        <v>3</v>
      </c>
      <c r="U469">
        <v>4</v>
      </c>
      <c r="V469">
        <v>9</v>
      </c>
      <c r="Y469">
        <v>0</v>
      </c>
      <c r="Z469">
        <v>22</v>
      </c>
      <c r="AA469">
        <v>66</v>
      </c>
      <c r="AD469">
        <v>16</v>
      </c>
      <c r="AE469">
        <v>21</v>
      </c>
      <c r="AF469">
        <v>52</v>
      </c>
      <c r="AI469">
        <v>11</v>
      </c>
      <c r="AJ469">
        <v>49</v>
      </c>
      <c r="AK469">
        <v>41</v>
      </c>
      <c r="AX469">
        <v>16</v>
      </c>
      <c r="AY469">
        <v>27</v>
      </c>
      <c r="AZ469">
        <v>43</v>
      </c>
      <c r="BA469">
        <v>88</v>
      </c>
      <c r="BB469">
        <v>73</v>
      </c>
      <c r="BC469">
        <v>161</v>
      </c>
      <c r="BD469">
        <v>89</v>
      </c>
      <c r="BE469">
        <v>67</v>
      </c>
      <c r="BF469">
        <v>156</v>
      </c>
      <c r="BG469">
        <v>101</v>
      </c>
      <c r="BH469">
        <v>127</v>
      </c>
      <c r="BI469">
        <v>228</v>
      </c>
      <c r="BP469">
        <v>150</v>
      </c>
      <c r="BR469">
        <v>76</v>
      </c>
      <c r="BS469">
        <v>48</v>
      </c>
      <c r="BT469">
        <v>19</v>
      </c>
      <c r="BV469">
        <v>1</v>
      </c>
      <c r="BW469">
        <v>294</v>
      </c>
      <c r="BX469">
        <f t="shared" si="54"/>
        <v>773</v>
      </c>
      <c r="BY469" s="5">
        <f t="shared" si="53"/>
        <v>-0.6196636481241915</v>
      </c>
      <c r="BZ469" s="6">
        <f t="shared" si="52"/>
        <v>-0.6196636481241915</v>
      </c>
      <c r="CA469" s="7">
        <v>42687</v>
      </c>
      <c r="CE469">
        <v>75</v>
      </c>
      <c r="CF469">
        <v>50</v>
      </c>
      <c r="CG469">
        <v>94</v>
      </c>
      <c r="CH469">
        <v>75</v>
      </c>
      <c r="CI469">
        <f t="shared" si="49"/>
        <v>2016</v>
      </c>
      <c r="CJ469" t="str">
        <f t="shared" si="50"/>
        <v>5620_2016</v>
      </c>
    </row>
    <row r="470" spans="1:88" x14ac:dyDescent="0.25">
      <c r="A470" t="s">
        <v>111</v>
      </c>
      <c r="B470" t="s">
        <v>196</v>
      </c>
      <c r="C470">
        <v>5620</v>
      </c>
      <c r="D470">
        <v>-37.778438000000001</v>
      </c>
      <c r="E470">
        <v>144.99042399999999</v>
      </c>
      <c r="F470">
        <v>4</v>
      </c>
      <c r="G470" t="s">
        <v>200</v>
      </c>
      <c r="H470">
        <v>98</v>
      </c>
      <c r="I470">
        <v>278</v>
      </c>
      <c r="J470">
        <v>145</v>
      </c>
      <c r="K470">
        <v>325</v>
      </c>
      <c r="L470">
        <v>171</v>
      </c>
      <c r="M470">
        <v>351</v>
      </c>
      <c r="N470">
        <v>341</v>
      </c>
      <c r="O470">
        <v>161</v>
      </c>
      <c r="T470">
        <v>1</v>
      </c>
      <c r="U470">
        <v>9</v>
      </c>
      <c r="V470">
        <v>0</v>
      </c>
      <c r="Y470">
        <v>0</v>
      </c>
      <c r="Z470">
        <v>92</v>
      </c>
      <c r="AA470">
        <v>147</v>
      </c>
      <c r="AD470">
        <v>26</v>
      </c>
      <c r="AE470">
        <v>67</v>
      </c>
      <c r="AF470">
        <v>114</v>
      </c>
      <c r="AI470">
        <v>4</v>
      </c>
      <c r="AJ470">
        <v>152</v>
      </c>
      <c r="AK470">
        <v>163</v>
      </c>
      <c r="AX470">
        <v>10</v>
      </c>
      <c r="AY470">
        <v>30</v>
      </c>
      <c r="AZ470">
        <v>40</v>
      </c>
      <c r="BA470">
        <v>239</v>
      </c>
      <c r="BB470">
        <v>220</v>
      </c>
      <c r="BC470">
        <v>459</v>
      </c>
      <c r="BD470">
        <v>207</v>
      </c>
      <c r="BE470">
        <v>264</v>
      </c>
      <c r="BF470">
        <v>471</v>
      </c>
      <c r="BG470">
        <v>319</v>
      </c>
      <c r="BH470">
        <v>261</v>
      </c>
      <c r="BI470">
        <v>580</v>
      </c>
      <c r="BP470">
        <v>533</v>
      </c>
      <c r="BR470">
        <v>135</v>
      </c>
      <c r="BS470">
        <v>74</v>
      </c>
      <c r="BT470">
        <v>24</v>
      </c>
      <c r="BV470">
        <v>9</v>
      </c>
      <c r="BW470">
        <v>775</v>
      </c>
      <c r="BX470" t="str">
        <f t="shared" si="54"/>
        <v>no data</v>
      </c>
      <c r="BY470" s="5"/>
      <c r="BZ470" s="6"/>
      <c r="CA470" s="7">
        <v>43415</v>
      </c>
      <c r="CE470">
        <v>147</v>
      </c>
      <c r="CF470">
        <v>216</v>
      </c>
      <c r="CG470">
        <v>199</v>
      </c>
      <c r="CH470">
        <v>213</v>
      </c>
      <c r="CI470">
        <f t="shared" si="49"/>
        <v>2018</v>
      </c>
      <c r="CJ470" t="str">
        <f t="shared" si="50"/>
        <v>5620_2018</v>
      </c>
    </row>
    <row r="471" spans="1:88" x14ac:dyDescent="0.25">
      <c r="A471" t="s">
        <v>111</v>
      </c>
      <c r="B471" t="s">
        <v>196</v>
      </c>
      <c r="C471">
        <v>5620</v>
      </c>
      <c r="D471">
        <v>-37.778438000000001</v>
      </c>
      <c r="E471">
        <v>144.99042399999999</v>
      </c>
      <c r="F471">
        <v>4</v>
      </c>
      <c r="G471" t="s">
        <v>200</v>
      </c>
      <c r="H471">
        <v>98</v>
      </c>
      <c r="I471">
        <v>278</v>
      </c>
      <c r="J471">
        <v>145</v>
      </c>
      <c r="K471">
        <v>325</v>
      </c>
      <c r="L471">
        <v>171</v>
      </c>
      <c r="M471">
        <v>351</v>
      </c>
      <c r="N471">
        <v>341</v>
      </c>
      <c r="O471">
        <v>161</v>
      </c>
      <c r="T471">
        <v>3</v>
      </c>
      <c r="U471">
        <v>10</v>
      </c>
      <c r="V471">
        <v>4</v>
      </c>
      <c r="Y471">
        <v>0</v>
      </c>
      <c r="Z471">
        <v>73</v>
      </c>
      <c r="AA471">
        <v>128</v>
      </c>
      <c r="AD471">
        <v>27</v>
      </c>
      <c r="AE471">
        <v>64</v>
      </c>
      <c r="AF471">
        <v>126</v>
      </c>
      <c r="AI471">
        <v>4</v>
      </c>
      <c r="AJ471">
        <v>84</v>
      </c>
      <c r="AK471">
        <v>95</v>
      </c>
      <c r="AX471">
        <v>17</v>
      </c>
      <c r="AY471">
        <v>31</v>
      </c>
      <c r="AZ471">
        <v>48</v>
      </c>
      <c r="BA471">
        <v>201</v>
      </c>
      <c r="BB471">
        <v>151</v>
      </c>
      <c r="BC471">
        <v>352</v>
      </c>
      <c r="BD471">
        <v>217</v>
      </c>
      <c r="BE471">
        <v>178</v>
      </c>
      <c r="BF471">
        <v>395</v>
      </c>
      <c r="BG471">
        <v>183</v>
      </c>
      <c r="BH471">
        <v>258</v>
      </c>
      <c r="BI471">
        <v>441</v>
      </c>
      <c r="BP471">
        <v>429</v>
      </c>
      <c r="BR471">
        <v>110</v>
      </c>
      <c r="BS471">
        <v>63</v>
      </c>
      <c r="BT471">
        <v>16</v>
      </c>
      <c r="BV471">
        <v>0</v>
      </c>
      <c r="BW471">
        <v>618</v>
      </c>
      <c r="BX471">
        <f t="shared" si="54"/>
        <v>775</v>
      </c>
      <c r="BY471" s="5">
        <f t="shared" si="53"/>
        <v>-0.20258064516129032</v>
      </c>
      <c r="BZ471" s="6">
        <f t="shared" si="52"/>
        <v>-0.20258064516129032</v>
      </c>
      <c r="CA471" s="7">
        <v>43779</v>
      </c>
      <c r="CE471">
        <v>131</v>
      </c>
      <c r="CF471">
        <v>180</v>
      </c>
      <c r="CG471">
        <v>149</v>
      </c>
      <c r="CH471">
        <v>158</v>
      </c>
      <c r="CI471">
        <f t="shared" si="49"/>
        <v>2019</v>
      </c>
      <c r="CJ471" t="str">
        <f t="shared" si="50"/>
        <v>5620_2019</v>
      </c>
    </row>
    <row r="472" spans="1:88" x14ac:dyDescent="0.25">
      <c r="A472" t="s">
        <v>111</v>
      </c>
      <c r="B472" t="s">
        <v>196</v>
      </c>
      <c r="C472">
        <v>5620</v>
      </c>
      <c r="D472">
        <v>-37.778399999999998</v>
      </c>
      <c r="E472">
        <v>144.99039999999999</v>
      </c>
      <c r="F472">
        <v>4</v>
      </c>
      <c r="G472" t="s">
        <v>200</v>
      </c>
      <c r="H472">
        <v>98</v>
      </c>
      <c r="I472">
        <v>278</v>
      </c>
      <c r="J472">
        <v>145</v>
      </c>
      <c r="K472">
        <v>325</v>
      </c>
      <c r="L472">
        <v>171</v>
      </c>
      <c r="M472">
        <v>351</v>
      </c>
      <c r="N472">
        <v>341</v>
      </c>
      <c r="O472">
        <v>161</v>
      </c>
      <c r="T472">
        <v>12</v>
      </c>
      <c r="U472">
        <v>98</v>
      </c>
      <c r="V472">
        <v>16</v>
      </c>
      <c r="Y472">
        <v>10</v>
      </c>
      <c r="Z472">
        <v>189</v>
      </c>
      <c r="AA472">
        <v>309</v>
      </c>
      <c r="AD472">
        <v>86</v>
      </c>
      <c r="AE472">
        <v>108</v>
      </c>
      <c r="AF472">
        <v>228</v>
      </c>
      <c r="AI472">
        <v>18</v>
      </c>
      <c r="AJ472">
        <v>274</v>
      </c>
      <c r="AK472">
        <v>223</v>
      </c>
      <c r="AX472">
        <v>126</v>
      </c>
      <c r="AY472">
        <v>114</v>
      </c>
      <c r="AZ472">
        <v>240</v>
      </c>
      <c r="BA472">
        <v>508</v>
      </c>
      <c r="BB472">
        <v>394</v>
      </c>
      <c r="BC472">
        <v>902</v>
      </c>
      <c r="BD472">
        <v>422</v>
      </c>
      <c r="BE472">
        <v>510</v>
      </c>
      <c r="BF472">
        <v>932</v>
      </c>
      <c r="BG472">
        <v>515</v>
      </c>
      <c r="BH472">
        <v>553</v>
      </c>
      <c r="BI472">
        <v>1068</v>
      </c>
      <c r="BP472">
        <v>1113</v>
      </c>
      <c r="BR472">
        <v>269</v>
      </c>
      <c r="BS472">
        <v>153</v>
      </c>
      <c r="BT472">
        <v>30</v>
      </c>
      <c r="BV472">
        <v>6</v>
      </c>
      <c r="BW472">
        <v>1571</v>
      </c>
      <c r="BX472">
        <f t="shared" si="54"/>
        <v>618</v>
      </c>
      <c r="BY472" s="5">
        <f t="shared" si="53"/>
        <v>1.5420711974110033</v>
      </c>
      <c r="BZ472" s="6">
        <f t="shared" si="52"/>
        <v>1.5420711974110033</v>
      </c>
      <c r="CA472" s="7">
        <v>44143</v>
      </c>
      <c r="CE472">
        <v>352</v>
      </c>
      <c r="CF472">
        <v>389</v>
      </c>
      <c r="CG472">
        <v>406</v>
      </c>
      <c r="CH472">
        <v>424</v>
      </c>
      <c r="CI472">
        <f t="shared" si="49"/>
        <v>2020</v>
      </c>
      <c r="CJ472" t="str">
        <f t="shared" si="50"/>
        <v>5620_2020</v>
      </c>
    </row>
    <row r="473" spans="1:88" x14ac:dyDescent="0.25">
      <c r="A473" t="s">
        <v>111</v>
      </c>
      <c r="B473" t="s">
        <v>196</v>
      </c>
      <c r="C473">
        <v>5620</v>
      </c>
      <c r="D473">
        <v>-37.778438000000001</v>
      </c>
      <c r="E473">
        <v>144.99042399999999</v>
      </c>
      <c r="F473">
        <v>4</v>
      </c>
      <c r="G473" t="s">
        <v>200</v>
      </c>
      <c r="H473">
        <v>98</v>
      </c>
      <c r="I473">
        <v>278</v>
      </c>
      <c r="J473">
        <v>145</v>
      </c>
      <c r="K473">
        <v>325</v>
      </c>
      <c r="L473">
        <v>171</v>
      </c>
      <c r="M473">
        <v>351</v>
      </c>
      <c r="N473">
        <v>341</v>
      </c>
      <c r="O473">
        <v>161</v>
      </c>
      <c r="T473">
        <v>9</v>
      </c>
      <c r="U473">
        <v>35</v>
      </c>
      <c r="V473">
        <v>8</v>
      </c>
      <c r="Y473">
        <v>10</v>
      </c>
      <c r="Z473">
        <v>66</v>
      </c>
      <c r="AA473">
        <v>103</v>
      </c>
      <c r="AD473">
        <v>30</v>
      </c>
      <c r="AE473">
        <v>60</v>
      </c>
      <c r="AF473">
        <v>103</v>
      </c>
      <c r="AI473">
        <v>6</v>
      </c>
      <c r="AJ473">
        <v>89</v>
      </c>
      <c r="AK473">
        <v>117</v>
      </c>
      <c r="AX473">
        <v>52</v>
      </c>
      <c r="AY473">
        <v>46</v>
      </c>
      <c r="AZ473">
        <v>98</v>
      </c>
      <c r="BA473">
        <v>179</v>
      </c>
      <c r="BB473">
        <v>158</v>
      </c>
      <c r="BC473">
        <v>337</v>
      </c>
      <c r="BD473">
        <v>193</v>
      </c>
      <c r="BE473">
        <v>218</v>
      </c>
      <c r="BF473">
        <v>411</v>
      </c>
      <c r="BG473">
        <v>212</v>
      </c>
      <c r="BH473">
        <v>214</v>
      </c>
      <c r="BI473">
        <v>426</v>
      </c>
      <c r="BP473">
        <v>427</v>
      </c>
      <c r="BR473">
        <v>96</v>
      </c>
      <c r="BS473">
        <v>89</v>
      </c>
      <c r="BT473">
        <v>24</v>
      </c>
      <c r="BV473">
        <v>0</v>
      </c>
      <c r="BW473">
        <v>636</v>
      </c>
      <c r="BX473">
        <f t="shared" si="54"/>
        <v>1571</v>
      </c>
      <c r="BY473" s="5">
        <f t="shared" si="53"/>
        <v>-0.59516231699554423</v>
      </c>
      <c r="BZ473" s="6">
        <f t="shared" si="52"/>
        <v>-0.59516231699554423</v>
      </c>
      <c r="CA473" s="7">
        <v>44528</v>
      </c>
      <c r="CE473">
        <v>215</v>
      </c>
      <c r="CF473">
        <v>221</v>
      </c>
      <c r="CG473">
        <v>200</v>
      </c>
      <c r="CI473">
        <f t="shared" si="49"/>
        <v>2021</v>
      </c>
      <c r="CJ473" t="str">
        <f t="shared" si="50"/>
        <v>5620_2021</v>
      </c>
    </row>
    <row r="474" spans="1:88" x14ac:dyDescent="0.25">
      <c r="A474" t="s">
        <v>111</v>
      </c>
      <c r="B474" t="s">
        <v>196</v>
      </c>
      <c r="C474">
        <v>5620</v>
      </c>
      <c r="D474">
        <v>-37.778438000000001</v>
      </c>
      <c r="E474">
        <v>144.99042399999999</v>
      </c>
      <c r="F474">
        <v>4</v>
      </c>
      <c r="G474" t="s">
        <v>200</v>
      </c>
      <c r="H474">
        <v>98</v>
      </c>
      <c r="I474">
        <v>278</v>
      </c>
      <c r="J474">
        <v>145</v>
      </c>
      <c r="K474">
        <v>325</v>
      </c>
      <c r="L474">
        <v>171</v>
      </c>
      <c r="M474">
        <v>351</v>
      </c>
      <c r="N474">
        <v>341</v>
      </c>
      <c r="O474">
        <v>161</v>
      </c>
      <c r="T474">
        <v>1</v>
      </c>
      <c r="U474">
        <v>64</v>
      </c>
      <c r="V474">
        <v>12</v>
      </c>
      <c r="Y474">
        <v>5</v>
      </c>
      <c r="Z474">
        <v>60</v>
      </c>
      <c r="AA474">
        <v>80</v>
      </c>
      <c r="AD474">
        <v>54</v>
      </c>
      <c r="AE474">
        <v>51</v>
      </c>
      <c r="AF474">
        <v>75</v>
      </c>
      <c r="AI474">
        <v>8</v>
      </c>
      <c r="AJ474">
        <v>72</v>
      </c>
      <c r="AK474">
        <v>78</v>
      </c>
      <c r="AX474">
        <v>77</v>
      </c>
      <c r="AY474">
        <v>67</v>
      </c>
      <c r="AZ474">
        <v>144</v>
      </c>
      <c r="BA474">
        <v>145</v>
      </c>
      <c r="BB474">
        <v>124</v>
      </c>
      <c r="BC474">
        <v>269</v>
      </c>
      <c r="BD474">
        <v>180</v>
      </c>
      <c r="BE474">
        <v>202</v>
      </c>
      <c r="BF474">
        <v>382</v>
      </c>
      <c r="BG474">
        <v>158</v>
      </c>
      <c r="BH474">
        <v>167</v>
      </c>
      <c r="BI474">
        <v>325</v>
      </c>
      <c r="BP474">
        <v>322</v>
      </c>
      <c r="BR474">
        <v>134</v>
      </c>
      <c r="BS474">
        <v>74</v>
      </c>
      <c r="BT474">
        <v>27</v>
      </c>
      <c r="BU474">
        <v>1</v>
      </c>
      <c r="BV474">
        <v>2</v>
      </c>
      <c r="BW474">
        <v>560</v>
      </c>
      <c r="BX474">
        <f t="shared" si="54"/>
        <v>636</v>
      </c>
      <c r="BY474" s="5">
        <f t="shared" si="53"/>
        <v>-0.11949685534591195</v>
      </c>
      <c r="BZ474" s="6">
        <f t="shared" si="52"/>
        <v>-0.11949685534591195</v>
      </c>
      <c r="CA474" s="7">
        <v>44878</v>
      </c>
      <c r="CE474">
        <v>148</v>
      </c>
      <c r="CF474">
        <v>236</v>
      </c>
      <c r="CG474">
        <v>176</v>
      </c>
      <c r="CI474">
        <f t="shared" si="49"/>
        <v>2022</v>
      </c>
      <c r="CJ474" t="str">
        <f t="shared" si="50"/>
        <v>5620_2022</v>
      </c>
    </row>
    <row r="475" spans="1:88" x14ac:dyDescent="0.25">
      <c r="A475" t="s">
        <v>111</v>
      </c>
      <c r="B475" t="s">
        <v>186</v>
      </c>
      <c r="C475">
        <v>5621</v>
      </c>
      <c r="D475">
        <v>-37.780118000000002</v>
      </c>
      <c r="E475">
        <v>144.95722799999999</v>
      </c>
      <c r="F475">
        <v>3</v>
      </c>
      <c r="G475" t="s">
        <v>201</v>
      </c>
      <c r="H475">
        <v>23</v>
      </c>
      <c r="I475">
        <v>203</v>
      </c>
      <c r="J475">
        <v>72</v>
      </c>
      <c r="K475">
        <v>252</v>
      </c>
      <c r="L475">
        <v>232</v>
      </c>
      <c r="M475">
        <v>52</v>
      </c>
      <c r="T475">
        <v>108</v>
      </c>
      <c r="U475">
        <v>43</v>
      </c>
      <c r="Y475">
        <v>58</v>
      </c>
      <c r="Z475">
        <v>117</v>
      </c>
      <c r="AD475">
        <v>54</v>
      </c>
      <c r="AE475">
        <v>117</v>
      </c>
      <c r="AX475">
        <v>151</v>
      </c>
      <c r="AY475">
        <v>112</v>
      </c>
      <c r="AZ475">
        <v>263</v>
      </c>
      <c r="BA475">
        <v>175</v>
      </c>
      <c r="BB475">
        <v>225</v>
      </c>
      <c r="BC475">
        <v>400</v>
      </c>
      <c r="BD475">
        <v>171</v>
      </c>
      <c r="BE475">
        <v>160</v>
      </c>
      <c r="BF475">
        <v>331</v>
      </c>
      <c r="BP475">
        <v>224</v>
      </c>
      <c r="BR475">
        <v>113</v>
      </c>
      <c r="BS475">
        <v>113</v>
      </c>
      <c r="BT475">
        <v>22</v>
      </c>
      <c r="BV475">
        <v>25</v>
      </c>
      <c r="BW475">
        <v>497</v>
      </c>
      <c r="BX475" t="s">
        <v>82</v>
      </c>
      <c r="BY475" s="5"/>
      <c r="BZ475" s="6"/>
      <c r="CA475" s="7">
        <v>42687</v>
      </c>
      <c r="CE475">
        <v>130</v>
      </c>
      <c r="CF475">
        <v>147</v>
      </c>
      <c r="CG475">
        <v>110</v>
      </c>
      <c r="CH475">
        <v>110</v>
      </c>
      <c r="CI475">
        <f t="shared" si="49"/>
        <v>2016</v>
      </c>
      <c r="CJ475" t="str">
        <f t="shared" si="50"/>
        <v>5621_2016</v>
      </c>
    </row>
    <row r="476" spans="1:88" x14ac:dyDescent="0.25">
      <c r="A476" t="s">
        <v>111</v>
      </c>
      <c r="B476" t="s">
        <v>186</v>
      </c>
      <c r="C476">
        <v>5621</v>
      </c>
      <c r="D476">
        <v>-37.780118000000002</v>
      </c>
      <c r="E476">
        <v>144.95722799999999</v>
      </c>
      <c r="F476">
        <v>3</v>
      </c>
      <c r="G476" t="s">
        <v>201</v>
      </c>
      <c r="H476">
        <v>23</v>
      </c>
      <c r="I476">
        <v>203</v>
      </c>
      <c r="J476">
        <v>72</v>
      </c>
      <c r="K476">
        <v>252</v>
      </c>
      <c r="L476">
        <v>232</v>
      </c>
      <c r="M476">
        <v>52</v>
      </c>
      <c r="T476">
        <v>95</v>
      </c>
      <c r="U476">
        <v>160</v>
      </c>
      <c r="Y476">
        <v>128</v>
      </c>
      <c r="Z476">
        <v>253</v>
      </c>
      <c r="AD476">
        <v>86</v>
      </c>
      <c r="AE476">
        <v>257</v>
      </c>
      <c r="AX476">
        <v>255</v>
      </c>
      <c r="AY476">
        <v>214</v>
      </c>
      <c r="AZ476">
        <v>469</v>
      </c>
      <c r="BA476">
        <v>381</v>
      </c>
      <c r="BB476">
        <v>352</v>
      </c>
      <c r="BC476">
        <v>733</v>
      </c>
      <c r="BD476">
        <v>343</v>
      </c>
      <c r="BE476">
        <v>413</v>
      </c>
      <c r="BF476">
        <v>756</v>
      </c>
      <c r="BP476">
        <v>736</v>
      </c>
      <c r="BR476">
        <v>110</v>
      </c>
      <c r="BS476">
        <v>105</v>
      </c>
      <c r="BT476">
        <v>26</v>
      </c>
      <c r="BV476">
        <v>2</v>
      </c>
      <c r="BW476">
        <v>979</v>
      </c>
      <c r="BX476">
        <f>IF(C476=C475,IF((CI476-1)=CI475,BW475,"no data"))</f>
        <v>497</v>
      </c>
      <c r="BY476" s="5">
        <f t="shared" si="53"/>
        <v>0.96981891348088534</v>
      </c>
      <c r="BZ476" s="6">
        <f t="shared" si="52"/>
        <v>0.96981891348088534</v>
      </c>
      <c r="CA476" s="7">
        <v>43051</v>
      </c>
      <c r="CE476">
        <v>177</v>
      </c>
      <c r="CF476">
        <v>203</v>
      </c>
      <c r="CG476">
        <v>284</v>
      </c>
      <c r="CH476">
        <v>315</v>
      </c>
      <c r="CI476">
        <f t="shared" si="49"/>
        <v>2017</v>
      </c>
      <c r="CJ476" t="str">
        <f t="shared" si="50"/>
        <v>5621_2017</v>
      </c>
    </row>
    <row r="477" spans="1:88" x14ac:dyDescent="0.25">
      <c r="A477" t="s">
        <v>111</v>
      </c>
      <c r="B477" t="s">
        <v>186</v>
      </c>
      <c r="C477">
        <v>5621</v>
      </c>
      <c r="D477">
        <v>-37.780118000000002</v>
      </c>
      <c r="E477">
        <v>144.95722799999999</v>
      </c>
      <c r="F477">
        <v>3</v>
      </c>
      <c r="G477" t="s">
        <v>201</v>
      </c>
      <c r="H477">
        <v>23</v>
      </c>
      <c r="I477">
        <v>203</v>
      </c>
      <c r="J477">
        <v>72</v>
      </c>
      <c r="K477">
        <v>252</v>
      </c>
      <c r="L477">
        <v>232</v>
      </c>
      <c r="M477">
        <v>52</v>
      </c>
      <c r="T477">
        <v>108</v>
      </c>
      <c r="U477">
        <v>114</v>
      </c>
      <c r="Y477">
        <v>87</v>
      </c>
      <c r="Z477">
        <v>292</v>
      </c>
      <c r="AD477">
        <v>93</v>
      </c>
      <c r="AE477">
        <v>235</v>
      </c>
      <c r="AX477">
        <v>222</v>
      </c>
      <c r="AY477">
        <v>180</v>
      </c>
      <c r="AZ477">
        <v>402</v>
      </c>
      <c r="BA477">
        <v>379</v>
      </c>
      <c r="BB477">
        <v>343</v>
      </c>
      <c r="BC477">
        <v>722</v>
      </c>
      <c r="BD477">
        <v>328</v>
      </c>
      <c r="BE477">
        <v>406</v>
      </c>
      <c r="BF477">
        <v>734</v>
      </c>
      <c r="BP477">
        <v>650</v>
      </c>
      <c r="BR477">
        <v>144</v>
      </c>
      <c r="BS477">
        <v>109</v>
      </c>
      <c r="BT477">
        <v>20</v>
      </c>
      <c r="BV477">
        <v>6</v>
      </c>
      <c r="BW477">
        <v>929</v>
      </c>
      <c r="BX477">
        <f>IF(C477=C476,IF((CI477-1)=CI476,BW476,"no data"))</f>
        <v>979</v>
      </c>
      <c r="BY477" s="5">
        <f t="shared" si="53"/>
        <v>-5.1072522982635343E-2</v>
      </c>
      <c r="BZ477" s="6">
        <f t="shared" si="52"/>
        <v>-5.1072522982635343E-2</v>
      </c>
      <c r="CA477" s="7">
        <v>43415</v>
      </c>
      <c r="CE477">
        <v>225</v>
      </c>
      <c r="CF477">
        <v>239</v>
      </c>
      <c r="CG477">
        <v>236</v>
      </c>
      <c r="CH477">
        <v>229</v>
      </c>
      <c r="CI477">
        <f t="shared" si="49"/>
        <v>2018</v>
      </c>
      <c r="CJ477" t="str">
        <f t="shared" si="50"/>
        <v>5621_2018</v>
      </c>
    </row>
    <row r="478" spans="1:88" x14ac:dyDescent="0.25">
      <c r="A478" t="s">
        <v>111</v>
      </c>
      <c r="B478" t="s">
        <v>186</v>
      </c>
      <c r="C478">
        <v>5621</v>
      </c>
      <c r="D478">
        <v>-37.780099999999997</v>
      </c>
      <c r="E478">
        <v>144.9572</v>
      </c>
      <c r="F478">
        <v>3</v>
      </c>
      <c r="G478" t="s">
        <v>201</v>
      </c>
      <c r="H478">
        <v>23</v>
      </c>
      <c r="I478">
        <v>203</v>
      </c>
      <c r="J478">
        <v>72</v>
      </c>
      <c r="K478">
        <v>252</v>
      </c>
      <c r="L478">
        <v>232</v>
      </c>
      <c r="M478">
        <v>52</v>
      </c>
      <c r="T478">
        <v>174</v>
      </c>
      <c r="U478">
        <v>210</v>
      </c>
      <c r="Y478">
        <v>131</v>
      </c>
      <c r="Z478">
        <v>677</v>
      </c>
      <c r="AD478">
        <v>178</v>
      </c>
      <c r="AE478">
        <v>529</v>
      </c>
      <c r="AX478">
        <v>384</v>
      </c>
      <c r="AY478">
        <v>309</v>
      </c>
      <c r="AZ478">
        <v>693</v>
      </c>
      <c r="BA478">
        <v>808</v>
      </c>
      <c r="BB478">
        <v>703</v>
      </c>
      <c r="BC478">
        <v>1511</v>
      </c>
      <c r="BD478">
        <v>707</v>
      </c>
      <c r="BE478">
        <v>887</v>
      </c>
      <c r="BF478">
        <v>1594</v>
      </c>
      <c r="BP478">
        <v>1350</v>
      </c>
      <c r="BR478">
        <v>246</v>
      </c>
      <c r="BS478">
        <v>266</v>
      </c>
      <c r="BT478">
        <v>27</v>
      </c>
      <c r="BV478">
        <v>10</v>
      </c>
      <c r="BW478">
        <v>1899</v>
      </c>
      <c r="BX478" t="str">
        <f>IF(C478=C477,IF((CI478-1)=CI477,BW477,"no data"))</f>
        <v>no data</v>
      </c>
      <c r="BY478" s="5"/>
      <c r="BZ478" s="6"/>
      <c r="CA478" s="7">
        <v>44143</v>
      </c>
      <c r="CE478">
        <v>470</v>
      </c>
      <c r="CF478">
        <v>444</v>
      </c>
      <c r="CG478">
        <v>493</v>
      </c>
      <c r="CH478">
        <v>492</v>
      </c>
      <c r="CI478">
        <f t="shared" si="49"/>
        <v>2020</v>
      </c>
      <c r="CJ478" t="str">
        <f t="shared" si="50"/>
        <v>5621_2020</v>
      </c>
    </row>
    <row r="479" spans="1:88" x14ac:dyDescent="0.25">
      <c r="A479" t="s">
        <v>111</v>
      </c>
      <c r="B479" t="s">
        <v>186</v>
      </c>
      <c r="C479">
        <v>5621</v>
      </c>
      <c r="D479">
        <v>-37.780118000000002</v>
      </c>
      <c r="E479">
        <v>144.95722799999999</v>
      </c>
      <c r="F479">
        <v>3</v>
      </c>
      <c r="G479" t="s">
        <v>201</v>
      </c>
      <c r="H479">
        <v>23</v>
      </c>
      <c r="I479">
        <v>203</v>
      </c>
      <c r="J479">
        <v>72</v>
      </c>
      <c r="K479">
        <v>252</v>
      </c>
      <c r="L479">
        <v>232</v>
      </c>
      <c r="M479">
        <v>52</v>
      </c>
      <c r="T479">
        <v>117</v>
      </c>
      <c r="U479">
        <v>100</v>
      </c>
      <c r="Y479">
        <v>87</v>
      </c>
      <c r="Z479">
        <v>204</v>
      </c>
      <c r="AD479">
        <v>72</v>
      </c>
      <c r="AE479">
        <v>172</v>
      </c>
      <c r="AX479">
        <v>217</v>
      </c>
      <c r="AY479">
        <v>159</v>
      </c>
      <c r="AZ479">
        <v>376</v>
      </c>
      <c r="BA479">
        <v>291</v>
      </c>
      <c r="BB479">
        <v>289</v>
      </c>
      <c r="BC479">
        <v>580</v>
      </c>
      <c r="BD479">
        <v>244</v>
      </c>
      <c r="BE479">
        <v>304</v>
      </c>
      <c r="BF479">
        <v>548</v>
      </c>
      <c r="BP479">
        <v>427</v>
      </c>
      <c r="BR479">
        <v>135</v>
      </c>
      <c r="BS479">
        <v>163</v>
      </c>
      <c r="BT479">
        <v>17</v>
      </c>
      <c r="BU479">
        <v>10</v>
      </c>
      <c r="BV479">
        <v>0</v>
      </c>
      <c r="BW479">
        <v>752</v>
      </c>
      <c r="BX479" t="str">
        <f>IF(C479=C478,IF((CI479-1)=CI478,BW478,"no data"))</f>
        <v>no data</v>
      </c>
      <c r="BY479" s="5"/>
      <c r="BZ479" s="6"/>
      <c r="CA479" s="7">
        <v>44878</v>
      </c>
      <c r="CE479">
        <v>257</v>
      </c>
      <c r="CF479">
        <v>265</v>
      </c>
      <c r="CG479">
        <v>230</v>
      </c>
      <c r="CI479">
        <f t="shared" si="49"/>
        <v>2022</v>
      </c>
      <c r="CJ479" t="str">
        <f t="shared" si="50"/>
        <v>5621_2022</v>
      </c>
    </row>
    <row r="480" spans="1:88" x14ac:dyDescent="0.25">
      <c r="A480" t="s">
        <v>111</v>
      </c>
      <c r="B480" t="s">
        <v>135</v>
      </c>
      <c r="C480">
        <v>5622</v>
      </c>
      <c r="D480">
        <v>-37.78754</v>
      </c>
      <c r="E480">
        <v>144.93993</v>
      </c>
      <c r="F480">
        <v>3</v>
      </c>
      <c r="G480" t="s">
        <v>202</v>
      </c>
      <c r="H480">
        <v>64</v>
      </c>
      <c r="I480">
        <v>244</v>
      </c>
      <c r="J480">
        <v>235</v>
      </c>
      <c r="K480">
        <v>55</v>
      </c>
      <c r="L480">
        <v>350</v>
      </c>
      <c r="M480">
        <v>170</v>
      </c>
      <c r="T480">
        <v>81</v>
      </c>
      <c r="U480">
        <v>22</v>
      </c>
      <c r="Y480">
        <v>46</v>
      </c>
      <c r="Z480">
        <v>57</v>
      </c>
      <c r="AD480">
        <v>32</v>
      </c>
      <c r="AE480">
        <v>48</v>
      </c>
      <c r="AX480">
        <v>103</v>
      </c>
      <c r="AY480">
        <v>78</v>
      </c>
      <c r="AZ480">
        <v>181</v>
      </c>
      <c r="BA480">
        <v>103</v>
      </c>
      <c r="BB480">
        <v>129</v>
      </c>
      <c r="BC480">
        <v>232</v>
      </c>
      <c r="BD480">
        <v>80</v>
      </c>
      <c r="BE480">
        <v>79</v>
      </c>
      <c r="BF480">
        <v>159</v>
      </c>
      <c r="BP480">
        <v>210</v>
      </c>
      <c r="BR480">
        <v>56</v>
      </c>
      <c r="BS480">
        <v>7</v>
      </c>
      <c r="BT480">
        <v>3</v>
      </c>
      <c r="BV480">
        <v>10</v>
      </c>
      <c r="BW480">
        <v>286</v>
      </c>
      <c r="BX480" t="s">
        <v>82</v>
      </c>
      <c r="BY480" s="5"/>
      <c r="BZ480" s="6"/>
      <c r="CA480" s="7">
        <v>40853</v>
      </c>
      <c r="CI480">
        <f t="shared" si="49"/>
        <v>2011</v>
      </c>
      <c r="CJ480" t="str">
        <f t="shared" si="50"/>
        <v>5622_2011</v>
      </c>
    </row>
    <row r="481" spans="1:88" x14ac:dyDescent="0.25">
      <c r="A481" t="s">
        <v>111</v>
      </c>
      <c r="B481" t="s">
        <v>135</v>
      </c>
      <c r="C481">
        <v>5623</v>
      </c>
      <c r="D481">
        <v>-37.772824999999997</v>
      </c>
      <c r="E481">
        <v>144.93743000000001</v>
      </c>
      <c r="F481">
        <v>3</v>
      </c>
      <c r="G481" t="s">
        <v>203</v>
      </c>
      <c r="H481">
        <v>31</v>
      </c>
      <c r="I481">
        <v>211</v>
      </c>
      <c r="J481">
        <v>171</v>
      </c>
      <c r="K481">
        <v>351</v>
      </c>
      <c r="L481">
        <v>223</v>
      </c>
      <c r="M481">
        <v>43</v>
      </c>
      <c r="T481">
        <v>5</v>
      </c>
      <c r="U481">
        <v>60</v>
      </c>
      <c r="Y481">
        <v>15</v>
      </c>
      <c r="Z481">
        <v>14</v>
      </c>
      <c r="AD481">
        <v>69</v>
      </c>
      <c r="AE481">
        <v>14</v>
      </c>
      <c r="AX481">
        <v>65</v>
      </c>
      <c r="AY481">
        <v>84</v>
      </c>
      <c r="AZ481">
        <v>149</v>
      </c>
      <c r="BA481">
        <v>29</v>
      </c>
      <c r="BB481">
        <v>19</v>
      </c>
      <c r="BC481">
        <v>48</v>
      </c>
      <c r="BD481">
        <v>83</v>
      </c>
      <c r="BE481">
        <v>74</v>
      </c>
      <c r="BF481">
        <v>157</v>
      </c>
      <c r="BP481">
        <v>137</v>
      </c>
      <c r="BR481">
        <v>18</v>
      </c>
      <c r="BS481">
        <v>17</v>
      </c>
      <c r="BT481">
        <v>2</v>
      </c>
      <c r="BV481">
        <v>3</v>
      </c>
      <c r="BW481">
        <v>177</v>
      </c>
      <c r="BX481" t="s">
        <v>82</v>
      </c>
      <c r="BY481" s="5"/>
      <c r="BZ481" s="6"/>
      <c r="CA481" s="7">
        <v>40853</v>
      </c>
      <c r="CI481">
        <f t="shared" si="49"/>
        <v>2011</v>
      </c>
      <c r="CJ481" t="str">
        <f t="shared" si="50"/>
        <v>5623_2011</v>
      </c>
    </row>
    <row r="482" spans="1:88" x14ac:dyDescent="0.25">
      <c r="A482" t="s">
        <v>111</v>
      </c>
      <c r="B482" t="s">
        <v>135</v>
      </c>
      <c r="C482">
        <v>5624</v>
      </c>
      <c r="D482">
        <v>-37.736553000000001</v>
      </c>
      <c r="E482">
        <v>144.92855800000001</v>
      </c>
      <c r="F482">
        <v>3</v>
      </c>
      <c r="G482" t="s">
        <v>204</v>
      </c>
      <c r="H482">
        <v>169</v>
      </c>
      <c r="I482">
        <v>349</v>
      </c>
      <c r="J482">
        <v>306</v>
      </c>
      <c r="K482">
        <v>126</v>
      </c>
      <c r="L482">
        <v>354</v>
      </c>
      <c r="M482">
        <v>174</v>
      </c>
      <c r="T482">
        <v>0</v>
      </c>
      <c r="U482">
        <v>51</v>
      </c>
      <c r="Y482">
        <v>0</v>
      </c>
      <c r="Z482">
        <v>0</v>
      </c>
      <c r="AD482">
        <v>49</v>
      </c>
      <c r="AE482">
        <v>0</v>
      </c>
      <c r="AX482">
        <v>51</v>
      </c>
      <c r="AY482">
        <v>49</v>
      </c>
      <c r="AZ482">
        <v>100</v>
      </c>
      <c r="BA482">
        <v>0</v>
      </c>
      <c r="BB482">
        <v>0</v>
      </c>
      <c r="BC482">
        <v>0</v>
      </c>
      <c r="BD482">
        <v>49</v>
      </c>
      <c r="BE482">
        <v>51</v>
      </c>
      <c r="BF482">
        <v>100</v>
      </c>
      <c r="BP482">
        <v>72</v>
      </c>
      <c r="BR482">
        <v>9</v>
      </c>
      <c r="BS482">
        <v>11</v>
      </c>
      <c r="BT482">
        <v>8</v>
      </c>
      <c r="BV482">
        <v>0</v>
      </c>
      <c r="BW482">
        <v>100</v>
      </c>
      <c r="BX482" t="s">
        <v>82</v>
      </c>
      <c r="BY482" s="5"/>
      <c r="BZ482" s="6"/>
      <c r="CA482" s="7">
        <v>41952</v>
      </c>
      <c r="CI482">
        <f t="shared" si="49"/>
        <v>2014</v>
      </c>
      <c r="CJ482" t="str">
        <f t="shared" si="50"/>
        <v>5624_2014</v>
      </c>
    </row>
    <row r="483" spans="1:88" x14ac:dyDescent="0.25">
      <c r="A483" t="s">
        <v>111</v>
      </c>
      <c r="B483" t="s">
        <v>205</v>
      </c>
      <c r="C483">
        <v>5625</v>
      </c>
      <c r="D483">
        <v>-37.683900000000001</v>
      </c>
      <c r="E483">
        <v>144.90299999999999</v>
      </c>
      <c r="F483">
        <v>3</v>
      </c>
      <c r="G483" t="s">
        <v>206</v>
      </c>
      <c r="H483">
        <v>70</v>
      </c>
      <c r="I483">
        <v>250</v>
      </c>
      <c r="J483">
        <v>194</v>
      </c>
      <c r="K483">
        <v>14</v>
      </c>
      <c r="L483">
        <v>342</v>
      </c>
      <c r="M483">
        <v>162</v>
      </c>
      <c r="T483">
        <v>6</v>
      </c>
      <c r="U483">
        <v>15</v>
      </c>
      <c r="Y483">
        <v>7</v>
      </c>
      <c r="Z483">
        <v>21</v>
      </c>
      <c r="AD483">
        <v>26</v>
      </c>
      <c r="AE483">
        <v>19</v>
      </c>
      <c r="AX483">
        <v>21</v>
      </c>
      <c r="AY483">
        <v>33</v>
      </c>
      <c r="AZ483">
        <v>54</v>
      </c>
      <c r="BA483">
        <v>28</v>
      </c>
      <c r="BB483">
        <v>25</v>
      </c>
      <c r="BC483">
        <v>53</v>
      </c>
      <c r="BD483">
        <v>45</v>
      </c>
      <c r="BE483">
        <v>36</v>
      </c>
      <c r="BF483">
        <v>81</v>
      </c>
      <c r="BP483">
        <v>42</v>
      </c>
      <c r="BR483">
        <v>24</v>
      </c>
      <c r="BS483">
        <v>4</v>
      </c>
      <c r="BT483">
        <v>24</v>
      </c>
      <c r="BV483">
        <v>0</v>
      </c>
      <c r="BW483">
        <v>94</v>
      </c>
      <c r="BX483" t="s">
        <v>82</v>
      </c>
      <c r="BY483" s="5"/>
      <c r="BZ483" s="6"/>
      <c r="CA483" s="7">
        <v>40853</v>
      </c>
      <c r="CI483">
        <f t="shared" si="49"/>
        <v>2011</v>
      </c>
      <c r="CJ483" t="str">
        <f t="shared" si="50"/>
        <v>5625_2011</v>
      </c>
    </row>
    <row r="484" spans="1:88" x14ac:dyDescent="0.25">
      <c r="A484" t="s">
        <v>111</v>
      </c>
      <c r="B484" t="s">
        <v>207</v>
      </c>
      <c r="C484">
        <v>5626</v>
      </c>
      <c r="D484">
        <v>-37.742297999999998</v>
      </c>
      <c r="E484">
        <v>144.979006</v>
      </c>
      <c r="F484">
        <v>3</v>
      </c>
      <c r="G484" t="s">
        <v>208</v>
      </c>
      <c r="H484">
        <v>12</v>
      </c>
      <c r="I484">
        <v>192</v>
      </c>
      <c r="J484">
        <v>165</v>
      </c>
      <c r="K484">
        <v>345</v>
      </c>
      <c r="L484">
        <v>278</v>
      </c>
      <c r="M484">
        <v>98</v>
      </c>
      <c r="T484">
        <v>103</v>
      </c>
      <c r="U484">
        <v>4</v>
      </c>
      <c r="Y484">
        <v>97</v>
      </c>
      <c r="Z484">
        <v>1</v>
      </c>
      <c r="AD484">
        <v>4</v>
      </c>
      <c r="AE484">
        <v>0</v>
      </c>
      <c r="AX484">
        <v>107</v>
      </c>
      <c r="AY484">
        <v>101</v>
      </c>
      <c r="AZ484">
        <v>208</v>
      </c>
      <c r="BA484">
        <v>98</v>
      </c>
      <c r="BB484">
        <v>103</v>
      </c>
      <c r="BC484">
        <v>201</v>
      </c>
      <c r="BD484">
        <v>4</v>
      </c>
      <c r="BE484">
        <v>5</v>
      </c>
      <c r="BF484">
        <v>9</v>
      </c>
      <c r="BP484">
        <v>131</v>
      </c>
      <c r="BR484">
        <v>44</v>
      </c>
      <c r="BS484">
        <v>14</v>
      </c>
      <c r="BT484">
        <v>16</v>
      </c>
      <c r="BV484">
        <v>4</v>
      </c>
      <c r="BW484">
        <v>209</v>
      </c>
      <c r="BX484" t="s">
        <v>82</v>
      </c>
      <c r="BY484" s="5"/>
      <c r="BZ484" s="6"/>
      <c r="CA484" s="7">
        <v>40853</v>
      </c>
      <c r="CI484">
        <f t="shared" si="49"/>
        <v>2011</v>
      </c>
      <c r="CJ484" t="str">
        <f t="shared" si="50"/>
        <v>5626_2011</v>
      </c>
    </row>
    <row r="485" spans="1:88" x14ac:dyDescent="0.25">
      <c r="A485" t="s">
        <v>111</v>
      </c>
      <c r="B485" t="s">
        <v>207</v>
      </c>
      <c r="C485">
        <v>5627</v>
      </c>
      <c r="D485">
        <v>-37.730634000000002</v>
      </c>
      <c r="E485">
        <v>144.96770000000001</v>
      </c>
      <c r="F485">
        <v>3</v>
      </c>
      <c r="G485" t="s">
        <v>209</v>
      </c>
      <c r="H485">
        <v>243</v>
      </c>
      <c r="I485">
        <v>63</v>
      </c>
      <c r="J485">
        <v>275</v>
      </c>
      <c r="K485">
        <v>95</v>
      </c>
      <c r="L485">
        <v>322</v>
      </c>
      <c r="M485">
        <v>142</v>
      </c>
      <c r="T485">
        <v>1</v>
      </c>
      <c r="U485">
        <v>97</v>
      </c>
      <c r="Y485">
        <v>4</v>
      </c>
      <c r="Z485">
        <v>2</v>
      </c>
      <c r="AD485">
        <v>81</v>
      </c>
      <c r="AE485">
        <v>0</v>
      </c>
      <c r="AX485">
        <v>98</v>
      </c>
      <c r="AY485">
        <v>85</v>
      </c>
      <c r="AZ485">
        <v>183</v>
      </c>
      <c r="BA485">
        <v>6</v>
      </c>
      <c r="BB485">
        <v>1</v>
      </c>
      <c r="BC485">
        <v>7</v>
      </c>
      <c r="BD485">
        <v>81</v>
      </c>
      <c r="BE485">
        <v>99</v>
      </c>
      <c r="BF485">
        <v>180</v>
      </c>
      <c r="BP485">
        <v>79</v>
      </c>
      <c r="BR485">
        <v>70</v>
      </c>
      <c r="BS485">
        <v>17</v>
      </c>
      <c r="BT485">
        <v>17</v>
      </c>
      <c r="BV485">
        <v>2</v>
      </c>
      <c r="BW485">
        <v>185</v>
      </c>
      <c r="BX485" t="s">
        <v>82</v>
      </c>
      <c r="BY485" s="5"/>
      <c r="BZ485" s="6"/>
      <c r="CA485" s="7">
        <v>40853</v>
      </c>
      <c r="CI485">
        <f t="shared" si="49"/>
        <v>2011</v>
      </c>
      <c r="CJ485" t="str">
        <f t="shared" si="50"/>
        <v>5627_2011</v>
      </c>
    </row>
    <row r="486" spans="1:88" x14ac:dyDescent="0.25">
      <c r="A486" t="s">
        <v>111</v>
      </c>
      <c r="B486" t="s">
        <v>207</v>
      </c>
      <c r="C486">
        <v>5628</v>
      </c>
      <c r="D486">
        <v>-37.692810000000001</v>
      </c>
      <c r="E486">
        <v>144.97031999999999</v>
      </c>
      <c r="F486">
        <v>3</v>
      </c>
      <c r="G486" t="s">
        <v>210</v>
      </c>
      <c r="H486">
        <v>98</v>
      </c>
      <c r="I486">
        <v>278</v>
      </c>
      <c r="J486">
        <v>286</v>
      </c>
      <c r="K486">
        <v>106</v>
      </c>
      <c r="L486">
        <v>355</v>
      </c>
      <c r="M486">
        <v>175</v>
      </c>
      <c r="T486">
        <v>5</v>
      </c>
      <c r="U486">
        <v>7</v>
      </c>
      <c r="Y486">
        <v>5</v>
      </c>
      <c r="Z486">
        <v>4</v>
      </c>
      <c r="AD486">
        <v>8</v>
      </c>
      <c r="AE486">
        <v>6</v>
      </c>
      <c r="AX486">
        <v>12</v>
      </c>
      <c r="AY486">
        <v>13</v>
      </c>
      <c r="AZ486">
        <v>25</v>
      </c>
      <c r="BA486">
        <v>9</v>
      </c>
      <c r="BB486">
        <v>11</v>
      </c>
      <c r="BC486">
        <v>20</v>
      </c>
      <c r="BD486">
        <v>14</v>
      </c>
      <c r="BE486">
        <v>11</v>
      </c>
      <c r="BF486">
        <v>25</v>
      </c>
      <c r="BP486">
        <v>28</v>
      </c>
      <c r="BR486">
        <v>5</v>
      </c>
      <c r="BS486">
        <v>1</v>
      </c>
      <c r="BT486">
        <v>1</v>
      </c>
      <c r="BV486">
        <v>0</v>
      </c>
      <c r="BW486">
        <v>35</v>
      </c>
      <c r="BX486" t="s">
        <v>82</v>
      </c>
      <c r="BY486" s="5"/>
      <c r="BZ486" s="6"/>
      <c r="CA486" s="7">
        <v>40853</v>
      </c>
      <c r="CI486">
        <f t="shared" si="49"/>
        <v>2011</v>
      </c>
      <c r="CJ486" t="str">
        <f t="shared" si="50"/>
        <v>5628_2011</v>
      </c>
    </row>
    <row r="487" spans="1:88" x14ac:dyDescent="0.25">
      <c r="A487" t="s">
        <v>111</v>
      </c>
      <c r="B487" t="s">
        <v>152</v>
      </c>
      <c r="C487">
        <v>5629</v>
      </c>
      <c r="D487">
        <v>-37.6873</v>
      </c>
      <c r="E487">
        <v>145.04169999999999</v>
      </c>
      <c r="F487">
        <v>3</v>
      </c>
      <c r="G487" t="s">
        <v>211</v>
      </c>
      <c r="H487">
        <v>87</v>
      </c>
      <c r="I487">
        <v>267</v>
      </c>
      <c r="J487">
        <v>273</v>
      </c>
      <c r="K487">
        <v>93</v>
      </c>
      <c r="L487">
        <v>340</v>
      </c>
      <c r="M487">
        <v>160</v>
      </c>
      <c r="T487">
        <v>21</v>
      </c>
      <c r="U487">
        <v>3</v>
      </c>
      <c r="Y487">
        <v>47</v>
      </c>
      <c r="Z487">
        <v>3</v>
      </c>
      <c r="AD487">
        <v>4</v>
      </c>
      <c r="AE487">
        <v>6</v>
      </c>
      <c r="AX487">
        <v>24</v>
      </c>
      <c r="AY487">
        <v>51</v>
      </c>
      <c r="AZ487">
        <v>75</v>
      </c>
      <c r="BA487">
        <v>50</v>
      </c>
      <c r="BB487">
        <v>27</v>
      </c>
      <c r="BC487">
        <v>77</v>
      </c>
      <c r="BD487">
        <v>10</v>
      </c>
      <c r="BE487">
        <v>6</v>
      </c>
      <c r="BF487">
        <v>16</v>
      </c>
      <c r="BP487">
        <v>70</v>
      </c>
      <c r="BR487">
        <v>11</v>
      </c>
      <c r="BS487">
        <v>1</v>
      </c>
      <c r="BT487">
        <v>2</v>
      </c>
      <c r="BV487">
        <v>0</v>
      </c>
      <c r="BW487">
        <v>84</v>
      </c>
      <c r="BX487" t="s">
        <v>82</v>
      </c>
      <c r="BY487" s="5"/>
      <c r="BZ487" s="6"/>
      <c r="CA487" s="7">
        <v>40853</v>
      </c>
      <c r="CI487">
        <f t="shared" si="49"/>
        <v>2011</v>
      </c>
      <c r="CJ487" t="str">
        <f t="shared" si="50"/>
        <v>5629_2011</v>
      </c>
    </row>
    <row r="488" spans="1:88" x14ac:dyDescent="0.25">
      <c r="A488" t="s">
        <v>111</v>
      </c>
      <c r="B488" t="s">
        <v>152</v>
      </c>
      <c r="C488">
        <v>5630</v>
      </c>
      <c r="D488">
        <v>-37.686399999999999</v>
      </c>
      <c r="E488">
        <v>145.05170000000001</v>
      </c>
      <c r="F488">
        <v>3</v>
      </c>
      <c r="G488" t="s">
        <v>212</v>
      </c>
      <c r="H488">
        <v>77</v>
      </c>
      <c r="I488">
        <v>257</v>
      </c>
      <c r="J488">
        <v>221</v>
      </c>
      <c r="K488">
        <v>41</v>
      </c>
      <c r="L488">
        <v>268</v>
      </c>
      <c r="M488">
        <v>88</v>
      </c>
      <c r="T488">
        <v>6</v>
      </c>
      <c r="U488">
        <v>31</v>
      </c>
      <c r="Y488">
        <v>5</v>
      </c>
      <c r="Z488">
        <v>7</v>
      </c>
      <c r="AD488">
        <v>48</v>
      </c>
      <c r="AE488">
        <v>8</v>
      </c>
      <c r="AX488">
        <v>37</v>
      </c>
      <c r="AY488">
        <v>53</v>
      </c>
      <c r="AZ488">
        <v>90</v>
      </c>
      <c r="BA488">
        <v>12</v>
      </c>
      <c r="BB488">
        <v>14</v>
      </c>
      <c r="BC488">
        <v>26</v>
      </c>
      <c r="BD488">
        <v>56</v>
      </c>
      <c r="BE488">
        <v>38</v>
      </c>
      <c r="BF488">
        <v>94</v>
      </c>
      <c r="BP488">
        <v>82</v>
      </c>
      <c r="BR488">
        <v>11</v>
      </c>
      <c r="BS488">
        <v>4</v>
      </c>
      <c r="BT488">
        <v>6</v>
      </c>
      <c r="BV488">
        <v>2</v>
      </c>
      <c r="BW488">
        <v>105</v>
      </c>
      <c r="BX488" t="s">
        <v>82</v>
      </c>
      <c r="BY488" s="5"/>
      <c r="BZ488" s="6"/>
      <c r="CA488" s="7">
        <v>40853</v>
      </c>
      <c r="CI488">
        <f t="shared" si="49"/>
        <v>2011</v>
      </c>
      <c r="CJ488" t="str">
        <f t="shared" si="50"/>
        <v>5630_2011</v>
      </c>
    </row>
    <row r="489" spans="1:88" x14ac:dyDescent="0.25">
      <c r="A489" t="s">
        <v>111</v>
      </c>
      <c r="B489" t="s">
        <v>213</v>
      </c>
      <c r="C489">
        <v>5631</v>
      </c>
      <c r="D489">
        <v>-37.841200000000001</v>
      </c>
      <c r="E489">
        <v>144.93260000000001</v>
      </c>
      <c r="F489">
        <v>3</v>
      </c>
      <c r="G489" t="s">
        <v>214</v>
      </c>
      <c r="H489">
        <v>24</v>
      </c>
      <c r="I489">
        <v>204</v>
      </c>
      <c r="J489">
        <v>105</v>
      </c>
      <c r="K489">
        <v>285</v>
      </c>
      <c r="L489">
        <v>286</v>
      </c>
      <c r="M489">
        <v>106</v>
      </c>
      <c r="T489">
        <v>331</v>
      </c>
      <c r="U489">
        <v>125</v>
      </c>
      <c r="Y489">
        <v>320</v>
      </c>
      <c r="Z489">
        <v>681</v>
      </c>
      <c r="AD489">
        <v>131</v>
      </c>
      <c r="AE489">
        <v>642</v>
      </c>
      <c r="AX489">
        <v>456</v>
      </c>
      <c r="AY489">
        <v>451</v>
      </c>
      <c r="AZ489">
        <v>907</v>
      </c>
      <c r="BA489">
        <v>1001</v>
      </c>
      <c r="BB489">
        <v>973</v>
      </c>
      <c r="BC489">
        <v>1974</v>
      </c>
      <c r="BD489">
        <v>773</v>
      </c>
      <c r="BE489">
        <v>806</v>
      </c>
      <c r="BF489">
        <v>1579</v>
      </c>
      <c r="BP489">
        <v>698</v>
      </c>
      <c r="BR489">
        <v>1393</v>
      </c>
      <c r="BS489">
        <v>42</v>
      </c>
      <c r="BT489">
        <v>81</v>
      </c>
      <c r="BV489">
        <v>16</v>
      </c>
      <c r="BW489">
        <v>2230</v>
      </c>
      <c r="BX489" t="s">
        <v>82</v>
      </c>
      <c r="BY489" s="5"/>
      <c r="BZ489" s="6"/>
      <c r="CA489" s="7">
        <v>40853</v>
      </c>
      <c r="CI489">
        <f t="shared" si="49"/>
        <v>2011</v>
      </c>
      <c r="CJ489" t="str">
        <f t="shared" si="50"/>
        <v>5631_2011</v>
      </c>
    </row>
    <row r="490" spans="1:88" x14ac:dyDescent="0.25">
      <c r="A490" t="s">
        <v>111</v>
      </c>
      <c r="B490" t="s">
        <v>213</v>
      </c>
      <c r="C490">
        <v>5632</v>
      </c>
      <c r="D490">
        <v>-37.858800000000002</v>
      </c>
      <c r="E490">
        <v>144.96950000000001</v>
      </c>
      <c r="F490">
        <v>3</v>
      </c>
      <c r="G490" t="s">
        <v>215</v>
      </c>
      <c r="H490">
        <v>144</v>
      </c>
      <c r="I490">
        <v>324</v>
      </c>
      <c r="J490">
        <v>171</v>
      </c>
      <c r="K490">
        <v>351</v>
      </c>
      <c r="L490">
        <v>308</v>
      </c>
      <c r="M490">
        <v>128</v>
      </c>
      <c r="T490">
        <v>3</v>
      </c>
      <c r="U490">
        <v>129</v>
      </c>
      <c r="Y490">
        <v>0</v>
      </c>
      <c r="Z490">
        <v>316</v>
      </c>
      <c r="AD490">
        <v>126</v>
      </c>
      <c r="AE490">
        <v>378</v>
      </c>
      <c r="AX490">
        <v>132</v>
      </c>
      <c r="AY490">
        <v>126</v>
      </c>
      <c r="AZ490">
        <v>258</v>
      </c>
      <c r="BA490">
        <v>316</v>
      </c>
      <c r="BB490">
        <v>381</v>
      </c>
      <c r="BC490">
        <v>697</v>
      </c>
      <c r="BD490">
        <v>504</v>
      </c>
      <c r="BE490">
        <v>445</v>
      </c>
      <c r="BF490">
        <v>949</v>
      </c>
      <c r="BP490">
        <v>394</v>
      </c>
      <c r="BR490">
        <v>446</v>
      </c>
      <c r="BS490">
        <v>65</v>
      </c>
      <c r="BT490">
        <v>31</v>
      </c>
      <c r="BV490">
        <v>16</v>
      </c>
      <c r="BW490">
        <v>952</v>
      </c>
      <c r="BX490" t="s">
        <v>82</v>
      </c>
      <c r="BY490" s="5"/>
      <c r="BZ490" s="6"/>
      <c r="CA490" s="7">
        <v>40853</v>
      </c>
      <c r="CI490">
        <f t="shared" si="49"/>
        <v>2011</v>
      </c>
      <c r="CJ490" t="str">
        <f t="shared" si="50"/>
        <v>5632_2011</v>
      </c>
    </row>
    <row r="491" spans="1:88" x14ac:dyDescent="0.25">
      <c r="A491" t="s">
        <v>111</v>
      </c>
      <c r="B491" t="s">
        <v>213</v>
      </c>
      <c r="C491">
        <v>5633</v>
      </c>
      <c r="D491">
        <v>-37.862200000000001</v>
      </c>
      <c r="E491">
        <v>144.9726</v>
      </c>
      <c r="F491">
        <v>3</v>
      </c>
      <c r="G491" t="s">
        <v>216</v>
      </c>
      <c r="H491">
        <v>59</v>
      </c>
      <c r="I491">
        <v>239</v>
      </c>
      <c r="J491">
        <v>202</v>
      </c>
      <c r="K491">
        <v>22</v>
      </c>
      <c r="L491">
        <v>353</v>
      </c>
      <c r="M491">
        <v>173</v>
      </c>
      <c r="T491">
        <v>404</v>
      </c>
      <c r="U491">
        <v>129</v>
      </c>
      <c r="Y491">
        <v>150</v>
      </c>
      <c r="Z491">
        <v>89</v>
      </c>
      <c r="AD491">
        <v>95</v>
      </c>
      <c r="AE491">
        <v>64</v>
      </c>
      <c r="AX491">
        <v>533</v>
      </c>
      <c r="AY491">
        <v>245</v>
      </c>
      <c r="AZ491">
        <v>778</v>
      </c>
      <c r="BA491">
        <v>239</v>
      </c>
      <c r="BB491">
        <v>468</v>
      </c>
      <c r="BC491">
        <v>707</v>
      </c>
      <c r="BD491">
        <v>159</v>
      </c>
      <c r="BE491">
        <v>218</v>
      </c>
      <c r="BF491">
        <v>377</v>
      </c>
      <c r="BP491">
        <v>99</v>
      </c>
      <c r="BR491">
        <v>790</v>
      </c>
      <c r="BS491">
        <v>18</v>
      </c>
      <c r="BT491">
        <v>20</v>
      </c>
      <c r="BV491">
        <v>4</v>
      </c>
      <c r="BW491">
        <v>931</v>
      </c>
      <c r="BX491" t="s">
        <v>82</v>
      </c>
      <c r="BY491" s="5"/>
      <c r="BZ491" s="6"/>
      <c r="CA491" s="7">
        <v>40853</v>
      </c>
      <c r="CI491">
        <f t="shared" si="49"/>
        <v>2011</v>
      </c>
      <c r="CJ491" t="str">
        <f t="shared" si="50"/>
        <v>5633_2011</v>
      </c>
    </row>
    <row r="492" spans="1:88" x14ac:dyDescent="0.25">
      <c r="A492" t="s">
        <v>111</v>
      </c>
      <c r="B492" t="s">
        <v>213</v>
      </c>
      <c r="C492">
        <v>5634</v>
      </c>
      <c r="D492">
        <v>-37.869399999999999</v>
      </c>
      <c r="E492">
        <v>144.97550000000001</v>
      </c>
      <c r="F492">
        <v>3</v>
      </c>
      <c r="G492" t="s">
        <v>217</v>
      </c>
      <c r="H492">
        <v>55</v>
      </c>
      <c r="I492">
        <v>235</v>
      </c>
      <c r="J492">
        <v>165</v>
      </c>
      <c r="K492">
        <v>345</v>
      </c>
      <c r="L492">
        <v>332</v>
      </c>
      <c r="M492">
        <v>152</v>
      </c>
      <c r="T492">
        <v>26</v>
      </c>
      <c r="U492">
        <v>778</v>
      </c>
      <c r="Y492">
        <v>104</v>
      </c>
      <c r="Z492">
        <v>259</v>
      </c>
      <c r="AD492">
        <v>413</v>
      </c>
      <c r="AE492">
        <v>251</v>
      </c>
      <c r="AX492">
        <v>804</v>
      </c>
      <c r="AY492">
        <v>517</v>
      </c>
      <c r="AZ492">
        <v>1321</v>
      </c>
      <c r="BA492">
        <v>363</v>
      </c>
      <c r="BB492">
        <v>277</v>
      </c>
      <c r="BC492">
        <v>640</v>
      </c>
      <c r="BD492">
        <v>664</v>
      </c>
      <c r="BE492">
        <v>1037</v>
      </c>
      <c r="BF492">
        <v>1701</v>
      </c>
      <c r="BP492">
        <v>565</v>
      </c>
      <c r="BR492">
        <v>1093</v>
      </c>
      <c r="BS492">
        <v>81</v>
      </c>
      <c r="BT492">
        <v>24</v>
      </c>
      <c r="BV492">
        <v>68</v>
      </c>
      <c r="BW492">
        <v>1831</v>
      </c>
      <c r="BX492" t="s">
        <v>82</v>
      </c>
      <c r="BY492" s="5"/>
      <c r="BZ492" s="6"/>
      <c r="CA492" s="7">
        <v>40853</v>
      </c>
      <c r="CI492">
        <f t="shared" si="49"/>
        <v>2011</v>
      </c>
      <c r="CJ492" t="str">
        <f t="shared" si="50"/>
        <v>5634_2011</v>
      </c>
    </row>
    <row r="493" spans="1:88" x14ac:dyDescent="0.25">
      <c r="A493" t="s">
        <v>111</v>
      </c>
      <c r="B493" t="s">
        <v>218</v>
      </c>
      <c r="C493">
        <v>5638</v>
      </c>
      <c r="D493">
        <v>-37.989899999999999</v>
      </c>
      <c r="E493">
        <v>145.04409999999999</v>
      </c>
      <c r="F493">
        <v>2</v>
      </c>
      <c r="G493" t="s">
        <v>219</v>
      </c>
      <c r="H493">
        <v>62</v>
      </c>
      <c r="I493">
        <v>242</v>
      </c>
      <c r="J493">
        <v>228</v>
      </c>
      <c r="K493">
        <v>48</v>
      </c>
      <c r="T493">
        <v>2001</v>
      </c>
      <c r="Y493">
        <v>2944</v>
      </c>
      <c r="AX493">
        <v>2001</v>
      </c>
      <c r="AY493">
        <v>2944</v>
      </c>
      <c r="AZ493">
        <v>4945</v>
      </c>
      <c r="BA493">
        <v>2944</v>
      </c>
      <c r="BB493">
        <v>2001</v>
      </c>
      <c r="BC493">
        <v>4945</v>
      </c>
      <c r="BP493">
        <v>2070</v>
      </c>
      <c r="BR493">
        <v>1932</v>
      </c>
      <c r="BS493">
        <v>575</v>
      </c>
      <c r="BT493">
        <v>276</v>
      </c>
      <c r="BV493">
        <v>92</v>
      </c>
      <c r="BW493">
        <v>4945</v>
      </c>
      <c r="BX493" t="s">
        <v>82</v>
      </c>
      <c r="BY493" s="5"/>
      <c r="BZ493" s="6"/>
      <c r="CA493" s="7">
        <v>40853</v>
      </c>
      <c r="CI493">
        <f t="shared" si="49"/>
        <v>2011</v>
      </c>
      <c r="CJ493" t="str">
        <f t="shared" si="50"/>
        <v>5638_2011</v>
      </c>
    </row>
    <row r="494" spans="1:88" x14ac:dyDescent="0.25">
      <c r="A494" t="s">
        <v>111</v>
      </c>
      <c r="B494" t="s">
        <v>220</v>
      </c>
      <c r="C494">
        <v>5639</v>
      </c>
      <c r="D494">
        <v>-38.010599999999997</v>
      </c>
      <c r="E494">
        <v>145.0924</v>
      </c>
      <c r="F494">
        <v>3</v>
      </c>
      <c r="G494" t="s">
        <v>221</v>
      </c>
      <c r="H494">
        <v>81</v>
      </c>
      <c r="I494">
        <v>261</v>
      </c>
      <c r="J494">
        <v>149</v>
      </c>
      <c r="K494">
        <v>329</v>
      </c>
      <c r="L494">
        <v>282</v>
      </c>
      <c r="M494">
        <v>102</v>
      </c>
      <c r="T494">
        <v>25</v>
      </c>
      <c r="U494">
        <v>21</v>
      </c>
      <c r="Y494">
        <v>40</v>
      </c>
      <c r="Z494">
        <v>66</v>
      </c>
      <c r="AD494">
        <v>16</v>
      </c>
      <c r="AE494">
        <v>65</v>
      </c>
      <c r="AX494">
        <v>46</v>
      </c>
      <c r="AY494">
        <v>56</v>
      </c>
      <c r="AZ494">
        <v>102</v>
      </c>
      <c r="BA494">
        <v>106</v>
      </c>
      <c r="BB494">
        <v>90</v>
      </c>
      <c r="BC494">
        <v>196</v>
      </c>
      <c r="BD494">
        <v>81</v>
      </c>
      <c r="BE494">
        <v>87</v>
      </c>
      <c r="BF494">
        <v>168</v>
      </c>
      <c r="BP494">
        <v>84</v>
      </c>
      <c r="BR494">
        <v>126</v>
      </c>
      <c r="BS494">
        <v>11</v>
      </c>
      <c r="BT494">
        <v>9</v>
      </c>
      <c r="BV494">
        <v>3</v>
      </c>
      <c r="BW494">
        <v>233</v>
      </c>
      <c r="BX494" t="s">
        <v>82</v>
      </c>
      <c r="BY494" s="5"/>
      <c r="BZ494" s="6"/>
      <c r="CA494" s="7">
        <v>40853</v>
      </c>
      <c r="CI494">
        <f t="shared" si="49"/>
        <v>2011</v>
      </c>
      <c r="CJ494" t="str">
        <f t="shared" si="50"/>
        <v>5639_2011</v>
      </c>
    </row>
    <row r="495" spans="1:88" x14ac:dyDescent="0.25">
      <c r="A495" t="s">
        <v>111</v>
      </c>
      <c r="B495" t="s">
        <v>186</v>
      </c>
      <c r="C495">
        <v>5642</v>
      </c>
      <c r="D495">
        <v>-37.826073000000001</v>
      </c>
      <c r="E495">
        <v>144.95590300000001</v>
      </c>
      <c r="F495">
        <v>3</v>
      </c>
      <c r="G495" t="s">
        <v>222</v>
      </c>
      <c r="H495">
        <v>32</v>
      </c>
      <c r="I495">
        <v>212</v>
      </c>
      <c r="J495">
        <v>177</v>
      </c>
      <c r="K495">
        <v>357</v>
      </c>
      <c r="L495">
        <v>230</v>
      </c>
      <c r="M495">
        <v>50</v>
      </c>
      <c r="T495">
        <v>5</v>
      </c>
      <c r="U495">
        <v>100</v>
      </c>
      <c r="Y495">
        <v>39</v>
      </c>
      <c r="Z495">
        <v>21</v>
      </c>
      <c r="AD495">
        <v>147</v>
      </c>
      <c r="AE495">
        <v>17</v>
      </c>
      <c r="AX495">
        <v>105</v>
      </c>
      <c r="AY495">
        <v>186</v>
      </c>
      <c r="AZ495">
        <v>291</v>
      </c>
      <c r="BA495">
        <v>60</v>
      </c>
      <c r="BB495">
        <v>22</v>
      </c>
      <c r="BC495">
        <v>82</v>
      </c>
      <c r="BD495">
        <v>164</v>
      </c>
      <c r="BE495">
        <v>121</v>
      </c>
      <c r="BF495">
        <v>285</v>
      </c>
      <c r="BP495">
        <v>88</v>
      </c>
      <c r="BR495">
        <v>226</v>
      </c>
      <c r="BS495">
        <v>11</v>
      </c>
      <c r="BT495">
        <v>0</v>
      </c>
      <c r="BV495">
        <v>4</v>
      </c>
      <c r="BW495">
        <v>329</v>
      </c>
      <c r="BX495" t="s">
        <v>82</v>
      </c>
      <c r="BY495" s="5"/>
      <c r="BZ495" s="6"/>
      <c r="CA495" s="7">
        <v>42687</v>
      </c>
      <c r="CE495">
        <v>51</v>
      </c>
      <c r="CF495">
        <v>87</v>
      </c>
      <c r="CG495">
        <v>99</v>
      </c>
      <c r="CH495">
        <v>92</v>
      </c>
      <c r="CI495">
        <f t="shared" si="49"/>
        <v>2016</v>
      </c>
      <c r="CJ495" t="str">
        <f t="shared" si="50"/>
        <v>5642_2016</v>
      </c>
    </row>
    <row r="496" spans="1:88" x14ac:dyDescent="0.25">
      <c r="A496" t="s">
        <v>111</v>
      </c>
      <c r="B496" t="s">
        <v>186</v>
      </c>
      <c r="C496">
        <v>5642</v>
      </c>
      <c r="D496">
        <v>-37.826073000000001</v>
      </c>
      <c r="E496">
        <v>144.95590300000001</v>
      </c>
      <c r="F496">
        <v>3</v>
      </c>
      <c r="G496" t="s">
        <v>222</v>
      </c>
      <c r="H496">
        <v>32</v>
      </c>
      <c r="I496">
        <v>212</v>
      </c>
      <c r="J496">
        <v>177</v>
      </c>
      <c r="K496">
        <v>357</v>
      </c>
      <c r="L496">
        <v>230</v>
      </c>
      <c r="M496">
        <v>50</v>
      </c>
      <c r="T496">
        <v>10</v>
      </c>
      <c r="U496">
        <v>236</v>
      </c>
      <c r="Y496">
        <v>47</v>
      </c>
      <c r="Z496">
        <v>29</v>
      </c>
      <c r="AD496">
        <v>208</v>
      </c>
      <c r="AE496">
        <v>5</v>
      </c>
      <c r="AX496">
        <v>246</v>
      </c>
      <c r="AY496">
        <v>255</v>
      </c>
      <c r="AZ496">
        <v>501</v>
      </c>
      <c r="BA496">
        <v>76</v>
      </c>
      <c r="BB496">
        <v>15</v>
      </c>
      <c r="BC496">
        <v>91</v>
      </c>
      <c r="BD496">
        <v>213</v>
      </c>
      <c r="BE496">
        <v>265</v>
      </c>
      <c r="BF496">
        <v>478</v>
      </c>
      <c r="BP496">
        <v>308</v>
      </c>
      <c r="BR496">
        <v>200</v>
      </c>
      <c r="BS496">
        <v>14</v>
      </c>
      <c r="BT496">
        <v>9</v>
      </c>
      <c r="BV496">
        <v>4</v>
      </c>
      <c r="BW496">
        <v>535</v>
      </c>
      <c r="BX496">
        <f>IF(C496=C495,IF((CI496-1)=CI495,BW495,"no data"))</f>
        <v>329</v>
      </c>
      <c r="BY496" s="5">
        <f t="shared" si="53"/>
        <v>0.62613981762917936</v>
      </c>
      <c r="BZ496" s="6">
        <f t="shared" si="52"/>
        <v>0.62613981762917936</v>
      </c>
      <c r="CA496" s="7">
        <v>43051</v>
      </c>
      <c r="CE496">
        <v>105</v>
      </c>
      <c r="CF496">
        <v>175</v>
      </c>
      <c r="CG496">
        <v>149</v>
      </c>
      <c r="CH496">
        <v>106</v>
      </c>
      <c r="CI496">
        <f t="shared" si="49"/>
        <v>2017</v>
      </c>
      <c r="CJ496" t="str">
        <f t="shared" si="50"/>
        <v>5642_2017</v>
      </c>
    </row>
    <row r="497" spans="1:88" x14ac:dyDescent="0.25">
      <c r="A497" t="s">
        <v>111</v>
      </c>
      <c r="B497" t="s">
        <v>186</v>
      </c>
      <c r="C497">
        <v>5642</v>
      </c>
      <c r="D497">
        <v>-37.826073000000001</v>
      </c>
      <c r="E497">
        <v>144.95590300000001</v>
      </c>
      <c r="F497">
        <v>3</v>
      </c>
      <c r="G497" t="s">
        <v>222</v>
      </c>
      <c r="H497">
        <v>32</v>
      </c>
      <c r="I497">
        <v>212</v>
      </c>
      <c r="J497">
        <v>177</v>
      </c>
      <c r="K497">
        <v>357</v>
      </c>
      <c r="L497">
        <v>230</v>
      </c>
      <c r="M497">
        <v>50</v>
      </c>
      <c r="T497">
        <v>10</v>
      </c>
      <c r="U497">
        <v>216</v>
      </c>
      <c r="Y497">
        <v>24</v>
      </c>
      <c r="Z497">
        <v>52</v>
      </c>
      <c r="AD497">
        <v>231</v>
      </c>
      <c r="AE497">
        <v>14</v>
      </c>
      <c r="AX497">
        <v>226</v>
      </c>
      <c r="AY497">
        <v>255</v>
      </c>
      <c r="AZ497">
        <v>481</v>
      </c>
      <c r="BA497">
        <v>76</v>
      </c>
      <c r="BB497">
        <v>24</v>
      </c>
      <c r="BC497">
        <v>100</v>
      </c>
      <c r="BD497">
        <v>245</v>
      </c>
      <c r="BE497">
        <v>268</v>
      </c>
      <c r="BF497">
        <v>513</v>
      </c>
      <c r="BP497">
        <v>345</v>
      </c>
      <c r="BR497">
        <v>168</v>
      </c>
      <c r="BS497">
        <v>18</v>
      </c>
      <c r="BT497">
        <v>8</v>
      </c>
      <c r="BV497">
        <v>8</v>
      </c>
      <c r="BW497">
        <v>547</v>
      </c>
      <c r="BX497">
        <f>IF(C497=C496,IF((CI497-1)=CI496,BW496,"no data"))</f>
        <v>535</v>
      </c>
      <c r="BY497" s="5">
        <f t="shared" si="53"/>
        <v>2.2429906542056073E-2</v>
      </c>
      <c r="BZ497" s="6">
        <f t="shared" si="52"/>
        <v>2.2429906542056073E-2</v>
      </c>
      <c r="CA497" s="7">
        <v>43415</v>
      </c>
      <c r="CE497">
        <v>103</v>
      </c>
      <c r="CF497">
        <v>141</v>
      </c>
      <c r="CG497">
        <v>159</v>
      </c>
      <c r="CH497">
        <v>144</v>
      </c>
      <c r="CI497">
        <f t="shared" si="49"/>
        <v>2018</v>
      </c>
      <c r="CJ497" t="str">
        <f t="shared" si="50"/>
        <v>5642_2018</v>
      </c>
    </row>
    <row r="498" spans="1:88" x14ac:dyDescent="0.25">
      <c r="A498" t="s">
        <v>111</v>
      </c>
      <c r="B498" t="s">
        <v>186</v>
      </c>
      <c r="C498">
        <v>5642</v>
      </c>
      <c r="D498">
        <v>-37.826099999999997</v>
      </c>
      <c r="E498">
        <v>144.95590000000001</v>
      </c>
      <c r="F498">
        <v>3</v>
      </c>
      <c r="G498" t="s">
        <v>222</v>
      </c>
      <c r="H498">
        <v>32</v>
      </c>
      <c r="I498">
        <v>212</v>
      </c>
      <c r="J498">
        <v>177</v>
      </c>
      <c r="K498">
        <v>357</v>
      </c>
      <c r="L498">
        <v>230</v>
      </c>
      <c r="M498">
        <v>50</v>
      </c>
      <c r="T498">
        <v>34</v>
      </c>
      <c r="U498">
        <v>441</v>
      </c>
      <c r="Y498">
        <v>86</v>
      </c>
      <c r="Z498">
        <v>27</v>
      </c>
      <c r="AD498">
        <v>449</v>
      </c>
      <c r="AE498">
        <v>13</v>
      </c>
      <c r="AX498">
        <v>475</v>
      </c>
      <c r="AY498">
        <v>535</v>
      </c>
      <c r="AZ498">
        <v>1010</v>
      </c>
      <c r="BA498">
        <v>113</v>
      </c>
      <c r="BB498">
        <v>47</v>
      </c>
      <c r="BC498">
        <v>160</v>
      </c>
      <c r="BD498">
        <v>462</v>
      </c>
      <c r="BE498">
        <v>468</v>
      </c>
      <c r="BF498">
        <v>930</v>
      </c>
      <c r="BP498">
        <v>791</v>
      </c>
      <c r="BR498">
        <v>170</v>
      </c>
      <c r="BS498">
        <v>48</v>
      </c>
      <c r="BT498">
        <v>11</v>
      </c>
      <c r="BV498">
        <v>30</v>
      </c>
      <c r="BW498">
        <v>1050</v>
      </c>
      <c r="BX498" t="str">
        <f>IF(C498=C497,IF((CI498-1)=CI497,BW497,"no data"))</f>
        <v>no data</v>
      </c>
      <c r="BY498" s="5"/>
      <c r="BZ498" s="6"/>
      <c r="CA498" s="7">
        <v>44143</v>
      </c>
      <c r="CE498">
        <v>190</v>
      </c>
      <c r="CF498">
        <v>272</v>
      </c>
      <c r="CG498">
        <v>307</v>
      </c>
      <c r="CH498">
        <v>281</v>
      </c>
      <c r="CI498">
        <f t="shared" si="49"/>
        <v>2020</v>
      </c>
      <c r="CJ498" t="str">
        <f t="shared" si="50"/>
        <v>5642_2020</v>
      </c>
    </row>
    <row r="499" spans="1:88" x14ac:dyDescent="0.25">
      <c r="A499" t="s">
        <v>111</v>
      </c>
      <c r="B499" t="s">
        <v>186</v>
      </c>
      <c r="C499">
        <v>5642</v>
      </c>
      <c r="D499">
        <v>-37.826073000000001</v>
      </c>
      <c r="E499">
        <v>144.95590300000001</v>
      </c>
      <c r="F499">
        <v>3</v>
      </c>
      <c r="G499" t="s">
        <v>222</v>
      </c>
      <c r="H499">
        <v>32</v>
      </c>
      <c r="I499">
        <v>212</v>
      </c>
      <c r="J499">
        <v>177</v>
      </c>
      <c r="K499">
        <v>357</v>
      </c>
      <c r="L499">
        <v>230</v>
      </c>
      <c r="M499">
        <v>50</v>
      </c>
      <c r="T499">
        <v>224</v>
      </c>
      <c r="U499">
        <v>221</v>
      </c>
      <c r="Y499">
        <v>273</v>
      </c>
      <c r="Z499">
        <v>34</v>
      </c>
      <c r="AD499">
        <v>250</v>
      </c>
      <c r="AE499">
        <v>13</v>
      </c>
      <c r="AX499">
        <v>445</v>
      </c>
      <c r="AY499">
        <v>523</v>
      </c>
      <c r="AZ499">
        <v>968</v>
      </c>
      <c r="BA499">
        <v>307</v>
      </c>
      <c r="BB499">
        <v>237</v>
      </c>
      <c r="BC499">
        <v>544</v>
      </c>
      <c r="BD499">
        <v>263</v>
      </c>
      <c r="BE499">
        <v>255</v>
      </c>
      <c r="BF499">
        <v>518</v>
      </c>
      <c r="BP499">
        <v>270</v>
      </c>
      <c r="BR499">
        <v>610</v>
      </c>
      <c r="BS499">
        <v>31</v>
      </c>
      <c r="BT499">
        <v>22</v>
      </c>
      <c r="BU499">
        <v>68</v>
      </c>
      <c r="BV499">
        <v>14</v>
      </c>
      <c r="BW499">
        <v>1015</v>
      </c>
      <c r="BX499" t="str">
        <f>IF(C499=C498,IF((CI499-1)=CI498,BW498,"no data"))</f>
        <v>no data</v>
      </c>
      <c r="BY499" s="5"/>
      <c r="BZ499" s="6"/>
      <c r="CA499" s="7">
        <v>44878</v>
      </c>
      <c r="CE499">
        <v>295</v>
      </c>
      <c r="CF499">
        <v>342</v>
      </c>
      <c r="CG499">
        <v>378</v>
      </c>
      <c r="CI499">
        <f t="shared" si="49"/>
        <v>2022</v>
      </c>
      <c r="CJ499" t="str">
        <f t="shared" si="50"/>
        <v>5642_2022</v>
      </c>
    </row>
    <row r="500" spans="1:88" x14ac:dyDescent="0.25">
      <c r="A500" t="s">
        <v>111</v>
      </c>
      <c r="B500" t="s">
        <v>213</v>
      </c>
      <c r="C500">
        <v>5643</v>
      </c>
      <c r="D500">
        <v>-37.858800000000002</v>
      </c>
      <c r="E500">
        <v>144.97880000000001</v>
      </c>
      <c r="F500">
        <v>3</v>
      </c>
      <c r="G500" t="s">
        <v>223</v>
      </c>
      <c r="H500">
        <v>17</v>
      </c>
      <c r="I500">
        <v>197</v>
      </c>
      <c r="J500">
        <v>53</v>
      </c>
      <c r="K500">
        <v>233</v>
      </c>
      <c r="L500">
        <v>235</v>
      </c>
      <c r="M500">
        <v>55</v>
      </c>
      <c r="T500">
        <v>3</v>
      </c>
      <c r="U500">
        <v>71</v>
      </c>
      <c r="Y500">
        <v>4</v>
      </c>
      <c r="Z500">
        <v>66</v>
      </c>
      <c r="AD500">
        <v>61</v>
      </c>
      <c r="AE500">
        <v>123</v>
      </c>
      <c r="AX500">
        <v>74</v>
      </c>
      <c r="AY500">
        <v>65</v>
      </c>
      <c r="AZ500">
        <v>139</v>
      </c>
      <c r="BA500">
        <v>70</v>
      </c>
      <c r="BB500">
        <v>126</v>
      </c>
      <c r="BC500">
        <v>196</v>
      </c>
      <c r="BD500">
        <v>184</v>
      </c>
      <c r="BE500">
        <v>137</v>
      </c>
      <c r="BF500">
        <v>321</v>
      </c>
      <c r="BP500">
        <v>111</v>
      </c>
      <c r="BR500">
        <v>202</v>
      </c>
      <c r="BS500">
        <v>7</v>
      </c>
      <c r="BT500">
        <v>8</v>
      </c>
      <c r="BV500">
        <v>0</v>
      </c>
      <c r="BW500">
        <v>328</v>
      </c>
      <c r="BX500" t="s">
        <v>82</v>
      </c>
      <c r="BY500" s="5"/>
      <c r="BZ500" s="6"/>
      <c r="CA500" s="7">
        <v>40853</v>
      </c>
      <c r="CI500">
        <f t="shared" si="49"/>
        <v>2011</v>
      </c>
      <c r="CJ500" t="str">
        <f t="shared" si="50"/>
        <v>5643_2011</v>
      </c>
    </row>
    <row r="501" spans="1:88" x14ac:dyDescent="0.25">
      <c r="A501" t="s">
        <v>111</v>
      </c>
      <c r="B501" t="s">
        <v>213</v>
      </c>
      <c r="C501">
        <v>5644</v>
      </c>
      <c r="D501">
        <v>-37.840699999999998</v>
      </c>
      <c r="E501">
        <v>144.96129999999999</v>
      </c>
      <c r="F501">
        <v>4</v>
      </c>
      <c r="G501" t="s">
        <v>224</v>
      </c>
      <c r="H501">
        <v>50</v>
      </c>
      <c r="I501">
        <v>230</v>
      </c>
      <c r="J501">
        <v>162</v>
      </c>
      <c r="K501">
        <v>342</v>
      </c>
      <c r="L501">
        <v>223</v>
      </c>
      <c r="M501">
        <v>43</v>
      </c>
      <c r="N501">
        <v>339</v>
      </c>
      <c r="O501">
        <v>159</v>
      </c>
      <c r="T501">
        <v>10</v>
      </c>
      <c r="U501">
        <v>27</v>
      </c>
      <c r="V501">
        <v>0</v>
      </c>
      <c r="Y501">
        <v>4</v>
      </c>
      <c r="Z501">
        <v>3</v>
      </c>
      <c r="AA501">
        <v>57</v>
      </c>
      <c r="AD501">
        <v>23</v>
      </c>
      <c r="AE501">
        <v>14</v>
      </c>
      <c r="AF501">
        <v>17</v>
      </c>
      <c r="AI501">
        <v>4</v>
      </c>
      <c r="AJ501">
        <v>49</v>
      </c>
      <c r="AK501">
        <v>6</v>
      </c>
      <c r="AX501">
        <v>37</v>
      </c>
      <c r="AY501">
        <v>31</v>
      </c>
      <c r="AZ501">
        <v>68</v>
      </c>
      <c r="BA501">
        <v>64</v>
      </c>
      <c r="BB501">
        <v>73</v>
      </c>
      <c r="BC501">
        <v>137</v>
      </c>
      <c r="BD501">
        <v>54</v>
      </c>
      <c r="BE501">
        <v>36</v>
      </c>
      <c r="BF501">
        <v>90</v>
      </c>
      <c r="BG501">
        <v>59</v>
      </c>
      <c r="BH501">
        <v>74</v>
      </c>
      <c r="BI501">
        <v>133</v>
      </c>
      <c r="BP501">
        <v>85</v>
      </c>
      <c r="BR501">
        <v>115</v>
      </c>
      <c r="BS501">
        <v>8</v>
      </c>
      <c r="BT501">
        <v>6</v>
      </c>
      <c r="BV501">
        <v>0</v>
      </c>
      <c r="BW501">
        <v>214</v>
      </c>
      <c r="BX501" t="s">
        <v>82</v>
      </c>
      <c r="BY501" s="5"/>
      <c r="BZ501" s="6"/>
      <c r="CA501" s="7">
        <v>40853</v>
      </c>
      <c r="CI501">
        <f t="shared" si="49"/>
        <v>2011</v>
      </c>
      <c r="CJ501" t="str">
        <f t="shared" si="50"/>
        <v>5644_2011</v>
      </c>
    </row>
    <row r="502" spans="1:88" x14ac:dyDescent="0.25">
      <c r="A502" t="s">
        <v>111</v>
      </c>
      <c r="B502" t="s">
        <v>213</v>
      </c>
      <c r="C502">
        <v>5645</v>
      </c>
      <c r="D502">
        <v>-37.828200000000002</v>
      </c>
      <c r="E502">
        <v>144.95500000000001</v>
      </c>
      <c r="F502">
        <v>2</v>
      </c>
      <c r="G502" t="s">
        <v>225</v>
      </c>
      <c r="H502">
        <v>17</v>
      </c>
      <c r="I502">
        <v>197</v>
      </c>
      <c r="J502">
        <v>139</v>
      </c>
      <c r="K502">
        <v>319</v>
      </c>
      <c r="T502">
        <v>42</v>
      </c>
      <c r="Y502">
        <v>48</v>
      </c>
      <c r="AX502">
        <v>42</v>
      </c>
      <c r="AY502">
        <v>48</v>
      </c>
      <c r="AZ502">
        <v>90</v>
      </c>
      <c r="BA502">
        <v>48</v>
      </c>
      <c r="BB502">
        <v>42</v>
      </c>
      <c r="BC502">
        <v>90</v>
      </c>
      <c r="BP502">
        <v>48</v>
      </c>
      <c r="BR502">
        <v>38</v>
      </c>
      <c r="BS502">
        <v>2</v>
      </c>
      <c r="BT502">
        <v>2</v>
      </c>
      <c r="BV502">
        <v>0</v>
      </c>
      <c r="BW502">
        <v>90</v>
      </c>
      <c r="BX502" t="s">
        <v>82</v>
      </c>
      <c r="BY502" s="5"/>
      <c r="BZ502" s="6"/>
      <c r="CA502" s="7">
        <v>40853</v>
      </c>
      <c r="CI502">
        <f t="shared" si="49"/>
        <v>2011</v>
      </c>
      <c r="CJ502" t="str">
        <f t="shared" si="50"/>
        <v>5645_2011</v>
      </c>
    </row>
    <row r="503" spans="1:88" x14ac:dyDescent="0.25">
      <c r="A503" t="s">
        <v>111</v>
      </c>
      <c r="B503" t="s">
        <v>114</v>
      </c>
      <c r="C503">
        <v>5646</v>
      </c>
      <c r="D503">
        <v>-37.790168000000001</v>
      </c>
      <c r="E503">
        <v>145.042506</v>
      </c>
      <c r="F503">
        <v>3</v>
      </c>
      <c r="G503" t="s">
        <v>226</v>
      </c>
      <c r="H503">
        <v>92</v>
      </c>
      <c r="I503">
        <v>272</v>
      </c>
      <c r="J503">
        <v>227</v>
      </c>
      <c r="K503">
        <v>47</v>
      </c>
      <c r="L503">
        <v>278</v>
      </c>
      <c r="M503">
        <v>98</v>
      </c>
      <c r="T503">
        <v>7</v>
      </c>
      <c r="U503">
        <v>74</v>
      </c>
      <c r="Y503">
        <v>12</v>
      </c>
      <c r="Z503">
        <v>23</v>
      </c>
      <c r="AD503">
        <v>100</v>
      </c>
      <c r="AE503">
        <v>22</v>
      </c>
      <c r="AX503">
        <v>81</v>
      </c>
      <c r="AY503">
        <v>112</v>
      </c>
      <c r="AZ503">
        <v>193</v>
      </c>
      <c r="BA503">
        <v>35</v>
      </c>
      <c r="BB503">
        <v>29</v>
      </c>
      <c r="BC503">
        <v>64</v>
      </c>
      <c r="BD503">
        <v>122</v>
      </c>
      <c r="BE503">
        <v>97</v>
      </c>
      <c r="BF503">
        <v>219</v>
      </c>
      <c r="BP503">
        <v>183</v>
      </c>
      <c r="BR503">
        <v>26</v>
      </c>
      <c r="BS503">
        <v>10</v>
      </c>
      <c r="BT503">
        <v>14</v>
      </c>
      <c r="BV503">
        <v>5</v>
      </c>
      <c r="BW503">
        <v>238</v>
      </c>
      <c r="BX503" t="s">
        <v>82</v>
      </c>
      <c r="BY503" s="5"/>
      <c r="BZ503" s="6"/>
      <c r="CA503" s="7">
        <v>40853</v>
      </c>
      <c r="CI503">
        <f t="shared" si="49"/>
        <v>2011</v>
      </c>
      <c r="CJ503" t="str">
        <f t="shared" si="50"/>
        <v>5646_2011</v>
      </c>
    </row>
    <row r="504" spans="1:88" x14ac:dyDescent="0.25">
      <c r="A504" t="s">
        <v>111</v>
      </c>
      <c r="B504" t="s">
        <v>114</v>
      </c>
      <c r="C504">
        <v>5646</v>
      </c>
      <c r="D504">
        <v>-37.790168000000001</v>
      </c>
      <c r="E504">
        <v>145.042506</v>
      </c>
      <c r="F504">
        <v>3</v>
      </c>
      <c r="G504" t="s">
        <v>226</v>
      </c>
      <c r="H504">
        <v>92</v>
      </c>
      <c r="I504">
        <v>272</v>
      </c>
      <c r="J504">
        <v>227</v>
      </c>
      <c r="K504">
        <v>47</v>
      </c>
      <c r="L504">
        <v>278</v>
      </c>
      <c r="M504">
        <v>98</v>
      </c>
      <c r="T504">
        <v>65</v>
      </c>
      <c r="U504">
        <v>381</v>
      </c>
      <c r="Y504">
        <v>65</v>
      </c>
      <c r="Z504">
        <v>64</v>
      </c>
      <c r="AD504">
        <v>249</v>
      </c>
      <c r="AE504">
        <v>85</v>
      </c>
      <c r="AX504">
        <v>446</v>
      </c>
      <c r="AY504">
        <v>314</v>
      </c>
      <c r="AZ504">
        <v>760</v>
      </c>
      <c r="BA504">
        <v>129</v>
      </c>
      <c r="BB504">
        <v>150</v>
      </c>
      <c r="BC504">
        <v>279</v>
      </c>
      <c r="BD504">
        <v>334</v>
      </c>
      <c r="BE504">
        <v>445</v>
      </c>
      <c r="BF504">
        <v>779</v>
      </c>
      <c r="BP504">
        <v>687</v>
      </c>
      <c r="BR504">
        <v>109</v>
      </c>
      <c r="BS504">
        <v>60</v>
      </c>
      <c r="BT504">
        <v>52</v>
      </c>
      <c r="BV504">
        <v>1</v>
      </c>
      <c r="BW504">
        <v>909</v>
      </c>
      <c r="BX504">
        <f>IF(C504=C503,IF((CI504-1)=CI503,BW503,"no data"))</f>
        <v>238</v>
      </c>
      <c r="BY504" s="5">
        <f t="shared" si="53"/>
        <v>2.8193277310924372</v>
      </c>
      <c r="BZ504" s="6">
        <f t="shared" si="52"/>
        <v>2.8193277310924372</v>
      </c>
      <c r="CA504" s="7">
        <v>41224</v>
      </c>
      <c r="CI504">
        <f t="shared" si="49"/>
        <v>2012</v>
      </c>
      <c r="CJ504" t="str">
        <f t="shared" si="50"/>
        <v>5646_2012</v>
      </c>
    </row>
    <row r="505" spans="1:88" x14ac:dyDescent="0.25">
      <c r="A505" t="s">
        <v>111</v>
      </c>
      <c r="B505" t="s">
        <v>112</v>
      </c>
      <c r="C505">
        <v>5647</v>
      </c>
      <c r="D505">
        <v>-37.754300000000001</v>
      </c>
      <c r="E505">
        <v>145.03120000000001</v>
      </c>
      <c r="F505">
        <v>3</v>
      </c>
      <c r="G505" t="s">
        <v>227</v>
      </c>
      <c r="H505">
        <v>26</v>
      </c>
      <c r="I505">
        <v>206</v>
      </c>
      <c r="J505">
        <v>68</v>
      </c>
      <c r="K505">
        <v>248</v>
      </c>
      <c r="L505">
        <v>166</v>
      </c>
      <c r="M505">
        <v>346</v>
      </c>
      <c r="T505">
        <v>1</v>
      </c>
      <c r="U505">
        <v>45</v>
      </c>
      <c r="Y505">
        <v>0</v>
      </c>
      <c r="Z505">
        <v>11</v>
      </c>
      <c r="AD505">
        <v>46</v>
      </c>
      <c r="AE505">
        <v>12</v>
      </c>
      <c r="AX505">
        <v>46</v>
      </c>
      <c r="AY505">
        <v>46</v>
      </c>
      <c r="AZ505">
        <v>92</v>
      </c>
      <c r="BA505">
        <v>11</v>
      </c>
      <c r="BB505">
        <v>13</v>
      </c>
      <c r="BC505">
        <v>24</v>
      </c>
      <c r="BD505">
        <v>58</v>
      </c>
      <c r="BE505">
        <v>56</v>
      </c>
      <c r="BF505">
        <v>114</v>
      </c>
      <c r="BP505">
        <v>73</v>
      </c>
      <c r="BR505">
        <v>25</v>
      </c>
      <c r="BS505">
        <v>8</v>
      </c>
      <c r="BT505">
        <v>9</v>
      </c>
      <c r="BV505">
        <v>0</v>
      </c>
      <c r="BW505">
        <v>115</v>
      </c>
      <c r="BX505" t="s">
        <v>82</v>
      </c>
      <c r="BY505" s="5"/>
      <c r="BZ505" s="6"/>
      <c r="CA505" s="7">
        <v>40853</v>
      </c>
      <c r="CI505">
        <f t="shared" si="49"/>
        <v>2011</v>
      </c>
      <c r="CJ505" t="str">
        <f t="shared" si="50"/>
        <v>5647_2011</v>
      </c>
    </row>
    <row r="506" spans="1:88" x14ac:dyDescent="0.25">
      <c r="A506" t="s">
        <v>111</v>
      </c>
      <c r="B506" t="s">
        <v>112</v>
      </c>
      <c r="C506">
        <v>5647</v>
      </c>
      <c r="D506">
        <v>-37.754300000000001</v>
      </c>
      <c r="E506">
        <v>145.03120000000001</v>
      </c>
      <c r="F506">
        <v>3</v>
      </c>
      <c r="G506" t="s">
        <v>227</v>
      </c>
      <c r="H506">
        <v>26</v>
      </c>
      <c r="I506">
        <v>206</v>
      </c>
      <c r="J506">
        <v>68</v>
      </c>
      <c r="K506">
        <v>248</v>
      </c>
      <c r="L506">
        <v>166</v>
      </c>
      <c r="M506">
        <v>346</v>
      </c>
      <c r="T506">
        <v>4</v>
      </c>
      <c r="U506">
        <v>84</v>
      </c>
      <c r="Y506">
        <v>5</v>
      </c>
      <c r="Z506">
        <v>12</v>
      </c>
      <c r="AD506">
        <v>86</v>
      </c>
      <c r="AE506">
        <v>19</v>
      </c>
      <c r="AX506">
        <v>88</v>
      </c>
      <c r="AY506">
        <v>91</v>
      </c>
      <c r="AZ506">
        <v>179</v>
      </c>
      <c r="BA506">
        <v>17</v>
      </c>
      <c r="BB506">
        <v>23</v>
      </c>
      <c r="BC506">
        <v>40</v>
      </c>
      <c r="BD506">
        <v>105</v>
      </c>
      <c r="BE506">
        <v>96</v>
      </c>
      <c r="BF506">
        <v>201</v>
      </c>
      <c r="BP506">
        <v>122</v>
      </c>
      <c r="BR506">
        <v>47</v>
      </c>
      <c r="BS506">
        <v>30</v>
      </c>
      <c r="BT506">
        <v>10</v>
      </c>
      <c r="BV506">
        <v>1</v>
      </c>
      <c r="BW506">
        <v>210</v>
      </c>
      <c r="BX506">
        <f>IF(C506=C505,IF((CI506-1)=CI505,BW505,"no data"))</f>
        <v>115</v>
      </c>
      <c r="BY506" s="5">
        <f t="shared" si="53"/>
        <v>0.82608695652173914</v>
      </c>
      <c r="BZ506" s="6">
        <f t="shared" si="52"/>
        <v>0.82608695652173914</v>
      </c>
      <c r="CA506" s="7">
        <v>41224</v>
      </c>
      <c r="CI506">
        <f t="shared" si="49"/>
        <v>2012</v>
      </c>
      <c r="CJ506" t="str">
        <f t="shared" si="50"/>
        <v>5647_2012</v>
      </c>
    </row>
    <row r="507" spans="1:88" x14ac:dyDescent="0.25">
      <c r="A507" t="s">
        <v>111</v>
      </c>
      <c r="B507" t="s">
        <v>228</v>
      </c>
      <c r="C507">
        <v>5648</v>
      </c>
      <c r="D507">
        <v>-37.7273</v>
      </c>
      <c r="E507">
        <v>145.03739999999999</v>
      </c>
      <c r="F507">
        <v>3</v>
      </c>
      <c r="G507" t="s">
        <v>229</v>
      </c>
      <c r="H507">
        <v>91</v>
      </c>
      <c r="I507">
        <v>271</v>
      </c>
      <c r="J507">
        <v>187</v>
      </c>
      <c r="K507">
        <v>7</v>
      </c>
      <c r="L507">
        <v>347</v>
      </c>
      <c r="M507">
        <v>167</v>
      </c>
      <c r="T507">
        <v>8</v>
      </c>
      <c r="U507">
        <v>3</v>
      </c>
      <c r="Y507">
        <v>15</v>
      </c>
      <c r="Z507">
        <v>7</v>
      </c>
      <c r="AD507">
        <v>5</v>
      </c>
      <c r="AE507">
        <v>10</v>
      </c>
      <c r="AX507">
        <v>11</v>
      </c>
      <c r="AY507">
        <v>20</v>
      </c>
      <c r="AZ507">
        <v>31</v>
      </c>
      <c r="BA507">
        <v>22</v>
      </c>
      <c r="BB507">
        <v>18</v>
      </c>
      <c r="BC507">
        <v>40</v>
      </c>
      <c r="BD507">
        <v>15</v>
      </c>
      <c r="BE507">
        <v>10</v>
      </c>
      <c r="BF507">
        <v>25</v>
      </c>
      <c r="BP507">
        <v>28</v>
      </c>
      <c r="BR507">
        <v>8</v>
      </c>
      <c r="BS507">
        <v>2</v>
      </c>
      <c r="BT507">
        <v>8</v>
      </c>
      <c r="BV507">
        <v>2</v>
      </c>
      <c r="BW507">
        <v>48</v>
      </c>
      <c r="BX507" t="s">
        <v>82</v>
      </c>
      <c r="BY507" s="5"/>
      <c r="BZ507" s="6"/>
      <c r="CA507" s="7">
        <v>40853</v>
      </c>
      <c r="CI507">
        <f t="shared" si="49"/>
        <v>2011</v>
      </c>
      <c r="CJ507" t="str">
        <f t="shared" si="50"/>
        <v>5648_2011</v>
      </c>
    </row>
    <row r="508" spans="1:88" x14ac:dyDescent="0.25">
      <c r="A508" t="s">
        <v>111</v>
      </c>
      <c r="B508" t="s">
        <v>228</v>
      </c>
      <c r="C508">
        <v>5648</v>
      </c>
      <c r="D508">
        <v>-37.7273</v>
      </c>
      <c r="E508">
        <v>145.03739999999999</v>
      </c>
      <c r="F508">
        <v>3</v>
      </c>
      <c r="G508" t="s">
        <v>229</v>
      </c>
      <c r="H508">
        <v>91</v>
      </c>
      <c r="I508">
        <v>271</v>
      </c>
      <c r="J508">
        <v>187</v>
      </c>
      <c r="K508">
        <v>7</v>
      </c>
      <c r="L508">
        <v>347</v>
      </c>
      <c r="M508">
        <v>167</v>
      </c>
      <c r="T508">
        <v>16</v>
      </c>
      <c r="U508">
        <v>11</v>
      </c>
      <c r="Y508">
        <v>44</v>
      </c>
      <c r="Z508">
        <v>52</v>
      </c>
      <c r="AD508">
        <v>0</v>
      </c>
      <c r="AE508">
        <v>48</v>
      </c>
      <c r="AX508">
        <v>27</v>
      </c>
      <c r="AY508">
        <v>44</v>
      </c>
      <c r="AZ508">
        <v>71</v>
      </c>
      <c r="BA508">
        <v>96</v>
      </c>
      <c r="BB508">
        <v>64</v>
      </c>
      <c r="BC508">
        <v>160</v>
      </c>
      <c r="BD508">
        <v>48</v>
      </c>
      <c r="BE508">
        <v>63</v>
      </c>
      <c r="BF508">
        <v>111</v>
      </c>
      <c r="BP508">
        <v>104</v>
      </c>
      <c r="BR508">
        <v>37</v>
      </c>
      <c r="BS508">
        <v>21</v>
      </c>
      <c r="BT508">
        <v>9</v>
      </c>
      <c r="BV508">
        <v>0</v>
      </c>
      <c r="BW508">
        <v>171</v>
      </c>
      <c r="BX508">
        <f>IF(C508=C507,IF((CI508-1)=CI507,BW507,"no data"))</f>
        <v>48</v>
      </c>
      <c r="BY508" s="5">
        <f t="shared" si="53"/>
        <v>2.5625</v>
      </c>
      <c r="BZ508" s="6">
        <f t="shared" si="52"/>
        <v>2.5625</v>
      </c>
      <c r="CA508" s="7">
        <v>41224</v>
      </c>
      <c r="CI508">
        <f t="shared" si="49"/>
        <v>2012</v>
      </c>
      <c r="CJ508" t="str">
        <f t="shared" si="50"/>
        <v>5648_2012</v>
      </c>
    </row>
    <row r="509" spans="1:88" x14ac:dyDescent="0.25">
      <c r="A509" t="s">
        <v>111</v>
      </c>
      <c r="B509" t="s">
        <v>112</v>
      </c>
      <c r="C509">
        <v>5649</v>
      </c>
      <c r="D509">
        <v>-37.750100000000003</v>
      </c>
      <c r="E509">
        <v>145.09270000000001</v>
      </c>
      <c r="F509">
        <v>3</v>
      </c>
      <c r="G509" t="s">
        <v>230</v>
      </c>
      <c r="H509">
        <v>106</v>
      </c>
      <c r="I509">
        <v>286</v>
      </c>
      <c r="J509">
        <v>302</v>
      </c>
      <c r="K509">
        <v>122</v>
      </c>
      <c r="L509">
        <v>338</v>
      </c>
      <c r="M509">
        <v>158</v>
      </c>
      <c r="T509">
        <v>140</v>
      </c>
      <c r="U509">
        <v>10</v>
      </c>
      <c r="Y509">
        <v>113</v>
      </c>
      <c r="Z509">
        <v>3</v>
      </c>
      <c r="AD509">
        <v>23</v>
      </c>
      <c r="AE509">
        <v>10</v>
      </c>
      <c r="AX509">
        <v>150</v>
      </c>
      <c r="AY509">
        <v>136</v>
      </c>
      <c r="AZ509">
        <v>286</v>
      </c>
      <c r="BA509">
        <v>116</v>
      </c>
      <c r="BB509">
        <v>150</v>
      </c>
      <c r="BC509">
        <v>266</v>
      </c>
      <c r="BD509">
        <v>33</v>
      </c>
      <c r="BE509">
        <v>13</v>
      </c>
      <c r="BF509">
        <v>46</v>
      </c>
      <c r="BP509">
        <v>192</v>
      </c>
      <c r="BR509">
        <v>70</v>
      </c>
      <c r="BS509">
        <v>9</v>
      </c>
      <c r="BT509">
        <v>25</v>
      </c>
      <c r="BV509">
        <v>3</v>
      </c>
      <c r="BW509">
        <v>299</v>
      </c>
      <c r="BX509" t="s">
        <v>82</v>
      </c>
      <c r="BY509" s="5"/>
      <c r="BZ509" s="6"/>
      <c r="CA509" s="7">
        <v>40853</v>
      </c>
      <c r="CI509">
        <f t="shared" si="49"/>
        <v>2011</v>
      </c>
      <c r="CJ509" t="str">
        <f t="shared" si="50"/>
        <v>5649_2011</v>
      </c>
    </row>
    <row r="510" spans="1:88" x14ac:dyDescent="0.25">
      <c r="A510" t="s">
        <v>111</v>
      </c>
      <c r="B510" t="s">
        <v>112</v>
      </c>
      <c r="C510">
        <v>5650</v>
      </c>
      <c r="D510">
        <v>-37.717399999999998</v>
      </c>
      <c r="E510">
        <v>145.1113</v>
      </c>
      <c r="F510">
        <v>3</v>
      </c>
      <c r="G510" t="s">
        <v>231</v>
      </c>
      <c r="H510">
        <v>129</v>
      </c>
      <c r="I510">
        <v>309</v>
      </c>
      <c r="J510">
        <v>244</v>
      </c>
      <c r="K510">
        <v>64</v>
      </c>
      <c r="L510">
        <v>352</v>
      </c>
      <c r="M510">
        <v>172</v>
      </c>
      <c r="T510">
        <v>13</v>
      </c>
      <c r="U510">
        <v>19</v>
      </c>
      <c r="Y510">
        <v>13</v>
      </c>
      <c r="Z510">
        <v>7</v>
      </c>
      <c r="AD510">
        <v>17</v>
      </c>
      <c r="AE510">
        <v>12</v>
      </c>
      <c r="AX510">
        <v>32</v>
      </c>
      <c r="AY510">
        <v>30</v>
      </c>
      <c r="AZ510">
        <v>62</v>
      </c>
      <c r="BA510">
        <v>20</v>
      </c>
      <c r="BB510">
        <v>25</v>
      </c>
      <c r="BC510">
        <v>45</v>
      </c>
      <c r="BD510">
        <v>29</v>
      </c>
      <c r="BE510">
        <v>26</v>
      </c>
      <c r="BF510">
        <v>55</v>
      </c>
      <c r="BP510">
        <v>14</v>
      </c>
      <c r="BR510">
        <v>48</v>
      </c>
      <c r="BS510">
        <v>7</v>
      </c>
      <c r="BT510">
        <v>11</v>
      </c>
      <c r="BV510">
        <v>1</v>
      </c>
      <c r="BW510">
        <v>81</v>
      </c>
      <c r="BX510" t="s">
        <v>82</v>
      </c>
      <c r="BY510" s="5"/>
      <c r="BZ510" s="6"/>
      <c r="CA510" s="7">
        <v>40853</v>
      </c>
      <c r="CI510">
        <f t="shared" si="49"/>
        <v>2011</v>
      </c>
      <c r="CJ510" t="str">
        <f t="shared" si="50"/>
        <v>5650_2011</v>
      </c>
    </row>
    <row r="511" spans="1:88" x14ac:dyDescent="0.25">
      <c r="A511" t="s">
        <v>111</v>
      </c>
      <c r="B511" t="s">
        <v>232</v>
      </c>
      <c r="C511">
        <v>5651</v>
      </c>
      <c r="D511">
        <v>-37.739600000000003</v>
      </c>
      <c r="E511">
        <v>145.14320000000001</v>
      </c>
      <c r="F511">
        <v>3</v>
      </c>
      <c r="G511" t="s">
        <v>233</v>
      </c>
      <c r="H511">
        <v>57</v>
      </c>
      <c r="I511">
        <v>237</v>
      </c>
      <c r="J511">
        <v>233</v>
      </c>
      <c r="K511">
        <v>53</v>
      </c>
      <c r="L511">
        <v>346</v>
      </c>
      <c r="M511">
        <v>166</v>
      </c>
      <c r="T511">
        <v>180</v>
      </c>
      <c r="U511">
        <v>5</v>
      </c>
      <c r="Y511">
        <v>147</v>
      </c>
      <c r="Z511">
        <v>3</v>
      </c>
      <c r="AD511">
        <v>4</v>
      </c>
      <c r="AE511">
        <v>11</v>
      </c>
      <c r="AX511">
        <v>185</v>
      </c>
      <c r="AY511">
        <v>151</v>
      </c>
      <c r="AZ511">
        <v>336</v>
      </c>
      <c r="BA511">
        <v>150</v>
      </c>
      <c r="BB511">
        <v>191</v>
      </c>
      <c r="BC511">
        <v>341</v>
      </c>
      <c r="BD511">
        <v>15</v>
      </c>
      <c r="BE511">
        <v>8</v>
      </c>
      <c r="BF511">
        <v>23</v>
      </c>
      <c r="BP511">
        <v>200</v>
      </c>
      <c r="BR511">
        <v>120</v>
      </c>
      <c r="BS511">
        <v>16</v>
      </c>
      <c r="BT511">
        <v>14</v>
      </c>
      <c r="BV511">
        <v>0</v>
      </c>
      <c r="BW511">
        <v>350</v>
      </c>
      <c r="BX511" t="s">
        <v>82</v>
      </c>
      <c r="BY511" s="5"/>
      <c r="BZ511" s="6"/>
      <c r="CA511" s="7">
        <v>40853</v>
      </c>
      <c r="CI511">
        <f t="shared" si="49"/>
        <v>2011</v>
      </c>
      <c r="CJ511" t="str">
        <f t="shared" si="50"/>
        <v>5651_2011</v>
      </c>
    </row>
    <row r="512" spans="1:88" x14ac:dyDescent="0.25">
      <c r="A512" t="s">
        <v>111</v>
      </c>
      <c r="B512" t="s">
        <v>138</v>
      </c>
      <c r="C512">
        <v>5652</v>
      </c>
      <c r="D512">
        <v>-37.718600000000002</v>
      </c>
      <c r="E512">
        <v>145.14359999999999</v>
      </c>
      <c r="F512">
        <v>3</v>
      </c>
      <c r="G512" t="s">
        <v>234</v>
      </c>
      <c r="H512">
        <v>22</v>
      </c>
      <c r="I512">
        <v>202</v>
      </c>
      <c r="J512">
        <v>60</v>
      </c>
      <c r="K512">
        <v>240</v>
      </c>
      <c r="L512">
        <v>189</v>
      </c>
      <c r="M512">
        <v>9</v>
      </c>
      <c r="T512">
        <v>0</v>
      </c>
      <c r="U512">
        <v>91</v>
      </c>
      <c r="Y512">
        <v>1</v>
      </c>
      <c r="Z512">
        <v>19</v>
      </c>
      <c r="AD512">
        <v>91</v>
      </c>
      <c r="AE512">
        <v>22</v>
      </c>
      <c r="AX512">
        <v>91</v>
      </c>
      <c r="AY512">
        <v>92</v>
      </c>
      <c r="AZ512">
        <v>183</v>
      </c>
      <c r="BA512">
        <v>20</v>
      </c>
      <c r="BB512">
        <v>22</v>
      </c>
      <c r="BC512">
        <v>42</v>
      </c>
      <c r="BD512">
        <v>113</v>
      </c>
      <c r="BE512">
        <v>110</v>
      </c>
      <c r="BF512">
        <v>223</v>
      </c>
      <c r="BP512">
        <v>90</v>
      </c>
      <c r="BR512">
        <v>93</v>
      </c>
      <c r="BS512">
        <v>8</v>
      </c>
      <c r="BT512">
        <v>24</v>
      </c>
      <c r="BV512">
        <v>9</v>
      </c>
      <c r="BW512">
        <v>224</v>
      </c>
      <c r="BX512" t="s">
        <v>82</v>
      </c>
      <c r="BY512" s="5"/>
      <c r="BZ512" s="6"/>
      <c r="CA512" s="7">
        <v>40853</v>
      </c>
      <c r="CI512">
        <f t="shared" si="49"/>
        <v>2011</v>
      </c>
      <c r="CJ512" t="str">
        <f t="shared" si="50"/>
        <v>5652_2011</v>
      </c>
    </row>
    <row r="513" spans="1:88" x14ac:dyDescent="0.25">
      <c r="A513" t="s">
        <v>111</v>
      </c>
      <c r="B513" t="s">
        <v>138</v>
      </c>
      <c r="C513">
        <v>5652</v>
      </c>
      <c r="D513">
        <v>-37.718600000000002</v>
      </c>
      <c r="E513">
        <v>145.14359999999999</v>
      </c>
      <c r="F513">
        <v>3</v>
      </c>
      <c r="G513" t="s">
        <v>234</v>
      </c>
      <c r="H513">
        <v>22</v>
      </c>
      <c r="I513">
        <v>202</v>
      </c>
      <c r="J513">
        <v>60</v>
      </c>
      <c r="K513">
        <v>240</v>
      </c>
      <c r="L513">
        <v>189</v>
      </c>
      <c r="M513">
        <v>9</v>
      </c>
      <c r="T513">
        <v>0</v>
      </c>
      <c r="U513">
        <v>195</v>
      </c>
      <c r="Y513">
        <v>2</v>
      </c>
      <c r="Z513">
        <v>211</v>
      </c>
      <c r="AD513">
        <v>173</v>
      </c>
      <c r="AE513">
        <v>372</v>
      </c>
      <c r="AX513">
        <v>195</v>
      </c>
      <c r="AY513">
        <v>175</v>
      </c>
      <c r="AZ513">
        <v>370</v>
      </c>
      <c r="BA513">
        <v>213</v>
      </c>
      <c r="BB513">
        <v>372</v>
      </c>
      <c r="BC513">
        <v>585</v>
      </c>
      <c r="BD513">
        <v>545</v>
      </c>
      <c r="BE513">
        <v>406</v>
      </c>
      <c r="BF513">
        <v>951</v>
      </c>
      <c r="BP513">
        <v>215</v>
      </c>
      <c r="BR513">
        <v>660</v>
      </c>
      <c r="BS513">
        <v>9</v>
      </c>
      <c r="BT513">
        <v>67</v>
      </c>
      <c r="BV513">
        <v>2</v>
      </c>
      <c r="BW513">
        <v>953</v>
      </c>
      <c r="BX513">
        <f t="shared" ref="BX513:BX518" si="55">IF(C513=C512,IF((CI513-1)=CI512,BW512,"no data"))</f>
        <v>224</v>
      </c>
      <c r="BY513" s="5">
        <f t="shared" si="53"/>
        <v>3.2544642857142856</v>
      </c>
      <c r="BZ513" s="6">
        <f t="shared" si="52"/>
        <v>3.2544642857142856</v>
      </c>
      <c r="CA513" s="7">
        <v>41224</v>
      </c>
      <c r="CI513">
        <f t="shared" si="49"/>
        <v>2012</v>
      </c>
      <c r="CJ513" t="str">
        <f t="shared" si="50"/>
        <v>5652_2012</v>
      </c>
    </row>
    <row r="514" spans="1:88" x14ac:dyDescent="0.25">
      <c r="A514" t="s">
        <v>111</v>
      </c>
      <c r="B514" t="s">
        <v>138</v>
      </c>
      <c r="C514">
        <v>5652</v>
      </c>
      <c r="D514">
        <v>-37.718600000000002</v>
      </c>
      <c r="E514">
        <v>145.14359999999999</v>
      </c>
      <c r="F514">
        <v>3</v>
      </c>
      <c r="G514" t="s">
        <v>234</v>
      </c>
      <c r="H514">
        <v>22</v>
      </c>
      <c r="I514">
        <v>202</v>
      </c>
      <c r="J514">
        <v>60</v>
      </c>
      <c r="K514">
        <v>240</v>
      </c>
      <c r="L514">
        <v>189</v>
      </c>
      <c r="M514">
        <v>9</v>
      </c>
      <c r="T514">
        <v>3</v>
      </c>
      <c r="U514">
        <v>172</v>
      </c>
      <c r="Y514">
        <v>5</v>
      </c>
      <c r="Z514">
        <v>166</v>
      </c>
      <c r="AD514">
        <v>114</v>
      </c>
      <c r="AE514">
        <v>342</v>
      </c>
      <c r="AX514">
        <v>175</v>
      </c>
      <c r="AY514">
        <v>119</v>
      </c>
      <c r="AZ514">
        <v>294</v>
      </c>
      <c r="BA514">
        <v>171</v>
      </c>
      <c r="BB514">
        <v>345</v>
      </c>
      <c r="BC514">
        <v>516</v>
      </c>
      <c r="BD514">
        <v>456</v>
      </c>
      <c r="BE514">
        <v>338</v>
      </c>
      <c r="BF514">
        <v>794</v>
      </c>
      <c r="BP514">
        <v>150</v>
      </c>
      <c r="BR514">
        <v>514</v>
      </c>
      <c r="BS514">
        <v>44</v>
      </c>
      <c r="BT514">
        <v>65</v>
      </c>
      <c r="BV514">
        <v>29</v>
      </c>
      <c r="BW514">
        <v>802</v>
      </c>
      <c r="BX514">
        <f t="shared" si="55"/>
        <v>953</v>
      </c>
      <c r="BY514" s="5">
        <f t="shared" si="53"/>
        <v>-0.1584470094438615</v>
      </c>
      <c r="BZ514" s="6">
        <f t="shared" si="52"/>
        <v>-0.1584470094438615</v>
      </c>
      <c r="CA514" s="7">
        <v>41588</v>
      </c>
      <c r="CI514">
        <f t="shared" si="49"/>
        <v>2013</v>
      </c>
      <c r="CJ514" t="str">
        <f t="shared" si="50"/>
        <v>5652_2013</v>
      </c>
    </row>
    <row r="515" spans="1:88" x14ac:dyDescent="0.25">
      <c r="A515" t="s">
        <v>111</v>
      </c>
      <c r="B515" t="s">
        <v>138</v>
      </c>
      <c r="C515">
        <v>5652</v>
      </c>
      <c r="D515">
        <v>-37.718600000000002</v>
      </c>
      <c r="E515">
        <v>145.14359999999999</v>
      </c>
      <c r="F515">
        <v>3</v>
      </c>
      <c r="G515" t="s">
        <v>234</v>
      </c>
      <c r="H515">
        <v>22</v>
      </c>
      <c r="I515">
        <v>202</v>
      </c>
      <c r="J515">
        <v>60</v>
      </c>
      <c r="K515">
        <v>240</v>
      </c>
      <c r="L515">
        <v>189</v>
      </c>
      <c r="M515">
        <v>9</v>
      </c>
      <c r="T515">
        <v>4</v>
      </c>
      <c r="U515">
        <v>141</v>
      </c>
      <c r="Y515">
        <v>5</v>
      </c>
      <c r="Z515">
        <v>138</v>
      </c>
      <c r="AD515">
        <v>94</v>
      </c>
      <c r="AE515">
        <v>420</v>
      </c>
      <c r="AX515">
        <v>145</v>
      </c>
      <c r="AY515">
        <v>99</v>
      </c>
      <c r="AZ515">
        <v>244</v>
      </c>
      <c r="BA515">
        <v>143</v>
      </c>
      <c r="BB515">
        <v>424</v>
      </c>
      <c r="BC515">
        <v>567</v>
      </c>
      <c r="BD515">
        <v>514</v>
      </c>
      <c r="BE515">
        <v>279</v>
      </c>
      <c r="BF515">
        <v>793</v>
      </c>
      <c r="BP515">
        <v>151</v>
      </c>
      <c r="BR515">
        <v>563</v>
      </c>
      <c r="BS515">
        <v>21</v>
      </c>
      <c r="BT515">
        <v>39</v>
      </c>
      <c r="BV515">
        <v>28</v>
      </c>
      <c r="BW515">
        <v>802</v>
      </c>
      <c r="BX515">
        <f t="shared" si="55"/>
        <v>802</v>
      </c>
      <c r="BY515" s="5">
        <f t="shared" si="53"/>
        <v>0</v>
      </c>
      <c r="BZ515" s="6">
        <f t="shared" si="52"/>
        <v>0</v>
      </c>
      <c r="CA515" s="7">
        <v>41952</v>
      </c>
      <c r="CI515">
        <f t="shared" ref="CI515:CI578" si="56">YEAR(CA515)</f>
        <v>2014</v>
      </c>
      <c r="CJ515" t="str">
        <f t="shared" ref="CJ515:CJ578" si="57">_xlfn.CONCAT(C515,"_",CI515)</f>
        <v>5652_2014</v>
      </c>
    </row>
    <row r="516" spans="1:88" x14ac:dyDescent="0.25">
      <c r="A516" t="s">
        <v>111</v>
      </c>
      <c r="B516" t="s">
        <v>138</v>
      </c>
      <c r="C516">
        <v>5652</v>
      </c>
      <c r="D516">
        <v>-37.718600000000002</v>
      </c>
      <c r="E516">
        <v>145.14359999999999</v>
      </c>
      <c r="F516">
        <v>3</v>
      </c>
      <c r="G516" t="s">
        <v>234</v>
      </c>
      <c r="H516">
        <v>22</v>
      </c>
      <c r="I516">
        <v>202</v>
      </c>
      <c r="J516">
        <v>60</v>
      </c>
      <c r="K516">
        <v>240</v>
      </c>
      <c r="L516">
        <v>189</v>
      </c>
      <c r="M516">
        <v>9</v>
      </c>
      <c r="T516">
        <v>29</v>
      </c>
      <c r="U516">
        <v>213</v>
      </c>
      <c r="Y516">
        <v>5</v>
      </c>
      <c r="Z516">
        <v>46</v>
      </c>
      <c r="AD516">
        <v>136</v>
      </c>
      <c r="AE516">
        <v>73</v>
      </c>
      <c r="AX516">
        <v>242</v>
      </c>
      <c r="AY516">
        <v>141</v>
      </c>
      <c r="AZ516">
        <v>383</v>
      </c>
      <c r="BA516">
        <v>51</v>
      </c>
      <c r="BB516">
        <v>102</v>
      </c>
      <c r="BC516">
        <v>153</v>
      </c>
      <c r="BD516">
        <v>209</v>
      </c>
      <c r="BE516">
        <v>259</v>
      </c>
      <c r="BF516">
        <v>468</v>
      </c>
      <c r="BP516">
        <v>244</v>
      </c>
      <c r="BR516">
        <v>176</v>
      </c>
      <c r="BS516">
        <v>29</v>
      </c>
      <c r="BT516">
        <v>51</v>
      </c>
      <c r="BV516">
        <v>2</v>
      </c>
      <c r="BW516">
        <v>502</v>
      </c>
      <c r="BX516">
        <f t="shared" si="55"/>
        <v>802</v>
      </c>
      <c r="BY516" s="5">
        <f t="shared" si="53"/>
        <v>-0.37406483790523692</v>
      </c>
      <c r="BZ516" s="6">
        <f t="shared" si="52"/>
        <v>-0.37406483790523692</v>
      </c>
      <c r="CA516" s="7">
        <v>42316</v>
      </c>
      <c r="CE516">
        <v>108</v>
      </c>
      <c r="CF516">
        <v>141</v>
      </c>
      <c r="CG516">
        <v>154</v>
      </c>
      <c r="CH516">
        <v>99</v>
      </c>
      <c r="CI516">
        <f t="shared" si="56"/>
        <v>2015</v>
      </c>
      <c r="CJ516" t="str">
        <f t="shared" si="57"/>
        <v>5652_2015</v>
      </c>
    </row>
    <row r="517" spans="1:88" x14ac:dyDescent="0.25">
      <c r="A517" t="s">
        <v>111</v>
      </c>
      <c r="B517" t="s">
        <v>138</v>
      </c>
      <c r="C517">
        <v>5652</v>
      </c>
      <c r="D517">
        <v>-37.718601999999997</v>
      </c>
      <c r="E517">
        <v>145.14361500000001</v>
      </c>
      <c r="F517">
        <v>3</v>
      </c>
      <c r="G517" t="s">
        <v>234</v>
      </c>
      <c r="H517">
        <v>22</v>
      </c>
      <c r="I517">
        <v>202</v>
      </c>
      <c r="J517">
        <v>60</v>
      </c>
      <c r="K517">
        <v>240</v>
      </c>
      <c r="L517">
        <v>189</v>
      </c>
      <c r="M517">
        <v>9</v>
      </c>
      <c r="T517">
        <v>2</v>
      </c>
      <c r="U517">
        <v>173</v>
      </c>
      <c r="Y517">
        <v>9</v>
      </c>
      <c r="Z517">
        <v>1153</v>
      </c>
      <c r="AD517">
        <v>122</v>
      </c>
      <c r="AE517">
        <v>959</v>
      </c>
      <c r="AX517">
        <v>175</v>
      </c>
      <c r="AY517">
        <v>131</v>
      </c>
      <c r="AZ517">
        <v>306</v>
      </c>
      <c r="BA517">
        <v>1162</v>
      </c>
      <c r="BB517">
        <v>961</v>
      </c>
      <c r="BC517">
        <v>2123</v>
      </c>
      <c r="BD517">
        <v>1081</v>
      </c>
      <c r="BE517">
        <v>1326</v>
      </c>
      <c r="BF517">
        <v>2407</v>
      </c>
      <c r="BP517">
        <v>29</v>
      </c>
      <c r="BR517">
        <v>2289</v>
      </c>
      <c r="BS517">
        <v>31</v>
      </c>
      <c r="BT517">
        <v>67</v>
      </c>
      <c r="BV517">
        <v>2</v>
      </c>
      <c r="BW517">
        <v>2418</v>
      </c>
      <c r="BX517">
        <f t="shared" si="55"/>
        <v>502</v>
      </c>
      <c r="BY517" s="5">
        <f t="shared" si="53"/>
        <v>3.8167330677290838</v>
      </c>
      <c r="BZ517" s="6">
        <f t="shared" si="52"/>
        <v>3.8167330677290838</v>
      </c>
      <c r="CA517" s="7">
        <v>42687</v>
      </c>
      <c r="CE517">
        <v>227</v>
      </c>
      <c r="CF517">
        <v>563</v>
      </c>
      <c r="CG517">
        <v>842</v>
      </c>
      <c r="CH517">
        <v>786</v>
      </c>
      <c r="CI517">
        <f t="shared" si="56"/>
        <v>2016</v>
      </c>
      <c r="CJ517" t="str">
        <f t="shared" si="57"/>
        <v>5652_2016</v>
      </c>
    </row>
    <row r="518" spans="1:88" x14ac:dyDescent="0.25">
      <c r="A518" t="s">
        <v>111</v>
      </c>
      <c r="B518" t="s">
        <v>138</v>
      </c>
      <c r="C518">
        <v>5652</v>
      </c>
      <c r="D518">
        <v>-37.718601999999997</v>
      </c>
      <c r="E518">
        <v>145.14361500000001</v>
      </c>
      <c r="F518">
        <v>3</v>
      </c>
      <c r="G518" t="s">
        <v>234</v>
      </c>
      <c r="H518">
        <v>22</v>
      </c>
      <c r="I518">
        <v>202</v>
      </c>
      <c r="J518">
        <v>60</v>
      </c>
      <c r="K518">
        <v>240</v>
      </c>
      <c r="L518">
        <v>189</v>
      </c>
      <c r="M518">
        <v>9</v>
      </c>
      <c r="T518">
        <v>8</v>
      </c>
      <c r="U518">
        <v>132</v>
      </c>
      <c r="Y518">
        <v>0</v>
      </c>
      <c r="Z518">
        <v>137</v>
      </c>
      <c r="AD518">
        <v>154</v>
      </c>
      <c r="AE518">
        <v>234</v>
      </c>
      <c r="AX518">
        <v>140</v>
      </c>
      <c r="AY518">
        <v>154</v>
      </c>
      <c r="AZ518">
        <v>294</v>
      </c>
      <c r="BA518">
        <v>137</v>
      </c>
      <c r="BB518">
        <v>242</v>
      </c>
      <c r="BC518">
        <v>379</v>
      </c>
      <c r="BD518">
        <v>388</v>
      </c>
      <c r="BE518">
        <v>269</v>
      </c>
      <c r="BF518">
        <v>657</v>
      </c>
      <c r="BP518">
        <v>203</v>
      </c>
      <c r="BR518">
        <v>381</v>
      </c>
      <c r="BS518">
        <v>36</v>
      </c>
      <c r="BT518">
        <v>35</v>
      </c>
      <c r="BV518">
        <v>10</v>
      </c>
      <c r="BW518">
        <v>665</v>
      </c>
      <c r="BX518">
        <f t="shared" si="55"/>
        <v>2418</v>
      </c>
      <c r="BY518" s="5">
        <f t="shared" si="53"/>
        <v>-0.72497932175351532</v>
      </c>
      <c r="BZ518" s="6">
        <f t="shared" ref="BZ518:BZ581" si="58">BY518</f>
        <v>-0.72497932175351532</v>
      </c>
      <c r="CA518" s="7">
        <v>43051</v>
      </c>
      <c r="CE518">
        <v>120</v>
      </c>
      <c r="CF518">
        <v>112</v>
      </c>
      <c r="CG518">
        <v>220</v>
      </c>
      <c r="CH518">
        <v>213</v>
      </c>
      <c r="CI518">
        <f t="shared" si="56"/>
        <v>2017</v>
      </c>
      <c r="CJ518" t="str">
        <f t="shared" si="57"/>
        <v>5652_2017</v>
      </c>
    </row>
    <row r="519" spans="1:88" x14ac:dyDescent="0.25">
      <c r="A519" t="s">
        <v>111</v>
      </c>
      <c r="B519" t="s">
        <v>138</v>
      </c>
      <c r="C519">
        <v>5653</v>
      </c>
      <c r="D519">
        <v>-37.703499999999998</v>
      </c>
      <c r="E519">
        <v>145.15350000000001</v>
      </c>
      <c r="F519">
        <v>4</v>
      </c>
      <c r="G519" t="s">
        <v>235</v>
      </c>
      <c r="H519">
        <v>36</v>
      </c>
      <c r="I519">
        <v>216</v>
      </c>
      <c r="J519">
        <v>139</v>
      </c>
      <c r="K519">
        <v>319</v>
      </c>
      <c r="L519">
        <v>229</v>
      </c>
      <c r="M519">
        <v>49</v>
      </c>
      <c r="N519">
        <v>319</v>
      </c>
      <c r="O519">
        <v>139</v>
      </c>
      <c r="T519">
        <v>34</v>
      </c>
      <c r="U519">
        <v>54</v>
      </c>
      <c r="Y519">
        <v>26</v>
      </c>
      <c r="Z519">
        <v>16</v>
      </c>
      <c r="AD519">
        <v>47</v>
      </c>
      <c r="AE519">
        <v>2</v>
      </c>
      <c r="AX519">
        <v>88</v>
      </c>
      <c r="AY519">
        <v>73</v>
      </c>
      <c r="AZ519">
        <v>161</v>
      </c>
      <c r="BA519">
        <v>42</v>
      </c>
      <c r="BB519">
        <v>36</v>
      </c>
      <c r="BC519">
        <v>78</v>
      </c>
      <c r="BD519">
        <v>49</v>
      </c>
      <c r="BE519">
        <v>70</v>
      </c>
      <c r="BF519">
        <v>119</v>
      </c>
      <c r="BP519">
        <v>112</v>
      </c>
      <c r="BR519">
        <v>40</v>
      </c>
      <c r="BS519">
        <v>18</v>
      </c>
      <c r="BT519">
        <v>8</v>
      </c>
      <c r="BV519">
        <v>1</v>
      </c>
      <c r="BW519">
        <v>179</v>
      </c>
      <c r="BX519" t="s">
        <v>82</v>
      </c>
      <c r="BY519" s="5"/>
      <c r="BZ519" s="6"/>
      <c r="CA519" s="7">
        <v>40853</v>
      </c>
      <c r="CI519">
        <f t="shared" si="56"/>
        <v>2011</v>
      </c>
      <c r="CJ519" t="str">
        <f t="shared" si="57"/>
        <v>5653_2011</v>
      </c>
    </row>
    <row r="520" spans="1:88" x14ac:dyDescent="0.25">
      <c r="A520" t="s">
        <v>111</v>
      </c>
      <c r="B520" t="s">
        <v>138</v>
      </c>
      <c r="C520">
        <v>5653</v>
      </c>
      <c r="D520">
        <v>-37.703499999999998</v>
      </c>
      <c r="E520">
        <v>145.15350000000001</v>
      </c>
      <c r="F520">
        <v>4</v>
      </c>
      <c r="G520" t="s">
        <v>235</v>
      </c>
      <c r="H520">
        <v>36</v>
      </c>
      <c r="I520">
        <v>216</v>
      </c>
      <c r="J520">
        <v>139</v>
      </c>
      <c r="K520">
        <v>319</v>
      </c>
      <c r="L520">
        <v>229</v>
      </c>
      <c r="M520">
        <v>49</v>
      </c>
      <c r="N520">
        <v>319</v>
      </c>
      <c r="O520">
        <v>139</v>
      </c>
      <c r="T520">
        <v>40</v>
      </c>
      <c r="U520">
        <v>111</v>
      </c>
      <c r="Y520">
        <v>38</v>
      </c>
      <c r="Z520">
        <v>25</v>
      </c>
      <c r="AD520">
        <v>104</v>
      </c>
      <c r="AE520">
        <v>12</v>
      </c>
      <c r="AX520">
        <v>151</v>
      </c>
      <c r="AY520">
        <v>142</v>
      </c>
      <c r="AZ520">
        <v>293</v>
      </c>
      <c r="BA520">
        <v>63</v>
      </c>
      <c r="BB520">
        <v>52</v>
      </c>
      <c r="BC520">
        <v>115</v>
      </c>
      <c r="BD520">
        <v>116</v>
      </c>
      <c r="BE520">
        <v>136</v>
      </c>
      <c r="BF520">
        <v>252</v>
      </c>
      <c r="BP520">
        <v>196</v>
      </c>
      <c r="BR520">
        <v>81</v>
      </c>
      <c r="BS520">
        <v>24</v>
      </c>
      <c r="BT520">
        <v>20</v>
      </c>
      <c r="BV520">
        <v>9</v>
      </c>
      <c r="BW520">
        <v>330</v>
      </c>
      <c r="BX520">
        <f t="shared" ref="BX520:BX525" si="59">IF(C520=C519,IF((CI520-1)=CI519,BW519,"no data"))</f>
        <v>179</v>
      </c>
      <c r="BY520" s="5">
        <f t="shared" si="53"/>
        <v>0.84357541899441346</v>
      </c>
      <c r="BZ520" s="6">
        <f t="shared" si="58"/>
        <v>0.84357541899441346</v>
      </c>
      <c r="CA520" s="7">
        <v>41224</v>
      </c>
      <c r="CI520">
        <f t="shared" si="56"/>
        <v>2012</v>
      </c>
      <c r="CJ520" t="str">
        <f t="shared" si="57"/>
        <v>5653_2012</v>
      </c>
    </row>
    <row r="521" spans="1:88" x14ac:dyDescent="0.25">
      <c r="A521" t="s">
        <v>111</v>
      </c>
      <c r="B521" t="s">
        <v>138</v>
      </c>
      <c r="C521">
        <v>5653</v>
      </c>
      <c r="D521">
        <v>-37.703499999999998</v>
      </c>
      <c r="E521">
        <v>145.15350000000001</v>
      </c>
      <c r="F521">
        <v>4</v>
      </c>
      <c r="G521" t="s">
        <v>235</v>
      </c>
      <c r="H521">
        <v>36</v>
      </c>
      <c r="I521">
        <v>216</v>
      </c>
      <c r="J521">
        <v>139</v>
      </c>
      <c r="K521">
        <v>319</v>
      </c>
      <c r="L521">
        <v>229</v>
      </c>
      <c r="M521">
        <v>49</v>
      </c>
      <c r="N521">
        <v>319</v>
      </c>
      <c r="O521">
        <v>139</v>
      </c>
      <c r="T521">
        <v>3</v>
      </c>
      <c r="U521">
        <v>142</v>
      </c>
      <c r="Y521">
        <v>7</v>
      </c>
      <c r="Z521">
        <v>23</v>
      </c>
      <c r="AD521">
        <v>70</v>
      </c>
      <c r="AE521">
        <v>15</v>
      </c>
      <c r="AX521">
        <v>145</v>
      </c>
      <c r="AY521">
        <v>77</v>
      </c>
      <c r="AZ521">
        <v>222</v>
      </c>
      <c r="BA521">
        <v>30</v>
      </c>
      <c r="BB521">
        <v>18</v>
      </c>
      <c r="BC521">
        <v>48</v>
      </c>
      <c r="BD521">
        <v>85</v>
      </c>
      <c r="BE521">
        <v>165</v>
      </c>
      <c r="BF521">
        <v>250</v>
      </c>
      <c r="BP521">
        <v>148</v>
      </c>
      <c r="BR521">
        <v>56</v>
      </c>
      <c r="BS521">
        <v>21</v>
      </c>
      <c r="BT521">
        <v>33</v>
      </c>
      <c r="BV521">
        <v>2</v>
      </c>
      <c r="BW521">
        <v>260</v>
      </c>
      <c r="BX521">
        <f t="shared" si="59"/>
        <v>330</v>
      </c>
      <c r="BY521" s="5">
        <f t="shared" si="53"/>
        <v>-0.21212121212121213</v>
      </c>
      <c r="BZ521" s="6">
        <f t="shared" si="58"/>
        <v>-0.21212121212121213</v>
      </c>
      <c r="CA521" s="7">
        <v>41588</v>
      </c>
      <c r="CI521">
        <f t="shared" si="56"/>
        <v>2013</v>
      </c>
      <c r="CJ521" t="str">
        <f t="shared" si="57"/>
        <v>5653_2013</v>
      </c>
    </row>
    <row r="522" spans="1:88" x14ac:dyDescent="0.25">
      <c r="A522" t="s">
        <v>111</v>
      </c>
      <c r="B522" t="s">
        <v>138</v>
      </c>
      <c r="C522">
        <v>5653</v>
      </c>
      <c r="D522">
        <v>-37.703499999999998</v>
      </c>
      <c r="E522">
        <v>145.15350000000001</v>
      </c>
      <c r="F522">
        <v>4</v>
      </c>
      <c r="G522" t="s">
        <v>235</v>
      </c>
      <c r="H522">
        <v>36</v>
      </c>
      <c r="I522">
        <v>216</v>
      </c>
      <c r="J522">
        <v>139</v>
      </c>
      <c r="K522">
        <v>319</v>
      </c>
      <c r="L522">
        <v>229</v>
      </c>
      <c r="M522">
        <v>49</v>
      </c>
      <c r="N522">
        <v>319</v>
      </c>
      <c r="O522">
        <v>139</v>
      </c>
      <c r="T522">
        <v>75</v>
      </c>
      <c r="U522">
        <v>151</v>
      </c>
      <c r="Y522">
        <v>123</v>
      </c>
      <c r="Z522">
        <v>19</v>
      </c>
      <c r="AD522">
        <v>130</v>
      </c>
      <c r="AE522">
        <v>12</v>
      </c>
      <c r="AX522">
        <v>226</v>
      </c>
      <c r="AY522">
        <v>253</v>
      </c>
      <c r="AZ522">
        <v>479</v>
      </c>
      <c r="BA522">
        <v>142</v>
      </c>
      <c r="BB522">
        <v>87</v>
      </c>
      <c r="BC522">
        <v>229</v>
      </c>
      <c r="BD522">
        <v>142</v>
      </c>
      <c r="BE522">
        <v>170</v>
      </c>
      <c r="BF522">
        <v>312</v>
      </c>
      <c r="BP522">
        <v>280</v>
      </c>
      <c r="BR522">
        <v>118</v>
      </c>
      <c r="BS522">
        <v>93</v>
      </c>
      <c r="BT522">
        <v>19</v>
      </c>
      <c r="BV522">
        <v>0</v>
      </c>
      <c r="BW522">
        <v>510</v>
      </c>
      <c r="BX522">
        <f t="shared" si="59"/>
        <v>260</v>
      </c>
      <c r="BY522" s="5">
        <f t="shared" si="53"/>
        <v>0.96153846153846156</v>
      </c>
      <c r="BZ522" s="6">
        <f t="shared" si="58"/>
        <v>0.96153846153846156</v>
      </c>
      <c r="CA522" s="7">
        <v>41952</v>
      </c>
      <c r="CI522">
        <f t="shared" si="56"/>
        <v>2014</v>
      </c>
      <c r="CJ522" t="str">
        <f t="shared" si="57"/>
        <v>5653_2014</v>
      </c>
    </row>
    <row r="523" spans="1:88" x14ac:dyDescent="0.25">
      <c r="A523" t="s">
        <v>111</v>
      </c>
      <c r="B523" t="s">
        <v>138</v>
      </c>
      <c r="C523">
        <v>5653</v>
      </c>
      <c r="D523">
        <v>-37.703499999999998</v>
      </c>
      <c r="E523">
        <v>145.15350000000001</v>
      </c>
      <c r="F523">
        <v>4</v>
      </c>
      <c r="G523" t="s">
        <v>235</v>
      </c>
      <c r="H523">
        <v>36</v>
      </c>
      <c r="I523">
        <v>216</v>
      </c>
      <c r="J523">
        <v>139</v>
      </c>
      <c r="K523">
        <v>319</v>
      </c>
      <c r="L523">
        <v>229</v>
      </c>
      <c r="M523">
        <v>49</v>
      </c>
      <c r="N523">
        <v>319</v>
      </c>
      <c r="O523">
        <v>139</v>
      </c>
      <c r="T523">
        <v>67</v>
      </c>
      <c r="U523">
        <v>149</v>
      </c>
      <c r="Y523">
        <v>377</v>
      </c>
      <c r="Z523">
        <v>42</v>
      </c>
      <c r="AD523">
        <v>125</v>
      </c>
      <c r="AE523">
        <v>28</v>
      </c>
      <c r="AX523">
        <v>216</v>
      </c>
      <c r="AY523">
        <v>502</v>
      </c>
      <c r="AZ523">
        <v>718</v>
      </c>
      <c r="BA523">
        <v>419</v>
      </c>
      <c r="BB523">
        <v>95</v>
      </c>
      <c r="BC523">
        <v>514</v>
      </c>
      <c r="BD523">
        <v>153</v>
      </c>
      <c r="BE523">
        <v>191</v>
      </c>
      <c r="BF523">
        <v>344</v>
      </c>
      <c r="BP523">
        <v>281</v>
      </c>
      <c r="BR523">
        <v>137</v>
      </c>
      <c r="BS523">
        <v>325</v>
      </c>
      <c r="BT523">
        <v>34</v>
      </c>
      <c r="BV523">
        <v>11</v>
      </c>
      <c r="BW523">
        <v>788</v>
      </c>
      <c r="BX523">
        <f t="shared" si="59"/>
        <v>510</v>
      </c>
      <c r="BY523" s="5">
        <f t="shared" si="53"/>
        <v>0.54509803921568623</v>
      </c>
      <c r="BZ523" s="6">
        <f t="shared" si="58"/>
        <v>0.54509803921568623</v>
      </c>
      <c r="CA523" s="7">
        <v>42316</v>
      </c>
      <c r="CE523">
        <v>142</v>
      </c>
      <c r="CF523">
        <v>358</v>
      </c>
      <c r="CG523">
        <v>157</v>
      </c>
      <c r="CH523">
        <v>131</v>
      </c>
      <c r="CI523">
        <f t="shared" si="56"/>
        <v>2015</v>
      </c>
      <c r="CJ523" t="str">
        <f t="shared" si="57"/>
        <v>5653_2015</v>
      </c>
    </row>
    <row r="524" spans="1:88" x14ac:dyDescent="0.25">
      <c r="A524" t="s">
        <v>111</v>
      </c>
      <c r="B524" t="s">
        <v>138</v>
      </c>
      <c r="C524">
        <v>5653</v>
      </c>
      <c r="D524">
        <v>-37.703468999999998</v>
      </c>
      <c r="E524">
        <v>145.15346099999999</v>
      </c>
      <c r="F524">
        <v>3</v>
      </c>
      <c r="G524" t="s">
        <v>236</v>
      </c>
      <c r="H524">
        <v>36</v>
      </c>
      <c r="I524">
        <v>216</v>
      </c>
      <c r="J524">
        <v>139</v>
      </c>
      <c r="K524">
        <v>319</v>
      </c>
      <c r="L524">
        <v>229</v>
      </c>
      <c r="M524">
        <v>49</v>
      </c>
      <c r="T524">
        <v>12</v>
      </c>
      <c r="U524">
        <v>40</v>
      </c>
      <c r="Y524">
        <v>13</v>
      </c>
      <c r="Z524">
        <v>22</v>
      </c>
      <c r="AD524">
        <v>36</v>
      </c>
      <c r="AE524">
        <v>2</v>
      </c>
      <c r="AX524">
        <v>52</v>
      </c>
      <c r="AY524">
        <v>49</v>
      </c>
      <c r="AZ524">
        <v>101</v>
      </c>
      <c r="BA524">
        <v>35</v>
      </c>
      <c r="BB524">
        <v>14</v>
      </c>
      <c r="BC524">
        <v>49</v>
      </c>
      <c r="BD524">
        <v>38</v>
      </c>
      <c r="BE524">
        <v>62</v>
      </c>
      <c r="BF524">
        <v>100</v>
      </c>
      <c r="BP524">
        <v>35</v>
      </c>
      <c r="BR524">
        <v>42</v>
      </c>
      <c r="BS524">
        <v>29</v>
      </c>
      <c r="BT524">
        <v>14</v>
      </c>
      <c r="BV524">
        <v>5</v>
      </c>
      <c r="BW524">
        <v>125</v>
      </c>
      <c r="BX524">
        <f t="shared" si="59"/>
        <v>788</v>
      </c>
      <c r="BY524" s="5">
        <f t="shared" si="53"/>
        <v>-0.84137055837563457</v>
      </c>
      <c r="BZ524" s="6">
        <f t="shared" si="58"/>
        <v>-0.84137055837563457</v>
      </c>
      <c r="CA524" s="7">
        <v>42687</v>
      </c>
      <c r="CE524">
        <v>42</v>
      </c>
      <c r="CF524">
        <v>26</v>
      </c>
      <c r="CG524">
        <v>38</v>
      </c>
      <c r="CH524">
        <v>19</v>
      </c>
      <c r="CI524">
        <f t="shared" si="56"/>
        <v>2016</v>
      </c>
      <c r="CJ524" t="str">
        <f t="shared" si="57"/>
        <v>5653_2016</v>
      </c>
    </row>
    <row r="525" spans="1:88" x14ac:dyDescent="0.25">
      <c r="A525" t="s">
        <v>111</v>
      </c>
      <c r="B525" t="s">
        <v>138</v>
      </c>
      <c r="C525">
        <v>5653</v>
      </c>
      <c r="D525">
        <v>-37.703468999999998</v>
      </c>
      <c r="E525">
        <v>145.15346099999999</v>
      </c>
      <c r="F525">
        <v>3</v>
      </c>
      <c r="G525" t="s">
        <v>236</v>
      </c>
      <c r="H525">
        <v>36</v>
      </c>
      <c r="I525">
        <v>216</v>
      </c>
      <c r="J525">
        <v>139</v>
      </c>
      <c r="K525">
        <v>319</v>
      </c>
      <c r="L525">
        <v>229</v>
      </c>
      <c r="M525">
        <v>49</v>
      </c>
      <c r="N525">
        <v>319</v>
      </c>
      <c r="O525">
        <v>139</v>
      </c>
      <c r="T525">
        <v>37</v>
      </c>
      <c r="U525">
        <v>106</v>
      </c>
      <c r="V525">
        <v>8</v>
      </c>
      <c r="Y525">
        <v>42</v>
      </c>
      <c r="Z525">
        <v>18</v>
      </c>
      <c r="AA525">
        <v>7</v>
      </c>
      <c r="AD525">
        <v>82</v>
      </c>
      <c r="AE525">
        <v>19</v>
      </c>
      <c r="AF525">
        <v>13</v>
      </c>
      <c r="AI525">
        <v>14</v>
      </c>
      <c r="AJ525">
        <v>14</v>
      </c>
      <c r="AK525">
        <v>20</v>
      </c>
      <c r="AX525">
        <v>151</v>
      </c>
      <c r="AY525">
        <v>138</v>
      </c>
      <c r="AZ525">
        <v>289</v>
      </c>
      <c r="BA525">
        <v>67</v>
      </c>
      <c r="BB525">
        <v>70</v>
      </c>
      <c r="BC525">
        <v>137</v>
      </c>
      <c r="BD525">
        <v>114</v>
      </c>
      <c r="BE525">
        <v>144</v>
      </c>
      <c r="BF525">
        <v>258</v>
      </c>
      <c r="BG525">
        <v>48</v>
      </c>
      <c r="BH525">
        <v>28</v>
      </c>
      <c r="BI525">
        <v>76</v>
      </c>
      <c r="BP525">
        <v>200</v>
      </c>
      <c r="BR525">
        <v>88</v>
      </c>
      <c r="BS525">
        <v>50</v>
      </c>
      <c r="BT525">
        <v>31</v>
      </c>
      <c r="BV525">
        <v>11</v>
      </c>
      <c r="BW525">
        <v>380</v>
      </c>
      <c r="BX525">
        <f t="shared" si="59"/>
        <v>125</v>
      </c>
      <c r="BY525" s="5">
        <f t="shared" si="53"/>
        <v>2.04</v>
      </c>
      <c r="BZ525" s="6">
        <f t="shared" si="58"/>
        <v>2.04</v>
      </c>
      <c r="CA525" s="7">
        <v>43051</v>
      </c>
      <c r="CE525">
        <v>114</v>
      </c>
      <c r="CF525">
        <v>94</v>
      </c>
      <c r="CG525">
        <v>96</v>
      </c>
      <c r="CH525">
        <v>76</v>
      </c>
      <c r="CI525">
        <f t="shared" si="56"/>
        <v>2017</v>
      </c>
      <c r="CJ525" t="str">
        <f t="shared" si="57"/>
        <v>5653_2017</v>
      </c>
    </row>
    <row r="526" spans="1:88" x14ac:dyDescent="0.25">
      <c r="A526" t="s">
        <v>111</v>
      </c>
      <c r="B526" t="s">
        <v>138</v>
      </c>
      <c r="C526">
        <v>5654</v>
      </c>
      <c r="D526">
        <v>-37.688400000000001</v>
      </c>
      <c r="E526">
        <v>145.15610000000001</v>
      </c>
      <c r="F526">
        <v>3</v>
      </c>
      <c r="G526" t="s">
        <v>139</v>
      </c>
      <c r="H526">
        <v>97</v>
      </c>
      <c r="I526">
        <v>277</v>
      </c>
      <c r="J526">
        <v>200</v>
      </c>
      <c r="K526">
        <v>20</v>
      </c>
      <c r="L526">
        <v>291</v>
      </c>
      <c r="M526">
        <v>111</v>
      </c>
      <c r="T526">
        <v>4</v>
      </c>
      <c r="U526">
        <v>4</v>
      </c>
      <c r="Y526">
        <v>2</v>
      </c>
      <c r="Z526">
        <v>52</v>
      </c>
      <c r="AD526">
        <v>44</v>
      </c>
      <c r="AE526">
        <v>1</v>
      </c>
      <c r="AX526">
        <v>8</v>
      </c>
      <c r="AY526">
        <v>46</v>
      </c>
      <c r="AZ526">
        <v>54</v>
      </c>
      <c r="BA526">
        <v>54</v>
      </c>
      <c r="BB526">
        <v>5</v>
      </c>
      <c r="BC526">
        <v>59</v>
      </c>
      <c r="BD526">
        <v>45</v>
      </c>
      <c r="BE526">
        <v>56</v>
      </c>
      <c r="BF526">
        <v>101</v>
      </c>
      <c r="BP526">
        <v>67</v>
      </c>
      <c r="BR526">
        <v>29</v>
      </c>
      <c r="BS526">
        <v>5</v>
      </c>
      <c r="BT526">
        <v>6</v>
      </c>
      <c r="BV526">
        <v>0</v>
      </c>
      <c r="BW526">
        <v>107</v>
      </c>
      <c r="BX526" t="s">
        <v>82</v>
      </c>
      <c r="BY526" s="5"/>
      <c r="BZ526" s="6"/>
      <c r="CA526" s="7">
        <v>40853</v>
      </c>
      <c r="CI526">
        <f t="shared" si="56"/>
        <v>2011</v>
      </c>
      <c r="CJ526" t="str">
        <f t="shared" si="57"/>
        <v>5654_2011</v>
      </c>
    </row>
    <row r="527" spans="1:88" x14ac:dyDescent="0.25">
      <c r="A527" t="s">
        <v>111</v>
      </c>
      <c r="B527" t="s">
        <v>138</v>
      </c>
      <c r="C527">
        <v>5654</v>
      </c>
      <c r="D527">
        <v>-37.688400000000001</v>
      </c>
      <c r="E527">
        <v>145.15610000000001</v>
      </c>
      <c r="F527">
        <v>3</v>
      </c>
      <c r="G527" t="s">
        <v>139</v>
      </c>
      <c r="H527">
        <v>97</v>
      </c>
      <c r="I527">
        <v>277</v>
      </c>
      <c r="J527">
        <v>200</v>
      </c>
      <c r="K527">
        <v>20</v>
      </c>
      <c r="L527">
        <v>291</v>
      </c>
      <c r="M527">
        <v>111</v>
      </c>
      <c r="T527">
        <v>7</v>
      </c>
      <c r="U527">
        <v>30</v>
      </c>
      <c r="Y527">
        <v>7</v>
      </c>
      <c r="Z527">
        <v>159</v>
      </c>
      <c r="AD527">
        <v>23</v>
      </c>
      <c r="AE527">
        <v>196</v>
      </c>
      <c r="AX527">
        <v>37</v>
      </c>
      <c r="AY527">
        <v>30</v>
      </c>
      <c r="AZ527">
        <v>67</v>
      </c>
      <c r="BA527">
        <v>166</v>
      </c>
      <c r="BB527">
        <v>203</v>
      </c>
      <c r="BC527">
        <v>369</v>
      </c>
      <c r="BD527">
        <v>219</v>
      </c>
      <c r="BE527">
        <v>189</v>
      </c>
      <c r="BF527">
        <v>408</v>
      </c>
      <c r="BP527">
        <v>234</v>
      </c>
      <c r="BR527">
        <v>117</v>
      </c>
      <c r="BS527">
        <v>36</v>
      </c>
      <c r="BT527">
        <v>35</v>
      </c>
      <c r="BV527">
        <v>0</v>
      </c>
      <c r="BW527">
        <v>422</v>
      </c>
      <c r="BX527">
        <f>IF(C527=C526,IF((CI527-1)=CI526,BW526,"no data"))</f>
        <v>107</v>
      </c>
      <c r="BY527" s="5">
        <f t="shared" ref="BY527:BY587" si="60">(BW527-BX527)/BX527</f>
        <v>2.94392523364486</v>
      </c>
      <c r="BZ527" s="6">
        <f t="shared" si="58"/>
        <v>2.94392523364486</v>
      </c>
      <c r="CA527" s="7">
        <v>41224</v>
      </c>
      <c r="CI527">
        <f t="shared" si="56"/>
        <v>2012</v>
      </c>
      <c r="CJ527" t="str">
        <f t="shared" si="57"/>
        <v>5654_2012</v>
      </c>
    </row>
    <row r="528" spans="1:88" x14ac:dyDescent="0.25">
      <c r="A528" t="s">
        <v>111</v>
      </c>
      <c r="B528" t="s">
        <v>138</v>
      </c>
      <c r="C528">
        <v>5655</v>
      </c>
      <c r="D528">
        <v>-37.672199999999997</v>
      </c>
      <c r="E528">
        <v>145.15369999999999</v>
      </c>
      <c r="F528">
        <v>2</v>
      </c>
      <c r="G528" t="s">
        <v>237</v>
      </c>
      <c r="H528">
        <v>3</v>
      </c>
      <c r="I528">
        <v>183</v>
      </c>
      <c r="J528">
        <v>158</v>
      </c>
      <c r="K528">
        <v>338</v>
      </c>
      <c r="T528">
        <v>28</v>
      </c>
      <c r="Y528">
        <v>26</v>
      </c>
      <c r="AX528">
        <v>28</v>
      </c>
      <c r="AY528">
        <v>26</v>
      </c>
      <c r="AZ528">
        <v>54</v>
      </c>
      <c r="BA528">
        <v>26</v>
      </c>
      <c r="BB528">
        <v>28</v>
      </c>
      <c r="BC528">
        <v>54</v>
      </c>
      <c r="BP528">
        <v>17</v>
      </c>
      <c r="BR528">
        <v>19</v>
      </c>
      <c r="BS528">
        <v>2</v>
      </c>
      <c r="BT528">
        <v>15</v>
      </c>
      <c r="BV528">
        <v>1</v>
      </c>
      <c r="BW528">
        <v>54</v>
      </c>
      <c r="BX528" t="s">
        <v>82</v>
      </c>
      <c r="BY528" s="5"/>
      <c r="BZ528" s="6"/>
      <c r="CA528" s="7">
        <v>40853</v>
      </c>
      <c r="CI528">
        <f t="shared" si="56"/>
        <v>2011</v>
      </c>
      <c r="CJ528" t="str">
        <f t="shared" si="57"/>
        <v>5655_2011</v>
      </c>
    </row>
    <row r="529" spans="1:88" x14ac:dyDescent="0.25">
      <c r="A529" t="s">
        <v>111</v>
      </c>
      <c r="B529" t="s">
        <v>138</v>
      </c>
      <c r="C529">
        <v>5655</v>
      </c>
      <c r="D529">
        <v>-37.672199999999997</v>
      </c>
      <c r="E529">
        <v>145.15369999999999</v>
      </c>
      <c r="F529">
        <v>2</v>
      </c>
      <c r="G529" t="s">
        <v>237</v>
      </c>
      <c r="H529">
        <v>3</v>
      </c>
      <c r="I529">
        <v>183</v>
      </c>
      <c r="J529">
        <v>158</v>
      </c>
      <c r="K529">
        <v>338</v>
      </c>
      <c r="T529">
        <v>78</v>
      </c>
      <c r="Y529">
        <v>70</v>
      </c>
      <c r="AX529">
        <v>78</v>
      </c>
      <c r="AY529">
        <v>70</v>
      </c>
      <c r="AZ529">
        <v>148</v>
      </c>
      <c r="BA529">
        <v>70</v>
      </c>
      <c r="BB529">
        <v>78</v>
      </c>
      <c r="BC529">
        <v>148</v>
      </c>
      <c r="BP529">
        <v>43</v>
      </c>
      <c r="BR529">
        <v>60</v>
      </c>
      <c r="BS529">
        <v>12</v>
      </c>
      <c r="BT529">
        <v>29</v>
      </c>
      <c r="BV529">
        <v>4</v>
      </c>
      <c r="BW529">
        <v>148</v>
      </c>
      <c r="BX529">
        <f>IF(C529=C528,IF((CI529-1)=CI528,BW528,"no data"))</f>
        <v>54</v>
      </c>
      <c r="BY529" s="5">
        <f t="shared" si="60"/>
        <v>1.7407407407407407</v>
      </c>
      <c r="BZ529" s="6">
        <f t="shared" si="58"/>
        <v>1.7407407407407407</v>
      </c>
      <c r="CA529" s="7">
        <v>41224</v>
      </c>
      <c r="CI529">
        <f t="shared" si="56"/>
        <v>2012</v>
      </c>
      <c r="CJ529" t="str">
        <f t="shared" si="57"/>
        <v>5655_2012</v>
      </c>
    </row>
    <row r="530" spans="1:88" x14ac:dyDescent="0.25">
      <c r="A530" t="s">
        <v>111</v>
      </c>
      <c r="B530" t="s">
        <v>138</v>
      </c>
      <c r="C530">
        <v>5656</v>
      </c>
      <c r="D530">
        <v>-37.698399999999999</v>
      </c>
      <c r="E530">
        <v>145.18180000000001</v>
      </c>
      <c r="F530">
        <v>4</v>
      </c>
      <c r="G530" t="s">
        <v>238</v>
      </c>
      <c r="H530">
        <v>34</v>
      </c>
      <c r="I530">
        <v>214</v>
      </c>
      <c r="J530">
        <v>125</v>
      </c>
      <c r="K530">
        <v>305</v>
      </c>
      <c r="L530">
        <v>195</v>
      </c>
      <c r="M530">
        <v>15</v>
      </c>
      <c r="N530">
        <v>351</v>
      </c>
      <c r="O530">
        <v>171</v>
      </c>
      <c r="T530">
        <v>0</v>
      </c>
      <c r="U530">
        <v>3</v>
      </c>
      <c r="V530">
        <v>0</v>
      </c>
      <c r="Y530">
        <v>0</v>
      </c>
      <c r="Z530">
        <v>0</v>
      </c>
      <c r="AA530">
        <v>10</v>
      </c>
      <c r="AD530">
        <v>0</v>
      </c>
      <c r="AE530">
        <v>1</v>
      </c>
      <c r="AF530">
        <v>0</v>
      </c>
      <c r="AI530">
        <v>0</v>
      </c>
      <c r="AJ530">
        <v>10</v>
      </c>
      <c r="AK530">
        <v>3</v>
      </c>
      <c r="AX530">
        <v>3</v>
      </c>
      <c r="AY530">
        <v>0</v>
      </c>
      <c r="AZ530">
        <v>3</v>
      </c>
      <c r="BA530">
        <v>10</v>
      </c>
      <c r="BB530">
        <v>11</v>
      </c>
      <c r="BC530">
        <v>21</v>
      </c>
      <c r="BD530">
        <v>1</v>
      </c>
      <c r="BE530">
        <v>6</v>
      </c>
      <c r="BF530">
        <v>7</v>
      </c>
      <c r="BG530">
        <v>13</v>
      </c>
      <c r="BH530">
        <v>10</v>
      </c>
      <c r="BI530">
        <v>23</v>
      </c>
      <c r="BP530">
        <v>10</v>
      </c>
      <c r="BR530">
        <v>11</v>
      </c>
      <c r="BS530">
        <v>3</v>
      </c>
      <c r="BT530">
        <v>3</v>
      </c>
      <c r="BV530">
        <v>0</v>
      </c>
      <c r="BW530">
        <v>27</v>
      </c>
      <c r="BX530" t="s">
        <v>82</v>
      </c>
      <c r="BY530" s="5"/>
      <c r="BZ530" s="6"/>
      <c r="CA530" s="7">
        <v>40853</v>
      </c>
      <c r="CI530">
        <f t="shared" si="56"/>
        <v>2011</v>
      </c>
      <c r="CJ530" t="str">
        <f t="shared" si="57"/>
        <v>5656_2011</v>
      </c>
    </row>
    <row r="531" spans="1:88" x14ac:dyDescent="0.25">
      <c r="A531" t="s">
        <v>111</v>
      </c>
      <c r="B531" t="s">
        <v>138</v>
      </c>
      <c r="C531">
        <v>5656</v>
      </c>
      <c r="D531">
        <v>-37.698399999999999</v>
      </c>
      <c r="E531">
        <v>145.18180000000001</v>
      </c>
      <c r="F531">
        <v>4</v>
      </c>
      <c r="G531" t="s">
        <v>238</v>
      </c>
      <c r="H531">
        <v>34</v>
      </c>
      <c r="I531">
        <v>214</v>
      </c>
      <c r="J531">
        <v>125</v>
      </c>
      <c r="K531">
        <v>305</v>
      </c>
      <c r="L531">
        <v>195</v>
      </c>
      <c r="M531">
        <v>15</v>
      </c>
      <c r="N531">
        <v>351</v>
      </c>
      <c r="O531">
        <v>171</v>
      </c>
      <c r="T531">
        <v>12</v>
      </c>
      <c r="U531">
        <v>42</v>
      </c>
      <c r="V531">
        <v>5</v>
      </c>
      <c r="Y531">
        <v>13</v>
      </c>
      <c r="Z531">
        <v>8</v>
      </c>
      <c r="AA531">
        <v>4</v>
      </c>
      <c r="AD531">
        <v>32</v>
      </c>
      <c r="AE531">
        <v>9</v>
      </c>
      <c r="AF531">
        <v>3</v>
      </c>
      <c r="AI531">
        <v>13</v>
      </c>
      <c r="AJ531">
        <v>3</v>
      </c>
      <c r="AK531">
        <v>4</v>
      </c>
      <c r="AX531">
        <v>59</v>
      </c>
      <c r="AY531">
        <v>58</v>
      </c>
      <c r="AZ531">
        <v>117</v>
      </c>
      <c r="BA531">
        <v>25</v>
      </c>
      <c r="BB531">
        <v>24</v>
      </c>
      <c r="BC531">
        <v>49</v>
      </c>
      <c r="BD531">
        <v>44</v>
      </c>
      <c r="BE531">
        <v>54</v>
      </c>
      <c r="BF531">
        <v>98</v>
      </c>
      <c r="BG531">
        <v>20</v>
      </c>
      <c r="BH531">
        <v>12</v>
      </c>
      <c r="BI531">
        <v>32</v>
      </c>
      <c r="BP531">
        <v>33</v>
      </c>
      <c r="BR531">
        <v>51</v>
      </c>
      <c r="BS531">
        <v>13</v>
      </c>
      <c r="BT531">
        <v>37</v>
      </c>
      <c r="BV531">
        <v>14</v>
      </c>
      <c r="BW531">
        <v>148</v>
      </c>
      <c r="BX531">
        <f t="shared" ref="BX531:BX536" si="61">IF(C531=C530,IF((CI531-1)=CI530,BW530,"no data"))</f>
        <v>27</v>
      </c>
      <c r="BY531" s="5">
        <f t="shared" si="60"/>
        <v>4.4814814814814818</v>
      </c>
      <c r="BZ531" s="6">
        <f t="shared" si="58"/>
        <v>4.4814814814814818</v>
      </c>
      <c r="CA531" s="7">
        <v>41224</v>
      </c>
      <c r="CI531">
        <f t="shared" si="56"/>
        <v>2012</v>
      </c>
      <c r="CJ531" t="str">
        <f t="shared" si="57"/>
        <v>5656_2012</v>
      </c>
    </row>
    <row r="532" spans="1:88" x14ac:dyDescent="0.25">
      <c r="A532" t="s">
        <v>111</v>
      </c>
      <c r="B532" t="s">
        <v>138</v>
      </c>
      <c r="C532">
        <v>5656</v>
      </c>
      <c r="D532">
        <v>-37.698399999999999</v>
      </c>
      <c r="E532">
        <v>145.18180000000001</v>
      </c>
      <c r="F532">
        <v>4</v>
      </c>
      <c r="G532" t="s">
        <v>238</v>
      </c>
      <c r="H532">
        <v>34</v>
      </c>
      <c r="I532">
        <v>214</v>
      </c>
      <c r="J532">
        <v>125</v>
      </c>
      <c r="K532">
        <v>305</v>
      </c>
      <c r="L532">
        <v>195</v>
      </c>
      <c r="M532">
        <v>15</v>
      </c>
      <c r="N532">
        <v>351</v>
      </c>
      <c r="O532">
        <v>171</v>
      </c>
      <c r="T532">
        <v>0</v>
      </c>
      <c r="U532">
        <v>4</v>
      </c>
      <c r="V532">
        <v>9</v>
      </c>
      <c r="Y532">
        <v>4</v>
      </c>
      <c r="Z532">
        <v>0</v>
      </c>
      <c r="AA532">
        <v>30</v>
      </c>
      <c r="AD532">
        <v>2</v>
      </c>
      <c r="AE532">
        <v>0</v>
      </c>
      <c r="AF532">
        <v>9</v>
      </c>
      <c r="AI532">
        <v>5</v>
      </c>
      <c r="AJ532">
        <v>313</v>
      </c>
      <c r="AK532">
        <v>7</v>
      </c>
      <c r="AX532">
        <v>13</v>
      </c>
      <c r="AY532">
        <v>11</v>
      </c>
      <c r="AZ532">
        <v>24</v>
      </c>
      <c r="BA532">
        <v>34</v>
      </c>
      <c r="BB532">
        <v>313</v>
      </c>
      <c r="BC532">
        <v>347</v>
      </c>
      <c r="BD532">
        <v>11</v>
      </c>
      <c r="BE532">
        <v>11</v>
      </c>
      <c r="BF532">
        <v>22</v>
      </c>
      <c r="BG532">
        <v>325</v>
      </c>
      <c r="BH532">
        <v>48</v>
      </c>
      <c r="BI532">
        <v>373</v>
      </c>
      <c r="BP532">
        <v>28</v>
      </c>
      <c r="BR532">
        <v>42</v>
      </c>
      <c r="BS532">
        <v>313</v>
      </c>
      <c r="BT532">
        <v>0</v>
      </c>
      <c r="BV532">
        <v>0</v>
      </c>
      <c r="BW532">
        <v>383</v>
      </c>
      <c r="BX532">
        <f t="shared" si="61"/>
        <v>148</v>
      </c>
      <c r="BY532" s="5">
        <f t="shared" si="60"/>
        <v>1.5878378378378379</v>
      </c>
      <c r="BZ532" s="6">
        <f t="shared" si="58"/>
        <v>1.5878378378378379</v>
      </c>
      <c r="CA532" s="7">
        <v>41588</v>
      </c>
      <c r="CI532">
        <f t="shared" si="56"/>
        <v>2013</v>
      </c>
      <c r="CJ532" t="str">
        <f t="shared" si="57"/>
        <v>5656_2013</v>
      </c>
    </row>
    <row r="533" spans="1:88" x14ac:dyDescent="0.25">
      <c r="A533" t="s">
        <v>111</v>
      </c>
      <c r="B533" t="s">
        <v>138</v>
      </c>
      <c r="C533">
        <v>5656</v>
      </c>
      <c r="D533">
        <v>-37.698399999999999</v>
      </c>
      <c r="E533">
        <v>145.18180000000001</v>
      </c>
      <c r="F533">
        <v>4</v>
      </c>
      <c r="G533" t="s">
        <v>238</v>
      </c>
      <c r="H533">
        <v>34</v>
      </c>
      <c r="I533">
        <v>214</v>
      </c>
      <c r="J533">
        <v>125</v>
      </c>
      <c r="K533">
        <v>305</v>
      </c>
      <c r="L533">
        <v>195</v>
      </c>
      <c r="M533">
        <v>15</v>
      </c>
      <c r="N533">
        <v>351</v>
      </c>
      <c r="O533">
        <v>171</v>
      </c>
      <c r="T533">
        <v>1</v>
      </c>
      <c r="U533">
        <v>6</v>
      </c>
      <c r="V533">
        <v>6</v>
      </c>
      <c r="Y533">
        <v>1</v>
      </c>
      <c r="Z533">
        <v>8</v>
      </c>
      <c r="AA533">
        <v>54</v>
      </c>
      <c r="AD533">
        <v>4</v>
      </c>
      <c r="AE533">
        <v>6</v>
      </c>
      <c r="AF533">
        <v>4</v>
      </c>
      <c r="AI533">
        <v>3</v>
      </c>
      <c r="AJ533">
        <v>289</v>
      </c>
      <c r="AK533">
        <v>13</v>
      </c>
      <c r="AX533">
        <v>13</v>
      </c>
      <c r="AY533">
        <v>8</v>
      </c>
      <c r="AZ533">
        <v>21</v>
      </c>
      <c r="BA533">
        <v>63</v>
      </c>
      <c r="BB533">
        <v>296</v>
      </c>
      <c r="BC533">
        <v>359</v>
      </c>
      <c r="BD533">
        <v>14</v>
      </c>
      <c r="BE533">
        <v>27</v>
      </c>
      <c r="BF533">
        <v>41</v>
      </c>
      <c r="BG533">
        <v>305</v>
      </c>
      <c r="BH533">
        <v>64</v>
      </c>
      <c r="BI533">
        <v>369</v>
      </c>
      <c r="BP533">
        <v>23</v>
      </c>
      <c r="BR533">
        <v>91</v>
      </c>
      <c r="BS533">
        <v>260</v>
      </c>
      <c r="BT533">
        <v>21</v>
      </c>
      <c r="BV533">
        <v>0</v>
      </c>
      <c r="BW533">
        <v>395</v>
      </c>
      <c r="BX533">
        <f t="shared" si="61"/>
        <v>383</v>
      </c>
      <c r="BY533" s="5">
        <f t="shared" si="60"/>
        <v>3.1331592689295036E-2</v>
      </c>
      <c r="BZ533" s="6">
        <f t="shared" si="58"/>
        <v>3.1331592689295036E-2</v>
      </c>
      <c r="CA533" s="7">
        <v>41952</v>
      </c>
      <c r="CI533">
        <f t="shared" si="56"/>
        <v>2014</v>
      </c>
      <c r="CJ533" t="str">
        <f t="shared" si="57"/>
        <v>5656_2014</v>
      </c>
    </row>
    <row r="534" spans="1:88" x14ac:dyDescent="0.25">
      <c r="A534" t="s">
        <v>111</v>
      </c>
      <c r="B534" t="s">
        <v>138</v>
      </c>
      <c r="C534">
        <v>5656</v>
      </c>
      <c r="D534">
        <v>-37.698399999999999</v>
      </c>
      <c r="E534">
        <v>145.18180000000001</v>
      </c>
      <c r="F534">
        <v>4</v>
      </c>
      <c r="G534" t="s">
        <v>238</v>
      </c>
      <c r="H534">
        <v>34</v>
      </c>
      <c r="I534">
        <v>214</v>
      </c>
      <c r="J534">
        <v>125</v>
      </c>
      <c r="K534">
        <v>305</v>
      </c>
      <c r="L534">
        <v>195</v>
      </c>
      <c r="M534">
        <v>15</v>
      </c>
      <c r="N534">
        <v>351</v>
      </c>
      <c r="O534">
        <v>171</v>
      </c>
      <c r="T534">
        <v>4</v>
      </c>
      <c r="U534">
        <v>18</v>
      </c>
      <c r="V534">
        <v>13</v>
      </c>
      <c r="Y534">
        <v>8</v>
      </c>
      <c r="Z534">
        <v>9</v>
      </c>
      <c r="AA534">
        <v>48</v>
      </c>
      <c r="AD534">
        <v>12</v>
      </c>
      <c r="AE534">
        <v>6</v>
      </c>
      <c r="AF534">
        <v>22</v>
      </c>
      <c r="AI534">
        <v>15</v>
      </c>
      <c r="AJ534">
        <v>339</v>
      </c>
      <c r="AK534">
        <v>15</v>
      </c>
      <c r="AX534">
        <v>35</v>
      </c>
      <c r="AY534">
        <v>35</v>
      </c>
      <c r="AZ534">
        <v>70</v>
      </c>
      <c r="BA534">
        <v>65</v>
      </c>
      <c r="BB534">
        <v>349</v>
      </c>
      <c r="BC534">
        <v>414</v>
      </c>
      <c r="BD534">
        <v>40</v>
      </c>
      <c r="BE534">
        <v>42</v>
      </c>
      <c r="BF534">
        <v>82</v>
      </c>
      <c r="BG534">
        <v>369</v>
      </c>
      <c r="BH534">
        <v>83</v>
      </c>
      <c r="BI534">
        <v>452</v>
      </c>
      <c r="BP534">
        <v>25</v>
      </c>
      <c r="BR534">
        <v>113</v>
      </c>
      <c r="BS534">
        <v>321</v>
      </c>
      <c r="BT534">
        <v>39</v>
      </c>
      <c r="BV534">
        <v>11</v>
      </c>
      <c r="BW534">
        <v>509</v>
      </c>
      <c r="BX534">
        <f t="shared" si="61"/>
        <v>395</v>
      </c>
      <c r="BY534" s="5">
        <f t="shared" si="60"/>
        <v>0.28860759493670884</v>
      </c>
      <c r="BZ534" s="6">
        <f t="shared" si="58"/>
        <v>0.28860759493670884</v>
      </c>
      <c r="CA534" s="7">
        <v>42316</v>
      </c>
      <c r="CE534">
        <v>350</v>
      </c>
      <c r="CF534">
        <v>73</v>
      </c>
      <c r="CG534">
        <v>51</v>
      </c>
      <c r="CH534">
        <v>35</v>
      </c>
      <c r="CI534">
        <f t="shared" si="56"/>
        <v>2015</v>
      </c>
      <c r="CJ534" t="str">
        <f t="shared" si="57"/>
        <v>5656_2015</v>
      </c>
    </row>
    <row r="535" spans="1:88" x14ac:dyDescent="0.25">
      <c r="A535" t="s">
        <v>111</v>
      </c>
      <c r="B535" t="s">
        <v>138</v>
      </c>
      <c r="C535">
        <v>5656</v>
      </c>
      <c r="D535">
        <v>-37.698349999999998</v>
      </c>
      <c r="E535">
        <v>145.181847</v>
      </c>
      <c r="F535">
        <v>4</v>
      </c>
      <c r="G535" t="s">
        <v>238</v>
      </c>
      <c r="H535">
        <v>34</v>
      </c>
      <c r="I535">
        <v>214</v>
      </c>
      <c r="J535">
        <v>125</v>
      </c>
      <c r="K535">
        <v>305</v>
      </c>
      <c r="L535">
        <v>195</v>
      </c>
      <c r="M535">
        <v>15</v>
      </c>
      <c r="N535">
        <v>351</v>
      </c>
      <c r="O535">
        <v>171</v>
      </c>
      <c r="T535">
        <v>5</v>
      </c>
      <c r="U535">
        <v>3</v>
      </c>
      <c r="V535">
        <v>23</v>
      </c>
      <c r="Y535">
        <v>11</v>
      </c>
      <c r="Z535">
        <v>4</v>
      </c>
      <c r="AA535">
        <v>39</v>
      </c>
      <c r="AD535">
        <v>3</v>
      </c>
      <c r="AE535">
        <v>9</v>
      </c>
      <c r="AF535">
        <v>8</v>
      </c>
      <c r="AI535">
        <v>5</v>
      </c>
      <c r="AJ535">
        <v>45</v>
      </c>
      <c r="AK535">
        <v>14</v>
      </c>
      <c r="AX535">
        <v>31</v>
      </c>
      <c r="AY535">
        <v>19</v>
      </c>
      <c r="AZ535">
        <v>50</v>
      </c>
      <c r="BA535">
        <v>54</v>
      </c>
      <c r="BB535">
        <v>59</v>
      </c>
      <c r="BC535">
        <v>113</v>
      </c>
      <c r="BD535">
        <v>20</v>
      </c>
      <c r="BE535">
        <v>21</v>
      </c>
      <c r="BF535">
        <v>41</v>
      </c>
      <c r="BG535">
        <v>64</v>
      </c>
      <c r="BH535">
        <v>70</v>
      </c>
      <c r="BI535">
        <v>134</v>
      </c>
      <c r="BP535">
        <v>6</v>
      </c>
      <c r="BR535">
        <v>92</v>
      </c>
      <c r="BS535">
        <v>9</v>
      </c>
      <c r="BT535">
        <v>60</v>
      </c>
      <c r="BV535">
        <v>2</v>
      </c>
      <c r="BW535">
        <v>169</v>
      </c>
      <c r="BX535">
        <f t="shared" si="61"/>
        <v>509</v>
      </c>
      <c r="BY535" s="5">
        <f t="shared" si="60"/>
        <v>-0.66797642436149307</v>
      </c>
      <c r="BZ535" s="6">
        <f t="shared" si="58"/>
        <v>-0.66797642436149307</v>
      </c>
      <c r="CA535" s="7">
        <v>42687</v>
      </c>
      <c r="CE535">
        <v>61</v>
      </c>
      <c r="CF535">
        <v>54</v>
      </c>
      <c r="CG535">
        <v>32</v>
      </c>
      <c r="CH535">
        <v>22</v>
      </c>
      <c r="CI535">
        <f t="shared" si="56"/>
        <v>2016</v>
      </c>
      <c r="CJ535" t="str">
        <f t="shared" si="57"/>
        <v>5656_2016</v>
      </c>
    </row>
    <row r="536" spans="1:88" x14ac:dyDescent="0.25">
      <c r="A536" t="s">
        <v>111</v>
      </c>
      <c r="B536" t="s">
        <v>138</v>
      </c>
      <c r="C536">
        <v>5656</v>
      </c>
      <c r="D536">
        <v>-37.698349999999998</v>
      </c>
      <c r="E536">
        <v>145.181847</v>
      </c>
      <c r="F536">
        <v>4</v>
      </c>
      <c r="G536" t="s">
        <v>238</v>
      </c>
      <c r="H536">
        <v>34</v>
      </c>
      <c r="I536">
        <v>214</v>
      </c>
      <c r="J536">
        <v>125</v>
      </c>
      <c r="K536">
        <v>305</v>
      </c>
      <c r="L536">
        <v>195</v>
      </c>
      <c r="M536">
        <v>15</v>
      </c>
      <c r="N536">
        <v>351</v>
      </c>
      <c r="O536">
        <v>171</v>
      </c>
      <c r="T536">
        <v>10</v>
      </c>
      <c r="U536">
        <v>12</v>
      </c>
      <c r="V536">
        <v>16</v>
      </c>
      <c r="Y536">
        <v>12</v>
      </c>
      <c r="Z536">
        <v>25</v>
      </c>
      <c r="AA536">
        <v>76</v>
      </c>
      <c r="AD536">
        <v>15</v>
      </c>
      <c r="AE536">
        <v>12</v>
      </c>
      <c r="AF536">
        <v>13</v>
      </c>
      <c r="AI536">
        <v>3</v>
      </c>
      <c r="AJ536">
        <v>48</v>
      </c>
      <c r="AK536">
        <v>9</v>
      </c>
      <c r="AX536">
        <v>38</v>
      </c>
      <c r="AY536">
        <v>30</v>
      </c>
      <c r="AZ536">
        <v>68</v>
      </c>
      <c r="BA536">
        <v>113</v>
      </c>
      <c r="BB536">
        <v>70</v>
      </c>
      <c r="BC536">
        <v>183</v>
      </c>
      <c r="BD536">
        <v>40</v>
      </c>
      <c r="BE536">
        <v>46</v>
      </c>
      <c r="BF536">
        <v>86</v>
      </c>
      <c r="BG536">
        <v>60</v>
      </c>
      <c r="BH536">
        <v>105</v>
      </c>
      <c r="BI536">
        <v>165</v>
      </c>
      <c r="BP536">
        <v>39</v>
      </c>
      <c r="BR536">
        <v>132</v>
      </c>
      <c r="BS536">
        <v>21</v>
      </c>
      <c r="BT536">
        <v>59</v>
      </c>
      <c r="BV536">
        <v>0</v>
      </c>
      <c r="BW536">
        <v>251</v>
      </c>
      <c r="BX536">
        <f t="shared" si="61"/>
        <v>169</v>
      </c>
      <c r="BY536" s="5">
        <f t="shared" si="60"/>
        <v>0.48520710059171596</v>
      </c>
      <c r="BZ536" s="6">
        <f t="shared" si="58"/>
        <v>0.48520710059171596</v>
      </c>
      <c r="CA536" s="7">
        <v>43051</v>
      </c>
      <c r="CE536">
        <v>93</v>
      </c>
      <c r="CF536">
        <v>47</v>
      </c>
      <c r="CG536">
        <v>59</v>
      </c>
      <c r="CH536">
        <v>52</v>
      </c>
      <c r="CI536">
        <f t="shared" si="56"/>
        <v>2017</v>
      </c>
      <c r="CJ536" t="str">
        <f t="shared" si="57"/>
        <v>5656_2017</v>
      </c>
    </row>
    <row r="537" spans="1:88" x14ac:dyDescent="0.25">
      <c r="A537" t="s">
        <v>111</v>
      </c>
      <c r="B537" t="s">
        <v>114</v>
      </c>
      <c r="C537">
        <v>5657</v>
      </c>
      <c r="D537">
        <v>-37.788108999999999</v>
      </c>
      <c r="E537">
        <v>145.02575400000001</v>
      </c>
      <c r="F537">
        <v>4</v>
      </c>
      <c r="G537" t="s">
        <v>239</v>
      </c>
      <c r="H537">
        <v>25</v>
      </c>
      <c r="I537">
        <v>205</v>
      </c>
      <c r="J537">
        <v>83</v>
      </c>
      <c r="K537">
        <v>263</v>
      </c>
      <c r="L537">
        <v>167</v>
      </c>
      <c r="M537">
        <v>347</v>
      </c>
      <c r="N537">
        <v>286</v>
      </c>
      <c r="O537">
        <v>106</v>
      </c>
      <c r="T537">
        <v>70</v>
      </c>
      <c r="U537">
        <v>76</v>
      </c>
      <c r="Y537">
        <v>97</v>
      </c>
      <c r="Z537">
        <v>2</v>
      </c>
      <c r="AD537">
        <v>63</v>
      </c>
      <c r="AE537">
        <v>1</v>
      </c>
      <c r="AX537">
        <v>146</v>
      </c>
      <c r="AY537">
        <v>160</v>
      </c>
      <c r="AZ537">
        <v>306</v>
      </c>
      <c r="BA537">
        <v>99</v>
      </c>
      <c r="BB537">
        <v>71</v>
      </c>
      <c r="BC537">
        <v>170</v>
      </c>
      <c r="BD537">
        <v>64</v>
      </c>
      <c r="BE537">
        <v>78</v>
      </c>
      <c r="BF537">
        <v>142</v>
      </c>
      <c r="BP537">
        <v>259</v>
      </c>
      <c r="BR537">
        <v>22</v>
      </c>
      <c r="BS537">
        <v>11</v>
      </c>
      <c r="BT537">
        <v>17</v>
      </c>
      <c r="BV537">
        <v>0</v>
      </c>
      <c r="BW537">
        <v>309</v>
      </c>
      <c r="BX537" t="s">
        <v>82</v>
      </c>
      <c r="BY537" s="5"/>
      <c r="BZ537" s="6"/>
      <c r="CA537" s="7">
        <v>40853</v>
      </c>
      <c r="CI537">
        <f t="shared" si="56"/>
        <v>2011</v>
      </c>
      <c r="CJ537" t="str">
        <f t="shared" si="57"/>
        <v>5657_2011</v>
      </c>
    </row>
    <row r="538" spans="1:88" x14ac:dyDescent="0.25">
      <c r="A538" t="s">
        <v>111</v>
      </c>
      <c r="B538" t="s">
        <v>114</v>
      </c>
      <c r="C538">
        <v>5657</v>
      </c>
      <c r="D538">
        <v>-37.788108999999999</v>
      </c>
      <c r="E538">
        <v>145.02575400000001</v>
      </c>
      <c r="F538">
        <v>4</v>
      </c>
      <c r="G538" t="s">
        <v>239</v>
      </c>
      <c r="H538">
        <v>25</v>
      </c>
      <c r="I538">
        <v>205</v>
      </c>
      <c r="J538">
        <v>83</v>
      </c>
      <c r="K538">
        <v>263</v>
      </c>
      <c r="L538">
        <v>167</v>
      </c>
      <c r="M538">
        <v>347</v>
      </c>
      <c r="N538">
        <v>286</v>
      </c>
      <c r="O538">
        <v>106</v>
      </c>
      <c r="T538">
        <v>185</v>
      </c>
      <c r="U538">
        <v>229</v>
      </c>
      <c r="Y538">
        <v>194</v>
      </c>
      <c r="Z538">
        <v>1</v>
      </c>
      <c r="AD538">
        <v>390</v>
      </c>
      <c r="AE538">
        <v>0</v>
      </c>
      <c r="AX538">
        <v>414</v>
      </c>
      <c r="AY538">
        <v>584</v>
      </c>
      <c r="AZ538">
        <v>998</v>
      </c>
      <c r="BA538">
        <v>195</v>
      </c>
      <c r="BB538">
        <v>185</v>
      </c>
      <c r="BC538">
        <v>380</v>
      </c>
      <c r="BD538">
        <v>390</v>
      </c>
      <c r="BE538">
        <v>230</v>
      </c>
      <c r="BF538">
        <v>620</v>
      </c>
      <c r="BP538">
        <v>564</v>
      </c>
      <c r="BR538">
        <v>77</v>
      </c>
      <c r="BS538">
        <v>83</v>
      </c>
      <c r="BT538">
        <v>275</v>
      </c>
      <c r="BV538">
        <v>0</v>
      </c>
      <c r="BW538">
        <v>999</v>
      </c>
      <c r="BX538">
        <f t="shared" ref="BX538:BX543" si="62">IF(C538=C537,IF((CI538-1)=CI537,BW537,"no data"))</f>
        <v>309</v>
      </c>
      <c r="BY538" s="5">
        <f t="shared" si="60"/>
        <v>2.233009708737864</v>
      </c>
      <c r="BZ538" s="6">
        <f t="shared" si="58"/>
        <v>2.233009708737864</v>
      </c>
      <c r="CA538" s="7">
        <v>41224</v>
      </c>
      <c r="CI538">
        <f t="shared" si="56"/>
        <v>2012</v>
      </c>
      <c r="CJ538" t="str">
        <f t="shared" si="57"/>
        <v>5657_2012</v>
      </c>
    </row>
    <row r="539" spans="1:88" x14ac:dyDescent="0.25">
      <c r="A539" t="s">
        <v>111</v>
      </c>
      <c r="B539" t="s">
        <v>114</v>
      </c>
      <c r="C539">
        <v>5657</v>
      </c>
      <c r="D539">
        <v>-37.787903999999997</v>
      </c>
      <c r="E539">
        <v>145.02679699999999</v>
      </c>
      <c r="F539">
        <v>3</v>
      </c>
      <c r="G539" t="s">
        <v>240</v>
      </c>
      <c r="H539">
        <v>116</v>
      </c>
      <c r="I539">
        <v>296</v>
      </c>
      <c r="J539">
        <v>251</v>
      </c>
      <c r="K539">
        <v>71</v>
      </c>
      <c r="L539">
        <v>294</v>
      </c>
      <c r="M539">
        <v>114</v>
      </c>
      <c r="T539">
        <v>62</v>
      </c>
      <c r="U539">
        <v>47</v>
      </c>
      <c r="Y539">
        <v>41</v>
      </c>
      <c r="Z539">
        <v>3</v>
      </c>
      <c r="AD539">
        <v>40</v>
      </c>
      <c r="AE539">
        <v>10</v>
      </c>
      <c r="AX539">
        <v>109</v>
      </c>
      <c r="AY539">
        <v>81</v>
      </c>
      <c r="AZ539">
        <v>190</v>
      </c>
      <c r="BA539">
        <v>44</v>
      </c>
      <c r="BB539">
        <v>72</v>
      </c>
      <c r="BC539">
        <v>116</v>
      </c>
      <c r="BD539">
        <v>50</v>
      </c>
      <c r="BE539">
        <v>50</v>
      </c>
      <c r="BF539">
        <v>100</v>
      </c>
      <c r="BP539">
        <v>120</v>
      </c>
      <c r="BR539">
        <v>30</v>
      </c>
      <c r="BS539">
        <v>27</v>
      </c>
      <c r="BT539">
        <v>26</v>
      </c>
      <c r="BV539">
        <v>0</v>
      </c>
      <c r="BW539">
        <v>203</v>
      </c>
      <c r="BX539" t="str">
        <f t="shared" si="62"/>
        <v>no data</v>
      </c>
      <c r="BY539" s="5"/>
      <c r="BZ539" s="6"/>
      <c r="CA539" s="7">
        <v>42687</v>
      </c>
      <c r="CE539">
        <v>52</v>
      </c>
      <c r="CF539">
        <v>57</v>
      </c>
      <c r="CG539">
        <v>45</v>
      </c>
      <c r="CH539">
        <v>49</v>
      </c>
      <c r="CI539">
        <f t="shared" si="56"/>
        <v>2016</v>
      </c>
      <c r="CJ539" t="str">
        <f t="shared" si="57"/>
        <v>5657_2016</v>
      </c>
    </row>
    <row r="540" spans="1:88" x14ac:dyDescent="0.25">
      <c r="A540" t="s">
        <v>111</v>
      </c>
      <c r="B540" t="s">
        <v>114</v>
      </c>
      <c r="C540">
        <v>5657</v>
      </c>
      <c r="D540">
        <v>-37.788108999999999</v>
      </c>
      <c r="E540">
        <v>145.02575400000001</v>
      </c>
      <c r="F540">
        <v>4</v>
      </c>
      <c r="G540" t="s">
        <v>239</v>
      </c>
      <c r="H540">
        <v>25</v>
      </c>
      <c r="I540">
        <v>205</v>
      </c>
      <c r="J540">
        <v>83</v>
      </c>
      <c r="K540">
        <v>263</v>
      </c>
      <c r="L540">
        <v>167</v>
      </c>
      <c r="M540">
        <v>347</v>
      </c>
      <c r="N540">
        <v>286</v>
      </c>
      <c r="O540">
        <v>106</v>
      </c>
      <c r="T540">
        <v>190</v>
      </c>
      <c r="U540">
        <v>118</v>
      </c>
      <c r="Y540">
        <v>178</v>
      </c>
      <c r="Z540">
        <v>12</v>
      </c>
      <c r="AD540">
        <v>74</v>
      </c>
      <c r="AE540">
        <v>6</v>
      </c>
      <c r="AX540">
        <v>308</v>
      </c>
      <c r="AY540">
        <v>252</v>
      </c>
      <c r="AZ540">
        <v>560</v>
      </c>
      <c r="BA540">
        <v>190</v>
      </c>
      <c r="BB540">
        <v>196</v>
      </c>
      <c r="BC540">
        <v>386</v>
      </c>
      <c r="BD540">
        <v>80</v>
      </c>
      <c r="BE540">
        <v>130</v>
      </c>
      <c r="BF540">
        <v>210</v>
      </c>
      <c r="BP540">
        <v>394</v>
      </c>
      <c r="BR540">
        <v>88</v>
      </c>
      <c r="BS540">
        <v>60</v>
      </c>
      <c r="BT540">
        <v>33</v>
      </c>
      <c r="BV540">
        <v>3</v>
      </c>
      <c r="BW540">
        <v>578</v>
      </c>
      <c r="BX540" t="str">
        <f t="shared" si="62"/>
        <v>no data</v>
      </c>
      <c r="BY540" s="5"/>
      <c r="BZ540" s="6"/>
      <c r="CA540" s="7">
        <v>43415</v>
      </c>
      <c r="CE540">
        <v>169</v>
      </c>
      <c r="CF540">
        <v>155</v>
      </c>
      <c r="CG540">
        <v>124</v>
      </c>
      <c r="CH540">
        <v>130</v>
      </c>
      <c r="CI540">
        <f t="shared" si="56"/>
        <v>2018</v>
      </c>
      <c r="CJ540" t="str">
        <f t="shared" si="57"/>
        <v>5657_2018</v>
      </c>
    </row>
    <row r="541" spans="1:88" x14ac:dyDescent="0.25">
      <c r="A541" t="s">
        <v>111</v>
      </c>
      <c r="B541" t="s">
        <v>114</v>
      </c>
      <c r="C541">
        <v>5657</v>
      </c>
      <c r="D541">
        <v>-37.7881</v>
      </c>
      <c r="E541">
        <v>145.0258</v>
      </c>
      <c r="F541">
        <v>4</v>
      </c>
      <c r="G541" t="s">
        <v>239</v>
      </c>
      <c r="H541">
        <v>25</v>
      </c>
      <c r="I541">
        <v>205</v>
      </c>
      <c r="J541">
        <v>83</v>
      </c>
      <c r="K541">
        <v>263</v>
      </c>
      <c r="L541">
        <v>167</v>
      </c>
      <c r="M541">
        <v>347</v>
      </c>
      <c r="N541">
        <v>286</v>
      </c>
      <c r="O541">
        <v>106</v>
      </c>
      <c r="T541">
        <v>238</v>
      </c>
      <c r="U541">
        <v>4</v>
      </c>
      <c r="V541">
        <v>36</v>
      </c>
      <c r="Y541">
        <v>282</v>
      </c>
      <c r="Z541">
        <v>30</v>
      </c>
      <c r="AA541">
        <v>92</v>
      </c>
      <c r="AD541">
        <v>15</v>
      </c>
      <c r="AE541">
        <v>21</v>
      </c>
      <c r="AF541">
        <v>36</v>
      </c>
      <c r="AI541">
        <v>114</v>
      </c>
      <c r="AJ541">
        <v>62</v>
      </c>
      <c r="AK541">
        <v>42</v>
      </c>
      <c r="AX541">
        <v>278</v>
      </c>
      <c r="AY541">
        <v>411</v>
      </c>
      <c r="AZ541">
        <v>689</v>
      </c>
      <c r="BA541">
        <v>404</v>
      </c>
      <c r="BB541">
        <v>321</v>
      </c>
      <c r="BC541">
        <v>725</v>
      </c>
      <c r="BD541">
        <v>72</v>
      </c>
      <c r="BE541">
        <v>76</v>
      </c>
      <c r="BF541">
        <v>148</v>
      </c>
      <c r="BG541">
        <v>218</v>
      </c>
      <c r="BH541">
        <v>164</v>
      </c>
      <c r="BI541">
        <v>382</v>
      </c>
      <c r="BP541">
        <v>709</v>
      </c>
      <c r="BR541">
        <v>140</v>
      </c>
      <c r="BS541">
        <v>80</v>
      </c>
      <c r="BT541">
        <v>32</v>
      </c>
      <c r="BV541">
        <v>11</v>
      </c>
      <c r="BW541">
        <v>972</v>
      </c>
      <c r="BX541">
        <f t="shared" si="62"/>
        <v>578</v>
      </c>
      <c r="BY541" s="5">
        <f t="shared" si="60"/>
        <v>0.68166089965397925</v>
      </c>
      <c r="BZ541" s="6">
        <f t="shared" si="58"/>
        <v>0.68166089965397925</v>
      </c>
      <c r="CA541" s="7">
        <v>43779</v>
      </c>
      <c r="CE541">
        <v>231</v>
      </c>
      <c r="CF541">
        <v>299</v>
      </c>
      <c r="CG541">
        <v>246</v>
      </c>
      <c r="CH541">
        <v>196</v>
      </c>
      <c r="CI541">
        <f t="shared" si="56"/>
        <v>2019</v>
      </c>
      <c r="CJ541" t="str">
        <f t="shared" si="57"/>
        <v>5657_2019</v>
      </c>
    </row>
    <row r="542" spans="1:88" x14ac:dyDescent="0.25">
      <c r="A542" t="s">
        <v>111</v>
      </c>
      <c r="B542" t="s">
        <v>114</v>
      </c>
      <c r="C542">
        <v>5657</v>
      </c>
      <c r="D542">
        <v>-37.7881</v>
      </c>
      <c r="E542">
        <v>145.0258</v>
      </c>
      <c r="F542">
        <v>4</v>
      </c>
      <c r="G542" t="s">
        <v>239</v>
      </c>
      <c r="H542">
        <v>25</v>
      </c>
      <c r="I542">
        <v>205</v>
      </c>
      <c r="J542">
        <v>83</v>
      </c>
      <c r="K542">
        <v>263</v>
      </c>
      <c r="L542">
        <v>167</v>
      </c>
      <c r="M542">
        <v>347</v>
      </c>
      <c r="N542">
        <v>286</v>
      </c>
      <c r="O542">
        <v>106</v>
      </c>
      <c r="T542">
        <v>292</v>
      </c>
      <c r="U542">
        <v>19</v>
      </c>
      <c r="V542">
        <v>38</v>
      </c>
      <c r="Y542">
        <v>324</v>
      </c>
      <c r="Z542">
        <v>75</v>
      </c>
      <c r="AA542">
        <v>170</v>
      </c>
      <c r="AD542">
        <v>14</v>
      </c>
      <c r="AE542">
        <v>57</v>
      </c>
      <c r="AF542">
        <v>74</v>
      </c>
      <c r="AI542">
        <v>348</v>
      </c>
      <c r="AJ542">
        <v>183</v>
      </c>
      <c r="AK542">
        <v>140</v>
      </c>
      <c r="AX542">
        <v>349</v>
      </c>
      <c r="AY542">
        <v>686</v>
      </c>
      <c r="AZ542">
        <v>1035</v>
      </c>
      <c r="BA542">
        <v>569</v>
      </c>
      <c r="BB542">
        <v>532</v>
      </c>
      <c r="BC542">
        <v>1101</v>
      </c>
      <c r="BD542">
        <v>145</v>
      </c>
      <c r="BE542">
        <v>234</v>
      </c>
      <c r="BF542">
        <v>379</v>
      </c>
      <c r="BG542">
        <v>671</v>
      </c>
      <c r="BH542">
        <v>282</v>
      </c>
      <c r="BI542">
        <v>953</v>
      </c>
      <c r="BP542">
        <v>1344</v>
      </c>
      <c r="BR542">
        <v>229</v>
      </c>
      <c r="BS542">
        <v>103</v>
      </c>
      <c r="BT542">
        <v>53</v>
      </c>
      <c r="BV542">
        <v>5</v>
      </c>
      <c r="BW542">
        <v>1734</v>
      </c>
      <c r="BX542">
        <f t="shared" si="62"/>
        <v>972</v>
      </c>
      <c r="BY542" s="5">
        <f t="shared" si="60"/>
        <v>0.78395061728395066</v>
      </c>
      <c r="BZ542" s="6">
        <f t="shared" si="58"/>
        <v>0.78395061728395066</v>
      </c>
      <c r="CA542" s="7">
        <v>44143</v>
      </c>
      <c r="CE542">
        <v>446</v>
      </c>
      <c r="CF542">
        <v>465</v>
      </c>
      <c r="CG542">
        <v>497</v>
      </c>
      <c r="CH542">
        <v>326</v>
      </c>
      <c r="CI542">
        <f t="shared" si="56"/>
        <v>2020</v>
      </c>
      <c r="CJ542" t="str">
        <f t="shared" si="57"/>
        <v>5657_2020</v>
      </c>
    </row>
    <row r="543" spans="1:88" x14ac:dyDescent="0.25">
      <c r="A543" t="s">
        <v>111</v>
      </c>
      <c r="B543" t="s">
        <v>114</v>
      </c>
      <c r="C543">
        <v>5657</v>
      </c>
      <c r="D543">
        <v>-37.788108999999999</v>
      </c>
      <c r="E543">
        <v>145.02575400000001</v>
      </c>
      <c r="F543">
        <v>4</v>
      </c>
      <c r="G543" t="s">
        <v>239</v>
      </c>
      <c r="H543">
        <v>25</v>
      </c>
      <c r="I543">
        <v>205</v>
      </c>
      <c r="J543">
        <v>83</v>
      </c>
      <c r="K543">
        <v>263</v>
      </c>
      <c r="L543">
        <v>167</v>
      </c>
      <c r="M543">
        <v>347</v>
      </c>
      <c r="N543">
        <v>286</v>
      </c>
      <c r="O543">
        <v>106</v>
      </c>
      <c r="T543">
        <v>93</v>
      </c>
      <c r="U543">
        <v>14</v>
      </c>
      <c r="V543">
        <v>37</v>
      </c>
      <c r="Y543">
        <v>110</v>
      </c>
      <c r="Z543">
        <v>18</v>
      </c>
      <c r="AA543">
        <v>79</v>
      </c>
      <c r="AD543">
        <v>3</v>
      </c>
      <c r="AE543">
        <v>9</v>
      </c>
      <c r="AF543">
        <v>17</v>
      </c>
      <c r="AI543">
        <v>185</v>
      </c>
      <c r="AJ543">
        <v>62</v>
      </c>
      <c r="AK543">
        <v>57</v>
      </c>
      <c r="AX543">
        <v>144</v>
      </c>
      <c r="AY543">
        <v>298</v>
      </c>
      <c r="AZ543">
        <v>442</v>
      </c>
      <c r="BA543">
        <v>207</v>
      </c>
      <c r="BB543">
        <v>164</v>
      </c>
      <c r="BC543">
        <v>371</v>
      </c>
      <c r="BD543">
        <v>29</v>
      </c>
      <c r="BE543">
        <v>89</v>
      </c>
      <c r="BF543">
        <v>118</v>
      </c>
      <c r="BG543">
        <v>304</v>
      </c>
      <c r="BH543">
        <v>133</v>
      </c>
      <c r="BI543">
        <v>437</v>
      </c>
      <c r="BP543">
        <v>480</v>
      </c>
      <c r="BR543">
        <v>109</v>
      </c>
      <c r="BS543">
        <v>67</v>
      </c>
      <c r="BT543">
        <v>28</v>
      </c>
      <c r="BU543">
        <v>0</v>
      </c>
      <c r="BV543">
        <v>0</v>
      </c>
      <c r="BW543">
        <v>684</v>
      </c>
      <c r="BX543" t="str">
        <f t="shared" si="62"/>
        <v>no data</v>
      </c>
      <c r="BY543" s="5"/>
      <c r="BZ543" s="6"/>
      <c r="CA543" s="7">
        <v>44878</v>
      </c>
      <c r="CE543">
        <v>258</v>
      </c>
      <c r="CF543">
        <v>247</v>
      </c>
      <c r="CG543">
        <v>179</v>
      </c>
      <c r="CI543">
        <f t="shared" si="56"/>
        <v>2022</v>
      </c>
      <c r="CJ543" t="str">
        <f t="shared" si="57"/>
        <v>5657_2022</v>
      </c>
    </row>
    <row r="544" spans="1:88" x14ac:dyDescent="0.25">
      <c r="A544" t="s">
        <v>111</v>
      </c>
      <c r="B544" t="s">
        <v>114</v>
      </c>
      <c r="C544">
        <v>5658</v>
      </c>
      <c r="D544">
        <v>-37.781100000000002</v>
      </c>
      <c r="E544">
        <v>145.06280000000001</v>
      </c>
      <c r="F544">
        <v>3</v>
      </c>
      <c r="G544" t="s">
        <v>241</v>
      </c>
      <c r="H544">
        <v>100</v>
      </c>
      <c r="I544">
        <v>280</v>
      </c>
      <c r="J544">
        <v>202</v>
      </c>
      <c r="K544">
        <v>22</v>
      </c>
      <c r="L544">
        <v>317</v>
      </c>
      <c r="M544">
        <v>137</v>
      </c>
      <c r="T544">
        <v>65</v>
      </c>
      <c r="U544">
        <v>36</v>
      </c>
      <c r="Y544">
        <v>50</v>
      </c>
      <c r="Z544">
        <v>34</v>
      </c>
      <c r="AD544">
        <v>24</v>
      </c>
      <c r="AE544">
        <v>29</v>
      </c>
      <c r="AX544">
        <v>101</v>
      </c>
      <c r="AY544">
        <v>74</v>
      </c>
      <c r="AZ544">
        <v>175</v>
      </c>
      <c r="BA544">
        <v>84</v>
      </c>
      <c r="BB544">
        <v>94</v>
      </c>
      <c r="BC544">
        <v>178</v>
      </c>
      <c r="BD544">
        <v>53</v>
      </c>
      <c r="BE544">
        <v>70</v>
      </c>
      <c r="BF544">
        <v>123</v>
      </c>
      <c r="BP544">
        <v>180</v>
      </c>
      <c r="BR544">
        <v>29</v>
      </c>
      <c r="BS544">
        <v>21</v>
      </c>
      <c r="BT544">
        <v>4</v>
      </c>
      <c r="BV544">
        <v>4</v>
      </c>
      <c r="BW544">
        <v>238</v>
      </c>
      <c r="BX544" t="s">
        <v>82</v>
      </c>
      <c r="BY544" s="5"/>
      <c r="BZ544" s="6"/>
      <c r="CA544" s="7">
        <v>40853</v>
      </c>
      <c r="CI544">
        <f t="shared" si="56"/>
        <v>2011</v>
      </c>
      <c r="CJ544" t="str">
        <f t="shared" si="57"/>
        <v>5658_2011</v>
      </c>
    </row>
    <row r="545" spans="1:88" x14ac:dyDescent="0.25">
      <c r="A545" t="s">
        <v>111</v>
      </c>
      <c r="B545" t="s">
        <v>114</v>
      </c>
      <c r="C545">
        <v>5658</v>
      </c>
      <c r="D545">
        <v>-37.781100000000002</v>
      </c>
      <c r="E545">
        <v>145.06280000000001</v>
      </c>
      <c r="F545">
        <v>3</v>
      </c>
      <c r="G545" t="s">
        <v>241</v>
      </c>
      <c r="H545">
        <v>100</v>
      </c>
      <c r="I545">
        <v>280</v>
      </c>
      <c r="J545">
        <v>202</v>
      </c>
      <c r="K545">
        <v>22</v>
      </c>
      <c r="L545">
        <v>317</v>
      </c>
      <c r="M545">
        <v>137</v>
      </c>
      <c r="T545">
        <v>208</v>
      </c>
      <c r="U545">
        <v>199</v>
      </c>
      <c r="Y545">
        <v>178</v>
      </c>
      <c r="Z545">
        <v>139</v>
      </c>
      <c r="AD545">
        <v>182</v>
      </c>
      <c r="AE545">
        <v>129</v>
      </c>
      <c r="AX545">
        <v>407</v>
      </c>
      <c r="AY545">
        <v>360</v>
      </c>
      <c r="AZ545">
        <v>767</v>
      </c>
      <c r="BA545">
        <v>317</v>
      </c>
      <c r="BB545">
        <v>337</v>
      </c>
      <c r="BC545">
        <v>654</v>
      </c>
      <c r="BD545">
        <v>311</v>
      </c>
      <c r="BE545">
        <v>338</v>
      </c>
      <c r="BF545">
        <v>649</v>
      </c>
      <c r="BP545">
        <v>713</v>
      </c>
      <c r="BR545">
        <v>138</v>
      </c>
      <c r="BS545">
        <v>129</v>
      </c>
      <c r="BT545">
        <v>45</v>
      </c>
      <c r="BV545">
        <v>10</v>
      </c>
      <c r="BW545">
        <v>1035</v>
      </c>
      <c r="BX545">
        <f>IF(C545=C544,IF((CI545-1)=CI544,BW544,"no data"))</f>
        <v>238</v>
      </c>
      <c r="BY545" s="5">
        <f t="shared" si="60"/>
        <v>3.3487394957983194</v>
      </c>
      <c r="BZ545" s="6">
        <f t="shared" si="58"/>
        <v>3.3487394957983194</v>
      </c>
      <c r="CA545" s="7">
        <v>41224</v>
      </c>
      <c r="CI545">
        <f t="shared" si="56"/>
        <v>2012</v>
      </c>
      <c r="CJ545" t="str">
        <f t="shared" si="57"/>
        <v>5658_2012</v>
      </c>
    </row>
    <row r="546" spans="1:88" x14ac:dyDescent="0.25">
      <c r="A546" t="s">
        <v>111</v>
      </c>
      <c r="B546" t="s">
        <v>114</v>
      </c>
      <c r="C546">
        <v>5658</v>
      </c>
      <c r="D546">
        <v>-37.781100000000002</v>
      </c>
      <c r="E546">
        <v>145.06280000000001</v>
      </c>
      <c r="F546">
        <v>3</v>
      </c>
      <c r="G546" t="s">
        <v>241</v>
      </c>
      <c r="H546">
        <v>100</v>
      </c>
      <c r="I546">
        <v>280</v>
      </c>
      <c r="J546">
        <v>202</v>
      </c>
      <c r="K546">
        <v>22</v>
      </c>
      <c r="L546">
        <v>317</v>
      </c>
      <c r="M546">
        <v>137</v>
      </c>
      <c r="T546">
        <v>226</v>
      </c>
      <c r="U546">
        <v>214</v>
      </c>
      <c r="Y546">
        <v>195</v>
      </c>
      <c r="Z546">
        <v>62</v>
      </c>
      <c r="AD546">
        <v>160</v>
      </c>
      <c r="AE546">
        <v>77</v>
      </c>
      <c r="AX546">
        <v>440</v>
      </c>
      <c r="AY546">
        <v>355</v>
      </c>
      <c r="AZ546">
        <v>795</v>
      </c>
      <c r="BA546">
        <v>257</v>
      </c>
      <c r="BB546">
        <v>303</v>
      </c>
      <c r="BC546">
        <v>560</v>
      </c>
      <c r="BD546">
        <v>237</v>
      </c>
      <c r="BE546">
        <v>276</v>
      </c>
      <c r="BF546">
        <v>513</v>
      </c>
      <c r="BP546">
        <v>535</v>
      </c>
      <c r="BR546">
        <v>154</v>
      </c>
      <c r="BS546">
        <v>202</v>
      </c>
      <c r="BT546">
        <v>41</v>
      </c>
      <c r="BV546">
        <v>2</v>
      </c>
      <c r="BW546">
        <v>934</v>
      </c>
      <c r="BX546" t="str">
        <f>IF(C546=C545,IF((CI546-1)=CI545,BW545,"no data"))</f>
        <v>no data</v>
      </c>
      <c r="BY546" s="5"/>
      <c r="BZ546" s="6"/>
      <c r="CA546" s="7">
        <v>43779</v>
      </c>
      <c r="CE546">
        <v>314</v>
      </c>
      <c r="CF546">
        <v>241</v>
      </c>
      <c r="CG546">
        <v>199</v>
      </c>
      <c r="CH546">
        <v>180</v>
      </c>
      <c r="CI546">
        <f t="shared" si="56"/>
        <v>2019</v>
      </c>
      <c r="CJ546" t="str">
        <f t="shared" si="57"/>
        <v>5658_2019</v>
      </c>
    </row>
    <row r="547" spans="1:88" x14ac:dyDescent="0.25">
      <c r="A547" t="s">
        <v>111</v>
      </c>
      <c r="B547" t="s">
        <v>114</v>
      </c>
      <c r="C547">
        <v>5658</v>
      </c>
      <c r="D547">
        <v>-37.781100000000002</v>
      </c>
      <c r="E547">
        <v>145.06280000000001</v>
      </c>
      <c r="F547">
        <v>3</v>
      </c>
      <c r="G547" t="s">
        <v>241</v>
      </c>
      <c r="H547">
        <v>100</v>
      </c>
      <c r="I547">
        <v>280</v>
      </c>
      <c r="J547">
        <v>202</v>
      </c>
      <c r="K547">
        <v>22</v>
      </c>
      <c r="L547">
        <v>317</v>
      </c>
      <c r="M547">
        <v>137</v>
      </c>
      <c r="T547">
        <v>449</v>
      </c>
      <c r="U547">
        <v>365</v>
      </c>
      <c r="Y547">
        <v>309</v>
      </c>
      <c r="Z547">
        <v>260</v>
      </c>
      <c r="AD547">
        <v>303</v>
      </c>
      <c r="AE547">
        <v>162</v>
      </c>
      <c r="AX547">
        <v>814</v>
      </c>
      <c r="AY547">
        <v>612</v>
      </c>
      <c r="AZ547">
        <v>1426</v>
      </c>
      <c r="BA547">
        <v>569</v>
      </c>
      <c r="BB547">
        <v>611</v>
      </c>
      <c r="BC547">
        <v>1180</v>
      </c>
      <c r="BD547">
        <v>465</v>
      </c>
      <c r="BE547">
        <v>625</v>
      </c>
      <c r="BF547">
        <v>1090</v>
      </c>
      <c r="BP547">
        <v>1160</v>
      </c>
      <c r="BR547">
        <v>325</v>
      </c>
      <c r="BS547">
        <v>343</v>
      </c>
      <c r="BT547">
        <v>20</v>
      </c>
      <c r="BV547">
        <v>0</v>
      </c>
      <c r="BW547">
        <v>1848</v>
      </c>
      <c r="BX547">
        <f>IF(C547=C546,IF((CI547-1)=CI546,BW546,"no data"))</f>
        <v>934</v>
      </c>
      <c r="BY547" s="5">
        <f t="shared" si="60"/>
        <v>0.97858672376873657</v>
      </c>
      <c r="BZ547" s="6">
        <f t="shared" si="58"/>
        <v>0.97858672376873657</v>
      </c>
      <c r="CA547" s="7">
        <v>44143</v>
      </c>
      <c r="CE547">
        <v>435</v>
      </c>
      <c r="CF547">
        <v>551</v>
      </c>
      <c r="CG547">
        <v>459</v>
      </c>
      <c r="CH547">
        <v>403</v>
      </c>
      <c r="CI547">
        <f t="shared" si="56"/>
        <v>2020</v>
      </c>
      <c r="CJ547" t="str">
        <f t="shared" si="57"/>
        <v>5658_2020</v>
      </c>
    </row>
    <row r="548" spans="1:88" x14ac:dyDescent="0.25">
      <c r="A548" t="s">
        <v>111</v>
      </c>
      <c r="B548" t="s">
        <v>114</v>
      </c>
      <c r="C548">
        <v>5658</v>
      </c>
      <c r="D548">
        <v>-37.781083000000002</v>
      </c>
      <c r="E548">
        <v>145.062803</v>
      </c>
      <c r="F548">
        <v>3</v>
      </c>
      <c r="G548" t="s">
        <v>241</v>
      </c>
      <c r="H548">
        <v>100</v>
      </c>
      <c r="I548">
        <v>280</v>
      </c>
      <c r="J548">
        <v>202</v>
      </c>
      <c r="K548">
        <v>22</v>
      </c>
      <c r="L548">
        <v>317</v>
      </c>
      <c r="M548">
        <v>137</v>
      </c>
      <c r="T548">
        <v>242</v>
      </c>
      <c r="U548">
        <v>186</v>
      </c>
      <c r="Y548">
        <v>180</v>
      </c>
      <c r="Z548">
        <v>120</v>
      </c>
      <c r="AD548">
        <v>218</v>
      </c>
      <c r="AE548">
        <v>79</v>
      </c>
      <c r="AX548">
        <v>428</v>
      </c>
      <c r="AY548">
        <v>398</v>
      </c>
      <c r="AZ548">
        <v>826</v>
      </c>
      <c r="BA548">
        <v>300</v>
      </c>
      <c r="BB548">
        <v>321</v>
      </c>
      <c r="BC548">
        <v>621</v>
      </c>
      <c r="BD548">
        <v>297</v>
      </c>
      <c r="BE548">
        <v>306</v>
      </c>
      <c r="BF548">
        <v>603</v>
      </c>
      <c r="BP548">
        <v>611</v>
      </c>
      <c r="BR548">
        <v>147</v>
      </c>
      <c r="BS548">
        <v>236</v>
      </c>
      <c r="BT548">
        <v>28</v>
      </c>
      <c r="BV548">
        <v>3</v>
      </c>
      <c r="BW548">
        <v>1025</v>
      </c>
      <c r="BX548">
        <f>IF(C548=C547,IF((CI548-1)=CI547,BW547,"no data"))</f>
        <v>1848</v>
      </c>
      <c r="BY548" s="5">
        <f t="shared" si="60"/>
        <v>-0.44534632034632032</v>
      </c>
      <c r="BZ548" s="6">
        <f t="shared" si="58"/>
        <v>-0.44534632034632032</v>
      </c>
      <c r="CA548" s="7">
        <v>44528</v>
      </c>
      <c r="CE548">
        <v>328</v>
      </c>
      <c r="CF548">
        <v>358</v>
      </c>
      <c r="CG548">
        <v>339</v>
      </c>
      <c r="CI548">
        <f t="shared" si="56"/>
        <v>2021</v>
      </c>
      <c r="CJ548" t="str">
        <f t="shared" si="57"/>
        <v>5658_2021</v>
      </c>
    </row>
    <row r="549" spans="1:88" x14ac:dyDescent="0.25">
      <c r="A549" t="s">
        <v>111</v>
      </c>
      <c r="B549" t="s">
        <v>114</v>
      </c>
      <c r="C549">
        <v>5658</v>
      </c>
      <c r="D549">
        <v>-37.781083000000002</v>
      </c>
      <c r="E549">
        <v>145.062803</v>
      </c>
      <c r="F549">
        <v>3</v>
      </c>
      <c r="G549" t="s">
        <v>241</v>
      </c>
      <c r="H549">
        <v>100</v>
      </c>
      <c r="I549">
        <v>280</v>
      </c>
      <c r="J549">
        <v>202</v>
      </c>
      <c r="K549">
        <v>22</v>
      </c>
      <c r="L549">
        <v>317</v>
      </c>
      <c r="M549">
        <v>137</v>
      </c>
      <c r="T549">
        <v>15</v>
      </c>
      <c r="U549">
        <v>75</v>
      </c>
      <c r="Y549">
        <v>22</v>
      </c>
      <c r="Z549">
        <v>119</v>
      </c>
      <c r="AD549">
        <v>83</v>
      </c>
      <c r="AE549">
        <v>89</v>
      </c>
      <c r="AX549">
        <v>90</v>
      </c>
      <c r="AY549">
        <v>105</v>
      </c>
      <c r="AZ549">
        <v>195</v>
      </c>
      <c r="BA549">
        <v>141</v>
      </c>
      <c r="BB549">
        <v>104</v>
      </c>
      <c r="BC549">
        <v>245</v>
      </c>
      <c r="BD549">
        <v>172</v>
      </c>
      <c r="BE549">
        <v>194</v>
      </c>
      <c r="BF549">
        <v>366</v>
      </c>
      <c r="BP549">
        <v>201</v>
      </c>
      <c r="BR549">
        <v>71</v>
      </c>
      <c r="BS549">
        <v>119</v>
      </c>
      <c r="BT549">
        <v>12</v>
      </c>
      <c r="BU549">
        <v>0</v>
      </c>
      <c r="BV549">
        <v>0</v>
      </c>
      <c r="BW549">
        <v>403</v>
      </c>
      <c r="BX549">
        <f>IF(C549=C548,IF((CI549-1)=CI548,BW548,"no data"))</f>
        <v>1025</v>
      </c>
      <c r="BY549" s="5">
        <f t="shared" si="60"/>
        <v>-0.60682926829268291</v>
      </c>
      <c r="BZ549" s="6">
        <f t="shared" si="58"/>
        <v>-0.60682926829268291</v>
      </c>
      <c r="CA549" s="7">
        <v>44892</v>
      </c>
      <c r="CE549">
        <v>124</v>
      </c>
      <c r="CF549">
        <v>175</v>
      </c>
      <c r="CG549">
        <v>104</v>
      </c>
      <c r="CI549">
        <f t="shared" si="56"/>
        <v>2022</v>
      </c>
      <c r="CJ549" t="str">
        <f t="shared" si="57"/>
        <v>5658_2022</v>
      </c>
    </row>
    <row r="550" spans="1:88" x14ac:dyDescent="0.25">
      <c r="A550" t="s">
        <v>111</v>
      </c>
      <c r="B550" t="s">
        <v>112</v>
      </c>
      <c r="C550">
        <v>5659</v>
      </c>
      <c r="D550">
        <v>-37.760899999999999</v>
      </c>
      <c r="E550">
        <v>145.0752</v>
      </c>
      <c r="F550">
        <v>3</v>
      </c>
      <c r="G550" t="s">
        <v>242</v>
      </c>
      <c r="H550">
        <v>77</v>
      </c>
      <c r="I550">
        <v>257</v>
      </c>
      <c r="J550">
        <v>204</v>
      </c>
      <c r="K550">
        <v>24</v>
      </c>
      <c r="L550">
        <v>335</v>
      </c>
      <c r="M550">
        <v>155</v>
      </c>
      <c r="T550">
        <v>78</v>
      </c>
      <c r="U550">
        <v>5</v>
      </c>
      <c r="Y550">
        <v>69</v>
      </c>
      <c r="Z550">
        <v>9</v>
      </c>
      <c r="AD550">
        <v>4</v>
      </c>
      <c r="AE550">
        <v>3</v>
      </c>
      <c r="AX550">
        <v>83</v>
      </c>
      <c r="AY550">
        <v>73</v>
      </c>
      <c r="AZ550">
        <v>156</v>
      </c>
      <c r="BA550">
        <v>78</v>
      </c>
      <c r="BB550">
        <v>81</v>
      </c>
      <c r="BC550">
        <v>159</v>
      </c>
      <c r="BD550">
        <v>7</v>
      </c>
      <c r="BE550">
        <v>14</v>
      </c>
      <c r="BF550">
        <v>21</v>
      </c>
      <c r="BP550">
        <v>131</v>
      </c>
      <c r="BR550">
        <v>23</v>
      </c>
      <c r="BS550">
        <v>8</v>
      </c>
      <c r="BT550">
        <v>6</v>
      </c>
      <c r="BV550">
        <v>0</v>
      </c>
      <c r="BW550">
        <v>168</v>
      </c>
      <c r="BX550" t="s">
        <v>82</v>
      </c>
      <c r="BY550" s="5"/>
      <c r="BZ550" s="6"/>
      <c r="CA550" s="7">
        <v>40853</v>
      </c>
      <c r="CI550">
        <f t="shared" si="56"/>
        <v>2011</v>
      </c>
      <c r="CJ550" t="str">
        <f t="shared" si="57"/>
        <v>5659_2011</v>
      </c>
    </row>
    <row r="551" spans="1:88" x14ac:dyDescent="0.25">
      <c r="A551" t="s">
        <v>111</v>
      </c>
      <c r="B551" t="s">
        <v>232</v>
      </c>
      <c r="C551">
        <v>5660</v>
      </c>
      <c r="D551">
        <v>-37.779299999999999</v>
      </c>
      <c r="E551">
        <v>145.09399999999999</v>
      </c>
      <c r="F551">
        <v>3</v>
      </c>
      <c r="G551" t="s">
        <v>243</v>
      </c>
      <c r="H551">
        <v>90</v>
      </c>
      <c r="I551">
        <v>270</v>
      </c>
      <c r="J551">
        <v>182</v>
      </c>
      <c r="K551">
        <v>2</v>
      </c>
      <c r="L551">
        <v>268</v>
      </c>
      <c r="M551">
        <v>88</v>
      </c>
      <c r="T551">
        <v>29</v>
      </c>
      <c r="U551">
        <v>10</v>
      </c>
      <c r="Y551">
        <v>26</v>
      </c>
      <c r="Z551">
        <v>12</v>
      </c>
      <c r="AD551">
        <v>9</v>
      </c>
      <c r="AE551">
        <v>12</v>
      </c>
      <c r="AX551">
        <v>39</v>
      </c>
      <c r="AY551">
        <v>35</v>
      </c>
      <c r="AZ551">
        <v>74</v>
      </c>
      <c r="BA551">
        <v>38</v>
      </c>
      <c r="BB551">
        <v>41</v>
      </c>
      <c r="BC551">
        <v>79</v>
      </c>
      <c r="BD551">
        <v>21</v>
      </c>
      <c r="BE551">
        <v>22</v>
      </c>
      <c r="BF551">
        <v>43</v>
      </c>
      <c r="BP551">
        <v>37</v>
      </c>
      <c r="BR551">
        <v>30</v>
      </c>
      <c r="BS551">
        <v>4</v>
      </c>
      <c r="BT551">
        <v>20</v>
      </c>
      <c r="BV551">
        <v>7</v>
      </c>
      <c r="BW551">
        <v>98</v>
      </c>
      <c r="BX551" t="s">
        <v>82</v>
      </c>
      <c r="BY551" s="5"/>
      <c r="BZ551" s="6"/>
      <c r="CA551" s="7">
        <v>40853</v>
      </c>
      <c r="CI551">
        <f t="shared" si="56"/>
        <v>2011</v>
      </c>
      <c r="CJ551" t="str">
        <f t="shared" si="57"/>
        <v>5660_2011</v>
      </c>
    </row>
    <row r="552" spans="1:88" x14ac:dyDescent="0.25">
      <c r="A552" t="s">
        <v>111</v>
      </c>
      <c r="B552" t="s">
        <v>232</v>
      </c>
      <c r="C552">
        <v>5660</v>
      </c>
      <c r="D552">
        <v>-37.779299999999999</v>
      </c>
      <c r="E552">
        <v>145.09399999999999</v>
      </c>
      <c r="F552">
        <v>3</v>
      </c>
      <c r="G552" t="s">
        <v>243</v>
      </c>
      <c r="H552">
        <v>90</v>
      </c>
      <c r="I552">
        <v>270</v>
      </c>
      <c r="J552">
        <v>182</v>
      </c>
      <c r="K552">
        <v>2</v>
      </c>
      <c r="L552">
        <v>268</v>
      </c>
      <c r="M552">
        <v>88</v>
      </c>
      <c r="T552">
        <v>79</v>
      </c>
      <c r="U552">
        <v>25</v>
      </c>
      <c r="Y552">
        <v>56</v>
      </c>
      <c r="Z552">
        <v>16</v>
      </c>
      <c r="AD552">
        <v>30</v>
      </c>
      <c r="AE552">
        <v>14</v>
      </c>
      <c r="AX552">
        <v>104</v>
      </c>
      <c r="AY552">
        <v>86</v>
      </c>
      <c r="AZ552">
        <v>190</v>
      </c>
      <c r="BA552">
        <v>72</v>
      </c>
      <c r="BB552">
        <v>93</v>
      </c>
      <c r="BC552">
        <v>165</v>
      </c>
      <c r="BD552">
        <v>44</v>
      </c>
      <c r="BE552">
        <v>41</v>
      </c>
      <c r="BF552">
        <v>85</v>
      </c>
      <c r="BP552">
        <v>80</v>
      </c>
      <c r="BR552">
        <v>88</v>
      </c>
      <c r="BS552">
        <v>13</v>
      </c>
      <c r="BT552">
        <v>39</v>
      </c>
      <c r="BV552">
        <v>0</v>
      </c>
      <c r="BW552">
        <v>220</v>
      </c>
      <c r="BX552">
        <f>IF(C552=C551,IF((CI552-1)=CI551,BW551,"no data"))</f>
        <v>98</v>
      </c>
      <c r="BY552" s="5">
        <f t="shared" si="60"/>
        <v>1.2448979591836735</v>
      </c>
      <c r="BZ552" s="6">
        <f t="shared" si="58"/>
        <v>1.2448979591836735</v>
      </c>
      <c r="CA552" s="7">
        <v>41224</v>
      </c>
      <c r="CI552">
        <f t="shared" si="56"/>
        <v>2012</v>
      </c>
      <c r="CJ552" t="str">
        <f t="shared" si="57"/>
        <v>5660_2012</v>
      </c>
    </row>
    <row r="553" spans="1:88" x14ac:dyDescent="0.25">
      <c r="A553" t="s">
        <v>111</v>
      </c>
      <c r="B553" t="s">
        <v>244</v>
      </c>
      <c r="C553">
        <v>5661</v>
      </c>
      <c r="D553">
        <v>-37.797218000000001</v>
      </c>
      <c r="E553">
        <v>145.13735700000001</v>
      </c>
      <c r="F553">
        <v>3</v>
      </c>
      <c r="G553" t="s">
        <v>245</v>
      </c>
      <c r="H553">
        <v>80</v>
      </c>
      <c r="I553">
        <v>260</v>
      </c>
      <c r="J553">
        <v>246</v>
      </c>
      <c r="K553">
        <v>66</v>
      </c>
      <c r="L553">
        <v>312</v>
      </c>
      <c r="M553">
        <v>132</v>
      </c>
      <c r="T553">
        <v>117</v>
      </c>
      <c r="U553">
        <v>2</v>
      </c>
      <c r="Y553">
        <v>109</v>
      </c>
      <c r="Z553">
        <v>11</v>
      </c>
      <c r="AD553">
        <v>2</v>
      </c>
      <c r="AE553">
        <v>11</v>
      </c>
      <c r="AX553">
        <v>119</v>
      </c>
      <c r="AY553">
        <v>111</v>
      </c>
      <c r="AZ553">
        <v>230</v>
      </c>
      <c r="BA553">
        <v>120</v>
      </c>
      <c r="BB553">
        <v>128</v>
      </c>
      <c r="BC553">
        <v>248</v>
      </c>
      <c r="BD553">
        <v>13</v>
      </c>
      <c r="BE553">
        <v>13</v>
      </c>
      <c r="BF553">
        <v>26</v>
      </c>
      <c r="BP553">
        <v>199</v>
      </c>
      <c r="BR553">
        <v>15</v>
      </c>
      <c r="BS553">
        <v>22</v>
      </c>
      <c r="BT553">
        <v>14</v>
      </c>
      <c r="BV553">
        <v>2</v>
      </c>
      <c r="BW553">
        <v>252</v>
      </c>
      <c r="BX553" t="s">
        <v>82</v>
      </c>
      <c r="BY553" s="5"/>
      <c r="BZ553" s="6"/>
      <c r="CA553" s="7">
        <v>40853</v>
      </c>
      <c r="CI553">
        <f t="shared" si="56"/>
        <v>2011</v>
      </c>
      <c r="CJ553" t="str">
        <f t="shared" si="57"/>
        <v>5661_2011</v>
      </c>
    </row>
    <row r="554" spans="1:88" x14ac:dyDescent="0.25">
      <c r="A554" t="s">
        <v>111</v>
      </c>
      <c r="B554" t="s">
        <v>244</v>
      </c>
      <c r="C554">
        <v>5661</v>
      </c>
      <c r="D554">
        <v>-37.797218000000001</v>
      </c>
      <c r="E554">
        <v>145.13735700000001</v>
      </c>
      <c r="F554">
        <v>3</v>
      </c>
      <c r="G554" t="s">
        <v>245</v>
      </c>
      <c r="H554">
        <v>80</v>
      </c>
      <c r="I554">
        <v>260</v>
      </c>
      <c r="J554">
        <v>246</v>
      </c>
      <c r="K554">
        <v>66</v>
      </c>
      <c r="L554">
        <v>312</v>
      </c>
      <c r="M554">
        <v>132</v>
      </c>
      <c r="T554">
        <v>358</v>
      </c>
      <c r="U554">
        <v>8</v>
      </c>
      <c r="Y554">
        <v>227</v>
      </c>
      <c r="Z554">
        <v>21</v>
      </c>
      <c r="AD554">
        <v>12</v>
      </c>
      <c r="AE554">
        <v>21</v>
      </c>
      <c r="AX554">
        <v>366</v>
      </c>
      <c r="AY554">
        <v>239</v>
      </c>
      <c r="AZ554">
        <v>605</v>
      </c>
      <c r="BA554">
        <v>248</v>
      </c>
      <c r="BB554">
        <v>379</v>
      </c>
      <c r="BC554">
        <v>627</v>
      </c>
      <c r="BD554">
        <v>33</v>
      </c>
      <c r="BE554">
        <v>29</v>
      </c>
      <c r="BF554">
        <v>62</v>
      </c>
      <c r="BP554">
        <v>534</v>
      </c>
      <c r="BR554">
        <v>67</v>
      </c>
      <c r="BS554">
        <v>30</v>
      </c>
      <c r="BT554">
        <v>10</v>
      </c>
      <c r="BV554">
        <v>6</v>
      </c>
      <c r="BW554">
        <v>647</v>
      </c>
      <c r="BX554">
        <f t="shared" ref="BX554:BX560" si="63">IF(C554=C553,IF((CI554-1)=CI553,BW553,"no data"))</f>
        <v>252</v>
      </c>
      <c r="BY554" s="5">
        <f t="shared" si="60"/>
        <v>1.5674603174603174</v>
      </c>
      <c r="BZ554" s="6">
        <f t="shared" si="58"/>
        <v>1.5674603174603174</v>
      </c>
      <c r="CA554" s="7">
        <v>41224</v>
      </c>
      <c r="CI554">
        <f t="shared" si="56"/>
        <v>2012</v>
      </c>
      <c r="CJ554" t="str">
        <f t="shared" si="57"/>
        <v>5661_2012</v>
      </c>
    </row>
    <row r="555" spans="1:88" x14ac:dyDescent="0.25">
      <c r="A555" t="s">
        <v>111</v>
      </c>
      <c r="B555" t="s">
        <v>244</v>
      </c>
      <c r="C555">
        <v>5661</v>
      </c>
      <c r="D555">
        <v>-37.797218000000001</v>
      </c>
      <c r="E555">
        <v>145.13735700000001</v>
      </c>
      <c r="F555">
        <v>3</v>
      </c>
      <c r="G555" t="s">
        <v>245</v>
      </c>
      <c r="H555">
        <v>80</v>
      </c>
      <c r="I555">
        <v>260</v>
      </c>
      <c r="J555">
        <v>246</v>
      </c>
      <c r="K555">
        <v>66</v>
      </c>
      <c r="L555">
        <v>312</v>
      </c>
      <c r="M555">
        <v>132</v>
      </c>
      <c r="T555">
        <v>263</v>
      </c>
      <c r="U555">
        <v>7</v>
      </c>
      <c r="Y555">
        <v>198</v>
      </c>
      <c r="Z555">
        <v>20</v>
      </c>
      <c r="AD555">
        <v>17</v>
      </c>
      <c r="AE555">
        <v>19</v>
      </c>
      <c r="AX555">
        <v>270</v>
      </c>
      <c r="AY555">
        <v>215</v>
      </c>
      <c r="AZ555">
        <v>485</v>
      </c>
      <c r="BA555">
        <v>218</v>
      </c>
      <c r="BB555">
        <v>282</v>
      </c>
      <c r="BC555">
        <v>500</v>
      </c>
      <c r="BD555">
        <v>36</v>
      </c>
      <c r="BE555">
        <v>27</v>
      </c>
      <c r="BF555">
        <v>63</v>
      </c>
      <c r="BP555">
        <v>398</v>
      </c>
      <c r="BR555">
        <v>48</v>
      </c>
      <c r="BS555">
        <v>51</v>
      </c>
      <c r="BT555">
        <v>22</v>
      </c>
      <c r="BV555">
        <v>5</v>
      </c>
      <c r="BW555">
        <v>524</v>
      </c>
      <c r="BX555">
        <f t="shared" si="63"/>
        <v>647</v>
      </c>
      <c r="BY555" s="5">
        <f t="shared" si="60"/>
        <v>-0.1901081916537867</v>
      </c>
      <c r="BZ555" s="6">
        <f t="shared" si="58"/>
        <v>-0.1901081916537867</v>
      </c>
      <c r="CA555" s="7">
        <v>41588</v>
      </c>
      <c r="CI555">
        <f t="shared" si="56"/>
        <v>2013</v>
      </c>
      <c r="CJ555" t="str">
        <f t="shared" si="57"/>
        <v>5661_2013</v>
      </c>
    </row>
    <row r="556" spans="1:88" x14ac:dyDescent="0.25">
      <c r="A556" t="s">
        <v>111</v>
      </c>
      <c r="B556" t="s">
        <v>244</v>
      </c>
      <c r="C556">
        <v>5661</v>
      </c>
      <c r="D556">
        <v>-37.797218000000001</v>
      </c>
      <c r="E556">
        <v>145.13735700000001</v>
      </c>
      <c r="F556">
        <v>3</v>
      </c>
      <c r="G556" t="s">
        <v>245</v>
      </c>
      <c r="H556">
        <v>80</v>
      </c>
      <c r="I556">
        <v>260</v>
      </c>
      <c r="J556">
        <v>246</v>
      </c>
      <c r="K556">
        <v>66</v>
      </c>
      <c r="L556">
        <v>312</v>
      </c>
      <c r="M556">
        <v>132</v>
      </c>
      <c r="T556">
        <v>236</v>
      </c>
      <c r="U556">
        <v>12</v>
      </c>
      <c r="Y556">
        <v>247</v>
      </c>
      <c r="Z556">
        <v>15</v>
      </c>
      <c r="AD556">
        <v>19</v>
      </c>
      <c r="AE556">
        <v>19</v>
      </c>
      <c r="AX556">
        <v>248</v>
      </c>
      <c r="AY556">
        <v>266</v>
      </c>
      <c r="AZ556">
        <v>514</v>
      </c>
      <c r="BA556">
        <v>262</v>
      </c>
      <c r="BB556">
        <v>255</v>
      </c>
      <c r="BC556">
        <v>517</v>
      </c>
      <c r="BD556">
        <v>38</v>
      </c>
      <c r="BE556">
        <v>27</v>
      </c>
      <c r="BF556">
        <v>65</v>
      </c>
      <c r="BP556">
        <v>417</v>
      </c>
      <c r="BR556">
        <v>53</v>
      </c>
      <c r="BS556">
        <v>45</v>
      </c>
      <c r="BT556">
        <v>23</v>
      </c>
      <c r="BV556">
        <v>10</v>
      </c>
      <c r="BW556">
        <v>548</v>
      </c>
      <c r="BX556">
        <f t="shared" si="63"/>
        <v>524</v>
      </c>
      <c r="BY556" s="5">
        <f t="shared" si="60"/>
        <v>4.5801526717557252E-2</v>
      </c>
      <c r="BZ556" s="6">
        <f t="shared" si="58"/>
        <v>4.5801526717557252E-2</v>
      </c>
      <c r="CA556" s="7">
        <v>41952</v>
      </c>
      <c r="CI556">
        <f t="shared" si="56"/>
        <v>2014</v>
      </c>
      <c r="CJ556" t="str">
        <f t="shared" si="57"/>
        <v>5661_2014</v>
      </c>
    </row>
    <row r="557" spans="1:88" x14ac:dyDescent="0.25">
      <c r="A557" t="s">
        <v>111</v>
      </c>
      <c r="B557" t="s">
        <v>244</v>
      </c>
      <c r="C557">
        <v>5661</v>
      </c>
      <c r="D557">
        <v>-37.797218000000001</v>
      </c>
      <c r="E557">
        <v>145.13735700000001</v>
      </c>
      <c r="F557">
        <v>3</v>
      </c>
      <c r="G557" t="s">
        <v>245</v>
      </c>
      <c r="H557">
        <v>80</v>
      </c>
      <c r="I557">
        <v>260</v>
      </c>
      <c r="J557">
        <v>246</v>
      </c>
      <c r="K557">
        <v>66</v>
      </c>
      <c r="L557">
        <v>312</v>
      </c>
      <c r="M557">
        <v>132</v>
      </c>
      <c r="T557">
        <v>293</v>
      </c>
      <c r="U557">
        <v>11</v>
      </c>
      <c r="Y557">
        <v>269</v>
      </c>
      <c r="Z557">
        <v>14</v>
      </c>
      <c r="AD557">
        <v>14</v>
      </c>
      <c r="AE557">
        <v>16</v>
      </c>
      <c r="AX557">
        <v>304</v>
      </c>
      <c r="AY557">
        <v>283</v>
      </c>
      <c r="AZ557">
        <v>587</v>
      </c>
      <c r="BA557">
        <v>283</v>
      </c>
      <c r="BB557">
        <v>309</v>
      </c>
      <c r="BC557">
        <v>592</v>
      </c>
      <c r="BD557">
        <v>30</v>
      </c>
      <c r="BE557">
        <v>25</v>
      </c>
      <c r="BF557">
        <v>55</v>
      </c>
      <c r="BP557">
        <v>485</v>
      </c>
      <c r="BR557">
        <v>59</v>
      </c>
      <c r="BS557">
        <v>45</v>
      </c>
      <c r="BT557">
        <v>23</v>
      </c>
      <c r="BV557">
        <v>5</v>
      </c>
      <c r="BW557">
        <v>617</v>
      </c>
      <c r="BX557">
        <f t="shared" si="63"/>
        <v>548</v>
      </c>
      <c r="BY557" s="5">
        <f t="shared" si="60"/>
        <v>0.1259124087591241</v>
      </c>
      <c r="BZ557" s="6">
        <f t="shared" si="58"/>
        <v>0.1259124087591241</v>
      </c>
      <c r="CA557" s="7">
        <v>42316</v>
      </c>
      <c r="CE557">
        <v>152</v>
      </c>
      <c r="CF557">
        <v>172</v>
      </c>
      <c r="CG557">
        <v>171</v>
      </c>
      <c r="CH557">
        <v>122</v>
      </c>
      <c r="CI557">
        <f t="shared" si="56"/>
        <v>2015</v>
      </c>
      <c r="CJ557" t="str">
        <f t="shared" si="57"/>
        <v>5661_2015</v>
      </c>
    </row>
    <row r="558" spans="1:88" x14ac:dyDescent="0.25">
      <c r="A558" t="s">
        <v>111</v>
      </c>
      <c r="B558" t="s">
        <v>244</v>
      </c>
      <c r="C558">
        <v>5661</v>
      </c>
      <c r="D558">
        <v>-37.797218000000001</v>
      </c>
      <c r="E558">
        <v>145.13735700000001</v>
      </c>
      <c r="F558">
        <v>3</v>
      </c>
      <c r="G558" t="s">
        <v>245</v>
      </c>
      <c r="H558">
        <v>80</v>
      </c>
      <c r="I558">
        <v>260</v>
      </c>
      <c r="J558">
        <v>246</v>
      </c>
      <c r="K558">
        <v>66</v>
      </c>
      <c r="L558">
        <v>312</v>
      </c>
      <c r="M558">
        <v>132</v>
      </c>
      <c r="T558">
        <v>66</v>
      </c>
      <c r="U558">
        <v>16</v>
      </c>
      <c r="Y558">
        <v>44</v>
      </c>
      <c r="Z558">
        <v>9</v>
      </c>
      <c r="AD558">
        <v>7</v>
      </c>
      <c r="AE558">
        <v>8</v>
      </c>
      <c r="AX558">
        <v>82</v>
      </c>
      <c r="AY558">
        <v>51</v>
      </c>
      <c r="AZ558">
        <v>133</v>
      </c>
      <c r="BA558">
        <v>53</v>
      </c>
      <c r="BB558">
        <v>74</v>
      </c>
      <c r="BC558">
        <v>127</v>
      </c>
      <c r="BD558">
        <v>15</v>
      </c>
      <c r="BE558">
        <v>25</v>
      </c>
      <c r="BF558">
        <v>40</v>
      </c>
      <c r="BP558">
        <v>66</v>
      </c>
      <c r="BR558">
        <v>45</v>
      </c>
      <c r="BS558">
        <v>26</v>
      </c>
      <c r="BT558">
        <v>13</v>
      </c>
      <c r="BV558">
        <v>0</v>
      </c>
      <c r="BW558">
        <v>150</v>
      </c>
      <c r="BX558">
        <f t="shared" si="63"/>
        <v>617</v>
      </c>
      <c r="BY558" s="5">
        <f t="shared" si="60"/>
        <v>-0.75688816855753649</v>
      </c>
      <c r="BZ558" s="6">
        <f t="shared" si="58"/>
        <v>-0.75688816855753649</v>
      </c>
      <c r="CA558" s="7">
        <v>42687</v>
      </c>
      <c r="CE558">
        <v>29</v>
      </c>
      <c r="CF558">
        <v>55</v>
      </c>
      <c r="CG558">
        <v>28</v>
      </c>
      <c r="CH558">
        <v>38</v>
      </c>
      <c r="CI558">
        <f t="shared" si="56"/>
        <v>2016</v>
      </c>
      <c r="CJ558" t="str">
        <f t="shared" si="57"/>
        <v>5661_2016</v>
      </c>
    </row>
    <row r="559" spans="1:88" x14ac:dyDescent="0.25">
      <c r="A559" t="s">
        <v>111</v>
      </c>
      <c r="B559" t="s">
        <v>244</v>
      </c>
      <c r="C559">
        <v>5661</v>
      </c>
      <c r="D559">
        <v>-37.797218000000001</v>
      </c>
      <c r="E559">
        <v>145.13735700000001</v>
      </c>
      <c r="F559">
        <v>3</v>
      </c>
      <c r="G559" t="s">
        <v>245</v>
      </c>
      <c r="H559">
        <v>80</v>
      </c>
      <c r="I559">
        <v>260</v>
      </c>
      <c r="J559">
        <v>246</v>
      </c>
      <c r="K559">
        <v>66</v>
      </c>
      <c r="L559">
        <v>312</v>
      </c>
      <c r="M559">
        <v>132</v>
      </c>
      <c r="T559">
        <v>213</v>
      </c>
      <c r="U559">
        <v>17</v>
      </c>
      <c r="Y559">
        <v>248</v>
      </c>
      <c r="Z559">
        <v>18</v>
      </c>
      <c r="AD559">
        <v>31</v>
      </c>
      <c r="AE559">
        <v>29</v>
      </c>
      <c r="AX559">
        <v>230</v>
      </c>
      <c r="AY559">
        <v>279</v>
      </c>
      <c r="AZ559">
        <v>509</v>
      </c>
      <c r="BA559">
        <v>266</v>
      </c>
      <c r="BB559">
        <v>242</v>
      </c>
      <c r="BC559">
        <v>508</v>
      </c>
      <c r="BD559">
        <v>60</v>
      </c>
      <c r="BE559">
        <v>35</v>
      </c>
      <c r="BF559">
        <v>95</v>
      </c>
      <c r="BP559">
        <v>415</v>
      </c>
      <c r="BR559">
        <v>69</v>
      </c>
      <c r="BS559">
        <v>48</v>
      </c>
      <c r="BT559">
        <v>22</v>
      </c>
      <c r="BV559">
        <v>2</v>
      </c>
      <c r="BW559">
        <v>556</v>
      </c>
      <c r="BX559">
        <f t="shared" si="63"/>
        <v>150</v>
      </c>
      <c r="BY559" s="5">
        <f t="shared" si="60"/>
        <v>2.7066666666666666</v>
      </c>
      <c r="BZ559" s="6">
        <f t="shared" si="58"/>
        <v>2.7066666666666666</v>
      </c>
      <c r="CA559" s="7">
        <v>43051</v>
      </c>
      <c r="CE559">
        <v>146</v>
      </c>
      <c r="CF559">
        <v>163</v>
      </c>
      <c r="CG559">
        <v>128</v>
      </c>
      <c r="CH559">
        <v>119</v>
      </c>
      <c r="CI559">
        <f t="shared" si="56"/>
        <v>2017</v>
      </c>
      <c r="CJ559" t="str">
        <f t="shared" si="57"/>
        <v>5661_2017</v>
      </c>
    </row>
    <row r="560" spans="1:88" x14ac:dyDescent="0.25">
      <c r="A560" t="s">
        <v>111</v>
      </c>
      <c r="B560" t="s">
        <v>244</v>
      </c>
      <c r="C560">
        <v>5661</v>
      </c>
      <c r="D560">
        <v>-37.797218000000001</v>
      </c>
      <c r="E560">
        <v>145.13735700000001</v>
      </c>
      <c r="F560">
        <v>3</v>
      </c>
      <c r="G560" t="s">
        <v>245</v>
      </c>
      <c r="H560">
        <v>80</v>
      </c>
      <c r="I560">
        <v>260</v>
      </c>
      <c r="J560">
        <v>246</v>
      </c>
      <c r="K560">
        <v>66</v>
      </c>
      <c r="L560">
        <v>312</v>
      </c>
      <c r="M560">
        <v>132</v>
      </c>
      <c r="T560">
        <v>225</v>
      </c>
      <c r="U560">
        <v>5</v>
      </c>
      <c r="Y560">
        <v>240</v>
      </c>
      <c r="Z560">
        <v>0</v>
      </c>
      <c r="AD560">
        <v>2</v>
      </c>
      <c r="AE560">
        <v>1</v>
      </c>
      <c r="AX560">
        <v>230</v>
      </c>
      <c r="AY560">
        <v>242</v>
      </c>
      <c r="AZ560">
        <v>472</v>
      </c>
      <c r="BA560">
        <v>240</v>
      </c>
      <c r="BB560">
        <v>226</v>
      </c>
      <c r="BC560">
        <v>466</v>
      </c>
      <c r="BD560">
        <v>3</v>
      </c>
      <c r="BE560">
        <v>5</v>
      </c>
      <c r="BF560">
        <v>8</v>
      </c>
      <c r="BP560">
        <v>383</v>
      </c>
      <c r="BR560">
        <v>61</v>
      </c>
      <c r="BS560">
        <v>24</v>
      </c>
      <c r="BT560">
        <v>5</v>
      </c>
      <c r="BV560">
        <v>0</v>
      </c>
      <c r="BW560">
        <v>473</v>
      </c>
      <c r="BX560">
        <f t="shared" si="63"/>
        <v>556</v>
      </c>
      <c r="BY560" s="5">
        <f t="shared" si="60"/>
        <v>-0.14928057553956833</v>
      </c>
      <c r="BZ560" s="6">
        <f t="shared" si="58"/>
        <v>-0.14928057553956833</v>
      </c>
      <c r="CA560" s="7">
        <v>43415</v>
      </c>
      <c r="CE560">
        <v>126</v>
      </c>
      <c r="CF560">
        <v>162</v>
      </c>
      <c r="CG560">
        <v>97</v>
      </c>
      <c r="CH560">
        <v>88</v>
      </c>
      <c r="CI560">
        <f t="shared" si="56"/>
        <v>2018</v>
      </c>
      <c r="CJ560" t="str">
        <f t="shared" si="57"/>
        <v>5661_2018</v>
      </c>
    </row>
    <row r="561" spans="1:88" x14ac:dyDescent="0.25">
      <c r="A561" t="s">
        <v>111</v>
      </c>
      <c r="B561" t="s">
        <v>244</v>
      </c>
      <c r="C561">
        <v>5662</v>
      </c>
      <c r="D561">
        <v>-37.805137999999999</v>
      </c>
      <c r="E561">
        <v>145.172878</v>
      </c>
      <c r="F561">
        <v>3</v>
      </c>
      <c r="G561" t="s">
        <v>246</v>
      </c>
      <c r="H561">
        <v>76</v>
      </c>
      <c r="I561">
        <v>256</v>
      </c>
      <c r="J561">
        <v>303</v>
      </c>
      <c r="K561">
        <v>123</v>
      </c>
      <c r="L561">
        <v>338</v>
      </c>
      <c r="M561">
        <v>158</v>
      </c>
      <c r="T561">
        <v>19</v>
      </c>
      <c r="U561">
        <v>7</v>
      </c>
      <c r="Y561">
        <v>15</v>
      </c>
      <c r="Z561">
        <v>13</v>
      </c>
      <c r="AD561">
        <v>11</v>
      </c>
      <c r="AE561">
        <v>6</v>
      </c>
      <c r="AX561">
        <v>26</v>
      </c>
      <c r="AY561">
        <v>26</v>
      </c>
      <c r="AZ561">
        <v>52</v>
      </c>
      <c r="BA561">
        <v>28</v>
      </c>
      <c r="BB561">
        <v>25</v>
      </c>
      <c r="BC561">
        <v>53</v>
      </c>
      <c r="BD561">
        <v>17</v>
      </c>
      <c r="BE561">
        <v>20</v>
      </c>
      <c r="BF561">
        <v>37</v>
      </c>
      <c r="BP561">
        <v>21</v>
      </c>
      <c r="BR561">
        <v>22</v>
      </c>
      <c r="BS561">
        <v>10</v>
      </c>
      <c r="BT561">
        <v>16</v>
      </c>
      <c r="BV561">
        <v>2</v>
      </c>
      <c r="BW561">
        <v>71</v>
      </c>
      <c r="BX561" t="s">
        <v>82</v>
      </c>
      <c r="BY561" s="5"/>
      <c r="BZ561" s="6"/>
      <c r="CA561" s="7">
        <v>40853</v>
      </c>
      <c r="CI561">
        <f t="shared" si="56"/>
        <v>2011</v>
      </c>
      <c r="CJ561" t="str">
        <f t="shared" si="57"/>
        <v>5662_2011</v>
      </c>
    </row>
    <row r="562" spans="1:88" x14ac:dyDescent="0.25">
      <c r="A562" t="s">
        <v>111</v>
      </c>
      <c r="B562" t="s">
        <v>244</v>
      </c>
      <c r="C562">
        <v>5662</v>
      </c>
      <c r="D562">
        <v>-37.805137999999999</v>
      </c>
      <c r="E562">
        <v>145.172878</v>
      </c>
      <c r="F562">
        <v>3</v>
      </c>
      <c r="G562" t="s">
        <v>246</v>
      </c>
      <c r="H562">
        <v>76</v>
      </c>
      <c r="I562">
        <v>256</v>
      </c>
      <c r="J562">
        <v>303</v>
      </c>
      <c r="K562">
        <v>123</v>
      </c>
      <c r="L562">
        <v>338</v>
      </c>
      <c r="M562">
        <v>158</v>
      </c>
      <c r="T562">
        <v>29</v>
      </c>
      <c r="U562">
        <v>11</v>
      </c>
      <c r="Y562">
        <v>22</v>
      </c>
      <c r="Z562">
        <v>21</v>
      </c>
      <c r="AD562">
        <v>18</v>
      </c>
      <c r="AE562">
        <v>19</v>
      </c>
      <c r="AX562">
        <v>40</v>
      </c>
      <c r="AY562">
        <v>40</v>
      </c>
      <c r="AZ562">
        <v>80</v>
      </c>
      <c r="BA562">
        <v>43</v>
      </c>
      <c r="BB562">
        <v>48</v>
      </c>
      <c r="BC562">
        <v>91</v>
      </c>
      <c r="BD562">
        <v>37</v>
      </c>
      <c r="BE562">
        <v>32</v>
      </c>
      <c r="BF562">
        <v>69</v>
      </c>
      <c r="BP562">
        <v>22</v>
      </c>
      <c r="BR562">
        <v>40</v>
      </c>
      <c r="BS562">
        <v>12</v>
      </c>
      <c r="BT562">
        <v>44</v>
      </c>
      <c r="BV562">
        <v>2</v>
      </c>
      <c r="BW562">
        <v>120</v>
      </c>
      <c r="BX562">
        <f>IF(C562=C561,IF((CI562-1)=CI561,BW561,"no data"))</f>
        <v>71</v>
      </c>
      <c r="BY562" s="5">
        <f t="shared" si="60"/>
        <v>0.6901408450704225</v>
      </c>
      <c r="BZ562" s="6">
        <f t="shared" si="58"/>
        <v>0.6901408450704225</v>
      </c>
      <c r="CA562" s="7">
        <v>41224</v>
      </c>
      <c r="CI562">
        <f t="shared" si="56"/>
        <v>2012</v>
      </c>
      <c r="CJ562" t="str">
        <f t="shared" si="57"/>
        <v>5662_2012</v>
      </c>
    </row>
    <row r="563" spans="1:88" x14ac:dyDescent="0.25">
      <c r="A563" t="s">
        <v>111</v>
      </c>
      <c r="B563" t="s">
        <v>244</v>
      </c>
      <c r="C563">
        <v>5662</v>
      </c>
      <c r="D563">
        <v>-37.805137999999999</v>
      </c>
      <c r="E563">
        <v>145.172878</v>
      </c>
      <c r="F563">
        <v>3</v>
      </c>
      <c r="G563" t="s">
        <v>246</v>
      </c>
      <c r="H563">
        <v>76</v>
      </c>
      <c r="I563">
        <v>256</v>
      </c>
      <c r="J563">
        <v>303</v>
      </c>
      <c r="K563">
        <v>123</v>
      </c>
      <c r="L563">
        <v>338</v>
      </c>
      <c r="M563">
        <v>158</v>
      </c>
      <c r="T563">
        <v>27</v>
      </c>
      <c r="U563">
        <v>25</v>
      </c>
      <c r="Y563">
        <v>29</v>
      </c>
      <c r="Z563">
        <v>14</v>
      </c>
      <c r="AD563">
        <v>16</v>
      </c>
      <c r="AE563">
        <v>12</v>
      </c>
      <c r="AX563">
        <v>52</v>
      </c>
      <c r="AY563">
        <v>45</v>
      </c>
      <c r="AZ563">
        <v>97</v>
      </c>
      <c r="BA563">
        <v>43</v>
      </c>
      <c r="BB563">
        <v>39</v>
      </c>
      <c r="BC563">
        <v>82</v>
      </c>
      <c r="BD563">
        <v>28</v>
      </c>
      <c r="BE563">
        <v>39</v>
      </c>
      <c r="BF563">
        <v>67</v>
      </c>
      <c r="BP563">
        <v>17</v>
      </c>
      <c r="BR563">
        <v>35</v>
      </c>
      <c r="BS563">
        <v>18</v>
      </c>
      <c r="BT563">
        <v>53</v>
      </c>
      <c r="BV563">
        <v>0</v>
      </c>
      <c r="BW563">
        <v>123</v>
      </c>
      <c r="BX563">
        <f>IF(C563=C562,IF((CI563-1)=CI562,BW562,"no data"))</f>
        <v>120</v>
      </c>
      <c r="BY563" s="5">
        <f t="shared" si="60"/>
        <v>2.5000000000000001E-2</v>
      </c>
      <c r="BZ563" s="6">
        <f t="shared" si="58"/>
        <v>2.5000000000000001E-2</v>
      </c>
      <c r="CA563" s="7">
        <v>41588</v>
      </c>
      <c r="CI563">
        <f t="shared" si="56"/>
        <v>2013</v>
      </c>
      <c r="CJ563" t="str">
        <f t="shared" si="57"/>
        <v>5662_2013</v>
      </c>
    </row>
    <row r="564" spans="1:88" x14ac:dyDescent="0.25">
      <c r="A564" t="s">
        <v>111</v>
      </c>
      <c r="B564" t="s">
        <v>244</v>
      </c>
      <c r="C564">
        <v>5662</v>
      </c>
      <c r="D564">
        <v>-37.805137999999999</v>
      </c>
      <c r="E564">
        <v>145.172878</v>
      </c>
      <c r="F564">
        <v>3</v>
      </c>
      <c r="G564" t="s">
        <v>246</v>
      </c>
      <c r="H564">
        <v>76</v>
      </c>
      <c r="I564">
        <v>256</v>
      </c>
      <c r="J564">
        <v>303</v>
      </c>
      <c r="K564">
        <v>123</v>
      </c>
      <c r="L564">
        <v>338</v>
      </c>
      <c r="M564">
        <v>158</v>
      </c>
      <c r="T564">
        <v>38</v>
      </c>
      <c r="U564">
        <v>10</v>
      </c>
      <c r="Y564">
        <v>34</v>
      </c>
      <c r="Z564">
        <v>23</v>
      </c>
      <c r="AD564">
        <v>7</v>
      </c>
      <c r="AE564">
        <v>13</v>
      </c>
      <c r="AX564">
        <v>48</v>
      </c>
      <c r="AY564">
        <v>41</v>
      </c>
      <c r="AZ564">
        <v>89</v>
      </c>
      <c r="BA564">
        <v>57</v>
      </c>
      <c r="BB564">
        <v>51</v>
      </c>
      <c r="BC564">
        <v>108</v>
      </c>
      <c r="BD564">
        <v>20</v>
      </c>
      <c r="BE564">
        <v>33</v>
      </c>
      <c r="BF564">
        <v>53</v>
      </c>
      <c r="BP564">
        <v>40</v>
      </c>
      <c r="BR564">
        <v>51</v>
      </c>
      <c r="BS564">
        <v>13</v>
      </c>
      <c r="BT564">
        <v>21</v>
      </c>
      <c r="BV564">
        <v>0</v>
      </c>
      <c r="BW564">
        <v>125</v>
      </c>
      <c r="BX564">
        <f>IF(C564=C563,IF((CI564-1)=CI563,BW563,"no data"))</f>
        <v>123</v>
      </c>
      <c r="BY564" s="5">
        <f t="shared" si="60"/>
        <v>1.6260162601626018E-2</v>
      </c>
      <c r="BZ564" s="6">
        <f t="shared" si="58"/>
        <v>1.6260162601626018E-2</v>
      </c>
      <c r="CA564" s="7">
        <v>41952</v>
      </c>
      <c r="CI564">
        <f t="shared" si="56"/>
        <v>2014</v>
      </c>
      <c r="CJ564" t="str">
        <f t="shared" si="57"/>
        <v>5662_2014</v>
      </c>
    </row>
    <row r="565" spans="1:88" x14ac:dyDescent="0.25">
      <c r="A565" t="s">
        <v>111</v>
      </c>
      <c r="B565" t="s">
        <v>244</v>
      </c>
      <c r="C565">
        <v>5662</v>
      </c>
      <c r="D565">
        <v>-37.805137999999999</v>
      </c>
      <c r="E565">
        <v>145.172878</v>
      </c>
      <c r="F565">
        <v>3</v>
      </c>
      <c r="G565" t="s">
        <v>246</v>
      </c>
      <c r="H565">
        <v>76</v>
      </c>
      <c r="I565">
        <v>256</v>
      </c>
      <c r="J565">
        <v>303</v>
      </c>
      <c r="K565">
        <v>123</v>
      </c>
      <c r="L565">
        <v>338</v>
      </c>
      <c r="M565">
        <v>158</v>
      </c>
      <c r="T565">
        <v>40</v>
      </c>
      <c r="U565">
        <v>24</v>
      </c>
      <c r="Y565">
        <v>7</v>
      </c>
      <c r="Z565">
        <v>38</v>
      </c>
      <c r="AD565">
        <v>33</v>
      </c>
      <c r="AE565">
        <v>18</v>
      </c>
      <c r="AX565">
        <v>64</v>
      </c>
      <c r="AY565">
        <v>40</v>
      </c>
      <c r="AZ565">
        <v>104</v>
      </c>
      <c r="BA565">
        <v>45</v>
      </c>
      <c r="BB565">
        <v>58</v>
      </c>
      <c r="BC565">
        <v>103</v>
      </c>
      <c r="BD565">
        <v>51</v>
      </c>
      <c r="BE565">
        <v>62</v>
      </c>
      <c r="BF565">
        <v>113</v>
      </c>
      <c r="BP565">
        <v>13</v>
      </c>
      <c r="BR565">
        <v>79</v>
      </c>
      <c r="BS565">
        <v>19</v>
      </c>
      <c r="BT565">
        <v>44</v>
      </c>
      <c r="BV565">
        <v>5</v>
      </c>
      <c r="BW565">
        <v>160</v>
      </c>
      <c r="BX565">
        <f>IF(C565=C564,IF((CI565-1)=CI564,BW564,"no data"))</f>
        <v>125</v>
      </c>
      <c r="BY565" s="5">
        <f t="shared" si="60"/>
        <v>0.28000000000000003</v>
      </c>
      <c r="BZ565" s="6">
        <f t="shared" si="58"/>
        <v>0.28000000000000003</v>
      </c>
      <c r="CA565" s="7">
        <v>42316</v>
      </c>
      <c r="CE565">
        <v>32</v>
      </c>
      <c r="CF565">
        <v>64</v>
      </c>
      <c r="CG565">
        <v>43</v>
      </c>
      <c r="CH565">
        <v>21</v>
      </c>
      <c r="CI565">
        <f t="shared" si="56"/>
        <v>2015</v>
      </c>
      <c r="CJ565" t="str">
        <f t="shared" si="57"/>
        <v>5662_2015</v>
      </c>
    </row>
    <row r="566" spans="1:88" x14ac:dyDescent="0.25">
      <c r="A566" t="s">
        <v>111</v>
      </c>
      <c r="B566" t="s">
        <v>244</v>
      </c>
      <c r="C566">
        <v>5662</v>
      </c>
      <c r="D566">
        <v>-37.805137999999999</v>
      </c>
      <c r="E566">
        <v>145.172878</v>
      </c>
      <c r="F566">
        <v>3</v>
      </c>
      <c r="G566" t="s">
        <v>246</v>
      </c>
      <c r="H566">
        <v>76</v>
      </c>
      <c r="I566">
        <v>256</v>
      </c>
      <c r="J566">
        <v>303</v>
      </c>
      <c r="K566">
        <v>123</v>
      </c>
      <c r="L566">
        <v>338</v>
      </c>
      <c r="M566">
        <v>158</v>
      </c>
      <c r="T566">
        <v>30</v>
      </c>
      <c r="U566">
        <v>19</v>
      </c>
      <c r="Y566">
        <v>7</v>
      </c>
      <c r="Z566">
        <v>6</v>
      </c>
      <c r="AD566">
        <v>14</v>
      </c>
      <c r="AE566">
        <v>8</v>
      </c>
      <c r="AX566">
        <v>49</v>
      </c>
      <c r="AY566">
        <v>21</v>
      </c>
      <c r="AZ566">
        <v>70</v>
      </c>
      <c r="BA566">
        <v>13</v>
      </c>
      <c r="BB566">
        <v>38</v>
      </c>
      <c r="BC566">
        <v>51</v>
      </c>
      <c r="BD566">
        <v>22</v>
      </c>
      <c r="BE566">
        <v>25</v>
      </c>
      <c r="BF566">
        <v>47</v>
      </c>
      <c r="BP566">
        <v>21</v>
      </c>
      <c r="BR566">
        <v>36</v>
      </c>
      <c r="BS566">
        <v>13</v>
      </c>
      <c r="BT566">
        <v>12</v>
      </c>
      <c r="BV566">
        <v>2</v>
      </c>
      <c r="BW566">
        <v>84</v>
      </c>
      <c r="BX566">
        <f>IF(C566=C565,IF((CI566-1)=CI565,BW565,"no data"))</f>
        <v>160</v>
      </c>
      <c r="BY566" s="5">
        <f t="shared" si="60"/>
        <v>-0.47499999999999998</v>
      </c>
      <c r="BZ566" s="6">
        <f t="shared" si="58"/>
        <v>-0.47499999999999998</v>
      </c>
      <c r="CA566" s="7">
        <v>42687</v>
      </c>
      <c r="CE566">
        <v>14</v>
      </c>
      <c r="CF566">
        <v>17</v>
      </c>
      <c r="CG566">
        <v>40</v>
      </c>
      <c r="CH566">
        <v>13</v>
      </c>
      <c r="CI566">
        <f t="shared" si="56"/>
        <v>2016</v>
      </c>
      <c r="CJ566" t="str">
        <f t="shared" si="57"/>
        <v>5662_2016</v>
      </c>
    </row>
    <row r="567" spans="1:88" x14ac:dyDescent="0.25">
      <c r="A567" t="s">
        <v>111</v>
      </c>
      <c r="B567" t="s">
        <v>114</v>
      </c>
      <c r="C567">
        <v>5663</v>
      </c>
      <c r="D567">
        <v>-37.855218999999998</v>
      </c>
      <c r="E567">
        <v>145.05999700000001</v>
      </c>
      <c r="F567">
        <v>3</v>
      </c>
      <c r="G567" t="s">
        <v>247</v>
      </c>
      <c r="H567">
        <v>31</v>
      </c>
      <c r="I567">
        <v>211</v>
      </c>
      <c r="J567">
        <v>185</v>
      </c>
      <c r="K567">
        <v>5</v>
      </c>
      <c r="L567">
        <v>293</v>
      </c>
      <c r="M567">
        <v>113</v>
      </c>
      <c r="T567">
        <v>28</v>
      </c>
      <c r="U567">
        <v>41</v>
      </c>
      <c r="Y567">
        <v>36</v>
      </c>
      <c r="Z567">
        <v>87</v>
      </c>
      <c r="AD567">
        <v>69</v>
      </c>
      <c r="AE567">
        <v>108</v>
      </c>
      <c r="AX567">
        <v>69</v>
      </c>
      <c r="AY567">
        <v>105</v>
      </c>
      <c r="AZ567">
        <v>174</v>
      </c>
      <c r="BA567">
        <v>123</v>
      </c>
      <c r="BB567">
        <v>136</v>
      </c>
      <c r="BC567">
        <v>259</v>
      </c>
      <c r="BD567">
        <v>177</v>
      </c>
      <c r="BE567">
        <v>128</v>
      </c>
      <c r="BF567">
        <v>305</v>
      </c>
      <c r="BP567">
        <v>279</v>
      </c>
      <c r="BR567">
        <v>43</v>
      </c>
      <c r="BS567">
        <v>18</v>
      </c>
      <c r="BT567">
        <v>19</v>
      </c>
      <c r="BV567">
        <v>10</v>
      </c>
      <c r="BW567">
        <v>369</v>
      </c>
      <c r="BX567" t="s">
        <v>82</v>
      </c>
      <c r="BY567" s="5"/>
      <c r="BZ567" s="6"/>
      <c r="CA567" s="7">
        <v>40853</v>
      </c>
      <c r="CI567">
        <f t="shared" si="56"/>
        <v>2011</v>
      </c>
      <c r="CJ567" t="str">
        <f t="shared" si="57"/>
        <v>5663_2011</v>
      </c>
    </row>
    <row r="568" spans="1:88" x14ac:dyDescent="0.25">
      <c r="A568" t="s">
        <v>111</v>
      </c>
      <c r="B568" t="s">
        <v>114</v>
      </c>
      <c r="C568">
        <v>5663</v>
      </c>
      <c r="D568">
        <v>-37.855218999999998</v>
      </c>
      <c r="E568">
        <v>145.05999700000001</v>
      </c>
      <c r="F568">
        <v>3</v>
      </c>
      <c r="G568" t="s">
        <v>247</v>
      </c>
      <c r="H568">
        <v>31</v>
      </c>
      <c r="I568">
        <v>211</v>
      </c>
      <c r="J568">
        <v>185</v>
      </c>
      <c r="K568">
        <v>5</v>
      </c>
      <c r="L568">
        <v>293</v>
      </c>
      <c r="M568">
        <v>113</v>
      </c>
      <c r="T568">
        <v>151</v>
      </c>
      <c r="U568">
        <v>141</v>
      </c>
      <c r="Y568">
        <v>93</v>
      </c>
      <c r="Z568">
        <v>428</v>
      </c>
      <c r="AD568">
        <v>112</v>
      </c>
      <c r="AE568">
        <v>394</v>
      </c>
      <c r="AX568">
        <v>292</v>
      </c>
      <c r="AY568">
        <v>205</v>
      </c>
      <c r="AZ568">
        <v>497</v>
      </c>
      <c r="BA568">
        <v>521</v>
      </c>
      <c r="BB568">
        <v>545</v>
      </c>
      <c r="BC568">
        <v>1066</v>
      </c>
      <c r="BD568">
        <v>506</v>
      </c>
      <c r="BE568">
        <v>569</v>
      </c>
      <c r="BF568">
        <v>1075</v>
      </c>
      <c r="BP568">
        <v>963</v>
      </c>
      <c r="BR568">
        <v>196</v>
      </c>
      <c r="BS568">
        <v>91</v>
      </c>
      <c r="BT568">
        <v>69</v>
      </c>
      <c r="BV568">
        <v>0</v>
      </c>
      <c r="BW568">
        <v>1319</v>
      </c>
      <c r="BX568">
        <f t="shared" ref="BX568:BX574" si="64">IF(C568=C567,IF((CI568-1)=CI567,BW567,"no data"))</f>
        <v>369</v>
      </c>
      <c r="BY568" s="5">
        <f t="shared" si="60"/>
        <v>2.5745257452574526</v>
      </c>
      <c r="BZ568" s="6">
        <f t="shared" si="58"/>
        <v>2.5745257452574526</v>
      </c>
      <c r="CA568" s="7">
        <v>41224</v>
      </c>
      <c r="CI568">
        <f t="shared" si="56"/>
        <v>2012</v>
      </c>
      <c r="CJ568" t="str">
        <f t="shared" si="57"/>
        <v>5663_2012</v>
      </c>
    </row>
    <row r="569" spans="1:88" x14ac:dyDescent="0.25">
      <c r="A569" t="s">
        <v>111</v>
      </c>
      <c r="B569" t="s">
        <v>114</v>
      </c>
      <c r="C569">
        <v>5663</v>
      </c>
      <c r="D569">
        <v>-37.855218999999998</v>
      </c>
      <c r="E569">
        <v>145.05999700000001</v>
      </c>
      <c r="F569">
        <v>3</v>
      </c>
      <c r="G569" t="s">
        <v>247</v>
      </c>
      <c r="H569">
        <v>31</v>
      </c>
      <c r="I569">
        <v>211</v>
      </c>
      <c r="J569">
        <v>185</v>
      </c>
      <c r="K569">
        <v>5</v>
      </c>
      <c r="L569">
        <v>293</v>
      </c>
      <c r="M569">
        <v>113</v>
      </c>
      <c r="T569">
        <v>108</v>
      </c>
      <c r="U569">
        <v>97</v>
      </c>
      <c r="Y569">
        <v>70</v>
      </c>
      <c r="Z569">
        <v>142</v>
      </c>
      <c r="AD569">
        <v>115</v>
      </c>
      <c r="AE569">
        <v>111</v>
      </c>
      <c r="AX569">
        <v>205</v>
      </c>
      <c r="AY569">
        <v>185</v>
      </c>
      <c r="AZ569">
        <v>390</v>
      </c>
      <c r="BA569">
        <v>212</v>
      </c>
      <c r="BB569">
        <v>219</v>
      </c>
      <c r="BC569">
        <v>431</v>
      </c>
      <c r="BD569">
        <v>226</v>
      </c>
      <c r="BE569">
        <v>239</v>
      </c>
      <c r="BF569">
        <v>465</v>
      </c>
      <c r="BP569">
        <v>219</v>
      </c>
      <c r="BR569">
        <v>231</v>
      </c>
      <c r="BS569">
        <v>106</v>
      </c>
      <c r="BT569">
        <v>85</v>
      </c>
      <c r="BV569">
        <v>2</v>
      </c>
      <c r="BW569">
        <v>643</v>
      </c>
      <c r="BX569" t="str">
        <f t="shared" si="64"/>
        <v>no data</v>
      </c>
      <c r="BY569" s="5"/>
      <c r="BZ569" s="6"/>
      <c r="CA569" s="7">
        <v>42687</v>
      </c>
      <c r="CE569">
        <v>202</v>
      </c>
      <c r="CF569">
        <v>164</v>
      </c>
      <c r="CG569">
        <v>152</v>
      </c>
      <c r="CH569">
        <v>125</v>
      </c>
      <c r="CI569">
        <f t="shared" si="56"/>
        <v>2016</v>
      </c>
      <c r="CJ569" t="str">
        <f t="shared" si="57"/>
        <v>5663_2016</v>
      </c>
    </row>
    <row r="570" spans="1:88" x14ac:dyDescent="0.25">
      <c r="A570" t="s">
        <v>111</v>
      </c>
      <c r="B570" t="s">
        <v>114</v>
      </c>
      <c r="C570">
        <v>5663</v>
      </c>
      <c r="D570">
        <v>-37.855218999999998</v>
      </c>
      <c r="E570">
        <v>145.05999700000001</v>
      </c>
      <c r="F570">
        <v>3</v>
      </c>
      <c r="G570" t="s">
        <v>247</v>
      </c>
      <c r="H570">
        <v>31</v>
      </c>
      <c r="I570">
        <v>211</v>
      </c>
      <c r="J570">
        <v>185</v>
      </c>
      <c r="K570">
        <v>5</v>
      </c>
      <c r="L570">
        <v>293</v>
      </c>
      <c r="M570">
        <v>113</v>
      </c>
      <c r="T570">
        <v>190</v>
      </c>
      <c r="U570">
        <v>195</v>
      </c>
      <c r="Y570">
        <v>158</v>
      </c>
      <c r="Z570">
        <v>362</v>
      </c>
      <c r="AD570">
        <v>204</v>
      </c>
      <c r="AE570">
        <v>415</v>
      </c>
      <c r="AX570">
        <v>385</v>
      </c>
      <c r="AY570">
        <v>362</v>
      </c>
      <c r="AZ570">
        <v>747</v>
      </c>
      <c r="BA570">
        <v>520</v>
      </c>
      <c r="BB570">
        <v>605</v>
      </c>
      <c r="BC570">
        <v>1125</v>
      </c>
      <c r="BD570">
        <v>619</v>
      </c>
      <c r="BE570">
        <v>557</v>
      </c>
      <c r="BF570">
        <v>1176</v>
      </c>
      <c r="BP570">
        <v>832</v>
      </c>
      <c r="BR570">
        <v>407</v>
      </c>
      <c r="BS570">
        <v>164</v>
      </c>
      <c r="BT570">
        <v>106</v>
      </c>
      <c r="BV570">
        <v>15</v>
      </c>
      <c r="BW570">
        <v>1524</v>
      </c>
      <c r="BX570" t="str">
        <f t="shared" si="64"/>
        <v>no data</v>
      </c>
      <c r="BY570" s="5"/>
      <c r="BZ570" s="6"/>
      <c r="CA570" s="7">
        <v>43415</v>
      </c>
      <c r="CE570">
        <v>368</v>
      </c>
      <c r="CF570">
        <v>474</v>
      </c>
      <c r="CG570">
        <v>405</v>
      </c>
      <c r="CH570">
        <v>277</v>
      </c>
      <c r="CI570">
        <f t="shared" si="56"/>
        <v>2018</v>
      </c>
      <c r="CJ570" t="str">
        <f t="shared" si="57"/>
        <v>5663_2018</v>
      </c>
    </row>
    <row r="571" spans="1:88" x14ac:dyDescent="0.25">
      <c r="A571" t="s">
        <v>111</v>
      </c>
      <c r="B571" t="s">
        <v>114</v>
      </c>
      <c r="C571">
        <v>5663</v>
      </c>
      <c r="D571">
        <v>-37.855200000000004</v>
      </c>
      <c r="E571">
        <v>145.06</v>
      </c>
      <c r="F571">
        <v>3</v>
      </c>
      <c r="G571" t="s">
        <v>247</v>
      </c>
      <c r="H571">
        <v>31</v>
      </c>
      <c r="I571">
        <v>211</v>
      </c>
      <c r="J571">
        <v>185</v>
      </c>
      <c r="K571">
        <v>5</v>
      </c>
      <c r="L571">
        <v>293</v>
      </c>
      <c r="M571">
        <v>113</v>
      </c>
      <c r="T571">
        <v>182</v>
      </c>
      <c r="U571">
        <v>103</v>
      </c>
      <c r="Y571">
        <v>170</v>
      </c>
      <c r="Z571">
        <v>204</v>
      </c>
      <c r="AD571">
        <v>142</v>
      </c>
      <c r="AE571">
        <v>279</v>
      </c>
      <c r="AX571">
        <v>285</v>
      </c>
      <c r="AY571">
        <v>312</v>
      </c>
      <c r="AZ571">
        <v>597</v>
      </c>
      <c r="BA571">
        <v>374</v>
      </c>
      <c r="BB571">
        <v>461</v>
      </c>
      <c r="BC571">
        <v>835</v>
      </c>
      <c r="BD571">
        <v>421</v>
      </c>
      <c r="BE571">
        <v>307</v>
      </c>
      <c r="BF571">
        <v>728</v>
      </c>
      <c r="BP571">
        <v>493</v>
      </c>
      <c r="BR571">
        <v>344</v>
      </c>
      <c r="BS571">
        <v>169</v>
      </c>
      <c r="BT571">
        <v>74</v>
      </c>
      <c r="BV571">
        <v>0</v>
      </c>
      <c r="BW571">
        <v>1080</v>
      </c>
      <c r="BX571">
        <f t="shared" si="64"/>
        <v>1524</v>
      </c>
      <c r="BY571" s="5">
        <f t="shared" si="60"/>
        <v>-0.29133858267716534</v>
      </c>
      <c r="BZ571" s="6">
        <f t="shared" si="58"/>
        <v>-0.29133858267716534</v>
      </c>
      <c r="CA571" s="7">
        <v>43779</v>
      </c>
      <c r="CE571">
        <v>270</v>
      </c>
      <c r="CF571">
        <v>257</v>
      </c>
      <c r="CG571">
        <v>267</v>
      </c>
      <c r="CH571">
        <v>286</v>
      </c>
      <c r="CI571">
        <f t="shared" si="56"/>
        <v>2019</v>
      </c>
      <c r="CJ571" t="str">
        <f t="shared" si="57"/>
        <v>5663_2019</v>
      </c>
    </row>
    <row r="572" spans="1:88" x14ac:dyDescent="0.25">
      <c r="A572" t="s">
        <v>111</v>
      </c>
      <c r="B572" t="s">
        <v>114</v>
      </c>
      <c r="C572">
        <v>5663</v>
      </c>
      <c r="D572">
        <v>-37.855200000000004</v>
      </c>
      <c r="E572">
        <v>145.06</v>
      </c>
      <c r="F572">
        <v>3</v>
      </c>
      <c r="G572" t="s">
        <v>247</v>
      </c>
      <c r="H572">
        <v>31</v>
      </c>
      <c r="I572">
        <v>211</v>
      </c>
      <c r="J572">
        <v>185</v>
      </c>
      <c r="K572">
        <v>5</v>
      </c>
      <c r="L572">
        <v>293</v>
      </c>
      <c r="M572">
        <v>113</v>
      </c>
      <c r="T572">
        <v>311</v>
      </c>
      <c r="U572">
        <v>207</v>
      </c>
      <c r="Y572">
        <v>157</v>
      </c>
      <c r="Z572">
        <v>657</v>
      </c>
      <c r="AD572">
        <v>226</v>
      </c>
      <c r="AE572">
        <v>638</v>
      </c>
      <c r="AX572">
        <v>518</v>
      </c>
      <c r="AY572">
        <v>383</v>
      </c>
      <c r="AZ572">
        <v>901</v>
      </c>
      <c r="BA572">
        <v>814</v>
      </c>
      <c r="BB572">
        <v>949</v>
      </c>
      <c r="BC572">
        <v>1763</v>
      </c>
      <c r="BD572">
        <v>864</v>
      </c>
      <c r="BE572">
        <v>864</v>
      </c>
      <c r="BF572">
        <v>1728</v>
      </c>
      <c r="BP572">
        <v>1220</v>
      </c>
      <c r="BR572">
        <v>656</v>
      </c>
      <c r="BS572">
        <v>252</v>
      </c>
      <c r="BT572">
        <v>56</v>
      </c>
      <c r="BV572">
        <v>12</v>
      </c>
      <c r="BW572">
        <v>2196</v>
      </c>
      <c r="BX572">
        <f t="shared" si="64"/>
        <v>1080</v>
      </c>
      <c r="BY572" s="5">
        <f t="shared" si="60"/>
        <v>1.0333333333333334</v>
      </c>
      <c r="BZ572" s="6">
        <f t="shared" si="58"/>
        <v>1.0333333333333334</v>
      </c>
      <c r="CA572" s="7">
        <v>44143</v>
      </c>
      <c r="CE572">
        <v>521</v>
      </c>
      <c r="CF572">
        <v>608</v>
      </c>
      <c r="CG572">
        <v>511</v>
      </c>
      <c r="CH572">
        <v>556</v>
      </c>
      <c r="CI572">
        <f t="shared" si="56"/>
        <v>2020</v>
      </c>
      <c r="CJ572" t="str">
        <f t="shared" si="57"/>
        <v>5663_2020</v>
      </c>
    </row>
    <row r="573" spans="1:88" x14ac:dyDescent="0.25">
      <c r="A573" t="s">
        <v>111</v>
      </c>
      <c r="B573" t="s">
        <v>114</v>
      </c>
      <c r="C573">
        <v>5663</v>
      </c>
      <c r="D573">
        <v>-37.855218999999998</v>
      </c>
      <c r="E573">
        <v>145.05999700000001</v>
      </c>
      <c r="F573">
        <v>3</v>
      </c>
      <c r="G573" t="s">
        <v>247</v>
      </c>
      <c r="H573">
        <v>31</v>
      </c>
      <c r="I573">
        <v>211</v>
      </c>
      <c r="J573">
        <v>185</v>
      </c>
      <c r="K573">
        <v>5</v>
      </c>
      <c r="L573">
        <v>293</v>
      </c>
      <c r="M573">
        <v>113</v>
      </c>
      <c r="T573">
        <v>197</v>
      </c>
      <c r="U573">
        <v>132</v>
      </c>
      <c r="Y573">
        <v>158</v>
      </c>
      <c r="Z573">
        <v>256</v>
      </c>
      <c r="AD573">
        <v>108</v>
      </c>
      <c r="AE573">
        <v>205</v>
      </c>
      <c r="AX573">
        <v>329</v>
      </c>
      <c r="AY573">
        <v>266</v>
      </c>
      <c r="AZ573">
        <v>595</v>
      </c>
      <c r="BA573">
        <v>414</v>
      </c>
      <c r="BB573">
        <v>402</v>
      </c>
      <c r="BC573">
        <v>816</v>
      </c>
      <c r="BD573">
        <v>313</v>
      </c>
      <c r="BE573">
        <v>388</v>
      </c>
      <c r="BF573">
        <v>701</v>
      </c>
      <c r="BP573">
        <v>447</v>
      </c>
      <c r="BR573">
        <v>324</v>
      </c>
      <c r="BS573">
        <v>166</v>
      </c>
      <c r="BT573">
        <v>110</v>
      </c>
      <c r="BV573">
        <v>9</v>
      </c>
      <c r="BW573">
        <v>1056</v>
      </c>
      <c r="BX573">
        <f t="shared" si="64"/>
        <v>2196</v>
      </c>
      <c r="BY573" s="5">
        <f t="shared" si="60"/>
        <v>-0.51912568306010931</v>
      </c>
      <c r="BZ573" s="6">
        <f t="shared" si="58"/>
        <v>-0.51912568306010931</v>
      </c>
      <c r="CA573" s="7">
        <v>44528</v>
      </c>
      <c r="CE573">
        <v>340</v>
      </c>
      <c r="CF573">
        <v>372</v>
      </c>
      <c r="CG573">
        <v>344</v>
      </c>
      <c r="CI573">
        <f t="shared" si="56"/>
        <v>2021</v>
      </c>
      <c r="CJ573" t="str">
        <f t="shared" si="57"/>
        <v>5663_2021</v>
      </c>
    </row>
    <row r="574" spans="1:88" x14ac:dyDescent="0.25">
      <c r="A574" t="s">
        <v>111</v>
      </c>
      <c r="B574" t="s">
        <v>114</v>
      </c>
      <c r="C574">
        <v>5663</v>
      </c>
      <c r="D574">
        <v>-37.855218999999998</v>
      </c>
      <c r="E574">
        <v>145.05999700000001</v>
      </c>
      <c r="F574">
        <v>3</v>
      </c>
      <c r="G574" t="s">
        <v>247</v>
      </c>
      <c r="H574">
        <v>31</v>
      </c>
      <c r="I574">
        <v>211</v>
      </c>
      <c r="J574">
        <v>185</v>
      </c>
      <c r="K574">
        <v>5</v>
      </c>
      <c r="L574">
        <v>293</v>
      </c>
      <c r="M574">
        <v>113</v>
      </c>
      <c r="T574">
        <v>165</v>
      </c>
      <c r="U574">
        <v>115</v>
      </c>
      <c r="Y574">
        <v>155</v>
      </c>
      <c r="Z574">
        <v>235</v>
      </c>
      <c r="AD574">
        <v>128</v>
      </c>
      <c r="AE574">
        <v>233</v>
      </c>
      <c r="AX574">
        <v>280</v>
      </c>
      <c r="AY574">
        <v>283</v>
      </c>
      <c r="AZ574">
        <v>563</v>
      </c>
      <c r="BA574">
        <v>390</v>
      </c>
      <c r="BB574">
        <v>398</v>
      </c>
      <c r="BC574">
        <v>788</v>
      </c>
      <c r="BD574">
        <v>361</v>
      </c>
      <c r="BE574">
        <v>350</v>
      </c>
      <c r="BF574">
        <v>711</v>
      </c>
      <c r="BP574">
        <v>407</v>
      </c>
      <c r="BR574">
        <v>370</v>
      </c>
      <c r="BS574">
        <v>155</v>
      </c>
      <c r="BT574">
        <v>97</v>
      </c>
      <c r="BU574">
        <v>2</v>
      </c>
      <c r="BV574">
        <v>0</v>
      </c>
      <c r="BW574">
        <v>1031</v>
      </c>
      <c r="BX574">
        <f t="shared" si="64"/>
        <v>1056</v>
      </c>
      <c r="BY574" s="5">
        <f t="shared" si="60"/>
        <v>-2.3674242424242424E-2</v>
      </c>
      <c r="BZ574" s="6">
        <f t="shared" si="58"/>
        <v>-2.3674242424242424E-2</v>
      </c>
      <c r="CA574" s="7">
        <v>44878</v>
      </c>
      <c r="CE574">
        <v>398</v>
      </c>
      <c r="CF574">
        <v>407</v>
      </c>
      <c r="CG574">
        <v>226</v>
      </c>
      <c r="CI574">
        <f t="shared" si="56"/>
        <v>2022</v>
      </c>
      <c r="CJ574" t="str">
        <f t="shared" si="57"/>
        <v>5663_2022</v>
      </c>
    </row>
    <row r="575" spans="1:88" x14ac:dyDescent="0.25">
      <c r="A575" t="s">
        <v>111</v>
      </c>
      <c r="B575" t="s">
        <v>193</v>
      </c>
      <c r="C575">
        <v>5664</v>
      </c>
      <c r="D575">
        <v>-37.8752</v>
      </c>
      <c r="E575">
        <v>145.07069999999999</v>
      </c>
      <c r="F575">
        <v>3</v>
      </c>
      <c r="G575" t="s">
        <v>248</v>
      </c>
      <c r="H575">
        <v>86</v>
      </c>
      <c r="I575">
        <v>266</v>
      </c>
      <c r="J575">
        <v>165</v>
      </c>
      <c r="K575">
        <v>345</v>
      </c>
      <c r="L575">
        <v>294</v>
      </c>
      <c r="M575">
        <v>114</v>
      </c>
      <c r="T575">
        <v>14</v>
      </c>
      <c r="U575">
        <v>210</v>
      </c>
      <c r="Y575">
        <v>14</v>
      </c>
      <c r="Z575">
        <v>1176</v>
      </c>
      <c r="AD575">
        <v>448</v>
      </c>
      <c r="AE575">
        <v>2100</v>
      </c>
      <c r="AX575">
        <v>224</v>
      </c>
      <c r="AY575">
        <v>462</v>
      </c>
      <c r="AZ575">
        <v>686</v>
      </c>
      <c r="BA575">
        <v>1190</v>
      </c>
      <c r="BB575">
        <v>2114</v>
      </c>
      <c r="BC575">
        <v>3304</v>
      </c>
      <c r="BD575">
        <v>2548</v>
      </c>
      <c r="BE575">
        <v>1386</v>
      </c>
      <c r="BF575">
        <v>3934</v>
      </c>
      <c r="BP575">
        <v>2786</v>
      </c>
      <c r="BR575">
        <v>840</v>
      </c>
      <c r="BS575">
        <v>210</v>
      </c>
      <c r="BT575">
        <v>126</v>
      </c>
      <c r="BV575">
        <v>0</v>
      </c>
      <c r="BW575">
        <v>3962</v>
      </c>
      <c r="BX575" t="s">
        <v>82</v>
      </c>
      <c r="BY575" s="5"/>
      <c r="BZ575" s="6"/>
      <c r="CA575" s="7">
        <v>40853</v>
      </c>
      <c r="CI575">
        <f t="shared" si="56"/>
        <v>2011</v>
      </c>
      <c r="CJ575" t="str">
        <f t="shared" si="57"/>
        <v>5664_2011</v>
      </c>
    </row>
    <row r="576" spans="1:88" x14ac:dyDescent="0.25">
      <c r="A576" t="s">
        <v>111</v>
      </c>
      <c r="B576" t="s">
        <v>193</v>
      </c>
      <c r="C576">
        <v>5664</v>
      </c>
      <c r="D576">
        <v>-37.8752</v>
      </c>
      <c r="E576">
        <v>145.07069999999999</v>
      </c>
      <c r="F576">
        <v>3</v>
      </c>
      <c r="G576" t="s">
        <v>248</v>
      </c>
      <c r="H576">
        <v>86</v>
      </c>
      <c r="I576">
        <v>266</v>
      </c>
      <c r="J576">
        <v>165</v>
      </c>
      <c r="K576">
        <v>345</v>
      </c>
      <c r="L576">
        <v>294</v>
      </c>
      <c r="M576">
        <v>114</v>
      </c>
      <c r="T576">
        <v>60</v>
      </c>
      <c r="U576">
        <v>204</v>
      </c>
      <c r="Y576">
        <v>79</v>
      </c>
      <c r="Z576">
        <v>248</v>
      </c>
      <c r="AD576">
        <v>187</v>
      </c>
      <c r="AE576">
        <v>291</v>
      </c>
      <c r="AX576">
        <v>264</v>
      </c>
      <c r="AY576">
        <v>266</v>
      </c>
      <c r="AZ576">
        <v>530</v>
      </c>
      <c r="BA576">
        <v>327</v>
      </c>
      <c r="BB576">
        <v>351</v>
      </c>
      <c r="BC576">
        <v>678</v>
      </c>
      <c r="BD576">
        <v>478</v>
      </c>
      <c r="BE576">
        <v>452</v>
      </c>
      <c r="BF576">
        <v>930</v>
      </c>
      <c r="BP576">
        <v>729</v>
      </c>
      <c r="BR576">
        <v>121</v>
      </c>
      <c r="BS576">
        <v>67</v>
      </c>
      <c r="BT576">
        <v>64</v>
      </c>
      <c r="BV576">
        <v>88</v>
      </c>
      <c r="BW576">
        <v>1069</v>
      </c>
      <c r="BX576">
        <f t="shared" ref="BX576:BX583" si="65">IF(C576=C575,IF((CI576-1)=CI575,BW575,"no data"))</f>
        <v>3962</v>
      </c>
      <c r="BY576" s="5">
        <f t="shared" si="60"/>
        <v>-0.73018677435638568</v>
      </c>
      <c r="BZ576" s="6">
        <f t="shared" si="58"/>
        <v>-0.73018677435638568</v>
      </c>
      <c r="CA576" s="7">
        <v>41224</v>
      </c>
      <c r="CI576">
        <f t="shared" si="56"/>
        <v>2012</v>
      </c>
      <c r="CJ576" t="str">
        <f t="shared" si="57"/>
        <v>5664_2012</v>
      </c>
    </row>
    <row r="577" spans="1:88" x14ac:dyDescent="0.25">
      <c r="A577" t="s">
        <v>111</v>
      </c>
      <c r="B577" t="s">
        <v>193</v>
      </c>
      <c r="C577">
        <v>5664</v>
      </c>
      <c r="D577">
        <v>-37.8752</v>
      </c>
      <c r="E577">
        <v>145.07069999999999</v>
      </c>
      <c r="F577">
        <v>3</v>
      </c>
      <c r="G577" t="s">
        <v>248</v>
      </c>
      <c r="H577">
        <v>86</v>
      </c>
      <c r="I577">
        <v>266</v>
      </c>
      <c r="J577">
        <v>165</v>
      </c>
      <c r="K577">
        <v>345</v>
      </c>
      <c r="L577">
        <v>294</v>
      </c>
      <c r="M577">
        <v>114</v>
      </c>
      <c r="T577">
        <v>47</v>
      </c>
      <c r="U577">
        <v>172</v>
      </c>
      <c r="Y577">
        <v>50</v>
      </c>
      <c r="Z577">
        <v>144</v>
      </c>
      <c r="AD577">
        <v>262</v>
      </c>
      <c r="AE577">
        <v>238</v>
      </c>
      <c r="AX577">
        <v>219</v>
      </c>
      <c r="AY577">
        <v>312</v>
      </c>
      <c r="AZ577">
        <v>531</v>
      </c>
      <c r="BA577">
        <v>194</v>
      </c>
      <c r="BB577">
        <v>285</v>
      </c>
      <c r="BC577">
        <v>479</v>
      </c>
      <c r="BD577">
        <v>500</v>
      </c>
      <c r="BE577">
        <v>316</v>
      </c>
      <c r="BF577">
        <v>816</v>
      </c>
      <c r="BP577">
        <v>563</v>
      </c>
      <c r="BR577">
        <v>130</v>
      </c>
      <c r="BS577">
        <v>101</v>
      </c>
      <c r="BT577">
        <v>37</v>
      </c>
      <c r="BV577">
        <v>82</v>
      </c>
      <c r="BW577">
        <v>913</v>
      </c>
      <c r="BX577">
        <f t="shared" si="65"/>
        <v>1069</v>
      </c>
      <c r="BY577" s="5">
        <f t="shared" si="60"/>
        <v>-0.14593077642656688</v>
      </c>
      <c r="BZ577" s="6">
        <f t="shared" si="58"/>
        <v>-0.14593077642656688</v>
      </c>
      <c r="CA577" s="7">
        <v>41588</v>
      </c>
      <c r="CI577">
        <f t="shared" si="56"/>
        <v>2013</v>
      </c>
      <c r="CJ577" t="str">
        <f t="shared" si="57"/>
        <v>5664_2013</v>
      </c>
    </row>
    <row r="578" spans="1:88" x14ac:dyDescent="0.25">
      <c r="A578" t="s">
        <v>111</v>
      </c>
      <c r="B578" t="s">
        <v>193</v>
      </c>
      <c r="C578">
        <v>5664</v>
      </c>
      <c r="D578">
        <v>-37.8752</v>
      </c>
      <c r="E578">
        <v>145.07069999999999</v>
      </c>
      <c r="F578">
        <v>3</v>
      </c>
      <c r="G578" t="s">
        <v>248</v>
      </c>
      <c r="H578">
        <v>86</v>
      </c>
      <c r="I578">
        <v>266</v>
      </c>
      <c r="J578">
        <v>165</v>
      </c>
      <c r="K578">
        <v>345</v>
      </c>
      <c r="L578">
        <v>294</v>
      </c>
      <c r="M578">
        <v>114</v>
      </c>
      <c r="T578">
        <v>76</v>
      </c>
      <c r="U578">
        <v>151</v>
      </c>
      <c r="Y578">
        <v>76</v>
      </c>
      <c r="Z578">
        <v>113</v>
      </c>
      <c r="AD578">
        <v>226</v>
      </c>
      <c r="AE578">
        <v>269</v>
      </c>
      <c r="AX578">
        <v>227</v>
      </c>
      <c r="AY578">
        <v>302</v>
      </c>
      <c r="AZ578">
        <v>529</v>
      </c>
      <c r="BA578">
        <v>189</v>
      </c>
      <c r="BB578">
        <v>345</v>
      </c>
      <c r="BC578">
        <v>534</v>
      </c>
      <c r="BD578">
        <v>495</v>
      </c>
      <c r="BE578">
        <v>264</v>
      </c>
      <c r="BF578">
        <v>759</v>
      </c>
      <c r="BP578">
        <v>493</v>
      </c>
      <c r="BR578">
        <v>160</v>
      </c>
      <c r="BS578">
        <v>108</v>
      </c>
      <c r="BT578">
        <v>49</v>
      </c>
      <c r="BV578">
        <v>101</v>
      </c>
      <c r="BW578">
        <v>911</v>
      </c>
      <c r="BX578">
        <f t="shared" si="65"/>
        <v>913</v>
      </c>
      <c r="BY578" s="5">
        <f t="shared" si="60"/>
        <v>-2.1905805038335158E-3</v>
      </c>
      <c r="BZ578" s="6">
        <f t="shared" si="58"/>
        <v>-2.1905805038335158E-3</v>
      </c>
      <c r="CA578" s="7">
        <v>41952</v>
      </c>
      <c r="CI578">
        <f t="shared" si="56"/>
        <v>2014</v>
      </c>
      <c r="CJ578" t="str">
        <f t="shared" si="57"/>
        <v>5664_2014</v>
      </c>
    </row>
    <row r="579" spans="1:88" x14ac:dyDescent="0.25">
      <c r="A579" t="s">
        <v>111</v>
      </c>
      <c r="B579" t="s">
        <v>193</v>
      </c>
      <c r="C579">
        <v>5664</v>
      </c>
      <c r="D579">
        <v>-37.875171999999999</v>
      </c>
      <c r="E579">
        <v>145.070742</v>
      </c>
      <c r="F579">
        <v>3</v>
      </c>
      <c r="G579" t="s">
        <v>248</v>
      </c>
      <c r="H579">
        <v>86</v>
      </c>
      <c r="I579">
        <v>266</v>
      </c>
      <c r="J579">
        <v>165</v>
      </c>
      <c r="K579">
        <v>345</v>
      </c>
      <c r="L579">
        <v>294</v>
      </c>
      <c r="M579">
        <v>114</v>
      </c>
      <c r="T579">
        <v>57</v>
      </c>
      <c r="U579">
        <v>121</v>
      </c>
      <c r="Y579">
        <v>45</v>
      </c>
      <c r="Z579">
        <v>98</v>
      </c>
      <c r="AD579">
        <v>129</v>
      </c>
      <c r="AE579">
        <v>155</v>
      </c>
      <c r="AX579">
        <v>178</v>
      </c>
      <c r="AY579">
        <v>174</v>
      </c>
      <c r="AZ579">
        <v>352</v>
      </c>
      <c r="BA579">
        <v>143</v>
      </c>
      <c r="BB579">
        <v>212</v>
      </c>
      <c r="BC579">
        <v>355</v>
      </c>
      <c r="BD579">
        <v>284</v>
      </c>
      <c r="BE579">
        <v>219</v>
      </c>
      <c r="BF579">
        <v>503</v>
      </c>
      <c r="BP579">
        <v>280</v>
      </c>
      <c r="BR579">
        <v>162</v>
      </c>
      <c r="BS579">
        <v>61</v>
      </c>
      <c r="BT579">
        <v>32</v>
      </c>
      <c r="BV579">
        <v>70</v>
      </c>
      <c r="BW579">
        <v>605</v>
      </c>
      <c r="BX579" t="str">
        <f t="shared" si="65"/>
        <v>no data</v>
      </c>
      <c r="BY579" s="5"/>
      <c r="BZ579" s="6"/>
      <c r="CA579" s="7">
        <v>42715</v>
      </c>
      <c r="CE579">
        <v>205</v>
      </c>
      <c r="CF579">
        <v>232</v>
      </c>
      <c r="CG579">
        <v>105</v>
      </c>
      <c r="CH579">
        <v>63</v>
      </c>
      <c r="CI579">
        <f t="shared" ref="CI579:CI642" si="66">YEAR(CA579)</f>
        <v>2016</v>
      </c>
      <c r="CJ579" t="str">
        <f t="shared" ref="CJ579:CJ642" si="67">_xlfn.CONCAT(C579,"_",CI579)</f>
        <v>5664_2016</v>
      </c>
    </row>
    <row r="580" spans="1:88" x14ac:dyDescent="0.25">
      <c r="A580" t="s">
        <v>111</v>
      </c>
      <c r="B580" t="s">
        <v>193</v>
      </c>
      <c r="C580">
        <v>5664</v>
      </c>
      <c r="D580">
        <v>-37.875171999999999</v>
      </c>
      <c r="E580">
        <v>145.070742</v>
      </c>
      <c r="F580">
        <v>3</v>
      </c>
      <c r="G580" t="s">
        <v>248</v>
      </c>
      <c r="H580">
        <v>86</v>
      </c>
      <c r="I580">
        <v>266</v>
      </c>
      <c r="J580">
        <v>165</v>
      </c>
      <c r="K580">
        <v>345</v>
      </c>
      <c r="L580">
        <v>294</v>
      </c>
      <c r="M580">
        <v>114</v>
      </c>
      <c r="T580">
        <v>95</v>
      </c>
      <c r="U580">
        <v>233</v>
      </c>
      <c r="Y580">
        <v>96</v>
      </c>
      <c r="Z580">
        <v>173</v>
      </c>
      <c r="AD580">
        <v>286</v>
      </c>
      <c r="AE580">
        <v>228</v>
      </c>
      <c r="AX580">
        <v>328</v>
      </c>
      <c r="AY580">
        <v>382</v>
      </c>
      <c r="AZ580">
        <v>710</v>
      </c>
      <c r="BA580">
        <v>269</v>
      </c>
      <c r="BB580">
        <v>323</v>
      </c>
      <c r="BC580">
        <v>592</v>
      </c>
      <c r="BD580">
        <v>514</v>
      </c>
      <c r="BE580">
        <v>406</v>
      </c>
      <c r="BF580">
        <v>920</v>
      </c>
      <c r="BP580">
        <v>627</v>
      </c>
      <c r="BR580">
        <v>238</v>
      </c>
      <c r="BS580">
        <v>101</v>
      </c>
      <c r="BT580">
        <v>53</v>
      </c>
      <c r="BV580">
        <v>92</v>
      </c>
      <c r="BW580">
        <v>1111</v>
      </c>
      <c r="BX580">
        <f t="shared" si="65"/>
        <v>605</v>
      </c>
      <c r="BY580" s="5">
        <f t="shared" si="60"/>
        <v>0.83636363636363631</v>
      </c>
      <c r="BZ580" s="6">
        <f t="shared" si="58"/>
        <v>0.83636363636363631</v>
      </c>
      <c r="CA580" s="7">
        <v>43051</v>
      </c>
      <c r="CE580">
        <v>335</v>
      </c>
      <c r="CF580">
        <v>317</v>
      </c>
      <c r="CG580">
        <v>259</v>
      </c>
      <c r="CH580">
        <v>200</v>
      </c>
      <c r="CI580">
        <f t="shared" si="66"/>
        <v>2017</v>
      </c>
      <c r="CJ580" t="str">
        <f t="shared" si="67"/>
        <v>5664_2017</v>
      </c>
    </row>
    <row r="581" spans="1:88" x14ac:dyDescent="0.25">
      <c r="A581" t="s">
        <v>111</v>
      </c>
      <c r="B581" t="s">
        <v>193</v>
      </c>
      <c r="C581">
        <v>5664</v>
      </c>
      <c r="D581">
        <v>-37.875171999999999</v>
      </c>
      <c r="E581">
        <v>145.070742</v>
      </c>
      <c r="F581">
        <v>3</v>
      </c>
      <c r="G581" t="s">
        <v>248</v>
      </c>
      <c r="H581">
        <v>86</v>
      </c>
      <c r="I581">
        <v>266</v>
      </c>
      <c r="J581">
        <v>165</v>
      </c>
      <c r="K581">
        <v>345</v>
      </c>
      <c r="L581">
        <v>294</v>
      </c>
      <c r="M581">
        <v>114</v>
      </c>
      <c r="T581">
        <v>74</v>
      </c>
      <c r="U581">
        <v>289</v>
      </c>
      <c r="Y581">
        <v>86</v>
      </c>
      <c r="Z581">
        <v>187</v>
      </c>
      <c r="AD581">
        <v>283</v>
      </c>
      <c r="AE581">
        <v>204</v>
      </c>
      <c r="AX581">
        <v>363</v>
      </c>
      <c r="AY581">
        <v>369</v>
      </c>
      <c r="AZ581">
        <v>732</v>
      </c>
      <c r="BA581">
        <v>273</v>
      </c>
      <c r="BB581">
        <v>278</v>
      </c>
      <c r="BC581">
        <v>551</v>
      </c>
      <c r="BD581">
        <v>487</v>
      </c>
      <c r="BE581">
        <v>476</v>
      </c>
      <c r="BF581">
        <v>963</v>
      </c>
      <c r="BP581">
        <v>620</v>
      </c>
      <c r="BR581">
        <v>283</v>
      </c>
      <c r="BS581">
        <v>132</v>
      </c>
      <c r="BT581">
        <v>60</v>
      </c>
      <c r="BV581">
        <v>28</v>
      </c>
      <c r="BW581">
        <v>1123</v>
      </c>
      <c r="BX581">
        <f t="shared" si="65"/>
        <v>1111</v>
      </c>
      <c r="BY581" s="5">
        <f t="shared" si="60"/>
        <v>1.0801080108010801E-2</v>
      </c>
      <c r="BZ581" s="6">
        <f t="shared" si="58"/>
        <v>1.0801080108010801E-2</v>
      </c>
      <c r="CA581" s="7">
        <v>43415</v>
      </c>
      <c r="CE581">
        <v>353</v>
      </c>
      <c r="CF581">
        <v>285</v>
      </c>
      <c r="CG581">
        <v>231</v>
      </c>
      <c r="CH581">
        <v>254</v>
      </c>
      <c r="CI581">
        <f t="shared" si="66"/>
        <v>2018</v>
      </c>
      <c r="CJ581" t="str">
        <f t="shared" si="67"/>
        <v>5664_2018</v>
      </c>
    </row>
    <row r="582" spans="1:88" x14ac:dyDescent="0.25">
      <c r="A582" t="s">
        <v>111</v>
      </c>
      <c r="B582" t="s">
        <v>193</v>
      </c>
      <c r="C582">
        <v>5664</v>
      </c>
      <c r="D582">
        <v>-37.8752</v>
      </c>
      <c r="E582">
        <v>145.07069999999999</v>
      </c>
      <c r="F582">
        <v>3</v>
      </c>
      <c r="G582" t="s">
        <v>248</v>
      </c>
      <c r="H582">
        <v>86</v>
      </c>
      <c r="I582">
        <v>266</v>
      </c>
      <c r="J582">
        <v>165</v>
      </c>
      <c r="K582">
        <v>345</v>
      </c>
      <c r="L582">
        <v>294</v>
      </c>
      <c r="M582">
        <v>114</v>
      </c>
      <c r="T582">
        <v>139</v>
      </c>
      <c r="U582">
        <v>220</v>
      </c>
      <c r="Y582">
        <v>91</v>
      </c>
      <c r="Z582">
        <v>159</v>
      </c>
      <c r="AD582">
        <v>210</v>
      </c>
      <c r="AE582">
        <v>213</v>
      </c>
      <c r="AX582">
        <v>359</v>
      </c>
      <c r="AY582">
        <v>301</v>
      </c>
      <c r="AZ582">
        <v>660</v>
      </c>
      <c r="BA582">
        <v>250</v>
      </c>
      <c r="BB582">
        <v>352</v>
      </c>
      <c r="BC582">
        <v>602</v>
      </c>
      <c r="BD582">
        <v>423</v>
      </c>
      <c r="BE582">
        <v>379</v>
      </c>
      <c r="BF582">
        <v>802</v>
      </c>
      <c r="BP582">
        <v>481</v>
      </c>
      <c r="BR582">
        <v>289</v>
      </c>
      <c r="BS582">
        <v>110</v>
      </c>
      <c r="BT582">
        <v>72</v>
      </c>
      <c r="BV582">
        <v>80</v>
      </c>
      <c r="BW582">
        <v>1032</v>
      </c>
      <c r="BX582">
        <f t="shared" si="65"/>
        <v>1123</v>
      </c>
      <c r="BY582" s="5">
        <f t="shared" si="60"/>
        <v>-8.1032947462154947E-2</v>
      </c>
      <c r="BZ582" s="6">
        <f t="shared" ref="BZ582:BZ645" si="68">BY582</f>
        <v>-8.1032947462154947E-2</v>
      </c>
      <c r="CA582" s="7">
        <v>43779</v>
      </c>
      <c r="CE582">
        <v>281</v>
      </c>
      <c r="CF582">
        <v>289</v>
      </c>
      <c r="CG582">
        <v>242</v>
      </c>
      <c r="CH582">
        <v>220</v>
      </c>
      <c r="CI582">
        <f t="shared" si="66"/>
        <v>2019</v>
      </c>
      <c r="CJ582" t="str">
        <f t="shared" si="67"/>
        <v>5664_2019</v>
      </c>
    </row>
    <row r="583" spans="1:88" x14ac:dyDescent="0.25">
      <c r="A583" t="s">
        <v>111</v>
      </c>
      <c r="B583" t="s">
        <v>193</v>
      </c>
      <c r="C583">
        <v>5664</v>
      </c>
      <c r="D583">
        <v>-37.875171999999999</v>
      </c>
      <c r="E583">
        <v>145.070742</v>
      </c>
      <c r="F583">
        <v>3</v>
      </c>
      <c r="G583" t="s">
        <v>248</v>
      </c>
      <c r="H583">
        <v>86</v>
      </c>
      <c r="I583">
        <v>266</v>
      </c>
      <c r="J583">
        <v>165</v>
      </c>
      <c r="K583">
        <v>345</v>
      </c>
      <c r="L583">
        <v>294</v>
      </c>
      <c r="M583">
        <v>114</v>
      </c>
      <c r="T583">
        <v>52</v>
      </c>
      <c r="U583">
        <v>136</v>
      </c>
      <c r="Y583">
        <v>57</v>
      </c>
      <c r="Z583">
        <v>93</v>
      </c>
      <c r="AD583">
        <v>174</v>
      </c>
      <c r="AE583">
        <v>119</v>
      </c>
      <c r="AX583">
        <v>188</v>
      </c>
      <c r="AY583">
        <v>231</v>
      </c>
      <c r="AZ583">
        <v>419</v>
      </c>
      <c r="BA583">
        <v>150</v>
      </c>
      <c r="BB583">
        <v>171</v>
      </c>
      <c r="BC583">
        <v>321</v>
      </c>
      <c r="BD583">
        <v>293</v>
      </c>
      <c r="BE583">
        <v>229</v>
      </c>
      <c r="BF583">
        <v>522</v>
      </c>
      <c r="BP583">
        <v>242</v>
      </c>
      <c r="BR583">
        <v>247</v>
      </c>
      <c r="BS583">
        <v>73</v>
      </c>
      <c r="BT583">
        <v>61</v>
      </c>
      <c r="BU583">
        <v>8</v>
      </c>
      <c r="BV583">
        <v>0</v>
      </c>
      <c r="BW583">
        <v>631</v>
      </c>
      <c r="BX583" t="str">
        <f t="shared" si="65"/>
        <v>no data</v>
      </c>
      <c r="BY583" s="5"/>
      <c r="BZ583" s="6"/>
      <c r="CA583" s="7">
        <v>44885</v>
      </c>
      <c r="CE583">
        <v>190</v>
      </c>
      <c r="CF583">
        <v>259</v>
      </c>
      <c r="CG583">
        <v>182</v>
      </c>
      <c r="CI583">
        <f t="shared" si="66"/>
        <v>2022</v>
      </c>
      <c r="CJ583" t="str">
        <f t="shared" si="67"/>
        <v>5664_2022</v>
      </c>
    </row>
    <row r="584" spans="1:88" x14ac:dyDescent="0.25">
      <c r="A584" t="s">
        <v>111</v>
      </c>
      <c r="B584" t="s">
        <v>114</v>
      </c>
      <c r="C584">
        <v>5665</v>
      </c>
      <c r="D584">
        <v>-37.871571000000003</v>
      </c>
      <c r="E584">
        <v>145.09145899999999</v>
      </c>
      <c r="F584">
        <v>3</v>
      </c>
      <c r="G584" t="s">
        <v>249</v>
      </c>
      <c r="H584">
        <v>91</v>
      </c>
      <c r="I584">
        <v>271</v>
      </c>
      <c r="J584">
        <v>113</v>
      </c>
      <c r="K584">
        <v>293</v>
      </c>
      <c r="L584">
        <v>265</v>
      </c>
      <c r="M584">
        <v>85</v>
      </c>
      <c r="T584">
        <v>9</v>
      </c>
      <c r="U584">
        <v>23</v>
      </c>
      <c r="Y584">
        <v>0</v>
      </c>
      <c r="Z584">
        <v>49</v>
      </c>
      <c r="AD584">
        <v>10</v>
      </c>
      <c r="AE584">
        <v>47</v>
      </c>
      <c r="AX584">
        <v>32</v>
      </c>
      <c r="AY584">
        <v>10</v>
      </c>
      <c r="AZ584">
        <v>42</v>
      </c>
      <c r="BA584">
        <v>49</v>
      </c>
      <c r="BB584">
        <v>56</v>
      </c>
      <c r="BC584">
        <v>105</v>
      </c>
      <c r="BD584">
        <v>57</v>
      </c>
      <c r="BE584">
        <v>72</v>
      </c>
      <c r="BF584">
        <v>129</v>
      </c>
      <c r="BP584">
        <v>91</v>
      </c>
      <c r="BR584">
        <v>32</v>
      </c>
      <c r="BS584">
        <v>5</v>
      </c>
      <c r="BT584">
        <v>2</v>
      </c>
      <c r="BV584">
        <v>8</v>
      </c>
      <c r="BW584">
        <v>138</v>
      </c>
      <c r="BX584" t="s">
        <v>82</v>
      </c>
      <c r="BY584" s="5"/>
      <c r="BZ584" s="6"/>
      <c r="CA584" s="7">
        <v>40853</v>
      </c>
      <c r="CI584">
        <f t="shared" si="66"/>
        <v>2011</v>
      </c>
      <c r="CJ584" t="str">
        <f t="shared" si="67"/>
        <v>5665_2011</v>
      </c>
    </row>
    <row r="585" spans="1:88" x14ac:dyDescent="0.25">
      <c r="A585" t="s">
        <v>111</v>
      </c>
      <c r="B585" t="s">
        <v>114</v>
      </c>
      <c r="C585">
        <v>5665</v>
      </c>
      <c r="D585">
        <v>-37.871571000000003</v>
      </c>
      <c r="E585">
        <v>145.09145899999999</v>
      </c>
      <c r="F585">
        <v>3</v>
      </c>
      <c r="G585" t="s">
        <v>249</v>
      </c>
      <c r="H585">
        <v>91</v>
      </c>
      <c r="I585">
        <v>271</v>
      </c>
      <c r="J585">
        <v>113</v>
      </c>
      <c r="K585">
        <v>293</v>
      </c>
      <c r="L585">
        <v>265</v>
      </c>
      <c r="M585">
        <v>85</v>
      </c>
      <c r="T585">
        <v>6</v>
      </c>
      <c r="U585">
        <v>17</v>
      </c>
      <c r="Y585">
        <v>17</v>
      </c>
      <c r="Z585">
        <v>150</v>
      </c>
      <c r="AD585">
        <v>18</v>
      </c>
      <c r="AE585">
        <v>121</v>
      </c>
      <c r="AX585">
        <v>23</v>
      </c>
      <c r="AY585">
        <v>35</v>
      </c>
      <c r="AZ585">
        <v>58</v>
      </c>
      <c r="BA585">
        <v>167</v>
      </c>
      <c r="BB585">
        <v>127</v>
      </c>
      <c r="BC585">
        <v>294</v>
      </c>
      <c r="BD585">
        <v>139</v>
      </c>
      <c r="BE585">
        <v>167</v>
      </c>
      <c r="BF585">
        <v>306</v>
      </c>
      <c r="BP585">
        <v>207</v>
      </c>
      <c r="BR585">
        <v>73</v>
      </c>
      <c r="BS585">
        <v>19</v>
      </c>
      <c r="BT585">
        <v>13</v>
      </c>
      <c r="BV585">
        <v>17</v>
      </c>
      <c r="BW585">
        <v>329</v>
      </c>
      <c r="BX585">
        <f>IF(C585=C584,IF((CI585-1)=CI584,BW584,"no data"))</f>
        <v>138</v>
      </c>
      <c r="BY585" s="5">
        <f t="shared" si="60"/>
        <v>1.3840579710144927</v>
      </c>
      <c r="BZ585" s="6">
        <f t="shared" si="68"/>
        <v>1.3840579710144927</v>
      </c>
      <c r="CA585" s="7">
        <v>41224</v>
      </c>
      <c r="CI585">
        <f t="shared" si="66"/>
        <v>2012</v>
      </c>
      <c r="CJ585" t="str">
        <f t="shared" si="67"/>
        <v>5665_2012</v>
      </c>
    </row>
    <row r="586" spans="1:88" x14ac:dyDescent="0.25">
      <c r="A586" t="s">
        <v>111</v>
      </c>
      <c r="B586" t="s">
        <v>114</v>
      </c>
      <c r="C586">
        <v>5667</v>
      </c>
      <c r="D586">
        <v>-37.858635</v>
      </c>
      <c r="E586">
        <v>145.08251899999999</v>
      </c>
      <c r="F586">
        <v>3</v>
      </c>
      <c r="G586" t="s">
        <v>250</v>
      </c>
      <c r="H586">
        <v>15</v>
      </c>
      <c r="I586">
        <v>195</v>
      </c>
      <c r="J586">
        <v>198</v>
      </c>
      <c r="K586">
        <v>18</v>
      </c>
      <c r="L586">
        <v>264</v>
      </c>
      <c r="M586">
        <v>84</v>
      </c>
      <c r="T586">
        <v>31</v>
      </c>
      <c r="U586">
        <v>21</v>
      </c>
      <c r="Y586">
        <v>29</v>
      </c>
      <c r="Z586">
        <v>10</v>
      </c>
      <c r="AD586">
        <v>13</v>
      </c>
      <c r="AE586">
        <v>19</v>
      </c>
      <c r="AX586">
        <v>52</v>
      </c>
      <c r="AY586">
        <v>42</v>
      </c>
      <c r="AZ586">
        <v>94</v>
      </c>
      <c r="BA586">
        <v>39</v>
      </c>
      <c r="BB586">
        <v>50</v>
      </c>
      <c r="BC586">
        <v>89</v>
      </c>
      <c r="BD586">
        <v>32</v>
      </c>
      <c r="BE586">
        <v>31</v>
      </c>
      <c r="BF586">
        <v>63</v>
      </c>
      <c r="BP586">
        <v>71</v>
      </c>
      <c r="BR586">
        <v>24</v>
      </c>
      <c r="BS586">
        <v>12</v>
      </c>
      <c r="BT586">
        <v>6</v>
      </c>
      <c r="BV586">
        <v>10</v>
      </c>
      <c r="BW586">
        <v>123</v>
      </c>
      <c r="BX586" t="s">
        <v>82</v>
      </c>
      <c r="BY586" s="5"/>
      <c r="BZ586" s="6"/>
      <c r="CA586" s="7">
        <v>40853</v>
      </c>
      <c r="CI586">
        <f t="shared" si="66"/>
        <v>2011</v>
      </c>
      <c r="CJ586" t="str">
        <f t="shared" si="67"/>
        <v>5667_2011</v>
      </c>
    </row>
    <row r="587" spans="1:88" x14ac:dyDescent="0.25">
      <c r="A587" t="s">
        <v>111</v>
      </c>
      <c r="B587" t="s">
        <v>114</v>
      </c>
      <c r="C587">
        <v>5667</v>
      </c>
      <c r="D587">
        <v>-37.858635</v>
      </c>
      <c r="E587">
        <v>145.08251899999999</v>
      </c>
      <c r="F587">
        <v>3</v>
      </c>
      <c r="G587" t="s">
        <v>250</v>
      </c>
      <c r="H587">
        <v>15</v>
      </c>
      <c r="I587">
        <v>195</v>
      </c>
      <c r="J587">
        <v>198</v>
      </c>
      <c r="K587">
        <v>18</v>
      </c>
      <c r="L587">
        <v>264</v>
      </c>
      <c r="M587">
        <v>84</v>
      </c>
      <c r="T587">
        <v>125</v>
      </c>
      <c r="U587">
        <v>50</v>
      </c>
      <c r="Y587">
        <v>128</v>
      </c>
      <c r="Z587">
        <v>83</v>
      </c>
      <c r="AD587">
        <v>34</v>
      </c>
      <c r="AE587">
        <v>92</v>
      </c>
      <c r="AX587">
        <v>175</v>
      </c>
      <c r="AY587">
        <v>162</v>
      </c>
      <c r="AZ587">
        <v>337</v>
      </c>
      <c r="BA587">
        <v>211</v>
      </c>
      <c r="BB587">
        <v>217</v>
      </c>
      <c r="BC587">
        <v>428</v>
      </c>
      <c r="BD587">
        <v>126</v>
      </c>
      <c r="BE587">
        <v>133</v>
      </c>
      <c r="BF587">
        <v>259</v>
      </c>
      <c r="BP587">
        <v>277</v>
      </c>
      <c r="BR587">
        <v>146</v>
      </c>
      <c r="BS587">
        <v>50</v>
      </c>
      <c r="BT587">
        <v>32</v>
      </c>
      <c r="BV587">
        <v>7</v>
      </c>
      <c r="BW587">
        <v>512</v>
      </c>
      <c r="BX587">
        <f t="shared" ref="BX587:BX593" si="69">IF(C587=C586,IF((CI587-1)=CI586,BW586,"no data"))</f>
        <v>123</v>
      </c>
      <c r="BY587" s="5">
        <f t="shared" si="60"/>
        <v>3.1626016260162602</v>
      </c>
      <c r="BZ587" s="6">
        <f t="shared" si="68"/>
        <v>3.1626016260162602</v>
      </c>
      <c r="CA587" s="7">
        <v>41224</v>
      </c>
      <c r="CI587">
        <f t="shared" si="66"/>
        <v>2012</v>
      </c>
      <c r="CJ587" t="str">
        <f t="shared" si="67"/>
        <v>5667_2012</v>
      </c>
    </row>
    <row r="588" spans="1:88" x14ac:dyDescent="0.25">
      <c r="A588" t="s">
        <v>111</v>
      </c>
      <c r="B588" t="s">
        <v>114</v>
      </c>
      <c r="C588">
        <v>5667</v>
      </c>
      <c r="D588">
        <v>-37.858635</v>
      </c>
      <c r="E588">
        <v>145.08251899999999</v>
      </c>
      <c r="F588">
        <v>3</v>
      </c>
      <c r="G588" t="s">
        <v>250</v>
      </c>
      <c r="H588">
        <v>15</v>
      </c>
      <c r="I588">
        <v>195</v>
      </c>
      <c r="J588">
        <v>198</v>
      </c>
      <c r="K588">
        <v>18</v>
      </c>
      <c r="L588">
        <v>264</v>
      </c>
      <c r="M588">
        <v>84</v>
      </c>
      <c r="T588">
        <v>82</v>
      </c>
      <c r="U588">
        <v>31</v>
      </c>
      <c r="Y588">
        <v>62</v>
      </c>
      <c r="Z588">
        <v>68</v>
      </c>
      <c r="AD588">
        <v>21</v>
      </c>
      <c r="AE588">
        <v>52</v>
      </c>
      <c r="AX588">
        <v>113</v>
      </c>
      <c r="AY588">
        <v>83</v>
      </c>
      <c r="AZ588">
        <v>196</v>
      </c>
      <c r="BA588">
        <v>130</v>
      </c>
      <c r="BB588">
        <v>134</v>
      </c>
      <c r="BC588">
        <v>264</v>
      </c>
      <c r="BD588">
        <v>73</v>
      </c>
      <c r="BE588">
        <v>99</v>
      </c>
      <c r="BF588">
        <v>172</v>
      </c>
      <c r="BP588">
        <v>102</v>
      </c>
      <c r="BR588">
        <v>113</v>
      </c>
      <c r="BS588">
        <v>65</v>
      </c>
      <c r="BT588">
        <v>33</v>
      </c>
      <c r="BV588">
        <v>3</v>
      </c>
      <c r="BW588">
        <v>316</v>
      </c>
      <c r="BX588" t="str">
        <f t="shared" si="69"/>
        <v>no data</v>
      </c>
      <c r="BY588" s="5"/>
      <c r="BZ588" s="6"/>
      <c r="CA588" s="7">
        <v>42687</v>
      </c>
      <c r="CE588">
        <v>105</v>
      </c>
      <c r="CF588">
        <v>75</v>
      </c>
      <c r="CG588">
        <v>74</v>
      </c>
      <c r="CH588">
        <v>62</v>
      </c>
      <c r="CI588">
        <f t="shared" si="66"/>
        <v>2016</v>
      </c>
      <c r="CJ588" t="str">
        <f t="shared" si="67"/>
        <v>5667_2016</v>
      </c>
    </row>
    <row r="589" spans="1:88" x14ac:dyDescent="0.25">
      <c r="A589" t="s">
        <v>111</v>
      </c>
      <c r="B589" t="s">
        <v>114</v>
      </c>
      <c r="C589">
        <v>5667</v>
      </c>
      <c r="D589">
        <v>-37.858635</v>
      </c>
      <c r="E589">
        <v>145.08251899999999</v>
      </c>
      <c r="F589">
        <v>3</v>
      </c>
      <c r="G589" t="s">
        <v>250</v>
      </c>
      <c r="H589">
        <v>15</v>
      </c>
      <c r="I589">
        <v>195</v>
      </c>
      <c r="J589">
        <v>198</v>
      </c>
      <c r="K589">
        <v>18</v>
      </c>
      <c r="L589">
        <v>264</v>
      </c>
      <c r="M589">
        <v>84</v>
      </c>
      <c r="T589">
        <v>115</v>
      </c>
      <c r="U589">
        <v>58</v>
      </c>
      <c r="Y589">
        <v>127</v>
      </c>
      <c r="Z589">
        <v>144</v>
      </c>
      <c r="AD589">
        <v>59</v>
      </c>
      <c r="AE589">
        <v>111</v>
      </c>
      <c r="AX589">
        <v>173</v>
      </c>
      <c r="AY589">
        <v>186</v>
      </c>
      <c r="AZ589">
        <v>359</v>
      </c>
      <c r="BA589">
        <v>271</v>
      </c>
      <c r="BB589">
        <v>226</v>
      </c>
      <c r="BC589">
        <v>497</v>
      </c>
      <c r="BD589">
        <v>170</v>
      </c>
      <c r="BE589">
        <v>202</v>
      </c>
      <c r="BF589">
        <v>372</v>
      </c>
      <c r="BP589">
        <v>239</v>
      </c>
      <c r="BR589">
        <v>216</v>
      </c>
      <c r="BS589">
        <v>107</v>
      </c>
      <c r="BT589">
        <v>48</v>
      </c>
      <c r="BV589">
        <v>4</v>
      </c>
      <c r="BW589">
        <v>614</v>
      </c>
      <c r="BX589" t="str">
        <f t="shared" si="69"/>
        <v>no data</v>
      </c>
      <c r="BY589" s="5"/>
      <c r="BZ589" s="6"/>
      <c r="CA589" s="7">
        <v>43415</v>
      </c>
      <c r="CE589">
        <v>189</v>
      </c>
      <c r="CF589">
        <v>193</v>
      </c>
      <c r="CG589">
        <v>149</v>
      </c>
      <c r="CH589">
        <v>83</v>
      </c>
      <c r="CI589">
        <f t="shared" si="66"/>
        <v>2018</v>
      </c>
      <c r="CJ589" t="str">
        <f t="shared" si="67"/>
        <v>5667_2018</v>
      </c>
    </row>
    <row r="590" spans="1:88" x14ac:dyDescent="0.25">
      <c r="A590" t="s">
        <v>111</v>
      </c>
      <c r="B590" t="s">
        <v>114</v>
      </c>
      <c r="C590">
        <v>5667</v>
      </c>
      <c r="D590">
        <v>-37.858600000000003</v>
      </c>
      <c r="E590">
        <v>145.08250000000001</v>
      </c>
      <c r="F590">
        <v>3</v>
      </c>
      <c r="G590" t="s">
        <v>250</v>
      </c>
      <c r="H590">
        <v>15</v>
      </c>
      <c r="I590">
        <v>195</v>
      </c>
      <c r="J590">
        <v>198</v>
      </c>
      <c r="K590">
        <v>18</v>
      </c>
      <c r="L590">
        <v>264</v>
      </c>
      <c r="M590">
        <v>84</v>
      </c>
      <c r="T590">
        <v>125</v>
      </c>
      <c r="U590">
        <v>28</v>
      </c>
      <c r="Y590">
        <v>149</v>
      </c>
      <c r="Z590">
        <v>101</v>
      </c>
      <c r="AD590">
        <v>37</v>
      </c>
      <c r="AE590">
        <v>101</v>
      </c>
      <c r="AX590">
        <v>153</v>
      </c>
      <c r="AY590">
        <v>186</v>
      </c>
      <c r="AZ590">
        <v>339</v>
      </c>
      <c r="BA590">
        <v>250</v>
      </c>
      <c r="BB590">
        <v>226</v>
      </c>
      <c r="BC590">
        <v>476</v>
      </c>
      <c r="BD590">
        <v>138</v>
      </c>
      <c r="BE590">
        <v>129</v>
      </c>
      <c r="BF590">
        <v>267</v>
      </c>
      <c r="BP590">
        <v>214</v>
      </c>
      <c r="BR590">
        <v>200</v>
      </c>
      <c r="BS590">
        <v>58</v>
      </c>
      <c r="BT590">
        <v>55</v>
      </c>
      <c r="BV590">
        <v>14</v>
      </c>
      <c r="BW590">
        <v>541</v>
      </c>
      <c r="BX590">
        <f t="shared" si="69"/>
        <v>614</v>
      </c>
      <c r="BY590" s="5">
        <f t="shared" ref="BY590:BY652" si="70">(BW590-BX590)/BX590</f>
        <v>-0.11889250814332247</v>
      </c>
      <c r="BZ590" s="6">
        <f t="shared" si="68"/>
        <v>-0.11889250814332247</v>
      </c>
      <c r="CA590" s="7">
        <v>43779</v>
      </c>
      <c r="CE590">
        <v>145</v>
      </c>
      <c r="CF590">
        <v>148</v>
      </c>
      <c r="CG590">
        <v>134</v>
      </c>
      <c r="CH590">
        <v>114</v>
      </c>
      <c r="CI590">
        <f t="shared" si="66"/>
        <v>2019</v>
      </c>
      <c r="CJ590" t="str">
        <f t="shared" si="67"/>
        <v>5667_2019</v>
      </c>
    </row>
    <row r="591" spans="1:88" x14ac:dyDescent="0.25">
      <c r="A591" t="s">
        <v>111</v>
      </c>
      <c r="B591" t="s">
        <v>114</v>
      </c>
      <c r="C591">
        <v>5667</v>
      </c>
      <c r="D591">
        <v>-37.858600000000003</v>
      </c>
      <c r="E591">
        <v>145.08250000000001</v>
      </c>
      <c r="F591">
        <v>3</v>
      </c>
      <c r="G591" t="s">
        <v>250</v>
      </c>
      <c r="H591">
        <v>15</v>
      </c>
      <c r="I591">
        <v>195</v>
      </c>
      <c r="J591">
        <v>198</v>
      </c>
      <c r="K591">
        <v>18</v>
      </c>
      <c r="L591">
        <v>264</v>
      </c>
      <c r="M591">
        <v>84</v>
      </c>
      <c r="T591">
        <v>316</v>
      </c>
      <c r="U591">
        <v>89</v>
      </c>
      <c r="Y591">
        <v>260</v>
      </c>
      <c r="Z591">
        <v>240</v>
      </c>
      <c r="AD591">
        <v>87</v>
      </c>
      <c r="AE591">
        <v>269</v>
      </c>
      <c r="AX591">
        <v>405</v>
      </c>
      <c r="AY591">
        <v>347</v>
      </c>
      <c r="AZ591">
        <v>752</v>
      </c>
      <c r="BA591">
        <v>500</v>
      </c>
      <c r="BB591">
        <v>585</v>
      </c>
      <c r="BC591">
        <v>1085</v>
      </c>
      <c r="BD591">
        <v>356</v>
      </c>
      <c r="BE591">
        <v>329</v>
      </c>
      <c r="BF591">
        <v>685</v>
      </c>
      <c r="BP591">
        <v>493</v>
      </c>
      <c r="BR591">
        <v>512</v>
      </c>
      <c r="BS591">
        <v>162</v>
      </c>
      <c r="BT591">
        <v>65</v>
      </c>
      <c r="BV591">
        <v>29</v>
      </c>
      <c r="BW591">
        <v>1261</v>
      </c>
      <c r="BX591">
        <f t="shared" si="69"/>
        <v>541</v>
      </c>
      <c r="BY591" s="5">
        <f t="shared" si="70"/>
        <v>1.3308687615526802</v>
      </c>
      <c r="BZ591" s="6">
        <f t="shared" si="68"/>
        <v>1.3308687615526802</v>
      </c>
      <c r="CA591" s="7">
        <v>44143</v>
      </c>
      <c r="CE591">
        <v>308</v>
      </c>
      <c r="CF591">
        <v>364</v>
      </c>
      <c r="CG591">
        <v>318</v>
      </c>
      <c r="CH591">
        <v>271</v>
      </c>
      <c r="CI591">
        <f t="shared" si="66"/>
        <v>2020</v>
      </c>
      <c r="CJ591" t="str">
        <f t="shared" si="67"/>
        <v>5667_2020</v>
      </c>
    </row>
    <row r="592" spans="1:88" x14ac:dyDescent="0.25">
      <c r="A592" t="s">
        <v>111</v>
      </c>
      <c r="B592" t="s">
        <v>114</v>
      </c>
      <c r="C592">
        <v>5667</v>
      </c>
      <c r="D592">
        <v>-37.858635</v>
      </c>
      <c r="E592">
        <v>145.08251899999999</v>
      </c>
      <c r="F592">
        <v>3</v>
      </c>
      <c r="G592" t="s">
        <v>250</v>
      </c>
      <c r="H592">
        <v>15</v>
      </c>
      <c r="I592">
        <v>195</v>
      </c>
      <c r="J592">
        <v>198</v>
      </c>
      <c r="K592">
        <v>18</v>
      </c>
      <c r="L592">
        <v>264</v>
      </c>
      <c r="M592">
        <v>84</v>
      </c>
      <c r="T592">
        <v>110</v>
      </c>
      <c r="U592">
        <v>69</v>
      </c>
      <c r="Y592">
        <v>140</v>
      </c>
      <c r="Z592">
        <v>135</v>
      </c>
      <c r="AD592">
        <v>80</v>
      </c>
      <c r="AE592">
        <v>117</v>
      </c>
      <c r="AX592">
        <v>179</v>
      </c>
      <c r="AY592">
        <v>220</v>
      </c>
      <c r="AZ592">
        <v>399</v>
      </c>
      <c r="BA592">
        <v>275</v>
      </c>
      <c r="BB592">
        <v>227</v>
      </c>
      <c r="BC592">
        <v>502</v>
      </c>
      <c r="BD592">
        <v>197</v>
      </c>
      <c r="BE592">
        <v>204</v>
      </c>
      <c r="BF592">
        <v>401</v>
      </c>
      <c r="BP592">
        <v>204</v>
      </c>
      <c r="BR592">
        <v>291</v>
      </c>
      <c r="BS592">
        <v>88</v>
      </c>
      <c r="BT592">
        <v>63</v>
      </c>
      <c r="BV592">
        <v>5</v>
      </c>
      <c r="BW592">
        <v>651</v>
      </c>
      <c r="BX592">
        <f t="shared" si="69"/>
        <v>1261</v>
      </c>
      <c r="BY592" s="5">
        <f t="shared" si="70"/>
        <v>-0.48374306106264869</v>
      </c>
      <c r="BZ592" s="6">
        <f t="shared" si="68"/>
        <v>-0.48374306106264869</v>
      </c>
      <c r="CA592" s="7">
        <v>44528</v>
      </c>
      <c r="CE592">
        <v>205</v>
      </c>
      <c r="CF592">
        <v>250</v>
      </c>
      <c r="CG592">
        <v>196</v>
      </c>
      <c r="CI592">
        <f t="shared" si="66"/>
        <v>2021</v>
      </c>
      <c r="CJ592" t="str">
        <f t="shared" si="67"/>
        <v>5667_2021</v>
      </c>
    </row>
    <row r="593" spans="1:88" x14ac:dyDescent="0.25">
      <c r="A593" t="s">
        <v>111</v>
      </c>
      <c r="B593" t="s">
        <v>114</v>
      </c>
      <c r="C593">
        <v>5667</v>
      </c>
      <c r="D593">
        <v>-37.858635</v>
      </c>
      <c r="E593">
        <v>145.08251899999999</v>
      </c>
      <c r="F593">
        <v>3</v>
      </c>
      <c r="G593" t="s">
        <v>250</v>
      </c>
      <c r="H593">
        <v>15</v>
      </c>
      <c r="I593">
        <v>195</v>
      </c>
      <c r="J593">
        <v>198</v>
      </c>
      <c r="K593">
        <v>18</v>
      </c>
      <c r="L593">
        <v>264</v>
      </c>
      <c r="M593">
        <v>84</v>
      </c>
      <c r="T593">
        <v>88</v>
      </c>
      <c r="U593">
        <v>36</v>
      </c>
      <c r="Y593">
        <v>97</v>
      </c>
      <c r="Z593">
        <v>138</v>
      </c>
      <c r="AD593">
        <v>57</v>
      </c>
      <c r="AE593">
        <v>118</v>
      </c>
      <c r="AX593">
        <v>124</v>
      </c>
      <c r="AY593">
        <v>154</v>
      </c>
      <c r="AZ593">
        <v>278</v>
      </c>
      <c r="BA593">
        <v>235</v>
      </c>
      <c r="BB593">
        <v>206</v>
      </c>
      <c r="BC593">
        <v>441</v>
      </c>
      <c r="BD593">
        <v>175</v>
      </c>
      <c r="BE593">
        <v>174</v>
      </c>
      <c r="BF593">
        <v>349</v>
      </c>
      <c r="BP593">
        <v>171</v>
      </c>
      <c r="BR593">
        <v>197</v>
      </c>
      <c r="BS593">
        <v>89</v>
      </c>
      <c r="BT593">
        <v>75</v>
      </c>
      <c r="BU593">
        <v>2</v>
      </c>
      <c r="BV593">
        <v>0</v>
      </c>
      <c r="BW593">
        <v>534</v>
      </c>
      <c r="BX593">
        <f t="shared" si="69"/>
        <v>651</v>
      </c>
      <c r="BY593" s="5">
        <f t="shared" si="70"/>
        <v>-0.17972350230414746</v>
      </c>
      <c r="BZ593" s="6">
        <f t="shared" si="68"/>
        <v>-0.17972350230414746</v>
      </c>
      <c r="CA593" s="7">
        <v>44878</v>
      </c>
      <c r="CE593">
        <v>193</v>
      </c>
      <c r="CF593">
        <v>169</v>
      </c>
      <c r="CG593">
        <v>172</v>
      </c>
      <c r="CI593">
        <f t="shared" si="66"/>
        <v>2022</v>
      </c>
      <c r="CJ593" t="str">
        <f t="shared" si="67"/>
        <v>5667_2022</v>
      </c>
    </row>
    <row r="594" spans="1:88" x14ac:dyDescent="0.25">
      <c r="A594" t="s">
        <v>111</v>
      </c>
      <c r="B594" t="s">
        <v>114</v>
      </c>
      <c r="C594">
        <v>5668</v>
      </c>
      <c r="D594">
        <v>-37.824548999999998</v>
      </c>
      <c r="E594">
        <v>145.069076</v>
      </c>
      <c r="F594">
        <v>3</v>
      </c>
      <c r="G594" t="s">
        <v>251</v>
      </c>
      <c r="H594">
        <v>119</v>
      </c>
      <c r="I594">
        <v>299</v>
      </c>
      <c r="J594">
        <v>175</v>
      </c>
      <c r="K594">
        <v>355</v>
      </c>
      <c r="L594">
        <v>331</v>
      </c>
      <c r="M594">
        <v>151</v>
      </c>
      <c r="T594">
        <v>9</v>
      </c>
      <c r="U594">
        <v>91</v>
      </c>
      <c r="Y594">
        <v>2</v>
      </c>
      <c r="Z594">
        <v>32</v>
      </c>
      <c r="AD594">
        <v>77</v>
      </c>
      <c r="AE594">
        <v>31</v>
      </c>
      <c r="AX594">
        <v>100</v>
      </c>
      <c r="AY594">
        <v>79</v>
      </c>
      <c r="AZ594">
        <v>179</v>
      </c>
      <c r="BA594">
        <v>34</v>
      </c>
      <c r="BB594">
        <v>40</v>
      </c>
      <c r="BC594">
        <v>74</v>
      </c>
      <c r="BD594">
        <v>108</v>
      </c>
      <c r="BE594">
        <v>123</v>
      </c>
      <c r="BF594">
        <v>231</v>
      </c>
      <c r="BP594">
        <v>120</v>
      </c>
      <c r="BR594">
        <v>80</v>
      </c>
      <c r="BS594">
        <v>18</v>
      </c>
      <c r="BT594">
        <v>23</v>
      </c>
      <c r="BV594">
        <v>1</v>
      </c>
      <c r="BW594">
        <v>242</v>
      </c>
      <c r="BX594" t="s">
        <v>82</v>
      </c>
      <c r="BY594" s="5"/>
      <c r="BZ594" s="6"/>
      <c r="CA594" s="7">
        <v>40853</v>
      </c>
      <c r="CI594">
        <f t="shared" si="66"/>
        <v>2011</v>
      </c>
      <c r="CJ594" t="str">
        <f t="shared" si="67"/>
        <v>5668_2011</v>
      </c>
    </row>
    <row r="595" spans="1:88" x14ac:dyDescent="0.25">
      <c r="A595" t="s">
        <v>111</v>
      </c>
      <c r="B595" t="s">
        <v>114</v>
      </c>
      <c r="C595">
        <v>5668</v>
      </c>
      <c r="D595">
        <v>-37.824548999999998</v>
      </c>
      <c r="E595">
        <v>145.069076</v>
      </c>
      <c r="F595">
        <v>3</v>
      </c>
      <c r="G595" t="s">
        <v>251</v>
      </c>
      <c r="H595">
        <v>119</v>
      </c>
      <c r="I595">
        <v>299</v>
      </c>
      <c r="J595">
        <v>175</v>
      </c>
      <c r="K595">
        <v>355</v>
      </c>
      <c r="L595">
        <v>331</v>
      </c>
      <c r="M595">
        <v>151</v>
      </c>
      <c r="T595">
        <v>3</v>
      </c>
      <c r="U595">
        <v>292</v>
      </c>
      <c r="Y595">
        <v>13</v>
      </c>
      <c r="Z595">
        <v>47</v>
      </c>
      <c r="AD595">
        <v>304</v>
      </c>
      <c r="AE595">
        <v>87</v>
      </c>
      <c r="AX595">
        <v>295</v>
      </c>
      <c r="AY595">
        <v>317</v>
      </c>
      <c r="AZ595">
        <v>612</v>
      </c>
      <c r="BA595">
        <v>60</v>
      </c>
      <c r="BB595">
        <v>90</v>
      </c>
      <c r="BC595">
        <v>150</v>
      </c>
      <c r="BD595">
        <v>391</v>
      </c>
      <c r="BE595">
        <v>339</v>
      </c>
      <c r="BF595">
        <v>730</v>
      </c>
      <c r="BP595">
        <v>391</v>
      </c>
      <c r="BR595">
        <v>230</v>
      </c>
      <c r="BS595">
        <v>56</v>
      </c>
      <c r="BT595">
        <v>69</v>
      </c>
      <c r="BV595">
        <v>0</v>
      </c>
      <c r="BW595">
        <v>746</v>
      </c>
      <c r="BX595">
        <f t="shared" ref="BX595:BX601" si="71">IF(C595=C594,IF((CI595-1)=CI594,BW594,"no data"))</f>
        <v>242</v>
      </c>
      <c r="BY595" s="5">
        <f t="shared" si="70"/>
        <v>2.0826446280991737</v>
      </c>
      <c r="BZ595" s="6">
        <f t="shared" si="68"/>
        <v>2.0826446280991737</v>
      </c>
      <c r="CA595" s="7">
        <v>41224</v>
      </c>
      <c r="CI595">
        <f t="shared" si="66"/>
        <v>2012</v>
      </c>
      <c r="CJ595" t="str">
        <f t="shared" si="67"/>
        <v>5668_2012</v>
      </c>
    </row>
    <row r="596" spans="1:88" x14ac:dyDescent="0.25">
      <c r="A596" t="s">
        <v>111</v>
      </c>
      <c r="B596" t="s">
        <v>114</v>
      </c>
      <c r="C596">
        <v>5668</v>
      </c>
      <c r="D596">
        <v>-37.824548999999998</v>
      </c>
      <c r="E596">
        <v>145.069076</v>
      </c>
      <c r="F596">
        <v>3</v>
      </c>
      <c r="G596" t="s">
        <v>251</v>
      </c>
      <c r="H596">
        <v>119</v>
      </c>
      <c r="I596">
        <v>299</v>
      </c>
      <c r="J596">
        <v>175</v>
      </c>
      <c r="K596">
        <v>355</v>
      </c>
      <c r="L596">
        <v>331</v>
      </c>
      <c r="M596">
        <v>151</v>
      </c>
      <c r="T596">
        <v>16</v>
      </c>
      <c r="U596">
        <v>191</v>
      </c>
      <c r="Y596">
        <v>14</v>
      </c>
      <c r="Z596">
        <v>69</v>
      </c>
      <c r="AD596">
        <v>163</v>
      </c>
      <c r="AE596">
        <v>78</v>
      </c>
      <c r="AX596">
        <v>207</v>
      </c>
      <c r="AY596">
        <v>177</v>
      </c>
      <c r="AZ596">
        <v>384</v>
      </c>
      <c r="BA596">
        <v>83</v>
      </c>
      <c r="BB596">
        <v>94</v>
      </c>
      <c r="BC596">
        <v>177</v>
      </c>
      <c r="BD596">
        <v>241</v>
      </c>
      <c r="BE596">
        <v>260</v>
      </c>
      <c r="BF596">
        <v>501</v>
      </c>
      <c r="BP596">
        <v>102</v>
      </c>
      <c r="BR596">
        <v>242</v>
      </c>
      <c r="BS596">
        <v>75</v>
      </c>
      <c r="BT596">
        <v>109</v>
      </c>
      <c r="BV596">
        <v>3</v>
      </c>
      <c r="BW596">
        <v>531</v>
      </c>
      <c r="BX596" t="str">
        <f t="shared" si="71"/>
        <v>no data</v>
      </c>
      <c r="BY596" s="5"/>
      <c r="BZ596" s="6"/>
      <c r="CA596" s="7">
        <v>42687</v>
      </c>
      <c r="CE596">
        <v>136</v>
      </c>
      <c r="CF596">
        <v>143</v>
      </c>
      <c r="CG596">
        <v>140</v>
      </c>
      <c r="CH596">
        <v>112</v>
      </c>
      <c r="CI596">
        <f t="shared" si="66"/>
        <v>2016</v>
      </c>
      <c r="CJ596" t="str">
        <f t="shared" si="67"/>
        <v>5668_2016</v>
      </c>
    </row>
    <row r="597" spans="1:88" x14ac:dyDescent="0.25">
      <c r="A597" t="s">
        <v>111</v>
      </c>
      <c r="B597" t="s">
        <v>114</v>
      </c>
      <c r="C597">
        <v>5668</v>
      </c>
      <c r="D597">
        <v>-37.824548999999998</v>
      </c>
      <c r="E597">
        <v>145.069076</v>
      </c>
      <c r="F597">
        <v>3</v>
      </c>
      <c r="G597" t="s">
        <v>251</v>
      </c>
      <c r="H597">
        <v>119</v>
      </c>
      <c r="I597">
        <v>299</v>
      </c>
      <c r="J597">
        <v>175</v>
      </c>
      <c r="K597">
        <v>355</v>
      </c>
      <c r="L597">
        <v>331</v>
      </c>
      <c r="M597">
        <v>151</v>
      </c>
      <c r="T597">
        <v>0</v>
      </c>
      <c r="U597">
        <v>301</v>
      </c>
      <c r="Y597">
        <v>1</v>
      </c>
      <c r="Z597">
        <v>104</v>
      </c>
      <c r="AD597">
        <v>251</v>
      </c>
      <c r="AE597">
        <v>95</v>
      </c>
      <c r="AX597">
        <v>301</v>
      </c>
      <c r="AY597">
        <v>252</v>
      </c>
      <c r="AZ597">
        <v>553</v>
      </c>
      <c r="BA597">
        <v>105</v>
      </c>
      <c r="BB597">
        <v>95</v>
      </c>
      <c r="BC597">
        <v>200</v>
      </c>
      <c r="BD597">
        <v>346</v>
      </c>
      <c r="BE597">
        <v>405</v>
      </c>
      <c r="BF597">
        <v>751</v>
      </c>
      <c r="BP597">
        <v>282</v>
      </c>
      <c r="BR597">
        <v>305</v>
      </c>
      <c r="BS597">
        <v>84</v>
      </c>
      <c r="BT597">
        <v>69</v>
      </c>
      <c r="BV597">
        <v>12</v>
      </c>
      <c r="BW597">
        <v>752</v>
      </c>
      <c r="BX597" t="str">
        <f t="shared" si="71"/>
        <v>no data</v>
      </c>
      <c r="BY597" s="5"/>
      <c r="BZ597" s="6"/>
      <c r="CA597" s="7">
        <v>43415</v>
      </c>
      <c r="CE597">
        <v>181</v>
      </c>
      <c r="CF597">
        <v>223</v>
      </c>
      <c r="CG597">
        <v>227</v>
      </c>
      <c r="CH597">
        <v>121</v>
      </c>
      <c r="CI597">
        <f t="shared" si="66"/>
        <v>2018</v>
      </c>
      <c r="CJ597" t="str">
        <f t="shared" si="67"/>
        <v>5668_2018</v>
      </c>
    </row>
    <row r="598" spans="1:88" x14ac:dyDescent="0.25">
      <c r="A598" t="s">
        <v>111</v>
      </c>
      <c r="B598" t="s">
        <v>114</v>
      </c>
      <c r="C598">
        <v>5668</v>
      </c>
      <c r="D598">
        <v>-37.8245</v>
      </c>
      <c r="E598">
        <v>145.06909999999999</v>
      </c>
      <c r="F598">
        <v>3</v>
      </c>
      <c r="G598" t="s">
        <v>251</v>
      </c>
      <c r="H598">
        <v>119</v>
      </c>
      <c r="I598">
        <v>299</v>
      </c>
      <c r="J598">
        <v>175</v>
      </c>
      <c r="K598">
        <v>355</v>
      </c>
      <c r="L598">
        <v>331</v>
      </c>
      <c r="M598">
        <v>151</v>
      </c>
      <c r="T598">
        <v>3</v>
      </c>
      <c r="U598">
        <v>235</v>
      </c>
      <c r="Y598">
        <v>0</v>
      </c>
      <c r="Z598">
        <v>97</v>
      </c>
      <c r="AD598">
        <v>240</v>
      </c>
      <c r="AE598">
        <v>105</v>
      </c>
      <c r="AX598">
        <v>238</v>
      </c>
      <c r="AY598">
        <v>240</v>
      </c>
      <c r="AZ598">
        <v>478</v>
      </c>
      <c r="BA598">
        <v>97</v>
      </c>
      <c r="BB598">
        <v>108</v>
      </c>
      <c r="BC598">
        <v>205</v>
      </c>
      <c r="BD598">
        <v>345</v>
      </c>
      <c r="BE598">
        <v>332</v>
      </c>
      <c r="BF598">
        <v>677</v>
      </c>
      <c r="BP598">
        <v>187</v>
      </c>
      <c r="BR598">
        <v>328</v>
      </c>
      <c r="BS598">
        <v>98</v>
      </c>
      <c r="BT598">
        <v>67</v>
      </c>
      <c r="BV598">
        <v>0</v>
      </c>
      <c r="BW598">
        <v>680</v>
      </c>
      <c r="BX598">
        <f t="shared" si="71"/>
        <v>752</v>
      </c>
      <c r="BY598" s="5">
        <f t="shared" si="70"/>
        <v>-9.5744680851063829E-2</v>
      </c>
      <c r="BZ598" s="6">
        <f t="shared" si="68"/>
        <v>-9.5744680851063829E-2</v>
      </c>
      <c r="CA598" s="7">
        <v>43779</v>
      </c>
      <c r="CE598">
        <v>209</v>
      </c>
      <c r="CF598">
        <v>199</v>
      </c>
      <c r="CG598">
        <v>169</v>
      </c>
      <c r="CH598">
        <v>103</v>
      </c>
      <c r="CI598">
        <f t="shared" si="66"/>
        <v>2019</v>
      </c>
      <c r="CJ598" t="str">
        <f t="shared" si="67"/>
        <v>5668_2019</v>
      </c>
    </row>
    <row r="599" spans="1:88" x14ac:dyDescent="0.25">
      <c r="A599" t="s">
        <v>111</v>
      </c>
      <c r="B599" t="s">
        <v>114</v>
      </c>
      <c r="C599">
        <v>5668</v>
      </c>
      <c r="D599">
        <v>-37.8245</v>
      </c>
      <c r="E599">
        <v>145.06909999999999</v>
      </c>
      <c r="F599">
        <v>3</v>
      </c>
      <c r="G599" t="s">
        <v>251</v>
      </c>
      <c r="H599">
        <v>119</v>
      </c>
      <c r="I599">
        <v>299</v>
      </c>
      <c r="J599">
        <v>175</v>
      </c>
      <c r="K599">
        <v>355</v>
      </c>
      <c r="L599">
        <v>331</v>
      </c>
      <c r="M599">
        <v>151</v>
      </c>
      <c r="T599">
        <v>6</v>
      </c>
      <c r="U599">
        <v>476</v>
      </c>
      <c r="Y599">
        <v>7</v>
      </c>
      <c r="Z599">
        <v>189</v>
      </c>
      <c r="AD599">
        <v>452</v>
      </c>
      <c r="AE599">
        <v>137</v>
      </c>
      <c r="AX599">
        <v>482</v>
      </c>
      <c r="AY599">
        <v>459</v>
      </c>
      <c r="AZ599">
        <v>941</v>
      </c>
      <c r="BA599">
        <v>196</v>
      </c>
      <c r="BB599">
        <v>143</v>
      </c>
      <c r="BC599">
        <v>339</v>
      </c>
      <c r="BD599">
        <v>589</v>
      </c>
      <c r="BE599">
        <v>665</v>
      </c>
      <c r="BF599">
        <v>1254</v>
      </c>
      <c r="BP599">
        <v>495</v>
      </c>
      <c r="BR599">
        <v>525</v>
      </c>
      <c r="BS599">
        <v>160</v>
      </c>
      <c r="BT599">
        <v>84</v>
      </c>
      <c r="BV599">
        <v>3</v>
      </c>
      <c r="BW599">
        <v>1267</v>
      </c>
      <c r="BX599">
        <f t="shared" si="71"/>
        <v>680</v>
      </c>
      <c r="BY599" s="5">
        <f t="shared" si="70"/>
        <v>0.8632352941176471</v>
      </c>
      <c r="BZ599" s="6">
        <f t="shared" si="68"/>
        <v>0.8632352941176471</v>
      </c>
      <c r="CA599" s="7">
        <v>44143</v>
      </c>
      <c r="CE599">
        <v>293</v>
      </c>
      <c r="CF599">
        <v>334</v>
      </c>
      <c r="CG599">
        <v>371</v>
      </c>
      <c r="CH599">
        <v>269</v>
      </c>
      <c r="CI599">
        <f t="shared" si="66"/>
        <v>2020</v>
      </c>
      <c r="CJ599" t="str">
        <f t="shared" si="67"/>
        <v>5668_2020</v>
      </c>
    </row>
    <row r="600" spans="1:88" x14ac:dyDescent="0.25">
      <c r="A600" t="s">
        <v>111</v>
      </c>
      <c r="B600" t="s">
        <v>114</v>
      </c>
      <c r="C600">
        <v>5668</v>
      </c>
      <c r="D600">
        <v>-37.824548999999998</v>
      </c>
      <c r="E600">
        <v>145.069076</v>
      </c>
      <c r="F600">
        <v>3</v>
      </c>
      <c r="G600" t="s">
        <v>252</v>
      </c>
      <c r="H600">
        <v>119</v>
      </c>
      <c r="I600">
        <v>299</v>
      </c>
      <c r="J600">
        <v>175</v>
      </c>
      <c r="K600">
        <v>355</v>
      </c>
      <c r="L600">
        <v>331</v>
      </c>
      <c r="M600">
        <v>151</v>
      </c>
      <c r="T600">
        <v>4</v>
      </c>
      <c r="U600">
        <v>275</v>
      </c>
      <c r="Y600">
        <v>8</v>
      </c>
      <c r="Z600">
        <v>98</v>
      </c>
      <c r="AD600">
        <v>336</v>
      </c>
      <c r="AE600">
        <v>65</v>
      </c>
      <c r="AX600">
        <v>279</v>
      </c>
      <c r="AY600">
        <v>344</v>
      </c>
      <c r="AZ600">
        <v>623</v>
      </c>
      <c r="BA600">
        <v>106</v>
      </c>
      <c r="BB600">
        <v>69</v>
      </c>
      <c r="BC600">
        <v>175</v>
      </c>
      <c r="BD600">
        <v>401</v>
      </c>
      <c r="BE600">
        <v>373</v>
      </c>
      <c r="BF600">
        <v>774</v>
      </c>
      <c r="BP600">
        <v>158</v>
      </c>
      <c r="BR600">
        <v>414</v>
      </c>
      <c r="BS600">
        <v>102</v>
      </c>
      <c r="BT600">
        <v>98</v>
      </c>
      <c r="BV600">
        <v>14</v>
      </c>
      <c r="BW600">
        <v>786</v>
      </c>
      <c r="BX600">
        <f t="shared" si="71"/>
        <v>1267</v>
      </c>
      <c r="BY600" s="5">
        <f t="shared" si="70"/>
        <v>-0.37963693764798739</v>
      </c>
      <c r="BZ600" s="6">
        <f t="shared" si="68"/>
        <v>-0.37963693764798739</v>
      </c>
      <c r="CA600" s="7">
        <v>44528</v>
      </c>
      <c r="CE600">
        <v>306</v>
      </c>
      <c r="CF600">
        <v>253</v>
      </c>
      <c r="CG600">
        <v>227</v>
      </c>
      <c r="CI600">
        <f t="shared" si="66"/>
        <v>2021</v>
      </c>
      <c r="CJ600" t="str">
        <f t="shared" si="67"/>
        <v>5668_2021</v>
      </c>
    </row>
    <row r="601" spans="1:88" x14ac:dyDescent="0.25">
      <c r="A601" t="s">
        <v>111</v>
      </c>
      <c r="B601" t="s">
        <v>114</v>
      </c>
      <c r="C601">
        <v>5668</v>
      </c>
      <c r="D601">
        <v>-37.824548999999998</v>
      </c>
      <c r="E601">
        <v>145.069076</v>
      </c>
      <c r="F601">
        <v>3</v>
      </c>
      <c r="G601" t="s">
        <v>252</v>
      </c>
      <c r="H601">
        <v>119</v>
      </c>
      <c r="I601">
        <v>299</v>
      </c>
      <c r="J601">
        <v>175</v>
      </c>
      <c r="K601">
        <v>355</v>
      </c>
      <c r="L601">
        <v>331</v>
      </c>
      <c r="M601">
        <v>151</v>
      </c>
      <c r="T601">
        <v>9</v>
      </c>
      <c r="U601">
        <v>212</v>
      </c>
      <c r="Y601">
        <v>3</v>
      </c>
      <c r="Z601">
        <v>69</v>
      </c>
      <c r="AD601">
        <v>228</v>
      </c>
      <c r="AE601">
        <v>65</v>
      </c>
      <c r="AX601">
        <v>221</v>
      </c>
      <c r="AY601">
        <v>231</v>
      </c>
      <c r="AZ601">
        <v>452</v>
      </c>
      <c r="BA601">
        <v>72</v>
      </c>
      <c r="BB601">
        <v>74</v>
      </c>
      <c r="BC601">
        <v>146</v>
      </c>
      <c r="BD601">
        <v>293</v>
      </c>
      <c r="BE601">
        <v>281</v>
      </c>
      <c r="BF601">
        <v>574</v>
      </c>
      <c r="BP601">
        <v>124</v>
      </c>
      <c r="BR601">
        <v>287</v>
      </c>
      <c r="BS601">
        <v>87</v>
      </c>
      <c r="BT601">
        <v>85</v>
      </c>
      <c r="BU601">
        <v>0</v>
      </c>
      <c r="BV601">
        <v>3</v>
      </c>
      <c r="BW601">
        <v>586</v>
      </c>
      <c r="BX601">
        <f t="shared" si="71"/>
        <v>786</v>
      </c>
      <c r="BY601" s="5">
        <f t="shared" si="70"/>
        <v>-0.2544529262086514</v>
      </c>
      <c r="BZ601" s="6">
        <f t="shared" si="68"/>
        <v>-0.2544529262086514</v>
      </c>
      <c r="CA601" s="7">
        <v>44878</v>
      </c>
      <c r="CE601">
        <v>200</v>
      </c>
      <c r="CF601">
        <v>232</v>
      </c>
      <c r="CG601">
        <v>154</v>
      </c>
      <c r="CI601">
        <f t="shared" si="66"/>
        <v>2022</v>
      </c>
      <c r="CJ601" t="str">
        <f t="shared" si="67"/>
        <v>5668_2022</v>
      </c>
    </row>
    <row r="602" spans="1:88" x14ac:dyDescent="0.25">
      <c r="A602" t="s">
        <v>111</v>
      </c>
      <c r="B602" t="s">
        <v>114</v>
      </c>
      <c r="C602">
        <v>5669</v>
      </c>
      <c r="D602">
        <v>-37.796627999999998</v>
      </c>
      <c r="E602">
        <v>145.04176100000001</v>
      </c>
      <c r="F602">
        <v>4</v>
      </c>
      <c r="G602" t="s">
        <v>253</v>
      </c>
      <c r="H602">
        <v>111</v>
      </c>
      <c r="I602">
        <v>291</v>
      </c>
      <c r="J602">
        <v>149</v>
      </c>
      <c r="K602">
        <v>329</v>
      </c>
      <c r="L602">
        <v>290</v>
      </c>
      <c r="M602">
        <v>110</v>
      </c>
      <c r="N602">
        <v>356</v>
      </c>
      <c r="O602">
        <v>176</v>
      </c>
      <c r="T602">
        <v>1</v>
      </c>
      <c r="U602">
        <v>37</v>
      </c>
      <c r="V602">
        <v>8</v>
      </c>
      <c r="Y602">
        <v>1</v>
      </c>
      <c r="Z602">
        <v>2</v>
      </c>
      <c r="AA602">
        <v>9</v>
      </c>
      <c r="AD602">
        <v>40</v>
      </c>
      <c r="AE602">
        <v>0</v>
      </c>
      <c r="AF602">
        <v>0</v>
      </c>
      <c r="AI602">
        <v>14</v>
      </c>
      <c r="AJ602">
        <v>20</v>
      </c>
      <c r="AK602">
        <v>1</v>
      </c>
      <c r="AX602">
        <v>46</v>
      </c>
      <c r="AY602">
        <v>55</v>
      </c>
      <c r="AZ602">
        <v>101</v>
      </c>
      <c r="BA602">
        <v>12</v>
      </c>
      <c r="BB602">
        <v>21</v>
      </c>
      <c r="BC602">
        <v>33</v>
      </c>
      <c r="BD602">
        <v>40</v>
      </c>
      <c r="BE602">
        <v>40</v>
      </c>
      <c r="BF602">
        <v>80</v>
      </c>
      <c r="BG602">
        <v>35</v>
      </c>
      <c r="BH602">
        <v>17</v>
      </c>
      <c r="BI602">
        <v>52</v>
      </c>
      <c r="BP602">
        <v>57</v>
      </c>
      <c r="BR602">
        <v>44</v>
      </c>
      <c r="BS602">
        <v>1</v>
      </c>
      <c r="BT602">
        <v>9</v>
      </c>
      <c r="BV602">
        <v>22</v>
      </c>
      <c r="BW602">
        <v>133</v>
      </c>
      <c r="BX602" t="s">
        <v>82</v>
      </c>
      <c r="BY602" s="5"/>
      <c r="BZ602" s="6"/>
      <c r="CA602" s="7">
        <v>40853</v>
      </c>
      <c r="CI602">
        <f t="shared" si="66"/>
        <v>2011</v>
      </c>
      <c r="CJ602" t="str">
        <f t="shared" si="67"/>
        <v>5669_2011</v>
      </c>
    </row>
    <row r="603" spans="1:88" x14ac:dyDescent="0.25">
      <c r="A603" t="s">
        <v>111</v>
      </c>
      <c r="B603" t="s">
        <v>114</v>
      </c>
      <c r="C603">
        <v>5669</v>
      </c>
      <c r="D603">
        <v>-37.796627999999998</v>
      </c>
      <c r="E603">
        <v>145.04176100000001</v>
      </c>
      <c r="F603">
        <v>4</v>
      </c>
      <c r="G603" t="s">
        <v>253</v>
      </c>
      <c r="H603">
        <v>111</v>
      </c>
      <c r="I603">
        <v>291</v>
      </c>
      <c r="J603">
        <v>149</v>
      </c>
      <c r="K603">
        <v>329</v>
      </c>
      <c r="L603">
        <v>290</v>
      </c>
      <c r="M603">
        <v>110</v>
      </c>
      <c r="N603">
        <v>356</v>
      </c>
      <c r="O603">
        <v>176</v>
      </c>
      <c r="T603">
        <v>8</v>
      </c>
      <c r="U603">
        <v>98</v>
      </c>
      <c r="V603">
        <v>37</v>
      </c>
      <c r="Y603">
        <v>3</v>
      </c>
      <c r="Z603">
        <v>3</v>
      </c>
      <c r="AA603">
        <v>21</v>
      </c>
      <c r="AD603">
        <v>79</v>
      </c>
      <c r="AE603">
        <v>6</v>
      </c>
      <c r="AF603">
        <v>1</v>
      </c>
      <c r="AI603">
        <v>35</v>
      </c>
      <c r="AJ603">
        <v>45</v>
      </c>
      <c r="AK603">
        <v>5</v>
      </c>
      <c r="AX603">
        <v>143</v>
      </c>
      <c r="AY603">
        <v>117</v>
      </c>
      <c r="AZ603">
        <v>260</v>
      </c>
      <c r="BA603">
        <v>27</v>
      </c>
      <c r="BB603">
        <v>59</v>
      </c>
      <c r="BC603">
        <v>86</v>
      </c>
      <c r="BD603">
        <v>86</v>
      </c>
      <c r="BE603">
        <v>106</v>
      </c>
      <c r="BF603">
        <v>192</v>
      </c>
      <c r="BG603">
        <v>85</v>
      </c>
      <c r="BH603">
        <v>59</v>
      </c>
      <c r="BI603">
        <v>144</v>
      </c>
      <c r="BP603">
        <v>191</v>
      </c>
      <c r="BR603">
        <v>68</v>
      </c>
      <c r="BS603">
        <v>32</v>
      </c>
      <c r="BT603">
        <v>37</v>
      </c>
      <c r="BV603">
        <v>13</v>
      </c>
      <c r="BW603">
        <v>341</v>
      </c>
      <c r="BX603">
        <f t="shared" ref="BX603:BX609" si="72">IF(C603=C602,IF((CI603-1)=CI602,BW602,"no data"))</f>
        <v>133</v>
      </c>
      <c r="BY603" s="5">
        <f t="shared" si="70"/>
        <v>1.5639097744360901</v>
      </c>
      <c r="BZ603" s="6">
        <f t="shared" si="68"/>
        <v>1.5639097744360901</v>
      </c>
      <c r="CA603" s="7">
        <v>41224</v>
      </c>
      <c r="CI603">
        <f t="shared" si="66"/>
        <v>2012</v>
      </c>
      <c r="CJ603" t="str">
        <f t="shared" si="67"/>
        <v>5669_2012</v>
      </c>
    </row>
    <row r="604" spans="1:88" x14ac:dyDescent="0.25">
      <c r="A604" t="s">
        <v>111</v>
      </c>
      <c r="B604" t="s">
        <v>114</v>
      </c>
      <c r="C604">
        <v>5669</v>
      </c>
      <c r="D604">
        <v>-37.796627999999998</v>
      </c>
      <c r="E604">
        <v>145.04176100000001</v>
      </c>
      <c r="F604">
        <v>4</v>
      </c>
      <c r="G604" t="s">
        <v>253</v>
      </c>
      <c r="H604">
        <v>111</v>
      </c>
      <c r="I604">
        <v>291</v>
      </c>
      <c r="J604">
        <v>149</v>
      </c>
      <c r="K604">
        <v>329</v>
      </c>
      <c r="L604">
        <v>290</v>
      </c>
      <c r="M604">
        <v>110</v>
      </c>
      <c r="N604">
        <v>356</v>
      </c>
      <c r="O604">
        <v>176</v>
      </c>
      <c r="T604">
        <v>4</v>
      </c>
      <c r="U604">
        <v>44</v>
      </c>
      <c r="V604">
        <v>32</v>
      </c>
      <c r="Y604">
        <v>6</v>
      </c>
      <c r="Z604">
        <v>4</v>
      </c>
      <c r="AA604">
        <v>20</v>
      </c>
      <c r="AD604">
        <v>42</v>
      </c>
      <c r="AE604">
        <v>8</v>
      </c>
      <c r="AF604">
        <v>9</v>
      </c>
      <c r="AI604">
        <v>30</v>
      </c>
      <c r="AJ604">
        <v>13</v>
      </c>
      <c r="AK604">
        <v>3</v>
      </c>
      <c r="AX604">
        <v>80</v>
      </c>
      <c r="AY604">
        <v>78</v>
      </c>
      <c r="AZ604">
        <v>158</v>
      </c>
      <c r="BA604">
        <v>30</v>
      </c>
      <c r="BB604">
        <v>25</v>
      </c>
      <c r="BC604">
        <v>55</v>
      </c>
      <c r="BD604">
        <v>59</v>
      </c>
      <c r="BE604">
        <v>51</v>
      </c>
      <c r="BF604">
        <v>110</v>
      </c>
      <c r="BG604">
        <v>46</v>
      </c>
      <c r="BH604">
        <v>61</v>
      </c>
      <c r="BI604">
        <v>107</v>
      </c>
      <c r="BP604">
        <v>53</v>
      </c>
      <c r="BR604">
        <v>93</v>
      </c>
      <c r="BS604">
        <v>24</v>
      </c>
      <c r="BT604">
        <v>38</v>
      </c>
      <c r="BV604">
        <v>7</v>
      </c>
      <c r="BW604">
        <v>215</v>
      </c>
      <c r="BX604" t="str">
        <f t="shared" si="72"/>
        <v>no data</v>
      </c>
      <c r="BY604" s="5"/>
      <c r="BZ604" s="6"/>
      <c r="CA604" s="7">
        <v>42687</v>
      </c>
      <c r="CE604">
        <v>68</v>
      </c>
      <c r="CF604">
        <v>70</v>
      </c>
      <c r="CG604">
        <v>44</v>
      </c>
      <c r="CH604">
        <v>33</v>
      </c>
      <c r="CI604">
        <f t="shared" si="66"/>
        <v>2016</v>
      </c>
      <c r="CJ604" t="str">
        <f t="shared" si="67"/>
        <v>5669_2016</v>
      </c>
    </row>
    <row r="605" spans="1:88" x14ac:dyDescent="0.25">
      <c r="A605" t="s">
        <v>111</v>
      </c>
      <c r="B605" t="s">
        <v>114</v>
      </c>
      <c r="C605">
        <v>5669</v>
      </c>
      <c r="D605">
        <v>-37.796627999999998</v>
      </c>
      <c r="E605">
        <v>145.04176100000001</v>
      </c>
      <c r="F605">
        <v>4</v>
      </c>
      <c r="G605" t="s">
        <v>253</v>
      </c>
      <c r="H605">
        <v>111</v>
      </c>
      <c r="I605">
        <v>291</v>
      </c>
      <c r="J605">
        <v>149</v>
      </c>
      <c r="K605">
        <v>329</v>
      </c>
      <c r="L605">
        <v>290</v>
      </c>
      <c r="M605">
        <v>110</v>
      </c>
      <c r="N605">
        <v>356</v>
      </c>
      <c r="O605">
        <v>176</v>
      </c>
      <c r="T605">
        <v>15</v>
      </c>
      <c r="U605">
        <v>76</v>
      </c>
      <c r="V605">
        <v>72</v>
      </c>
      <c r="Y605">
        <v>5</v>
      </c>
      <c r="Z605">
        <v>13</v>
      </c>
      <c r="AA605">
        <v>57</v>
      </c>
      <c r="AD605">
        <v>101</v>
      </c>
      <c r="AE605">
        <v>15</v>
      </c>
      <c r="AF605">
        <v>28</v>
      </c>
      <c r="AI605">
        <v>56</v>
      </c>
      <c r="AJ605">
        <v>60</v>
      </c>
      <c r="AK605">
        <v>31</v>
      </c>
      <c r="AX605">
        <v>163</v>
      </c>
      <c r="AY605">
        <v>162</v>
      </c>
      <c r="AZ605">
        <v>325</v>
      </c>
      <c r="BA605">
        <v>75</v>
      </c>
      <c r="BB605">
        <v>90</v>
      </c>
      <c r="BC605">
        <v>165</v>
      </c>
      <c r="BD605">
        <v>144</v>
      </c>
      <c r="BE605">
        <v>120</v>
      </c>
      <c r="BF605">
        <v>264</v>
      </c>
      <c r="BG605">
        <v>147</v>
      </c>
      <c r="BH605">
        <v>157</v>
      </c>
      <c r="BI605">
        <v>304</v>
      </c>
      <c r="BP605">
        <v>197</v>
      </c>
      <c r="BR605">
        <v>211</v>
      </c>
      <c r="BS605">
        <v>43</v>
      </c>
      <c r="BT605">
        <v>70</v>
      </c>
      <c r="BV605">
        <v>8</v>
      </c>
      <c r="BW605">
        <v>529</v>
      </c>
      <c r="BX605" t="str">
        <f t="shared" si="72"/>
        <v>no data</v>
      </c>
      <c r="BY605" s="5"/>
      <c r="BZ605" s="6"/>
      <c r="CA605" s="7">
        <v>43415</v>
      </c>
      <c r="CE605">
        <v>146</v>
      </c>
      <c r="CF605">
        <v>149</v>
      </c>
      <c r="CG605">
        <v>141</v>
      </c>
      <c r="CH605">
        <v>93</v>
      </c>
      <c r="CI605">
        <f t="shared" si="66"/>
        <v>2018</v>
      </c>
      <c r="CJ605" t="str">
        <f t="shared" si="67"/>
        <v>5669_2018</v>
      </c>
    </row>
    <row r="606" spans="1:88" x14ac:dyDescent="0.25">
      <c r="A606" t="s">
        <v>111</v>
      </c>
      <c r="B606" t="s">
        <v>114</v>
      </c>
      <c r="C606">
        <v>5669</v>
      </c>
      <c r="D606">
        <v>-37.796599999999998</v>
      </c>
      <c r="E606">
        <v>145.04179999999999</v>
      </c>
      <c r="F606">
        <v>4</v>
      </c>
      <c r="G606" t="s">
        <v>253</v>
      </c>
      <c r="H606">
        <v>111</v>
      </c>
      <c r="I606">
        <v>291</v>
      </c>
      <c r="J606">
        <v>149</v>
      </c>
      <c r="K606">
        <v>329</v>
      </c>
      <c r="L606">
        <v>290</v>
      </c>
      <c r="M606">
        <v>110</v>
      </c>
      <c r="N606">
        <v>356</v>
      </c>
      <c r="O606">
        <v>176</v>
      </c>
      <c r="T606">
        <v>15</v>
      </c>
      <c r="U606">
        <v>96</v>
      </c>
      <c r="V606">
        <v>38</v>
      </c>
      <c r="Y606">
        <v>5</v>
      </c>
      <c r="Z606">
        <v>6</v>
      </c>
      <c r="AA606">
        <v>47</v>
      </c>
      <c r="AD606">
        <v>68</v>
      </c>
      <c r="AE606">
        <v>13</v>
      </c>
      <c r="AF606">
        <v>30</v>
      </c>
      <c r="AI606">
        <v>65</v>
      </c>
      <c r="AJ606">
        <v>51</v>
      </c>
      <c r="AK606">
        <v>21</v>
      </c>
      <c r="AX606">
        <v>149</v>
      </c>
      <c r="AY606">
        <v>138</v>
      </c>
      <c r="AZ606">
        <v>287</v>
      </c>
      <c r="BA606">
        <v>58</v>
      </c>
      <c r="BB606">
        <v>79</v>
      </c>
      <c r="BC606">
        <v>137</v>
      </c>
      <c r="BD606">
        <v>111</v>
      </c>
      <c r="BE606">
        <v>123</v>
      </c>
      <c r="BF606">
        <v>234</v>
      </c>
      <c r="BG606">
        <v>137</v>
      </c>
      <c r="BH606">
        <v>115</v>
      </c>
      <c r="BI606">
        <v>252</v>
      </c>
      <c r="BP606">
        <v>153</v>
      </c>
      <c r="BR606">
        <v>196</v>
      </c>
      <c r="BS606">
        <v>50</v>
      </c>
      <c r="BT606">
        <v>52</v>
      </c>
      <c r="BV606">
        <v>4</v>
      </c>
      <c r="BW606">
        <v>455</v>
      </c>
      <c r="BX606">
        <f t="shared" si="72"/>
        <v>529</v>
      </c>
      <c r="BY606" s="5">
        <f t="shared" si="70"/>
        <v>-0.13988657844990549</v>
      </c>
      <c r="BZ606" s="6">
        <f t="shared" si="68"/>
        <v>-0.13988657844990549</v>
      </c>
      <c r="CA606" s="7">
        <v>43779</v>
      </c>
      <c r="CE606">
        <v>93</v>
      </c>
      <c r="CF606">
        <v>133</v>
      </c>
      <c r="CG606">
        <v>128</v>
      </c>
      <c r="CH606">
        <v>101</v>
      </c>
      <c r="CI606">
        <f t="shared" si="66"/>
        <v>2019</v>
      </c>
      <c r="CJ606" t="str">
        <f t="shared" si="67"/>
        <v>5669_2019</v>
      </c>
    </row>
    <row r="607" spans="1:88" x14ac:dyDescent="0.25">
      <c r="A607" t="s">
        <v>111</v>
      </c>
      <c r="B607" t="s">
        <v>114</v>
      </c>
      <c r="C607">
        <v>5669</v>
      </c>
      <c r="D607">
        <v>-37.796599999999998</v>
      </c>
      <c r="E607">
        <v>145.04179999999999</v>
      </c>
      <c r="F607">
        <v>4</v>
      </c>
      <c r="G607" t="s">
        <v>253</v>
      </c>
      <c r="H607">
        <v>111</v>
      </c>
      <c r="I607">
        <v>291</v>
      </c>
      <c r="J607">
        <v>149</v>
      </c>
      <c r="K607">
        <v>329</v>
      </c>
      <c r="L607">
        <v>290</v>
      </c>
      <c r="M607">
        <v>110</v>
      </c>
      <c r="N607">
        <v>356</v>
      </c>
      <c r="O607">
        <v>176</v>
      </c>
      <c r="T607">
        <v>7</v>
      </c>
      <c r="U607">
        <v>209</v>
      </c>
      <c r="V607">
        <v>88</v>
      </c>
      <c r="Y607">
        <v>7</v>
      </c>
      <c r="Z607">
        <v>34</v>
      </c>
      <c r="AA607">
        <v>89</v>
      </c>
      <c r="AD607">
        <v>190</v>
      </c>
      <c r="AE607">
        <v>6</v>
      </c>
      <c r="AF607">
        <v>23</v>
      </c>
      <c r="AI607">
        <v>124</v>
      </c>
      <c r="AJ607">
        <v>118</v>
      </c>
      <c r="AK607">
        <v>21</v>
      </c>
      <c r="AX607">
        <v>304</v>
      </c>
      <c r="AY607">
        <v>321</v>
      </c>
      <c r="AZ607">
        <v>625</v>
      </c>
      <c r="BA607">
        <v>130</v>
      </c>
      <c r="BB607">
        <v>131</v>
      </c>
      <c r="BC607">
        <v>261</v>
      </c>
      <c r="BD607">
        <v>219</v>
      </c>
      <c r="BE607">
        <v>264</v>
      </c>
      <c r="BF607">
        <v>483</v>
      </c>
      <c r="BG607">
        <v>263</v>
      </c>
      <c r="BH607">
        <v>200</v>
      </c>
      <c r="BI607">
        <v>463</v>
      </c>
      <c r="BP607">
        <v>437</v>
      </c>
      <c r="BR607">
        <v>332</v>
      </c>
      <c r="BS607">
        <v>77</v>
      </c>
      <c r="BT607">
        <v>63</v>
      </c>
      <c r="BV607">
        <v>7</v>
      </c>
      <c r="BW607">
        <v>916</v>
      </c>
      <c r="BX607">
        <f t="shared" si="72"/>
        <v>455</v>
      </c>
      <c r="BY607" s="5">
        <f t="shared" si="70"/>
        <v>1.0131868131868131</v>
      </c>
      <c r="BZ607" s="6">
        <f t="shared" si="68"/>
        <v>1.0131868131868131</v>
      </c>
      <c r="CA607" s="7">
        <v>44143</v>
      </c>
      <c r="CE607">
        <v>248</v>
      </c>
      <c r="CF607">
        <v>233</v>
      </c>
      <c r="CG607">
        <v>212</v>
      </c>
      <c r="CH607">
        <v>223</v>
      </c>
      <c r="CI607">
        <f t="shared" si="66"/>
        <v>2020</v>
      </c>
      <c r="CJ607" t="str">
        <f t="shared" si="67"/>
        <v>5669_2020</v>
      </c>
    </row>
    <row r="608" spans="1:88" x14ac:dyDescent="0.25">
      <c r="A608" t="s">
        <v>111</v>
      </c>
      <c r="B608" t="s">
        <v>114</v>
      </c>
      <c r="C608">
        <v>5669</v>
      </c>
      <c r="D608">
        <v>-37.796627999999998</v>
      </c>
      <c r="E608">
        <v>145.04176100000001</v>
      </c>
      <c r="F608">
        <v>4</v>
      </c>
      <c r="G608" t="s">
        <v>254</v>
      </c>
      <c r="H608">
        <v>111</v>
      </c>
      <c r="I608">
        <v>291</v>
      </c>
      <c r="J608">
        <v>149</v>
      </c>
      <c r="K608">
        <v>329</v>
      </c>
      <c r="L608">
        <v>290</v>
      </c>
      <c r="M608">
        <v>110</v>
      </c>
      <c r="N608">
        <v>356</v>
      </c>
      <c r="O608">
        <v>176</v>
      </c>
      <c r="T608">
        <v>14</v>
      </c>
      <c r="U608">
        <v>86</v>
      </c>
      <c r="V608">
        <v>44</v>
      </c>
      <c r="Y608">
        <v>7</v>
      </c>
      <c r="Z608">
        <v>10</v>
      </c>
      <c r="AA608">
        <v>46</v>
      </c>
      <c r="AD608">
        <v>76</v>
      </c>
      <c r="AE608">
        <v>13</v>
      </c>
      <c r="AF608">
        <v>19</v>
      </c>
      <c r="AI608">
        <v>42</v>
      </c>
      <c r="AJ608">
        <v>44</v>
      </c>
      <c r="AK608">
        <v>6</v>
      </c>
      <c r="AX608">
        <v>144</v>
      </c>
      <c r="AY608">
        <v>125</v>
      </c>
      <c r="AZ608">
        <v>269</v>
      </c>
      <c r="BA608">
        <v>63</v>
      </c>
      <c r="BB608">
        <v>71</v>
      </c>
      <c r="BC608">
        <v>134</v>
      </c>
      <c r="BD608">
        <v>108</v>
      </c>
      <c r="BE608">
        <v>102</v>
      </c>
      <c r="BF608">
        <v>210</v>
      </c>
      <c r="BG608">
        <v>92</v>
      </c>
      <c r="BH608">
        <v>109</v>
      </c>
      <c r="BI608">
        <v>201</v>
      </c>
      <c r="BP608">
        <v>148</v>
      </c>
      <c r="BR608">
        <v>165</v>
      </c>
      <c r="BS608">
        <v>28</v>
      </c>
      <c r="BT608">
        <v>50</v>
      </c>
      <c r="BV608">
        <v>16</v>
      </c>
      <c r="BW608">
        <v>407</v>
      </c>
      <c r="BX608">
        <f t="shared" si="72"/>
        <v>916</v>
      </c>
      <c r="BY608" s="5">
        <f t="shared" si="70"/>
        <v>-0.55567685589519655</v>
      </c>
      <c r="BZ608" s="6">
        <f t="shared" si="68"/>
        <v>-0.55567685589519655</v>
      </c>
      <c r="CA608" s="7">
        <v>44528</v>
      </c>
      <c r="CE608">
        <v>138</v>
      </c>
      <c r="CF608">
        <v>171</v>
      </c>
      <c r="CG608">
        <v>98</v>
      </c>
      <c r="CI608">
        <f t="shared" si="66"/>
        <v>2021</v>
      </c>
      <c r="CJ608" t="str">
        <f t="shared" si="67"/>
        <v>5669_2021</v>
      </c>
    </row>
    <row r="609" spans="1:88" x14ac:dyDescent="0.25">
      <c r="A609" t="s">
        <v>111</v>
      </c>
      <c r="B609" t="s">
        <v>114</v>
      </c>
      <c r="C609">
        <v>5669</v>
      </c>
      <c r="D609">
        <v>-37.796627999999998</v>
      </c>
      <c r="E609">
        <v>145.04176100000001</v>
      </c>
      <c r="F609">
        <v>4</v>
      </c>
      <c r="G609" t="s">
        <v>254</v>
      </c>
      <c r="H609">
        <v>111</v>
      </c>
      <c r="I609">
        <v>291</v>
      </c>
      <c r="J609">
        <v>149</v>
      </c>
      <c r="K609">
        <v>329</v>
      </c>
      <c r="L609">
        <v>290</v>
      </c>
      <c r="M609">
        <v>110</v>
      </c>
      <c r="N609">
        <v>356</v>
      </c>
      <c r="O609">
        <v>176</v>
      </c>
      <c r="T609">
        <v>6</v>
      </c>
      <c r="U609">
        <v>92</v>
      </c>
      <c r="V609">
        <v>36</v>
      </c>
      <c r="Y609">
        <v>2</v>
      </c>
      <c r="Z609">
        <v>4</v>
      </c>
      <c r="AA609">
        <v>53</v>
      </c>
      <c r="AD609">
        <v>80</v>
      </c>
      <c r="AE609">
        <v>6</v>
      </c>
      <c r="AF609">
        <v>4</v>
      </c>
      <c r="AI609">
        <v>47</v>
      </c>
      <c r="AJ609">
        <v>68</v>
      </c>
      <c r="AK609">
        <v>14</v>
      </c>
      <c r="AX609">
        <v>134</v>
      </c>
      <c r="AY609">
        <v>129</v>
      </c>
      <c r="AZ609">
        <v>263</v>
      </c>
      <c r="BA609">
        <v>59</v>
      </c>
      <c r="BB609">
        <v>80</v>
      </c>
      <c r="BC609">
        <v>139</v>
      </c>
      <c r="BD609">
        <v>90</v>
      </c>
      <c r="BE609">
        <v>110</v>
      </c>
      <c r="BF609">
        <v>200</v>
      </c>
      <c r="BG609">
        <v>129</v>
      </c>
      <c r="BH609">
        <v>93</v>
      </c>
      <c r="BI609">
        <v>222</v>
      </c>
      <c r="BP609">
        <v>111</v>
      </c>
      <c r="BR609">
        <v>183</v>
      </c>
      <c r="BS609">
        <v>45</v>
      </c>
      <c r="BT609">
        <v>64</v>
      </c>
      <c r="BU609">
        <v>9</v>
      </c>
      <c r="BV609">
        <v>0</v>
      </c>
      <c r="BW609">
        <v>412</v>
      </c>
      <c r="BX609">
        <f t="shared" si="72"/>
        <v>407</v>
      </c>
      <c r="BY609" s="5">
        <f t="shared" si="70"/>
        <v>1.2285012285012284E-2</v>
      </c>
      <c r="BZ609" s="6">
        <f t="shared" si="68"/>
        <v>1.2285012285012284E-2</v>
      </c>
      <c r="CA609" s="7">
        <v>44878</v>
      </c>
      <c r="CE609">
        <v>143</v>
      </c>
      <c r="CF609">
        <v>152</v>
      </c>
      <c r="CG609">
        <v>117</v>
      </c>
      <c r="CI609">
        <f t="shared" si="66"/>
        <v>2022</v>
      </c>
      <c r="CJ609" t="str">
        <f t="shared" si="67"/>
        <v>5669_2022</v>
      </c>
    </row>
    <row r="610" spans="1:88" x14ac:dyDescent="0.25">
      <c r="A610" t="s">
        <v>111</v>
      </c>
      <c r="B610" t="s">
        <v>255</v>
      </c>
      <c r="C610">
        <v>5670</v>
      </c>
      <c r="D610">
        <v>-37.836500000000001</v>
      </c>
      <c r="E610">
        <v>145.26320000000001</v>
      </c>
      <c r="F610">
        <v>3</v>
      </c>
      <c r="G610" t="s">
        <v>256</v>
      </c>
      <c r="H610">
        <v>102</v>
      </c>
      <c r="I610">
        <v>282</v>
      </c>
      <c r="J610">
        <v>141</v>
      </c>
      <c r="K610">
        <v>321</v>
      </c>
      <c r="L610">
        <v>281</v>
      </c>
      <c r="M610">
        <v>101</v>
      </c>
      <c r="T610">
        <v>238</v>
      </c>
      <c r="U610">
        <v>1972</v>
      </c>
      <c r="Y610">
        <v>306</v>
      </c>
      <c r="Z610">
        <v>714</v>
      </c>
      <c r="AD610">
        <v>2516</v>
      </c>
      <c r="AE610">
        <v>510</v>
      </c>
      <c r="AX610">
        <v>2210</v>
      </c>
      <c r="AY610">
        <v>2822</v>
      </c>
      <c r="AZ610">
        <v>5032</v>
      </c>
      <c r="BA610">
        <v>1020</v>
      </c>
      <c r="BB610">
        <v>748</v>
      </c>
      <c r="BC610">
        <v>1768</v>
      </c>
      <c r="BD610">
        <v>3026</v>
      </c>
      <c r="BE610">
        <v>2686</v>
      </c>
      <c r="BF610">
        <v>5712</v>
      </c>
      <c r="BP610">
        <v>5780</v>
      </c>
      <c r="BR610">
        <v>272</v>
      </c>
      <c r="BS610">
        <v>170</v>
      </c>
      <c r="BT610">
        <v>0</v>
      </c>
      <c r="BV610">
        <v>34</v>
      </c>
      <c r="BW610">
        <v>6256</v>
      </c>
      <c r="BX610" t="s">
        <v>82</v>
      </c>
      <c r="BY610" s="5"/>
      <c r="BZ610" s="6"/>
      <c r="CA610" s="7">
        <v>40853</v>
      </c>
      <c r="CI610">
        <f t="shared" si="66"/>
        <v>2011</v>
      </c>
      <c r="CJ610" t="str">
        <f t="shared" si="67"/>
        <v>5670_2011</v>
      </c>
    </row>
    <row r="611" spans="1:88" x14ac:dyDescent="0.25">
      <c r="A611" t="s">
        <v>111</v>
      </c>
      <c r="B611" t="s">
        <v>133</v>
      </c>
      <c r="C611">
        <v>5671</v>
      </c>
      <c r="D611">
        <v>-37.839500000000001</v>
      </c>
      <c r="E611">
        <v>145.21420000000001</v>
      </c>
      <c r="F611">
        <v>3</v>
      </c>
      <c r="G611" t="s">
        <v>257</v>
      </c>
      <c r="H611">
        <v>47</v>
      </c>
      <c r="I611">
        <v>227</v>
      </c>
      <c r="J611">
        <v>128</v>
      </c>
      <c r="K611">
        <v>308</v>
      </c>
      <c r="L611">
        <v>293</v>
      </c>
      <c r="M611">
        <v>113</v>
      </c>
      <c r="T611">
        <v>58</v>
      </c>
      <c r="U611">
        <v>2</v>
      </c>
      <c r="Y611">
        <v>80</v>
      </c>
      <c r="Z611">
        <v>20</v>
      </c>
      <c r="AD611">
        <v>5</v>
      </c>
      <c r="AE611">
        <v>26</v>
      </c>
      <c r="AX611">
        <v>60</v>
      </c>
      <c r="AY611">
        <v>85</v>
      </c>
      <c r="AZ611">
        <v>145</v>
      </c>
      <c r="BA611">
        <v>100</v>
      </c>
      <c r="BB611">
        <v>84</v>
      </c>
      <c r="BC611">
        <v>184</v>
      </c>
      <c r="BD611">
        <v>31</v>
      </c>
      <c r="BE611">
        <v>22</v>
      </c>
      <c r="BF611">
        <v>53</v>
      </c>
      <c r="BP611">
        <v>146</v>
      </c>
      <c r="BR611">
        <v>36</v>
      </c>
      <c r="BS611">
        <v>4</v>
      </c>
      <c r="BT611">
        <v>5</v>
      </c>
      <c r="BV611">
        <v>0</v>
      </c>
      <c r="BW611">
        <v>191</v>
      </c>
      <c r="BX611" t="s">
        <v>82</v>
      </c>
      <c r="BY611" s="5"/>
      <c r="BZ611" s="6"/>
      <c r="CA611" s="7">
        <v>40853</v>
      </c>
      <c r="CI611">
        <f t="shared" si="66"/>
        <v>2011</v>
      </c>
      <c r="CJ611" t="str">
        <f t="shared" si="67"/>
        <v>5671_2011</v>
      </c>
    </row>
    <row r="612" spans="1:88" x14ac:dyDescent="0.25">
      <c r="A612" t="s">
        <v>111</v>
      </c>
      <c r="B612" t="s">
        <v>255</v>
      </c>
      <c r="C612">
        <v>5672</v>
      </c>
      <c r="D612">
        <v>-37.857199999999999</v>
      </c>
      <c r="E612">
        <v>145.2081</v>
      </c>
      <c r="F612">
        <v>3</v>
      </c>
      <c r="G612" t="s">
        <v>258</v>
      </c>
      <c r="H612">
        <v>23</v>
      </c>
      <c r="I612">
        <v>203</v>
      </c>
      <c r="J612">
        <v>157</v>
      </c>
      <c r="K612">
        <v>337</v>
      </c>
      <c r="L612">
        <v>263</v>
      </c>
      <c r="M612">
        <v>83</v>
      </c>
      <c r="T612">
        <v>3094</v>
      </c>
      <c r="U612">
        <v>748</v>
      </c>
      <c r="Y612">
        <v>3162</v>
      </c>
      <c r="Z612">
        <v>238</v>
      </c>
      <c r="AD612">
        <v>340</v>
      </c>
      <c r="AE612">
        <v>476</v>
      </c>
      <c r="AX612">
        <v>3842</v>
      </c>
      <c r="AY612">
        <v>3502</v>
      </c>
      <c r="AZ612">
        <v>7344</v>
      </c>
      <c r="BA612">
        <v>3400</v>
      </c>
      <c r="BB612">
        <v>3570</v>
      </c>
      <c r="BC612">
        <v>6970</v>
      </c>
      <c r="BD612">
        <v>816</v>
      </c>
      <c r="BE612">
        <v>986</v>
      </c>
      <c r="BF612">
        <v>1802</v>
      </c>
      <c r="BP612">
        <v>7446</v>
      </c>
      <c r="BR612">
        <v>374</v>
      </c>
      <c r="BS612">
        <v>102</v>
      </c>
      <c r="BT612">
        <v>68</v>
      </c>
      <c r="BV612">
        <v>68</v>
      </c>
      <c r="BW612">
        <v>8058</v>
      </c>
      <c r="BX612" t="s">
        <v>82</v>
      </c>
      <c r="BY612" s="5"/>
      <c r="BZ612" s="6"/>
      <c r="CA612" s="7">
        <v>40853</v>
      </c>
      <c r="CI612">
        <f t="shared" si="66"/>
        <v>2011</v>
      </c>
      <c r="CJ612" t="str">
        <f t="shared" si="67"/>
        <v>5672_2011</v>
      </c>
    </row>
    <row r="613" spans="1:88" x14ac:dyDescent="0.25">
      <c r="A613" t="s">
        <v>111</v>
      </c>
      <c r="B613" t="s">
        <v>259</v>
      </c>
      <c r="C613">
        <v>5673</v>
      </c>
      <c r="D613">
        <v>-37.908000000000001</v>
      </c>
      <c r="E613">
        <v>145.20439999999999</v>
      </c>
      <c r="F613">
        <v>3</v>
      </c>
      <c r="G613" t="s">
        <v>260</v>
      </c>
      <c r="H613">
        <v>83</v>
      </c>
      <c r="I613">
        <v>263</v>
      </c>
      <c r="J613">
        <v>207</v>
      </c>
      <c r="K613">
        <v>27</v>
      </c>
      <c r="L613">
        <v>293</v>
      </c>
      <c r="M613">
        <v>113</v>
      </c>
      <c r="T613">
        <v>40</v>
      </c>
      <c r="U613">
        <v>61</v>
      </c>
      <c r="Y613">
        <v>24</v>
      </c>
      <c r="Z613">
        <v>9</v>
      </c>
      <c r="AD613">
        <v>46</v>
      </c>
      <c r="AE613">
        <v>66</v>
      </c>
      <c r="AX613">
        <v>101</v>
      </c>
      <c r="AY613">
        <v>70</v>
      </c>
      <c r="AZ613">
        <v>171</v>
      </c>
      <c r="BA613">
        <v>33</v>
      </c>
      <c r="BB613">
        <v>106</v>
      </c>
      <c r="BC613">
        <v>139</v>
      </c>
      <c r="BD613">
        <v>112</v>
      </c>
      <c r="BE613">
        <v>70</v>
      </c>
      <c r="BF613">
        <v>182</v>
      </c>
      <c r="BP613">
        <v>215</v>
      </c>
      <c r="BR613">
        <v>24</v>
      </c>
      <c r="BS613">
        <v>5</v>
      </c>
      <c r="BT613">
        <v>0</v>
      </c>
      <c r="BV613">
        <v>2</v>
      </c>
      <c r="BW613">
        <v>246</v>
      </c>
      <c r="BX613" t="s">
        <v>82</v>
      </c>
      <c r="BY613" s="5"/>
      <c r="BZ613" s="6"/>
      <c r="CA613" s="7">
        <v>40853</v>
      </c>
      <c r="CI613">
        <f t="shared" si="66"/>
        <v>2011</v>
      </c>
      <c r="CJ613" t="str">
        <f t="shared" si="67"/>
        <v>5673_2011</v>
      </c>
    </row>
    <row r="614" spans="1:88" x14ac:dyDescent="0.25">
      <c r="A614" t="s">
        <v>111</v>
      </c>
      <c r="B614" t="s">
        <v>261</v>
      </c>
      <c r="C614">
        <v>5675</v>
      </c>
      <c r="D614">
        <v>-38.001100000000001</v>
      </c>
      <c r="E614">
        <v>145.19380000000001</v>
      </c>
      <c r="F614">
        <v>4</v>
      </c>
      <c r="G614" t="s">
        <v>262</v>
      </c>
      <c r="H614">
        <v>10</v>
      </c>
      <c r="I614">
        <v>190</v>
      </c>
      <c r="J614">
        <v>23</v>
      </c>
      <c r="K614">
        <v>203</v>
      </c>
      <c r="L614">
        <v>99</v>
      </c>
      <c r="M614">
        <v>279</v>
      </c>
      <c r="N614">
        <v>198</v>
      </c>
      <c r="O614">
        <v>18</v>
      </c>
      <c r="T614">
        <v>2</v>
      </c>
      <c r="U614">
        <v>4</v>
      </c>
      <c r="V614">
        <v>21</v>
      </c>
      <c r="Y614">
        <v>4</v>
      </c>
      <c r="Z614">
        <v>6</v>
      </c>
      <c r="AA614">
        <v>9</v>
      </c>
      <c r="AD614">
        <v>3</v>
      </c>
      <c r="AE614">
        <v>1</v>
      </c>
      <c r="AF614">
        <v>1</v>
      </c>
      <c r="AI614">
        <v>19</v>
      </c>
      <c r="AJ614">
        <v>10</v>
      </c>
      <c r="AK614">
        <v>0</v>
      </c>
      <c r="AX614">
        <v>27</v>
      </c>
      <c r="AY614">
        <v>26</v>
      </c>
      <c r="AZ614">
        <v>53</v>
      </c>
      <c r="BA614">
        <v>19</v>
      </c>
      <c r="BB614">
        <v>13</v>
      </c>
      <c r="BC614">
        <v>32</v>
      </c>
      <c r="BD614">
        <v>5</v>
      </c>
      <c r="BE614">
        <v>10</v>
      </c>
      <c r="BF614">
        <v>15</v>
      </c>
      <c r="BG614">
        <v>29</v>
      </c>
      <c r="BH614">
        <v>31</v>
      </c>
      <c r="BI614">
        <v>60</v>
      </c>
      <c r="BP614">
        <v>65</v>
      </c>
      <c r="BR614">
        <v>13</v>
      </c>
      <c r="BS614">
        <v>0</v>
      </c>
      <c r="BT614">
        <v>2</v>
      </c>
      <c r="BV614">
        <v>0</v>
      </c>
      <c r="BW614">
        <v>80</v>
      </c>
      <c r="BX614" t="s">
        <v>82</v>
      </c>
      <c r="BY614" s="5"/>
      <c r="BZ614" s="6"/>
      <c r="CA614" s="7">
        <v>40853</v>
      </c>
      <c r="CI614">
        <f t="shared" si="66"/>
        <v>2011</v>
      </c>
      <c r="CJ614" t="str">
        <f t="shared" si="67"/>
        <v>5675_2011</v>
      </c>
    </row>
    <row r="615" spans="1:88" x14ac:dyDescent="0.25">
      <c r="A615" t="s">
        <v>111</v>
      </c>
      <c r="B615" t="s">
        <v>261</v>
      </c>
      <c r="C615">
        <v>5675</v>
      </c>
      <c r="D615">
        <v>-38.001100000000001</v>
      </c>
      <c r="E615">
        <v>145.193782</v>
      </c>
      <c r="F615">
        <v>4</v>
      </c>
      <c r="G615" t="s">
        <v>262</v>
      </c>
      <c r="H615">
        <v>10</v>
      </c>
      <c r="I615">
        <v>190</v>
      </c>
      <c r="J615">
        <v>23</v>
      </c>
      <c r="K615">
        <v>203</v>
      </c>
      <c r="L615">
        <v>99</v>
      </c>
      <c r="M615">
        <v>279</v>
      </c>
      <c r="N615">
        <v>198</v>
      </c>
      <c r="O615">
        <v>18</v>
      </c>
      <c r="T615">
        <v>4</v>
      </c>
      <c r="U615">
        <v>1</v>
      </c>
      <c r="V615">
        <v>2</v>
      </c>
      <c r="Y615">
        <v>0</v>
      </c>
      <c r="Z615">
        <v>2</v>
      </c>
      <c r="AA615">
        <v>9</v>
      </c>
      <c r="AD615">
        <v>0</v>
      </c>
      <c r="AE615">
        <v>3</v>
      </c>
      <c r="AF615">
        <v>2</v>
      </c>
      <c r="AI615">
        <v>6</v>
      </c>
      <c r="AJ615">
        <v>7</v>
      </c>
      <c r="AK615">
        <v>1</v>
      </c>
      <c r="AX615">
        <v>7</v>
      </c>
      <c r="AY615">
        <v>6</v>
      </c>
      <c r="AZ615">
        <v>13</v>
      </c>
      <c r="BA615">
        <v>11</v>
      </c>
      <c r="BB615">
        <v>14</v>
      </c>
      <c r="BC615">
        <v>25</v>
      </c>
      <c r="BD615">
        <v>5</v>
      </c>
      <c r="BE615">
        <v>4</v>
      </c>
      <c r="BF615">
        <v>9</v>
      </c>
      <c r="BG615">
        <v>14</v>
      </c>
      <c r="BH615">
        <v>13</v>
      </c>
      <c r="BI615">
        <v>27</v>
      </c>
      <c r="BP615">
        <v>26</v>
      </c>
      <c r="BR615">
        <v>8</v>
      </c>
      <c r="BS615">
        <v>0</v>
      </c>
      <c r="BT615">
        <v>3</v>
      </c>
      <c r="BV615">
        <v>0</v>
      </c>
      <c r="BW615">
        <v>37</v>
      </c>
      <c r="BX615" t="str">
        <f>IF(C615=C614,IF((CI615-1)=CI614,BW614,"no data"))</f>
        <v>no data</v>
      </c>
      <c r="BY615" s="5"/>
      <c r="BZ615" s="6"/>
      <c r="CA615" s="7">
        <v>42687</v>
      </c>
      <c r="CE615">
        <v>3</v>
      </c>
      <c r="CF615">
        <v>8</v>
      </c>
      <c r="CG615">
        <v>14</v>
      </c>
      <c r="CH615">
        <v>12</v>
      </c>
      <c r="CI615">
        <f t="shared" si="66"/>
        <v>2016</v>
      </c>
      <c r="CJ615" t="str">
        <f t="shared" si="67"/>
        <v>5675_2016</v>
      </c>
    </row>
    <row r="616" spans="1:88" x14ac:dyDescent="0.25">
      <c r="A616" t="s">
        <v>111</v>
      </c>
      <c r="B616" t="s">
        <v>261</v>
      </c>
      <c r="C616">
        <v>5675</v>
      </c>
      <c r="D616">
        <v>-38.001100000000001</v>
      </c>
      <c r="E616">
        <v>145.193782</v>
      </c>
      <c r="F616">
        <v>4</v>
      </c>
      <c r="G616" t="s">
        <v>262</v>
      </c>
      <c r="H616">
        <v>10</v>
      </c>
      <c r="I616">
        <v>190</v>
      </c>
      <c r="J616">
        <v>23</v>
      </c>
      <c r="K616">
        <v>203</v>
      </c>
      <c r="L616">
        <v>99</v>
      </c>
      <c r="M616">
        <v>279</v>
      </c>
      <c r="N616">
        <v>198</v>
      </c>
      <c r="O616">
        <v>18</v>
      </c>
      <c r="T616">
        <v>10</v>
      </c>
      <c r="U616">
        <v>7</v>
      </c>
      <c r="V616">
        <v>25</v>
      </c>
      <c r="Y616">
        <v>4</v>
      </c>
      <c r="Z616">
        <v>10</v>
      </c>
      <c r="AA616">
        <v>18</v>
      </c>
      <c r="AD616">
        <v>4</v>
      </c>
      <c r="AE616">
        <v>1</v>
      </c>
      <c r="AF616">
        <v>9</v>
      </c>
      <c r="AI616">
        <v>28</v>
      </c>
      <c r="AJ616">
        <v>18</v>
      </c>
      <c r="AK616">
        <v>5</v>
      </c>
      <c r="AX616">
        <v>42</v>
      </c>
      <c r="AY616">
        <v>36</v>
      </c>
      <c r="AZ616">
        <v>78</v>
      </c>
      <c r="BA616">
        <v>32</v>
      </c>
      <c r="BB616">
        <v>29</v>
      </c>
      <c r="BC616">
        <v>61</v>
      </c>
      <c r="BD616">
        <v>14</v>
      </c>
      <c r="BE616">
        <v>22</v>
      </c>
      <c r="BF616">
        <v>36</v>
      </c>
      <c r="BG616">
        <v>51</v>
      </c>
      <c r="BH616">
        <v>52</v>
      </c>
      <c r="BI616">
        <v>103</v>
      </c>
      <c r="BP616">
        <v>118</v>
      </c>
      <c r="BR616">
        <v>15</v>
      </c>
      <c r="BS616">
        <v>2</v>
      </c>
      <c r="BT616">
        <v>2</v>
      </c>
      <c r="BV616">
        <v>2</v>
      </c>
      <c r="BW616">
        <v>139</v>
      </c>
      <c r="BX616">
        <f>IF(C616=C615,IF((CI616-1)=CI615,BW615,"no data"))</f>
        <v>37</v>
      </c>
      <c r="BY616" s="5">
        <f t="shared" si="70"/>
        <v>2.7567567567567566</v>
      </c>
      <c r="BZ616" s="6">
        <f t="shared" si="68"/>
        <v>2.7567567567567566</v>
      </c>
      <c r="CA616" s="7">
        <v>43051</v>
      </c>
      <c r="CE616">
        <v>34</v>
      </c>
      <c r="CF616">
        <v>40</v>
      </c>
      <c r="CG616">
        <v>39</v>
      </c>
      <c r="CH616">
        <v>26</v>
      </c>
      <c r="CI616">
        <f t="shared" si="66"/>
        <v>2017</v>
      </c>
      <c r="CJ616" t="str">
        <f t="shared" si="67"/>
        <v>5675_2017</v>
      </c>
    </row>
    <row r="617" spans="1:88" x14ac:dyDescent="0.25">
      <c r="A617" t="s">
        <v>111</v>
      </c>
      <c r="B617" t="s">
        <v>261</v>
      </c>
      <c r="C617">
        <v>5675</v>
      </c>
      <c r="D617">
        <v>-38.001100000000001</v>
      </c>
      <c r="E617">
        <v>145.193782</v>
      </c>
      <c r="F617">
        <v>4</v>
      </c>
      <c r="G617" t="s">
        <v>262</v>
      </c>
      <c r="H617">
        <v>10</v>
      </c>
      <c r="I617">
        <v>190</v>
      </c>
      <c r="J617">
        <v>23</v>
      </c>
      <c r="K617">
        <v>203</v>
      </c>
      <c r="L617">
        <v>99</v>
      </c>
      <c r="M617">
        <v>279</v>
      </c>
      <c r="N617">
        <v>198</v>
      </c>
      <c r="O617">
        <v>18</v>
      </c>
      <c r="T617">
        <v>6</v>
      </c>
      <c r="U617">
        <v>1</v>
      </c>
      <c r="V617">
        <v>26</v>
      </c>
      <c r="Y617">
        <v>12</v>
      </c>
      <c r="Z617">
        <v>2</v>
      </c>
      <c r="AA617">
        <v>28</v>
      </c>
      <c r="AD617">
        <v>0</v>
      </c>
      <c r="AE617">
        <v>5</v>
      </c>
      <c r="AF617">
        <v>5</v>
      </c>
      <c r="AI617">
        <v>37</v>
      </c>
      <c r="AJ617">
        <v>18</v>
      </c>
      <c r="AK617">
        <v>1</v>
      </c>
      <c r="AX617">
        <v>33</v>
      </c>
      <c r="AY617">
        <v>49</v>
      </c>
      <c r="AZ617">
        <v>82</v>
      </c>
      <c r="BA617">
        <v>42</v>
      </c>
      <c r="BB617">
        <v>29</v>
      </c>
      <c r="BC617">
        <v>71</v>
      </c>
      <c r="BD617">
        <v>10</v>
      </c>
      <c r="BE617">
        <v>4</v>
      </c>
      <c r="BF617">
        <v>14</v>
      </c>
      <c r="BG617">
        <v>56</v>
      </c>
      <c r="BH617">
        <v>59</v>
      </c>
      <c r="BI617">
        <v>115</v>
      </c>
      <c r="BP617">
        <v>97</v>
      </c>
      <c r="BR617">
        <v>38</v>
      </c>
      <c r="BS617">
        <v>1</v>
      </c>
      <c r="BT617">
        <v>5</v>
      </c>
      <c r="BV617">
        <v>0</v>
      </c>
      <c r="BW617">
        <v>141</v>
      </c>
      <c r="BX617">
        <f>IF(C617=C616,IF((CI617-1)=CI616,BW616,"no data"))</f>
        <v>139</v>
      </c>
      <c r="BY617" s="5">
        <f t="shared" si="70"/>
        <v>1.4388489208633094E-2</v>
      </c>
      <c r="BZ617" s="6">
        <f t="shared" si="68"/>
        <v>1.4388489208633094E-2</v>
      </c>
      <c r="CA617" s="7">
        <v>43415</v>
      </c>
      <c r="CE617">
        <v>37</v>
      </c>
      <c r="CF617">
        <v>56</v>
      </c>
      <c r="CG617">
        <v>20</v>
      </c>
      <c r="CH617">
        <v>28</v>
      </c>
      <c r="CI617">
        <f t="shared" si="66"/>
        <v>2018</v>
      </c>
      <c r="CJ617" t="str">
        <f t="shared" si="67"/>
        <v>5675_2018</v>
      </c>
    </row>
    <row r="618" spans="1:88" x14ac:dyDescent="0.25">
      <c r="A618" t="s">
        <v>111</v>
      </c>
      <c r="B618" t="s">
        <v>261</v>
      </c>
      <c r="C618">
        <v>5675</v>
      </c>
      <c r="D618">
        <v>-38.001100000000001</v>
      </c>
      <c r="E618">
        <v>145.19380000000001</v>
      </c>
      <c r="F618">
        <v>4</v>
      </c>
      <c r="G618" t="s">
        <v>262</v>
      </c>
      <c r="H618">
        <v>10</v>
      </c>
      <c r="I618">
        <v>190</v>
      </c>
      <c r="J618">
        <v>23</v>
      </c>
      <c r="K618">
        <v>203</v>
      </c>
      <c r="L618">
        <v>99</v>
      </c>
      <c r="M618">
        <v>279</v>
      </c>
      <c r="N618">
        <v>198</v>
      </c>
      <c r="O618">
        <v>18</v>
      </c>
      <c r="T618">
        <v>10</v>
      </c>
      <c r="U618">
        <v>4</v>
      </c>
      <c r="V618">
        <v>16</v>
      </c>
      <c r="Y618">
        <v>0</v>
      </c>
      <c r="Z618">
        <v>1</v>
      </c>
      <c r="AA618">
        <v>21</v>
      </c>
      <c r="AD618">
        <v>1</v>
      </c>
      <c r="AE618">
        <v>0</v>
      </c>
      <c r="AF618">
        <v>5</v>
      </c>
      <c r="AI618">
        <v>17</v>
      </c>
      <c r="AJ618">
        <v>17</v>
      </c>
      <c r="AK618">
        <v>3</v>
      </c>
      <c r="AX618">
        <v>30</v>
      </c>
      <c r="AY618">
        <v>18</v>
      </c>
      <c r="AZ618">
        <v>48</v>
      </c>
      <c r="BA618">
        <v>22</v>
      </c>
      <c r="BB618">
        <v>27</v>
      </c>
      <c r="BC618">
        <v>49</v>
      </c>
      <c r="BD618">
        <v>6</v>
      </c>
      <c r="BE618">
        <v>8</v>
      </c>
      <c r="BF618">
        <v>14</v>
      </c>
      <c r="BG618">
        <v>37</v>
      </c>
      <c r="BH618">
        <v>42</v>
      </c>
      <c r="BI618">
        <v>79</v>
      </c>
      <c r="BP618">
        <v>63</v>
      </c>
      <c r="BR618">
        <v>25</v>
      </c>
      <c r="BS618">
        <v>5</v>
      </c>
      <c r="BT618">
        <v>1</v>
      </c>
      <c r="BV618">
        <v>1</v>
      </c>
      <c r="BW618">
        <v>95</v>
      </c>
      <c r="BX618">
        <f>IF(C618=C617,IF((CI618-1)=CI617,BW617,"no data"))</f>
        <v>141</v>
      </c>
      <c r="BY618" s="5">
        <f t="shared" si="70"/>
        <v>-0.32624113475177308</v>
      </c>
      <c r="BZ618" s="6">
        <f t="shared" si="68"/>
        <v>-0.32624113475177308</v>
      </c>
      <c r="CA618" s="7">
        <v>43779</v>
      </c>
      <c r="CE618">
        <v>24</v>
      </c>
      <c r="CF618">
        <v>21</v>
      </c>
      <c r="CG618">
        <v>33</v>
      </c>
      <c r="CH618">
        <v>17</v>
      </c>
      <c r="CI618">
        <f t="shared" si="66"/>
        <v>2019</v>
      </c>
      <c r="CJ618" t="str">
        <f t="shared" si="67"/>
        <v>5675_2019</v>
      </c>
    </row>
    <row r="619" spans="1:88" x14ac:dyDescent="0.25">
      <c r="A619" t="s">
        <v>111</v>
      </c>
      <c r="B619" t="s">
        <v>261</v>
      </c>
      <c r="C619">
        <v>5676</v>
      </c>
      <c r="D619">
        <v>-38.001117000000001</v>
      </c>
      <c r="E619">
        <v>145.192508</v>
      </c>
      <c r="F619">
        <v>3</v>
      </c>
      <c r="G619" t="s">
        <v>263</v>
      </c>
      <c r="H619">
        <v>102</v>
      </c>
      <c r="I619">
        <v>282</v>
      </c>
      <c r="J619">
        <v>274</v>
      </c>
      <c r="K619">
        <v>94</v>
      </c>
      <c r="L619">
        <v>358</v>
      </c>
      <c r="M619">
        <v>178</v>
      </c>
      <c r="T619">
        <v>0</v>
      </c>
      <c r="U619">
        <v>0</v>
      </c>
      <c r="Y619">
        <v>0</v>
      </c>
      <c r="Z619">
        <v>6</v>
      </c>
      <c r="AD619">
        <v>0</v>
      </c>
      <c r="AE619">
        <v>0</v>
      </c>
      <c r="AX619">
        <v>0</v>
      </c>
      <c r="AY619">
        <v>0</v>
      </c>
      <c r="AZ619">
        <v>0</v>
      </c>
      <c r="BA619">
        <v>6</v>
      </c>
      <c r="BB619">
        <v>0</v>
      </c>
      <c r="BC619">
        <v>6</v>
      </c>
      <c r="BD619">
        <v>0</v>
      </c>
      <c r="BE619">
        <v>6</v>
      </c>
      <c r="BF619">
        <v>6</v>
      </c>
      <c r="BP619">
        <v>3</v>
      </c>
      <c r="BR619">
        <v>1</v>
      </c>
      <c r="BS619">
        <v>0</v>
      </c>
      <c r="BT619">
        <v>2</v>
      </c>
      <c r="BV619">
        <v>0</v>
      </c>
      <c r="BW619">
        <v>6</v>
      </c>
      <c r="BX619" t="s">
        <v>82</v>
      </c>
      <c r="BY619" s="5"/>
      <c r="BZ619" s="6"/>
      <c r="CA619" s="7">
        <v>42687</v>
      </c>
      <c r="CE619">
        <v>0</v>
      </c>
      <c r="CF619">
        <v>3</v>
      </c>
      <c r="CG619">
        <v>0</v>
      </c>
      <c r="CH619">
        <v>3</v>
      </c>
      <c r="CI619">
        <f t="shared" si="66"/>
        <v>2016</v>
      </c>
      <c r="CJ619" t="str">
        <f t="shared" si="67"/>
        <v>5676_2016</v>
      </c>
    </row>
    <row r="620" spans="1:88" x14ac:dyDescent="0.25">
      <c r="A620" t="s">
        <v>111</v>
      </c>
      <c r="B620" t="s">
        <v>261</v>
      </c>
      <c r="C620">
        <v>5676</v>
      </c>
      <c r="D620">
        <v>-38.001117000000001</v>
      </c>
      <c r="E620">
        <v>145.192508</v>
      </c>
      <c r="F620">
        <v>3</v>
      </c>
      <c r="G620" t="s">
        <v>263</v>
      </c>
      <c r="H620">
        <v>102</v>
      </c>
      <c r="I620">
        <v>282</v>
      </c>
      <c r="J620">
        <v>274</v>
      </c>
      <c r="K620">
        <v>94</v>
      </c>
      <c r="L620">
        <v>358</v>
      </c>
      <c r="M620">
        <v>178</v>
      </c>
      <c r="T620">
        <v>14</v>
      </c>
      <c r="U620">
        <v>0</v>
      </c>
      <c r="Y620">
        <v>19</v>
      </c>
      <c r="Z620">
        <v>9</v>
      </c>
      <c r="AD620">
        <v>0</v>
      </c>
      <c r="AE620">
        <v>9</v>
      </c>
      <c r="AX620">
        <v>14</v>
      </c>
      <c r="AY620">
        <v>19</v>
      </c>
      <c r="AZ620">
        <v>33</v>
      </c>
      <c r="BA620">
        <v>28</v>
      </c>
      <c r="BB620">
        <v>23</v>
      </c>
      <c r="BC620">
        <v>51</v>
      </c>
      <c r="BD620">
        <v>9</v>
      </c>
      <c r="BE620">
        <v>9</v>
      </c>
      <c r="BF620">
        <v>18</v>
      </c>
      <c r="BP620">
        <v>43</v>
      </c>
      <c r="BR620">
        <v>5</v>
      </c>
      <c r="BS620">
        <v>3</v>
      </c>
      <c r="BT620">
        <v>0</v>
      </c>
      <c r="BV620">
        <v>0</v>
      </c>
      <c r="BW620">
        <v>51</v>
      </c>
      <c r="BX620">
        <f>IF(C620=C619,IF((CI620-1)=CI619,BW619,"no data"))</f>
        <v>6</v>
      </c>
      <c r="BY620" s="5">
        <f t="shared" si="70"/>
        <v>7.5</v>
      </c>
      <c r="BZ620" s="6">
        <f t="shared" si="68"/>
        <v>7.5</v>
      </c>
      <c r="CA620" s="7">
        <v>43051</v>
      </c>
      <c r="CE620">
        <v>17</v>
      </c>
      <c r="CF620">
        <v>14</v>
      </c>
      <c r="CG620">
        <v>12</v>
      </c>
      <c r="CH620">
        <v>8</v>
      </c>
      <c r="CI620">
        <f t="shared" si="66"/>
        <v>2017</v>
      </c>
      <c r="CJ620" t="str">
        <f t="shared" si="67"/>
        <v>5676_2017</v>
      </c>
    </row>
    <row r="621" spans="1:88" x14ac:dyDescent="0.25">
      <c r="A621" t="s">
        <v>111</v>
      </c>
      <c r="B621" t="s">
        <v>261</v>
      </c>
      <c r="C621">
        <v>5676</v>
      </c>
      <c r="D621">
        <v>-38.001117000000001</v>
      </c>
      <c r="E621">
        <v>145.192508</v>
      </c>
      <c r="F621">
        <v>3</v>
      </c>
      <c r="G621" t="s">
        <v>263</v>
      </c>
      <c r="H621">
        <v>102</v>
      </c>
      <c r="I621">
        <v>282</v>
      </c>
      <c r="J621">
        <v>274</v>
      </c>
      <c r="K621">
        <v>94</v>
      </c>
      <c r="L621">
        <v>358</v>
      </c>
      <c r="M621">
        <v>178</v>
      </c>
      <c r="T621">
        <v>1</v>
      </c>
      <c r="U621">
        <v>0</v>
      </c>
      <c r="Y621">
        <v>1</v>
      </c>
      <c r="Z621">
        <v>11</v>
      </c>
      <c r="AD621">
        <v>3</v>
      </c>
      <c r="AE621">
        <v>4</v>
      </c>
      <c r="AX621">
        <v>1</v>
      </c>
      <c r="AY621">
        <v>4</v>
      </c>
      <c r="AZ621">
        <v>5</v>
      </c>
      <c r="BA621">
        <v>12</v>
      </c>
      <c r="BB621">
        <v>5</v>
      </c>
      <c r="BC621">
        <v>17</v>
      </c>
      <c r="BD621">
        <v>7</v>
      </c>
      <c r="BE621">
        <v>11</v>
      </c>
      <c r="BF621">
        <v>18</v>
      </c>
      <c r="BP621">
        <v>16</v>
      </c>
      <c r="BR621">
        <v>4</v>
      </c>
      <c r="BS621">
        <v>0</v>
      </c>
      <c r="BT621">
        <v>0</v>
      </c>
      <c r="BV621">
        <v>0</v>
      </c>
      <c r="BW621">
        <v>20</v>
      </c>
      <c r="BX621">
        <f>IF(C621=C620,IF((CI621-1)=CI620,BW620,"no data"))</f>
        <v>51</v>
      </c>
      <c r="BY621" s="5">
        <f t="shared" si="70"/>
        <v>-0.60784313725490191</v>
      </c>
      <c r="BZ621" s="6">
        <f t="shared" si="68"/>
        <v>-0.60784313725490191</v>
      </c>
      <c r="CA621" s="7">
        <v>43415</v>
      </c>
      <c r="CE621">
        <v>5</v>
      </c>
      <c r="CF621">
        <v>6</v>
      </c>
      <c r="CG621">
        <v>5</v>
      </c>
      <c r="CH621">
        <v>4</v>
      </c>
      <c r="CI621">
        <f t="shared" si="66"/>
        <v>2018</v>
      </c>
      <c r="CJ621" t="str">
        <f t="shared" si="67"/>
        <v>5676_2018</v>
      </c>
    </row>
    <row r="622" spans="1:88" x14ac:dyDescent="0.25">
      <c r="A622" t="s">
        <v>111</v>
      </c>
      <c r="B622" t="s">
        <v>261</v>
      </c>
      <c r="C622">
        <v>5676</v>
      </c>
      <c r="D622">
        <v>-38.001100000000001</v>
      </c>
      <c r="E622">
        <v>145.1925</v>
      </c>
      <c r="F622">
        <v>3</v>
      </c>
      <c r="G622" t="s">
        <v>263</v>
      </c>
      <c r="H622">
        <v>102</v>
      </c>
      <c r="I622">
        <v>282</v>
      </c>
      <c r="J622">
        <v>274</v>
      </c>
      <c r="K622">
        <v>94</v>
      </c>
      <c r="L622">
        <v>358</v>
      </c>
      <c r="M622">
        <v>178</v>
      </c>
      <c r="T622">
        <v>6</v>
      </c>
      <c r="U622">
        <v>2</v>
      </c>
      <c r="Y622">
        <v>5</v>
      </c>
      <c r="Z622">
        <v>7</v>
      </c>
      <c r="AD622">
        <v>3</v>
      </c>
      <c r="AE622">
        <v>0</v>
      </c>
      <c r="AX622">
        <v>8</v>
      </c>
      <c r="AY622">
        <v>8</v>
      </c>
      <c r="AZ622">
        <v>16</v>
      </c>
      <c r="BA622">
        <v>12</v>
      </c>
      <c r="BB622">
        <v>6</v>
      </c>
      <c r="BC622">
        <v>18</v>
      </c>
      <c r="BD622">
        <v>3</v>
      </c>
      <c r="BE622">
        <v>9</v>
      </c>
      <c r="BF622">
        <v>12</v>
      </c>
      <c r="BP622">
        <v>18</v>
      </c>
      <c r="BR622">
        <v>3</v>
      </c>
      <c r="BS622">
        <v>2</v>
      </c>
      <c r="BT622">
        <v>0</v>
      </c>
      <c r="BV622">
        <v>0</v>
      </c>
      <c r="BW622">
        <v>23</v>
      </c>
      <c r="BX622">
        <f>IF(C622=C621,IF((CI622-1)=CI621,BW621,"no data"))</f>
        <v>20</v>
      </c>
      <c r="BY622" s="5">
        <f t="shared" si="70"/>
        <v>0.15</v>
      </c>
      <c r="BZ622" s="6">
        <f t="shared" si="68"/>
        <v>0.15</v>
      </c>
      <c r="CA622" s="7">
        <v>43779</v>
      </c>
      <c r="CE622">
        <v>9</v>
      </c>
      <c r="CF622">
        <v>5</v>
      </c>
      <c r="CG622">
        <v>5</v>
      </c>
      <c r="CH622">
        <v>4</v>
      </c>
      <c r="CI622">
        <f t="shared" si="66"/>
        <v>2019</v>
      </c>
      <c r="CJ622" t="str">
        <f t="shared" si="67"/>
        <v>5676_2019</v>
      </c>
    </row>
    <row r="623" spans="1:88" x14ac:dyDescent="0.25">
      <c r="A623" t="s">
        <v>111</v>
      </c>
      <c r="B623" t="s">
        <v>261</v>
      </c>
      <c r="C623">
        <v>5677</v>
      </c>
      <c r="D623">
        <v>-37.970863999999999</v>
      </c>
      <c r="E623">
        <v>145.22877700000001</v>
      </c>
      <c r="F623">
        <v>4</v>
      </c>
      <c r="G623" t="s">
        <v>264</v>
      </c>
      <c r="H623">
        <v>20</v>
      </c>
      <c r="I623">
        <v>200</v>
      </c>
      <c r="J623">
        <v>111</v>
      </c>
      <c r="K623">
        <v>291</v>
      </c>
      <c r="L623">
        <v>190</v>
      </c>
      <c r="M623">
        <v>10</v>
      </c>
      <c r="N623">
        <v>318</v>
      </c>
      <c r="O623">
        <v>138</v>
      </c>
      <c r="T623">
        <v>1</v>
      </c>
      <c r="U623">
        <v>2</v>
      </c>
      <c r="V623">
        <v>0</v>
      </c>
      <c r="Y623">
        <v>0</v>
      </c>
      <c r="Z623">
        <v>1</v>
      </c>
      <c r="AA623">
        <v>3</v>
      </c>
      <c r="AD623">
        <v>2</v>
      </c>
      <c r="AE623">
        <v>2</v>
      </c>
      <c r="AF623">
        <v>4</v>
      </c>
      <c r="AI623">
        <v>2</v>
      </c>
      <c r="AJ623">
        <v>3</v>
      </c>
      <c r="AK623">
        <v>13</v>
      </c>
      <c r="AX623">
        <v>3</v>
      </c>
      <c r="AY623">
        <v>4</v>
      </c>
      <c r="AZ623">
        <v>7</v>
      </c>
      <c r="BA623">
        <v>4</v>
      </c>
      <c r="BB623">
        <v>6</v>
      </c>
      <c r="BC623">
        <v>10</v>
      </c>
      <c r="BD623">
        <v>8</v>
      </c>
      <c r="BE623">
        <v>16</v>
      </c>
      <c r="BF623">
        <v>24</v>
      </c>
      <c r="BG623">
        <v>18</v>
      </c>
      <c r="BH623">
        <v>7</v>
      </c>
      <c r="BI623">
        <v>25</v>
      </c>
      <c r="BP623">
        <v>10</v>
      </c>
      <c r="BR623">
        <v>12</v>
      </c>
      <c r="BS623">
        <v>4</v>
      </c>
      <c r="BT623">
        <v>7</v>
      </c>
      <c r="BV623">
        <v>0</v>
      </c>
      <c r="BW623">
        <v>33</v>
      </c>
      <c r="BX623" t="s">
        <v>82</v>
      </c>
      <c r="BY623" s="5"/>
      <c r="BZ623" s="6"/>
      <c r="CA623" s="7">
        <v>42687</v>
      </c>
      <c r="CE623">
        <v>6</v>
      </c>
      <c r="CF623">
        <v>5</v>
      </c>
      <c r="CG623">
        <v>7</v>
      </c>
      <c r="CH623">
        <v>15</v>
      </c>
      <c r="CI623">
        <f t="shared" si="66"/>
        <v>2016</v>
      </c>
      <c r="CJ623" t="str">
        <f t="shared" si="67"/>
        <v>5677_2016</v>
      </c>
    </row>
    <row r="624" spans="1:88" x14ac:dyDescent="0.25">
      <c r="A624" t="s">
        <v>111</v>
      </c>
      <c r="B624" t="s">
        <v>261</v>
      </c>
      <c r="C624">
        <v>5677</v>
      </c>
      <c r="D624">
        <v>-37.970863999999999</v>
      </c>
      <c r="E624">
        <v>145.22877700000001</v>
      </c>
      <c r="F624">
        <v>4</v>
      </c>
      <c r="G624" t="s">
        <v>264</v>
      </c>
      <c r="H624">
        <v>20</v>
      </c>
      <c r="I624">
        <v>200</v>
      </c>
      <c r="J624">
        <v>111</v>
      </c>
      <c r="K624">
        <v>291</v>
      </c>
      <c r="L624">
        <v>190</v>
      </c>
      <c r="M624">
        <v>10</v>
      </c>
      <c r="N624">
        <v>318</v>
      </c>
      <c r="O624">
        <v>138</v>
      </c>
      <c r="T624">
        <v>24</v>
      </c>
      <c r="U624">
        <v>14</v>
      </c>
      <c r="V624">
        <v>39</v>
      </c>
      <c r="Y624">
        <v>23</v>
      </c>
      <c r="Z624">
        <v>25</v>
      </c>
      <c r="AA624">
        <v>16</v>
      </c>
      <c r="AD624">
        <v>31</v>
      </c>
      <c r="AE624">
        <v>19</v>
      </c>
      <c r="AF624">
        <v>27</v>
      </c>
      <c r="AI624">
        <v>26</v>
      </c>
      <c r="AJ624">
        <v>13</v>
      </c>
      <c r="AK624">
        <v>29</v>
      </c>
      <c r="AX624">
        <v>77</v>
      </c>
      <c r="AY624">
        <v>80</v>
      </c>
      <c r="AZ624">
        <v>157</v>
      </c>
      <c r="BA624">
        <v>64</v>
      </c>
      <c r="BB624">
        <v>56</v>
      </c>
      <c r="BC624">
        <v>120</v>
      </c>
      <c r="BD624">
        <v>77</v>
      </c>
      <c r="BE624">
        <v>68</v>
      </c>
      <c r="BF624">
        <v>145</v>
      </c>
      <c r="BG624">
        <v>68</v>
      </c>
      <c r="BH624">
        <v>82</v>
      </c>
      <c r="BI624">
        <v>150</v>
      </c>
      <c r="BP624">
        <v>74</v>
      </c>
      <c r="BR624">
        <v>150</v>
      </c>
      <c r="BS624">
        <v>47</v>
      </c>
      <c r="BT624">
        <v>14</v>
      </c>
      <c r="BV624">
        <v>1</v>
      </c>
      <c r="BW624">
        <v>286</v>
      </c>
      <c r="BX624">
        <f>IF(C624=C623,IF((CI624-1)=CI623,BW623,"no data"))</f>
        <v>33</v>
      </c>
      <c r="BY624" s="5">
        <f t="shared" si="70"/>
        <v>7.666666666666667</v>
      </c>
      <c r="BZ624" s="6">
        <f t="shared" si="68"/>
        <v>7.666666666666667</v>
      </c>
      <c r="CA624" s="7">
        <v>43051</v>
      </c>
      <c r="CE624">
        <v>78</v>
      </c>
      <c r="CF624">
        <v>63</v>
      </c>
      <c r="CG624">
        <v>110</v>
      </c>
      <c r="CH624">
        <v>35</v>
      </c>
      <c r="CI624">
        <f t="shared" si="66"/>
        <v>2017</v>
      </c>
      <c r="CJ624" t="str">
        <f t="shared" si="67"/>
        <v>5677_2017</v>
      </c>
    </row>
    <row r="625" spans="1:88" x14ac:dyDescent="0.25">
      <c r="A625" t="s">
        <v>111</v>
      </c>
      <c r="B625" t="s">
        <v>261</v>
      </c>
      <c r="C625">
        <v>5677</v>
      </c>
      <c r="D625">
        <v>-37.970863999999999</v>
      </c>
      <c r="E625">
        <v>145.22877700000001</v>
      </c>
      <c r="F625">
        <v>4</v>
      </c>
      <c r="G625" t="s">
        <v>264</v>
      </c>
      <c r="H625">
        <v>20</v>
      </c>
      <c r="I625">
        <v>200</v>
      </c>
      <c r="J625">
        <v>111</v>
      </c>
      <c r="K625">
        <v>291</v>
      </c>
      <c r="L625">
        <v>190</v>
      </c>
      <c r="M625">
        <v>10</v>
      </c>
      <c r="N625">
        <v>318</v>
      </c>
      <c r="O625">
        <v>138</v>
      </c>
      <c r="T625">
        <v>4</v>
      </c>
      <c r="U625">
        <v>0</v>
      </c>
      <c r="V625">
        <v>0</v>
      </c>
      <c r="Y625">
        <v>9</v>
      </c>
      <c r="Z625">
        <v>3</v>
      </c>
      <c r="AA625">
        <v>13</v>
      </c>
      <c r="AD625">
        <v>5</v>
      </c>
      <c r="AE625">
        <v>4</v>
      </c>
      <c r="AF625">
        <v>53</v>
      </c>
      <c r="AI625">
        <v>1</v>
      </c>
      <c r="AJ625">
        <v>16</v>
      </c>
      <c r="AK625">
        <v>81</v>
      </c>
      <c r="AX625">
        <v>4</v>
      </c>
      <c r="AY625">
        <v>15</v>
      </c>
      <c r="AZ625">
        <v>19</v>
      </c>
      <c r="BA625">
        <v>25</v>
      </c>
      <c r="BB625">
        <v>24</v>
      </c>
      <c r="BC625">
        <v>49</v>
      </c>
      <c r="BD625">
        <v>62</v>
      </c>
      <c r="BE625">
        <v>84</v>
      </c>
      <c r="BF625">
        <v>146</v>
      </c>
      <c r="BG625">
        <v>98</v>
      </c>
      <c r="BH625">
        <v>66</v>
      </c>
      <c r="BI625">
        <v>164</v>
      </c>
      <c r="BP625">
        <v>110</v>
      </c>
      <c r="BR625">
        <v>56</v>
      </c>
      <c r="BS625">
        <v>4</v>
      </c>
      <c r="BT625">
        <v>15</v>
      </c>
      <c r="BV625">
        <v>4</v>
      </c>
      <c r="BW625">
        <v>189</v>
      </c>
      <c r="BX625">
        <f>IF(C625=C624,IF((CI625-1)=CI624,BW624,"no data"))</f>
        <v>286</v>
      </c>
      <c r="BY625" s="5">
        <f t="shared" si="70"/>
        <v>-0.33916083916083917</v>
      </c>
      <c r="BZ625" s="6">
        <f t="shared" si="68"/>
        <v>-0.33916083916083917</v>
      </c>
      <c r="CA625" s="7">
        <v>43415</v>
      </c>
      <c r="CE625">
        <v>40</v>
      </c>
      <c r="CF625">
        <v>58</v>
      </c>
      <c r="CG625">
        <v>51</v>
      </c>
      <c r="CH625">
        <v>40</v>
      </c>
      <c r="CI625">
        <f t="shared" si="66"/>
        <v>2018</v>
      </c>
      <c r="CJ625" t="str">
        <f t="shared" si="67"/>
        <v>5677_2018</v>
      </c>
    </row>
    <row r="626" spans="1:88" x14ac:dyDescent="0.25">
      <c r="A626" t="s">
        <v>111</v>
      </c>
      <c r="B626" t="s">
        <v>261</v>
      </c>
      <c r="C626">
        <v>5677</v>
      </c>
      <c r="D626">
        <v>-37.9709</v>
      </c>
      <c r="E626">
        <v>145.22880000000001</v>
      </c>
      <c r="F626">
        <v>4</v>
      </c>
      <c r="G626" t="s">
        <v>264</v>
      </c>
      <c r="H626">
        <v>20</v>
      </c>
      <c r="I626">
        <v>200</v>
      </c>
      <c r="J626">
        <v>111</v>
      </c>
      <c r="K626">
        <v>291</v>
      </c>
      <c r="L626">
        <v>190</v>
      </c>
      <c r="M626">
        <v>10</v>
      </c>
      <c r="N626">
        <v>318</v>
      </c>
      <c r="O626">
        <v>138</v>
      </c>
      <c r="T626">
        <v>2</v>
      </c>
      <c r="U626">
        <v>3</v>
      </c>
      <c r="V626">
        <v>4</v>
      </c>
      <c r="Y626">
        <v>6</v>
      </c>
      <c r="Z626">
        <v>3</v>
      </c>
      <c r="AA626">
        <v>15</v>
      </c>
      <c r="AD626">
        <v>10</v>
      </c>
      <c r="AE626">
        <v>14</v>
      </c>
      <c r="AF626">
        <v>46</v>
      </c>
      <c r="AI626">
        <v>11</v>
      </c>
      <c r="AJ626">
        <v>7</v>
      </c>
      <c r="AK626">
        <v>25</v>
      </c>
      <c r="AX626">
        <v>9</v>
      </c>
      <c r="AY626">
        <v>27</v>
      </c>
      <c r="AZ626">
        <v>36</v>
      </c>
      <c r="BA626">
        <v>24</v>
      </c>
      <c r="BB626">
        <v>23</v>
      </c>
      <c r="BC626">
        <v>47</v>
      </c>
      <c r="BD626">
        <v>70</v>
      </c>
      <c r="BE626">
        <v>31</v>
      </c>
      <c r="BF626">
        <v>101</v>
      </c>
      <c r="BG626">
        <v>43</v>
      </c>
      <c r="BH626">
        <v>65</v>
      </c>
      <c r="BI626">
        <v>108</v>
      </c>
      <c r="BP626">
        <v>45</v>
      </c>
      <c r="BR626">
        <v>65</v>
      </c>
      <c r="BS626">
        <v>7</v>
      </c>
      <c r="BT626">
        <v>27</v>
      </c>
      <c r="BV626">
        <v>2</v>
      </c>
      <c r="BW626">
        <v>146</v>
      </c>
      <c r="BX626">
        <f>IF(C626=C625,IF((CI626-1)=CI625,BW625,"no data"))</f>
        <v>189</v>
      </c>
      <c r="BY626" s="5">
        <f t="shared" si="70"/>
        <v>-0.2275132275132275</v>
      </c>
      <c r="BZ626" s="6">
        <f t="shared" si="68"/>
        <v>-0.2275132275132275</v>
      </c>
      <c r="CA626" s="7">
        <v>43779</v>
      </c>
      <c r="CE626">
        <v>28</v>
      </c>
      <c r="CF626">
        <v>37</v>
      </c>
      <c r="CG626">
        <v>38</v>
      </c>
      <c r="CH626">
        <v>43</v>
      </c>
      <c r="CI626">
        <f t="shared" si="66"/>
        <v>2019</v>
      </c>
      <c r="CJ626" t="str">
        <f t="shared" si="67"/>
        <v>5677_2019</v>
      </c>
    </row>
    <row r="627" spans="1:88" x14ac:dyDescent="0.25">
      <c r="A627" t="s">
        <v>111</v>
      </c>
      <c r="B627" t="s">
        <v>261</v>
      </c>
      <c r="C627">
        <v>5677</v>
      </c>
      <c r="D627">
        <v>-37.9709</v>
      </c>
      <c r="E627">
        <v>145.22880000000001</v>
      </c>
      <c r="F627">
        <v>4</v>
      </c>
      <c r="G627" t="s">
        <v>264</v>
      </c>
      <c r="H627">
        <v>20</v>
      </c>
      <c r="I627">
        <v>200</v>
      </c>
      <c r="J627">
        <v>111</v>
      </c>
      <c r="K627">
        <v>291</v>
      </c>
      <c r="L627">
        <v>190</v>
      </c>
      <c r="M627">
        <v>10</v>
      </c>
      <c r="N627">
        <v>318</v>
      </c>
      <c r="O627">
        <v>138</v>
      </c>
      <c r="T627">
        <v>4</v>
      </c>
      <c r="U627">
        <v>4</v>
      </c>
      <c r="V627">
        <v>1</v>
      </c>
      <c r="Y627">
        <v>8</v>
      </c>
      <c r="Z627">
        <v>14</v>
      </c>
      <c r="AA627">
        <v>45</v>
      </c>
      <c r="AD627">
        <v>12</v>
      </c>
      <c r="AE627">
        <v>11</v>
      </c>
      <c r="AF627">
        <v>147</v>
      </c>
      <c r="AI627">
        <v>8</v>
      </c>
      <c r="AJ627">
        <v>26</v>
      </c>
      <c r="AK627">
        <v>129</v>
      </c>
      <c r="AX627">
        <v>9</v>
      </c>
      <c r="AY627">
        <v>28</v>
      </c>
      <c r="AZ627">
        <v>37</v>
      </c>
      <c r="BA627">
        <v>67</v>
      </c>
      <c r="BB627">
        <v>41</v>
      </c>
      <c r="BC627">
        <v>108</v>
      </c>
      <c r="BD627">
        <v>170</v>
      </c>
      <c r="BE627">
        <v>147</v>
      </c>
      <c r="BF627">
        <v>317</v>
      </c>
      <c r="BG627">
        <v>163</v>
      </c>
      <c r="BH627">
        <v>193</v>
      </c>
      <c r="BI627">
        <v>356</v>
      </c>
      <c r="BP627">
        <v>266</v>
      </c>
      <c r="BR627">
        <v>109</v>
      </c>
      <c r="BS627">
        <v>15</v>
      </c>
      <c r="BT627">
        <v>17</v>
      </c>
      <c r="BV627">
        <v>2</v>
      </c>
      <c r="BW627">
        <v>409</v>
      </c>
      <c r="BX627">
        <f>IF(C627=C626,IF((CI627-1)=CI626,BW626,"no data"))</f>
        <v>146</v>
      </c>
      <c r="BY627" s="5">
        <f t="shared" si="70"/>
        <v>1.8013698630136987</v>
      </c>
      <c r="BZ627" s="6">
        <f t="shared" si="68"/>
        <v>1.8013698630136987</v>
      </c>
      <c r="CA627" s="7">
        <v>44143</v>
      </c>
      <c r="CE627">
        <v>67</v>
      </c>
      <c r="CF627">
        <v>111</v>
      </c>
      <c r="CG627">
        <v>127</v>
      </c>
      <c r="CH627">
        <v>104</v>
      </c>
      <c r="CI627">
        <f t="shared" si="66"/>
        <v>2020</v>
      </c>
      <c r="CJ627" t="str">
        <f t="shared" si="67"/>
        <v>5677_2020</v>
      </c>
    </row>
    <row r="628" spans="1:88" x14ac:dyDescent="0.25">
      <c r="A628" t="s">
        <v>111</v>
      </c>
      <c r="B628" t="s">
        <v>259</v>
      </c>
      <c r="C628">
        <v>5678</v>
      </c>
      <c r="D628">
        <v>-37.884999999999998</v>
      </c>
      <c r="E628">
        <v>145.09030000000001</v>
      </c>
      <c r="F628">
        <v>3</v>
      </c>
      <c r="G628" t="s">
        <v>265</v>
      </c>
      <c r="H628">
        <v>14</v>
      </c>
      <c r="I628">
        <v>194</v>
      </c>
      <c r="J628">
        <v>191</v>
      </c>
      <c r="K628">
        <v>11</v>
      </c>
      <c r="L628">
        <v>329</v>
      </c>
      <c r="M628">
        <v>149</v>
      </c>
      <c r="T628">
        <v>6</v>
      </c>
      <c r="U628">
        <v>2</v>
      </c>
      <c r="Y628">
        <v>5</v>
      </c>
      <c r="Z628">
        <v>30</v>
      </c>
      <c r="AD628">
        <v>0</v>
      </c>
      <c r="AE628">
        <v>56</v>
      </c>
      <c r="AX628">
        <v>8</v>
      </c>
      <c r="AY628">
        <v>5</v>
      </c>
      <c r="AZ628">
        <v>13</v>
      </c>
      <c r="BA628">
        <v>35</v>
      </c>
      <c r="BB628">
        <v>62</v>
      </c>
      <c r="BC628">
        <v>97</v>
      </c>
      <c r="BD628">
        <v>56</v>
      </c>
      <c r="BE628">
        <v>32</v>
      </c>
      <c r="BF628">
        <v>88</v>
      </c>
      <c r="BP628">
        <v>84</v>
      </c>
      <c r="BR628">
        <v>9</v>
      </c>
      <c r="BS628">
        <v>3</v>
      </c>
      <c r="BT628">
        <v>3</v>
      </c>
      <c r="BV628">
        <v>0</v>
      </c>
      <c r="BW628">
        <v>99</v>
      </c>
      <c r="BX628" t="s">
        <v>82</v>
      </c>
      <c r="BY628" s="5"/>
      <c r="BZ628" s="6"/>
      <c r="CA628" s="7">
        <v>40853</v>
      </c>
      <c r="CI628">
        <f t="shared" si="66"/>
        <v>2011</v>
      </c>
      <c r="CJ628" t="str">
        <f t="shared" si="67"/>
        <v>5678_2011</v>
      </c>
    </row>
    <row r="629" spans="1:88" x14ac:dyDescent="0.25">
      <c r="A629" t="s">
        <v>111</v>
      </c>
      <c r="B629" t="s">
        <v>259</v>
      </c>
      <c r="C629">
        <v>5680</v>
      </c>
      <c r="D629">
        <v>-37.891300000000001</v>
      </c>
      <c r="E629">
        <v>145.12530000000001</v>
      </c>
      <c r="F629">
        <v>3</v>
      </c>
      <c r="G629" t="s">
        <v>266</v>
      </c>
      <c r="H629">
        <v>108</v>
      </c>
      <c r="I629">
        <v>288</v>
      </c>
      <c r="J629">
        <v>287</v>
      </c>
      <c r="K629">
        <v>107</v>
      </c>
      <c r="L629">
        <v>334</v>
      </c>
      <c r="M629">
        <v>154</v>
      </c>
      <c r="T629">
        <v>34</v>
      </c>
      <c r="U629">
        <v>9</v>
      </c>
      <c r="Y629">
        <v>74</v>
      </c>
      <c r="Z629">
        <v>4</v>
      </c>
      <c r="AD629">
        <v>0</v>
      </c>
      <c r="AE629">
        <v>5</v>
      </c>
      <c r="AX629">
        <v>43</v>
      </c>
      <c r="AY629">
        <v>74</v>
      </c>
      <c r="AZ629">
        <v>117</v>
      </c>
      <c r="BA629">
        <v>78</v>
      </c>
      <c r="BB629">
        <v>39</v>
      </c>
      <c r="BC629">
        <v>117</v>
      </c>
      <c r="BD629">
        <v>5</v>
      </c>
      <c r="BE629">
        <v>13</v>
      </c>
      <c r="BF629">
        <v>18</v>
      </c>
      <c r="BP629">
        <v>94</v>
      </c>
      <c r="BR629">
        <v>17</v>
      </c>
      <c r="BS629">
        <v>9</v>
      </c>
      <c r="BT629">
        <v>6</v>
      </c>
      <c r="BV629">
        <v>0</v>
      </c>
      <c r="BW629">
        <v>126</v>
      </c>
      <c r="BX629" t="s">
        <v>82</v>
      </c>
      <c r="BY629" s="5"/>
      <c r="BZ629" s="6"/>
      <c r="CA629" s="7">
        <v>40853</v>
      </c>
      <c r="CI629">
        <f t="shared" si="66"/>
        <v>2011</v>
      </c>
      <c r="CJ629" t="str">
        <f t="shared" si="67"/>
        <v>5680_2011</v>
      </c>
    </row>
    <row r="630" spans="1:88" x14ac:dyDescent="0.25">
      <c r="A630" t="s">
        <v>111</v>
      </c>
      <c r="B630" t="s">
        <v>267</v>
      </c>
      <c r="C630">
        <v>5681</v>
      </c>
      <c r="D630">
        <v>-37.757199999999997</v>
      </c>
      <c r="E630">
        <v>145.3597</v>
      </c>
      <c r="F630">
        <v>3</v>
      </c>
      <c r="G630" t="s">
        <v>268</v>
      </c>
      <c r="H630">
        <v>0</v>
      </c>
      <c r="I630">
        <v>180</v>
      </c>
      <c r="J630">
        <v>155</v>
      </c>
      <c r="K630">
        <v>335</v>
      </c>
      <c r="L630">
        <v>330</v>
      </c>
      <c r="M630">
        <v>150</v>
      </c>
      <c r="T630">
        <v>10</v>
      </c>
      <c r="U630">
        <v>2</v>
      </c>
      <c r="Y630">
        <v>19</v>
      </c>
      <c r="Z630">
        <v>1</v>
      </c>
      <c r="AD630">
        <v>0</v>
      </c>
      <c r="AE630">
        <v>0</v>
      </c>
      <c r="AX630">
        <v>12</v>
      </c>
      <c r="AY630">
        <v>19</v>
      </c>
      <c r="AZ630">
        <v>31</v>
      </c>
      <c r="BA630">
        <v>20</v>
      </c>
      <c r="BB630">
        <v>10</v>
      </c>
      <c r="BC630">
        <v>30</v>
      </c>
      <c r="BD630">
        <v>0</v>
      </c>
      <c r="BE630">
        <v>3</v>
      </c>
      <c r="BF630">
        <v>3</v>
      </c>
      <c r="BP630">
        <v>24</v>
      </c>
      <c r="BR630">
        <v>5</v>
      </c>
      <c r="BS630">
        <v>2</v>
      </c>
      <c r="BT630">
        <v>1</v>
      </c>
      <c r="BV630">
        <v>0</v>
      </c>
      <c r="BW630">
        <v>32</v>
      </c>
      <c r="BX630" t="s">
        <v>82</v>
      </c>
      <c r="BY630" s="5"/>
      <c r="BZ630" s="6"/>
      <c r="CA630" s="7">
        <v>40853</v>
      </c>
      <c r="CI630">
        <f t="shared" si="66"/>
        <v>2011</v>
      </c>
      <c r="CJ630" t="str">
        <f t="shared" si="67"/>
        <v>5681_2011</v>
      </c>
    </row>
    <row r="631" spans="1:88" x14ac:dyDescent="0.25">
      <c r="A631" t="s">
        <v>111</v>
      </c>
      <c r="B631" t="s">
        <v>267</v>
      </c>
      <c r="C631">
        <v>5681</v>
      </c>
      <c r="D631">
        <v>-37.757199999999997</v>
      </c>
      <c r="E631">
        <v>145.3597</v>
      </c>
      <c r="F631">
        <v>3</v>
      </c>
      <c r="G631" t="s">
        <v>268</v>
      </c>
      <c r="H631">
        <v>0</v>
      </c>
      <c r="I631">
        <v>180</v>
      </c>
      <c r="J631">
        <v>155</v>
      </c>
      <c r="K631">
        <v>335</v>
      </c>
      <c r="L631">
        <v>330</v>
      </c>
      <c r="M631">
        <v>150</v>
      </c>
      <c r="T631">
        <v>52</v>
      </c>
      <c r="U631">
        <v>6</v>
      </c>
      <c r="Y631">
        <v>32</v>
      </c>
      <c r="Z631">
        <v>13</v>
      </c>
      <c r="AD631">
        <v>2</v>
      </c>
      <c r="AE631">
        <v>7</v>
      </c>
      <c r="AX631">
        <v>58</v>
      </c>
      <c r="AY631">
        <v>34</v>
      </c>
      <c r="AZ631">
        <v>92</v>
      </c>
      <c r="BA631">
        <v>45</v>
      </c>
      <c r="BB631">
        <v>59</v>
      </c>
      <c r="BC631">
        <v>104</v>
      </c>
      <c r="BD631">
        <v>9</v>
      </c>
      <c r="BE631">
        <v>19</v>
      </c>
      <c r="BF631">
        <v>28</v>
      </c>
      <c r="BP631">
        <v>58</v>
      </c>
      <c r="BR631">
        <v>41</v>
      </c>
      <c r="BS631">
        <v>1</v>
      </c>
      <c r="BT631">
        <v>9</v>
      </c>
      <c r="BV631">
        <v>3</v>
      </c>
      <c r="BW631">
        <v>112</v>
      </c>
      <c r="BX631" t="str">
        <f t="shared" ref="BX631:BX637" si="73">IF(C631=C630,IF((CI631-1)=CI630,BW630,"no data"))</f>
        <v>no data</v>
      </c>
      <c r="BY631" s="5"/>
      <c r="BZ631" s="6"/>
      <c r="CA631" s="7">
        <v>41588</v>
      </c>
      <c r="CI631">
        <f t="shared" si="66"/>
        <v>2013</v>
      </c>
      <c r="CJ631" t="str">
        <f t="shared" si="67"/>
        <v>5681_2013</v>
      </c>
    </row>
    <row r="632" spans="1:88" x14ac:dyDescent="0.25">
      <c r="A632" t="s">
        <v>111</v>
      </c>
      <c r="B632" t="s">
        <v>267</v>
      </c>
      <c r="C632">
        <v>5681</v>
      </c>
      <c r="D632">
        <v>-37.757199999999997</v>
      </c>
      <c r="E632">
        <v>145.3597</v>
      </c>
      <c r="F632">
        <v>3</v>
      </c>
      <c r="G632" t="s">
        <v>268</v>
      </c>
      <c r="H632">
        <v>0</v>
      </c>
      <c r="I632">
        <v>180</v>
      </c>
      <c r="J632">
        <v>155</v>
      </c>
      <c r="K632">
        <v>335</v>
      </c>
      <c r="L632">
        <v>330</v>
      </c>
      <c r="M632">
        <v>150</v>
      </c>
      <c r="T632">
        <v>50</v>
      </c>
      <c r="U632">
        <v>4</v>
      </c>
      <c r="Y632">
        <v>40</v>
      </c>
      <c r="Z632">
        <v>13</v>
      </c>
      <c r="AD632">
        <v>9</v>
      </c>
      <c r="AE632">
        <v>12</v>
      </c>
      <c r="AX632">
        <v>54</v>
      </c>
      <c r="AY632">
        <v>49</v>
      </c>
      <c r="AZ632">
        <v>103</v>
      </c>
      <c r="BA632">
        <v>53</v>
      </c>
      <c r="BB632">
        <v>62</v>
      </c>
      <c r="BC632">
        <v>115</v>
      </c>
      <c r="BD632">
        <v>21</v>
      </c>
      <c r="BE632">
        <v>17</v>
      </c>
      <c r="BF632">
        <v>38</v>
      </c>
      <c r="BP632">
        <v>99</v>
      </c>
      <c r="BR632">
        <v>18</v>
      </c>
      <c r="BS632">
        <v>5</v>
      </c>
      <c r="BT632">
        <v>4</v>
      </c>
      <c r="BV632">
        <v>2</v>
      </c>
      <c r="BW632">
        <v>128</v>
      </c>
      <c r="BX632">
        <f t="shared" si="73"/>
        <v>112</v>
      </c>
      <c r="BY632" s="5">
        <f t="shared" si="70"/>
        <v>0.14285714285714285</v>
      </c>
      <c r="BZ632" s="6">
        <f t="shared" si="68"/>
        <v>0.14285714285714285</v>
      </c>
      <c r="CA632" s="7">
        <v>41952</v>
      </c>
      <c r="CI632">
        <f t="shared" si="66"/>
        <v>2014</v>
      </c>
      <c r="CJ632" t="str">
        <f t="shared" si="67"/>
        <v>5681_2014</v>
      </c>
    </row>
    <row r="633" spans="1:88" x14ac:dyDescent="0.25">
      <c r="A633" t="s">
        <v>111</v>
      </c>
      <c r="B633" t="s">
        <v>267</v>
      </c>
      <c r="C633">
        <v>5681</v>
      </c>
      <c r="D633">
        <v>-37.757199999999997</v>
      </c>
      <c r="E633">
        <v>145.3597</v>
      </c>
      <c r="F633">
        <v>3</v>
      </c>
      <c r="G633" t="s">
        <v>268</v>
      </c>
      <c r="H633">
        <v>0</v>
      </c>
      <c r="I633">
        <v>180</v>
      </c>
      <c r="J633">
        <v>155</v>
      </c>
      <c r="K633">
        <v>335</v>
      </c>
      <c r="L633">
        <v>330</v>
      </c>
      <c r="M633">
        <v>150</v>
      </c>
      <c r="T633">
        <v>113</v>
      </c>
      <c r="U633">
        <v>2</v>
      </c>
      <c r="Y633">
        <v>64</v>
      </c>
      <c r="Z633">
        <v>16</v>
      </c>
      <c r="AD633">
        <v>10</v>
      </c>
      <c r="AE633">
        <v>4</v>
      </c>
      <c r="AX633">
        <v>115</v>
      </c>
      <c r="AY633">
        <v>74</v>
      </c>
      <c r="AZ633">
        <v>189</v>
      </c>
      <c r="BA633">
        <v>80</v>
      </c>
      <c r="BB633">
        <v>117</v>
      </c>
      <c r="BC633">
        <v>197</v>
      </c>
      <c r="BD633">
        <v>14</v>
      </c>
      <c r="BE633">
        <v>18</v>
      </c>
      <c r="BF633">
        <v>32</v>
      </c>
      <c r="BP633">
        <v>105</v>
      </c>
      <c r="BR633">
        <v>66</v>
      </c>
      <c r="BS633">
        <v>2</v>
      </c>
      <c r="BT633">
        <v>19</v>
      </c>
      <c r="BV633">
        <v>17</v>
      </c>
      <c r="BW633">
        <v>209</v>
      </c>
      <c r="BX633">
        <f t="shared" si="73"/>
        <v>128</v>
      </c>
      <c r="BY633" s="5">
        <f t="shared" si="70"/>
        <v>0.6328125</v>
      </c>
      <c r="BZ633" s="6">
        <f t="shared" si="68"/>
        <v>0.6328125</v>
      </c>
      <c r="CA633" s="7">
        <v>42316</v>
      </c>
      <c r="CE633">
        <v>69</v>
      </c>
      <c r="CF633">
        <v>44</v>
      </c>
      <c r="CG633">
        <v>51</v>
      </c>
      <c r="CH633">
        <v>45</v>
      </c>
      <c r="CI633">
        <f t="shared" si="66"/>
        <v>2015</v>
      </c>
      <c r="CJ633" t="str">
        <f t="shared" si="67"/>
        <v>5681_2015</v>
      </c>
    </row>
    <row r="634" spans="1:88" x14ac:dyDescent="0.25">
      <c r="A634" t="s">
        <v>111</v>
      </c>
      <c r="B634" t="s">
        <v>267</v>
      </c>
      <c r="C634">
        <v>5681</v>
      </c>
      <c r="D634">
        <v>-37.757173000000002</v>
      </c>
      <c r="E634">
        <v>145.359679</v>
      </c>
      <c r="F634">
        <v>3</v>
      </c>
      <c r="G634" t="s">
        <v>268</v>
      </c>
      <c r="H634">
        <v>0</v>
      </c>
      <c r="I634">
        <v>180</v>
      </c>
      <c r="J634">
        <v>155</v>
      </c>
      <c r="K634">
        <v>335</v>
      </c>
      <c r="L634">
        <v>330</v>
      </c>
      <c r="M634">
        <v>150</v>
      </c>
      <c r="T634">
        <v>22</v>
      </c>
      <c r="U634">
        <v>1</v>
      </c>
      <c r="Y634">
        <v>26</v>
      </c>
      <c r="Z634">
        <v>12</v>
      </c>
      <c r="AD634">
        <v>5</v>
      </c>
      <c r="AE634">
        <v>1</v>
      </c>
      <c r="AX634">
        <v>23</v>
      </c>
      <c r="AY634">
        <v>31</v>
      </c>
      <c r="AZ634">
        <v>54</v>
      </c>
      <c r="BA634">
        <v>38</v>
      </c>
      <c r="BB634">
        <v>23</v>
      </c>
      <c r="BC634">
        <v>61</v>
      </c>
      <c r="BD634">
        <v>6</v>
      </c>
      <c r="BE634">
        <v>13</v>
      </c>
      <c r="BF634">
        <v>19</v>
      </c>
      <c r="BP634">
        <v>12</v>
      </c>
      <c r="BR634">
        <v>41</v>
      </c>
      <c r="BS634">
        <v>9</v>
      </c>
      <c r="BT634">
        <v>5</v>
      </c>
      <c r="BV634">
        <v>0</v>
      </c>
      <c r="BW634">
        <v>67</v>
      </c>
      <c r="BX634">
        <f t="shared" si="73"/>
        <v>209</v>
      </c>
      <c r="BY634" s="5">
        <f t="shared" si="70"/>
        <v>-0.67942583732057416</v>
      </c>
      <c r="BZ634" s="6">
        <f t="shared" si="68"/>
        <v>-0.67942583732057416</v>
      </c>
      <c r="CA634" s="7">
        <v>42687</v>
      </c>
      <c r="CE634">
        <v>12</v>
      </c>
      <c r="CF634">
        <v>30</v>
      </c>
      <c r="CG634">
        <v>14</v>
      </c>
      <c r="CH634">
        <v>11</v>
      </c>
      <c r="CI634">
        <f t="shared" si="66"/>
        <v>2016</v>
      </c>
      <c r="CJ634" t="str">
        <f t="shared" si="67"/>
        <v>5681_2016</v>
      </c>
    </row>
    <row r="635" spans="1:88" x14ac:dyDescent="0.25">
      <c r="A635" t="s">
        <v>111</v>
      </c>
      <c r="B635" t="s">
        <v>267</v>
      </c>
      <c r="C635">
        <v>5681</v>
      </c>
      <c r="D635">
        <v>-37.757173000000002</v>
      </c>
      <c r="E635">
        <v>145.359679</v>
      </c>
      <c r="F635">
        <v>3</v>
      </c>
      <c r="G635" t="s">
        <v>268</v>
      </c>
      <c r="H635">
        <v>0</v>
      </c>
      <c r="I635">
        <v>180</v>
      </c>
      <c r="J635">
        <v>155</v>
      </c>
      <c r="K635">
        <v>335</v>
      </c>
      <c r="L635">
        <v>330</v>
      </c>
      <c r="M635">
        <v>150</v>
      </c>
      <c r="T635">
        <v>56</v>
      </c>
      <c r="U635">
        <v>0</v>
      </c>
      <c r="Y635">
        <v>58</v>
      </c>
      <c r="Z635">
        <v>10</v>
      </c>
      <c r="AD635">
        <v>7</v>
      </c>
      <c r="AE635">
        <v>13</v>
      </c>
      <c r="AX635">
        <v>56</v>
      </c>
      <c r="AY635">
        <v>65</v>
      </c>
      <c r="AZ635">
        <v>121</v>
      </c>
      <c r="BA635">
        <v>68</v>
      </c>
      <c r="BB635">
        <v>69</v>
      </c>
      <c r="BC635">
        <v>137</v>
      </c>
      <c r="BD635">
        <v>20</v>
      </c>
      <c r="BE635">
        <v>10</v>
      </c>
      <c r="BF635">
        <v>30</v>
      </c>
      <c r="BP635">
        <v>81</v>
      </c>
      <c r="BR635">
        <v>40</v>
      </c>
      <c r="BS635">
        <v>6</v>
      </c>
      <c r="BT635">
        <v>16</v>
      </c>
      <c r="BV635">
        <v>1</v>
      </c>
      <c r="BW635">
        <v>144</v>
      </c>
      <c r="BX635">
        <f t="shared" si="73"/>
        <v>67</v>
      </c>
      <c r="BY635" s="5">
        <f t="shared" si="70"/>
        <v>1.1492537313432836</v>
      </c>
      <c r="BZ635" s="6">
        <f t="shared" si="68"/>
        <v>1.1492537313432836</v>
      </c>
      <c r="CA635" s="7">
        <v>43051</v>
      </c>
      <c r="CE635">
        <v>55</v>
      </c>
      <c r="CF635">
        <v>30</v>
      </c>
      <c r="CG635">
        <v>23</v>
      </c>
      <c r="CH635">
        <v>36</v>
      </c>
      <c r="CI635">
        <f t="shared" si="66"/>
        <v>2017</v>
      </c>
      <c r="CJ635" t="str">
        <f t="shared" si="67"/>
        <v>5681_2017</v>
      </c>
    </row>
    <row r="636" spans="1:88" x14ac:dyDescent="0.25">
      <c r="A636" t="s">
        <v>111</v>
      </c>
      <c r="B636" t="s">
        <v>267</v>
      </c>
      <c r="C636">
        <v>5681</v>
      </c>
      <c r="D636">
        <v>-37.757173000000002</v>
      </c>
      <c r="E636">
        <v>145.359679</v>
      </c>
      <c r="F636">
        <v>3</v>
      </c>
      <c r="G636" t="s">
        <v>268</v>
      </c>
      <c r="H636">
        <v>0</v>
      </c>
      <c r="I636">
        <v>180</v>
      </c>
      <c r="J636">
        <v>155</v>
      </c>
      <c r="K636">
        <v>335</v>
      </c>
      <c r="L636">
        <v>330</v>
      </c>
      <c r="M636">
        <v>150</v>
      </c>
      <c r="T636">
        <v>77</v>
      </c>
      <c r="U636">
        <v>4</v>
      </c>
      <c r="Y636">
        <v>54</v>
      </c>
      <c r="Z636">
        <v>18</v>
      </c>
      <c r="AD636">
        <v>8</v>
      </c>
      <c r="AE636">
        <v>3</v>
      </c>
      <c r="AX636">
        <v>81</v>
      </c>
      <c r="AY636">
        <v>62</v>
      </c>
      <c r="AZ636">
        <v>143</v>
      </c>
      <c r="BA636">
        <v>72</v>
      </c>
      <c r="BB636">
        <v>80</v>
      </c>
      <c r="BC636">
        <v>152</v>
      </c>
      <c r="BD636">
        <v>11</v>
      </c>
      <c r="BE636">
        <v>22</v>
      </c>
      <c r="BF636">
        <v>33</v>
      </c>
      <c r="BP636">
        <v>70</v>
      </c>
      <c r="BR636">
        <v>63</v>
      </c>
      <c r="BS636">
        <v>11</v>
      </c>
      <c r="BT636">
        <v>20</v>
      </c>
      <c r="BV636">
        <v>0</v>
      </c>
      <c r="BW636">
        <v>164</v>
      </c>
      <c r="BX636">
        <f t="shared" si="73"/>
        <v>144</v>
      </c>
      <c r="BY636" s="5">
        <f t="shared" si="70"/>
        <v>0.1388888888888889</v>
      </c>
      <c r="BZ636" s="6">
        <f t="shared" si="68"/>
        <v>0.1388888888888889</v>
      </c>
      <c r="CA636" s="7">
        <v>43415</v>
      </c>
      <c r="CE636">
        <v>40</v>
      </c>
      <c r="CF636">
        <v>31</v>
      </c>
      <c r="CG636">
        <v>45</v>
      </c>
      <c r="CH636">
        <v>48</v>
      </c>
      <c r="CI636">
        <f t="shared" si="66"/>
        <v>2018</v>
      </c>
      <c r="CJ636" t="str">
        <f t="shared" si="67"/>
        <v>5681_2018</v>
      </c>
    </row>
    <row r="637" spans="1:88" x14ac:dyDescent="0.25">
      <c r="A637" t="s">
        <v>111</v>
      </c>
      <c r="B637" t="s">
        <v>267</v>
      </c>
      <c r="C637">
        <v>5681</v>
      </c>
      <c r="D637">
        <v>-37.757173000000002</v>
      </c>
      <c r="E637">
        <v>145.359679</v>
      </c>
      <c r="F637">
        <v>3</v>
      </c>
      <c r="G637" t="s">
        <v>268</v>
      </c>
      <c r="H637">
        <v>0</v>
      </c>
      <c r="I637">
        <v>180</v>
      </c>
      <c r="J637">
        <v>155</v>
      </c>
      <c r="K637">
        <v>335</v>
      </c>
      <c r="L637">
        <v>330</v>
      </c>
      <c r="M637">
        <v>150</v>
      </c>
      <c r="T637">
        <v>89</v>
      </c>
      <c r="U637">
        <v>7</v>
      </c>
      <c r="Y637">
        <v>169</v>
      </c>
      <c r="Z637">
        <v>12</v>
      </c>
      <c r="AD637">
        <v>7</v>
      </c>
      <c r="AE637">
        <v>6</v>
      </c>
      <c r="AX637">
        <v>96</v>
      </c>
      <c r="AY637">
        <v>176</v>
      </c>
      <c r="AZ637">
        <v>272</v>
      </c>
      <c r="BA637">
        <v>181</v>
      </c>
      <c r="BB637">
        <v>95</v>
      </c>
      <c r="BC637">
        <v>276</v>
      </c>
      <c r="BD637">
        <v>13</v>
      </c>
      <c r="BE637">
        <v>19</v>
      </c>
      <c r="BF637">
        <v>32</v>
      </c>
      <c r="BP637">
        <v>60</v>
      </c>
      <c r="BR637">
        <v>42</v>
      </c>
      <c r="BS637">
        <v>142</v>
      </c>
      <c r="BT637">
        <v>40</v>
      </c>
      <c r="BU637">
        <v>4</v>
      </c>
      <c r="BV637" s="8">
        <v>0</v>
      </c>
      <c r="BW637" s="8">
        <v>288</v>
      </c>
      <c r="BX637" t="str">
        <f t="shared" si="73"/>
        <v>no data</v>
      </c>
      <c r="BY637" s="5"/>
      <c r="BZ637" s="6"/>
      <c r="CA637" s="7">
        <v>44892</v>
      </c>
      <c r="CE637">
        <v>95</v>
      </c>
      <c r="CF637">
        <v>92</v>
      </c>
      <c r="CI637">
        <f t="shared" si="66"/>
        <v>2022</v>
      </c>
      <c r="CJ637" t="str">
        <f t="shared" si="67"/>
        <v>5681_2022</v>
      </c>
    </row>
    <row r="638" spans="1:88" x14ac:dyDescent="0.25">
      <c r="A638" t="s">
        <v>111</v>
      </c>
      <c r="B638" t="s">
        <v>267</v>
      </c>
      <c r="C638">
        <v>5682</v>
      </c>
      <c r="D638">
        <v>-37.787599999999998</v>
      </c>
      <c r="E638">
        <v>145.3837</v>
      </c>
      <c r="F638">
        <v>3</v>
      </c>
      <c r="G638" t="s">
        <v>269</v>
      </c>
      <c r="H638">
        <v>104</v>
      </c>
      <c r="I638">
        <v>284</v>
      </c>
      <c r="J638">
        <v>213</v>
      </c>
      <c r="K638">
        <v>33</v>
      </c>
      <c r="L638">
        <v>283</v>
      </c>
      <c r="M638">
        <v>103</v>
      </c>
      <c r="T638">
        <v>1</v>
      </c>
      <c r="U638">
        <v>29</v>
      </c>
      <c r="Y638">
        <v>0</v>
      </c>
      <c r="Z638">
        <v>2</v>
      </c>
      <c r="AD638">
        <v>26</v>
      </c>
      <c r="AE638">
        <v>2</v>
      </c>
      <c r="AX638">
        <v>30</v>
      </c>
      <c r="AY638">
        <v>26</v>
      </c>
      <c r="AZ638">
        <v>56</v>
      </c>
      <c r="BA638">
        <v>2</v>
      </c>
      <c r="BB638">
        <v>3</v>
      </c>
      <c r="BC638">
        <v>5</v>
      </c>
      <c r="BD638">
        <v>28</v>
      </c>
      <c r="BE638">
        <v>31</v>
      </c>
      <c r="BF638">
        <v>59</v>
      </c>
      <c r="BP638">
        <v>48</v>
      </c>
      <c r="BR638">
        <v>11</v>
      </c>
      <c r="BS638">
        <v>0</v>
      </c>
      <c r="BT638">
        <v>1</v>
      </c>
      <c r="BV638">
        <v>0</v>
      </c>
      <c r="BW638">
        <v>60</v>
      </c>
      <c r="BX638" t="s">
        <v>82</v>
      </c>
      <c r="BY638" s="5"/>
      <c r="BZ638" s="6"/>
      <c r="CA638" s="7">
        <v>40853</v>
      </c>
      <c r="CI638">
        <f t="shared" si="66"/>
        <v>2011</v>
      </c>
      <c r="CJ638" t="str">
        <f t="shared" si="67"/>
        <v>5682_2011</v>
      </c>
    </row>
    <row r="639" spans="1:88" x14ac:dyDescent="0.25">
      <c r="A639" t="s">
        <v>111</v>
      </c>
      <c r="B639" t="s">
        <v>267</v>
      </c>
      <c r="C639">
        <v>5682</v>
      </c>
      <c r="D639">
        <v>-37.787599999999998</v>
      </c>
      <c r="E639">
        <v>145.3837</v>
      </c>
      <c r="F639">
        <v>3</v>
      </c>
      <c r="G639" t="s">
        <v>269</v>
      </c>
      <c r="H639">
        <v>104</v>
      </c>
      <c r="I639">
        <v>284</v>
      </c>
      <c r="J639">
        <v>213</v>
      </c>
      <c r="K639">
        <v>33</v>
      </c>
      <c r="L639">
        <v>283</v>
      </c>
      <c r="M639">
        <v>103</v>
      </c>
      <c r="T639">
        <v>0</v>
      </c>
      <c r="U639">
        <v>103</v>
      </c>
      <c r="Y639">
        <v>0</v>
      </c>
      <c r="Z639">
        <v>1</v>
      </c>
      <c r="AD639">
        <v>124</v>
      </c>
      <c r="AE639">
        <v>2</v>
      </c>
      <c r="AX639">
        <v>103</v>
      </c>
      <c r="AY639">
        <v>124</v>
      </c>
      <c r="AZ639">
        <v>227</v>
      </c>
      <c r="BA639">
        <v>1</v>
      </c>
      <c r="BB639">
        <v>2</v>
      </c>
      <c r="BC639">
        <v>3</v>
      </c>
      <c r="BD639">
        <v>126</v>
      </c>
      <c r="BE639">
        <v>104</v>
      </c>
      <c r="BF639">
        <v>230</v>
      </c>
      <c r="BP639">
        <v>203</v>
      </c>
      <c r="BR639">
        <v>16</v>
      </c>
      <c r="BS639">
        <v>2</v>
      </c>
      <c r="BT639">
        <v>9</v>
      </c>
      <c r="BV639">
        <v>0</v>
      </c>
      <c r="BW639">
        <v>230</v>
      </c>
      <c r="BX639">
        <f t="shared" ref="BX639:BX645" si="74">IF(C639=C638,IF((CI639-1)=CI638,BW638,"no data"))</f>
        <v>60</v>
      </c>
      <c r="BY639" s="5">
        <f t="shared" si="70"/>
        <v>2.8333333333333335</v>
      </c>
      <c r="BZ639" s="6">
        <f t="shared" si="68"/>
        <v>2.8333333333333335</v>
      </c>
      <c r="CA639" s="7">
        <v>41224</v>
      </c>
      <c r="CI639">
        <f t="shared" si="66"/>
        <v>2012</v>
      </c>
      <c r="CJ639" t="str">
        <f t="shared" si="67"/>
        <v>5682_2012</v>
      </c>
    </row>
    <row r="640" spans="1:88" x14ac:dyDescent="0.25">
      <c r="A640" t="s">
        <v>111</v>
      </c>
      <c r="B640" t="s">
        <v>267</v>
      </c>
      <c r="C640">
        <v>5682</v>
      </c>
      <c r="D640">
        <v>-37.787599999999998</v>
      </c>
      <c r="E640">
        <v>145.3837</v>
      </c>
      <c r="F640">
        <v>3</v>
      </c>
      <c r="G640" t="s">
        <v>269</v>
      </c>
      <c r="H640">
        <v>104</v>
      </c>
      <c r="I640">
        <v>284</v>
      </c>
      <c r="J640">
        <v>213</v>
      </c>
      <c r="K640">
        <v>33</v>
      </c>
      <c r="L640">
        <v>283</v>
      </c>
      <c r="M640">
        <v>103</v>
      </c>
      <c r="T640">
        <v>5</v>
      </c>
      <c r="U640">
        <v>52</v>
      </c>
      <c r="Y640">
        <v>29</v>
      </c>
      <c r="Z640">
        <v>9</v>
      </c>
      <c r="AD640">
        <v>83</v>
      </c>
      <c r="AE640">
        <v>11</v>
      </c>
      <c r="AX640">
        <v>57</v>
      </c>
      <c r="AY640">
        <v>112</v>
      </c>
      <c r="AZ640">
        <v>169</v>
      </c>
      <c r="BA640">
        <v>38</v>
      </c>
      <c r="BB640">
        <v>16</v>
      </c>
      <c r="BC640">
        <v>54</v>
      </c>
      <c r="BD640">
        <v>94</v>
      </c>
      <c r="BE640">
        <v>61</v>
      </c>
      <c r="BF640">
        <v>155</v>
      </c>
      <c r="BP640">
        <v>145</v>
      </c>
      <c r="BR640">
        <v>21</v>
      </c>
      <c r="BS640">
        <v>7</v>
      </c>
      <c r="BT640">
        <v>14</v>
      </c>
      <c r="BV640">
        <v>2</v>
      </c>
      <c r="BW640">
        <v>189</v>
      </c>
      <c r="BX640">
        <f t="shared" si="74"/>
        <v>230</v>
      </c>
      <c r="BY640" s="5">
        <f t="shared" si="70"/>
        <v>-0.17826086956521739</v>
      </c>
      <c r="BZ640" s="6">
        <f t="shared" si="68"/>
        <v>-0.17826086956521739</v>
      </c>
      <c r="CA640" s="7">
        <v>41588</v>
      </c>
      <c r="CI640">
        <f t="shared" si="66"/>
        <v>2013</v>
      </c>
      <c r="CJ640" t="str">
        <f t="shared" si="67"/>
        <v>5682_2013</v>
      </c>
    </row>
    <row r="641" spans="1:88" x14ac:dyDescent="0.25">
      <c r="A641" t="s">
        <v>111</v>
      </c>
      <c r="B641" t="s">
        <v>267</v>
      </c>
      <c r="C641">
        <v>5682</v>
      </c>
      <c r="D641">
        <v>-37.787599999999998</v>
      </c>
      <c r="E641">
        <v>145.3837</v>
      </c>
      <c r="F641">
        <v>3</v>
      </c>
      <c r="G641" t="s">
        <v>269</v>
      </c>
      <c r="H641">
        <v>104</v>
      </c>
      <c r="I641">
        <v>284</v>
      </c>
      <c r="J641">
        <v>213</v>
      </c>
      <c r="K641">
        <v>33</v>
      </c>
      <c r="L641">
        <v>283</v>
      </c>
      <c r="M641">
        <v>103</v>
      </c>
      <c r="T641">
        <v>0</v>
      </c>
      <c r="U641">
        <v>61</v>
      </c>
      <c r="Y641">
        <v>0</v>
      </c>
      <c r="Z641">
        <v>4</v>
      </c>
      <c r="AD641">
        <v>110</v>
      </c>
      <c r="AE641">
        <v>10</v>
      </c>
      <c r="AX641">
        <v>61</v>
      </c>
      <c r="AY641">
        <v>110</v>
      </c>
      <c r="AZ641">
        <v>171</v>
      </c>
      <c r="BA641">
        <v>4</v>
      </c>
      <c r="BB641">
        <v>10</v>
      </c>
      <c r="BC641">
        <v>14</v>
      </c>
      <c r="BD641">
        <v>120</v>
      </c>
      <c r="BE641">
        <v>65</v>
      </c>
      <c r="BF641">
        <v>185</v>
      </c>
      <c r="BP641">
        <v>113</v>
      </c>
      <c r="BR641">
        <v>50</v>
      </c>
      <c r="BS641">
        <v>6</v>
      </c>
      <c r="BT641">
        <v>16</v>
      </c>
      <c r="BV641">
        <v>0</v>
      </c>
      <c r="BW641">
        <v>185</v>
      </c>
      <c r="BX641">
        <f t="shared" si="74"/>
        <v>189</v>
      </c>
      <c r="BY641" s="5">
        <f t="shared" si="70"/>
        <v>-2.1164021164021163E-2</v>
      </c>
      <c r="BZ641" s="6">
        <f t="shared" si="68"/>
        <v>-2.1164021164021163E-2</v>
      </c>
      <c r="CA641" s="7">
        <v>41952</v>
      </c>
      <c r="CI641">
        <f t="shared" si="66"/>
        <v>2014</v>
      </c>
      <c r="CJ641" t="str">
        <f t="shared" si="67"/>
        <v>5682_2014</v>
      </c>
    </row>
    <row r="642" spans="1:88" x14ac:dyDescent="0.25">
      <c r="A642" t="s">
        <v>111</v>
      </c>
      <c r="B642" t="s">
        <v>267</v>
      </c>
      <c r="C642">
        <v>5682</v>
      </c>
      <c r="D642">
        <v>-37.787599999999998</v>
      </c>
      <c r="E642">
        <v>145.3837</v>
      </c>
      <c r="F642">
        <v>3</v>
      </c>
      <c r="G642" t="s">
        <v>269</v>
      </c>
      <c r="H642">
        <v>104</v>
      </c>
      <c r="I642">
        <v>284</v>
      </c>
      <c r="J642">
        <v>213</v>
      </c>
      <c r="K642">
        <v>33</v>
      </c>
      <c r="L642">
        <v>283</v>
      </c>
      <c r="M642">
        <v>103</v>
      </c>
      <c r="T642">
        <v>6</v>
      </c>
      <c r="U642">
        <v>116</v>
      </c>
      <c r="Y642">
        <v>0</v>
      </c>
      <c r="Z642">
        <v>2</v>
      </c>
      <c r="AD642">
        <v>161</v>
      </c>
      <c r="AE642">
        <v>0</v>
      </c>
      <c r="AX642">
        <v>122</v>
      </c>
      <c r="AY642">
        <v>161</v>
      </c>
      <c r="AZ642">
        <v>283</v>
      </c>
      <c r="BA642">
        <v>2</v>
      </c>
      <c r="BB642">
        <v>6</v>
      </c>
      <c r="BC642">
        <v>8</v>
      </c>
      <c r="BD642">
        <v>161</v>
      </c>
      <c r="BE642">
        <v>118</v>
      </c>
      <c r="BF642">
        <v>279</v>
      </c>
      <c r="BP642">
        <v>166</v>
      </c>
      <c r="BR642">
        <v>90</v>
      </c>
      <c r="BS642">
        <v>15</v>
      </c>
      <c r="BT642">
        <v>14</v>
      </c>
      <c r="BV642">
        <v>0</v>
      </c>
      <c r="BW642">
        <v>285</v>
      </c>
      <c r="BX642">
        <f t="shared" si="74"/>
        <v>185</v>
      </c>
      <c r="BY642" s="5">
        <f t="shared" si="70"/>
        <v>0.54054054054054057</v>
      </c>
      <c r="BZ642" s="6">
        <f t="shared" si="68"/>
        <v>0.54054054054054057</v>
      </c>
      <c r="CA642" s="7">
        <v>42316</v>
      </c>
      <c r="CE642">
        <v>74</v>
      </c>
      <c r="CF642">
        <v>70</v>
      </c>
      <c r="CG642">
        <v>71</v>
      </c>
      <c r="CH642">
        <v>70</v>
      </c>
      <c r="CI642">
        <f t="shared" si="66"/>
        <v>2015</v>
      </c>
      <c r="CJ642" t="str">
        <f t="shared" si="67"/>
        <v>5682_2015</v>
      </c>
    </row>
    <row r="643" spans="1:88" x14ac:dyDescent="0.25">
      <c r="A643" t="s">
        <v>111</v>
      </c>
      <c r="B643" t="s">
        <v>267</v>
      </c>
      <c r="C643">
        <v>5682</v>
      </c>
      <c r="D643">
        <v>-37.787578000000003</v>
      </c>
      <c r="E643">
        <v>145.38372799999999</v>
      </c>
      <c r="F643">
        <v>3</v>
      </c>
      <c r="G643" t="s">
        <v>269</v>
      </c>
      <c r="H643">
        <v>104</v>
      </c>
      <c r="I643">
        <v>284</v>
      </c>
      <c r="J643">
        <v>213</v>
      </c>
      <c r="K643">
        <v>33</v>
      </c>
      <c r="L643">
        <v>283</v>
      </c>
      <c r="M643">
        <v>103</v>
      </c>
      <c r="T643">
        <v>8</v>
      </c>
      <c r="U643">
        <v>16</v>
      </c>
      <c r="Y643">
        <v>8</v>
      </c>
      <c r="Z643">
        <v>0</v>
      </c>
      <c r="AD643">
        <v>23</v>
      </c>
      <c r="AE643">
        <v>0</v>
      </c>
      <c r="AX643">
        <v>24</v>
      </c>
      <c r="AY643">
        <v>31</v>
      </c>
      <c r="AZ643">
        <v>55</v>
      </c>
      <c r="BA643">
        <v>8</v>
      </c>
      <c r="BB643">
        <v>8</v>
      </c>
      <c r="BC643">
        <v>16</v>
      </c>
      <c r="BD643">
        <v>23</v>
      </c>
      <c r="BE643">
        <v>16</v>
      </c>
      <c r="BF643">
        <v>39</v>
      </c>
      <c r="BP643">
        <v>19</v>
      </c>
      <c r="BR643">
        <v>20</v>
      </c>
      <c r="BS643">
        <v>7</v>
      </c>
      <c r="BT643">
        <v>9</v>
      </c>
      <c r="BV643">
        <v>0</v>
      </c>
      <c r="BW643">
        <v>55</v>
      </c>
      <c r="BX643">
        <f t="shared" si="74"/>
        <v>285</v>
      </c>
      <c r="BY643" s="5">
        <f t="shared" si="70"/>
        <v>-0.80701754385964908</v>
      </c>
      <c r="BZ643" s="6">
        <f t="shared" si="68"/>
        <v>-0.80701754385964908</v>
      </c>
      <c r="CA643" s="7">
        <v>42687</v>
      </c>
      <c r="CE643">
        <v>8</v>
      </c>
      <c r="CF643">
        <v>9</v>
      </c>
      <c r="CG643">
        <v>22</v>
      </c>
      <c r="CH643">
        <v>16</v>
      </c>
      <c r="CI643">
        <f t="shared" ref="CI643:CI706" si="75">YEAR(CA643)</f>
        <v>2016</v>
      </c>
      <c r="CJ643" t="str">
        <f t="shared" ref="CJ643:CJ706" si="76">_xlfn.CONCAT(C643,"_",CI643)</f>
        <v>5682_2016</v>
      </c>
    </row>
    <row r="644" spans="1:88" x14ac:dyDescent="0.25">
      <c r="A644" t="s">
        <v>111</v>
      </c>
      <c r="B644" t="s">
        <v>267</v>
      </c>
      <c r="C644">
        <v>5682</v>
      </c>
      <c r="D644">
        <v>-37.787578000000003</v>
      </c>
      <c r="E644">
        <v>145.38372799999999</v>
      </c>
      <c r="F644">
        <v>3</v>
      </c>
      <c r="G644" t="s">
        <v>269</v>
      </c>
      <c r="H644">
        <v>104</v>
      </c>
      <c r="I644">
        <v>284</v>
      </c>
      <c r="J644">
        <v>213</v>
      </c>
      <c r="K644">
        <v>33</v>
      </c>
      <c r="L644">
        <v>283</v>
      </c>
      <c r="M644">
        <v>103</v>
      </c>
      <c r="T644">
        <v>0</v>
      </c>
      <c r="U644">
        <v>65</v>
      </c>
      <c r="Y644">
        <v>1</v>
      </c>
      <c r="Z644">
        <v>2</v>
      </c>
      <c r="AD644">
        <v>78</v>
      </c>
      <c r="AE644">
        <v>0</v>
      </c>
      <c r="AX644">
        <v>65</v>
      </c>
      <c r="AY644">
        <v>79</v>
      </c>
      <c r="AZ644">
        <v>144</v>
      </c>
      <c r="BA644">
        <v>3</v>
      </c>
      <c r="BB644">
        <v>0</v>
      </c>
      <c r="BC644">
        <v>3</v>
      </c>
      <c r="BD644">
        <v>78</v>
      </c>
      <c r="BE644">
        <v>67</v>
      </c>
      <c r="BF644">
        <v>145</v>
      </c>
      <c r="BP644">
        <v>91</v>
      </c>
      <c r="BR644">
        <v>42</v>
      </c>
      <c r="BS644">
        <v>5</v>
      </c>
      <c r="BT644">
        <v>8</v>
      </c>
      <c r="BV644">
        <v>0</v>
      </c>
      <c r="BW644">
        <v>146</v>
      </c>
      <c r="BX644">
        <f t="shared" si="74"/>
        <v>55</v>
      </c>
      <c r="BY644" s="5">
        <f t="shared" si="70"/>
        <v>1.6545454545454545</v>
      </c>
      <c r="BZ644" s="6">
        <f t="shared" si="68"/>
        <v>1.6545454545454545</v>
      </c>
      <c r="CA644" s="7">
        <v>43051</v>
      </c>
      <c r="CE644">
        <v>27</v>
      </c>
      <c r="CF644">
        <v>44</v>
      </c>
      <c r="CG644">
        <v>45</v>
      </c>
      <c r="CH644">
        <v>30</v>
      </c>
      <c r="CI644">
        <f t="shared" si="75"/>
        <v>2017</v>
      </c>
      <c r="CJ644" t="str">
        <f t="shared" si="76"/>
        <v>5682_2017</v>
      </c>
    </row>
    <row r="645" spans="1:88" x14ac:dyDescent="0.25">
      <c r="A645" t="s">
        <v>111</v>
      </c>
      <c r="B645" t="s">
        <v>267</v>
      </c>
      <c r="C645">
        <v>5682</v>
      </c>
      <c r="D645">
        <v>-37.787578000000003</v>
      </c>
      <c r="E645">
        <v>145.38372799999999</v>
      </c>
      <c r="F645">
        <v>3</v>
      </c>
      <c r="G645" t="s">
        <v>269</v>
      </c>
      <c r="H645">
        <v>104</v>
      </c>
      <c r="I645">
        <v>284</v>
      </c>
      <c r="J645">
        <v>213</v>
      </c>
      <c r="K645">
        <v>33</v>
      </c>
      <c r="L645">
        <v>283</v>
      </c>
      <c r="M645">
        <v>103</v>
      </c>
      <c r="T645">
        <v>13</v>
      </c>
      <c r="U645">
        <v>81</v>
      </c>
      <c r="Y645">
        <v>26</v>
      </c>
      <c r="Z645">
        <v>0</v>
      </c>
      <c r="AD645">
        <v>83</v>
      </c>
      <c r="AE645">
        <v>0</v>
      </c>
      <c r="AX645">
        <v>94</v>
      </c>
      <c r="AY645">
        <v>109</v>
      </c>
      <c r="AZ645">
        <v>203</v>
      </c>
      <c r="BA645">
        <v>26</v>
      </c>
      <c r="BB645">
        <v>13</v>
      </c>
      <c r="BC645">
        <v>39</v>
      </c>
      <c r="BD645">
        <v>83</v>
      </c>
      <c r="BE645">
        <v>81</v>
      </c>
      <c r="BF645">
        <v>164</v>
      </c>
      <c r="BP645">
        <v>98</v>
      </c>
      <c r="BR645">
        <v>64</v>
      </c>
      <c r="BS645">
        <v>11</v>
      </c>
      <c r="BT645">
        <v>18</v>
      </c>
      <c r="BV645">
        <v>12</v>
      </c>
      <c r="BW645">
        <v>203</v>
      </c>
      <c r="BX645">
        <f t="shared" si="74"/>
        <v>146</v>
      </c>
      <c r="BY645" s="5">
        <f t="shared" si="70"/>
        <v>0.3904109589041096</v>
      </c>
      <c r="BZ645" s="6">
        <f t="shared" si="68"/>
        <v>0.3904109589041096</v>
      </c>
      <c r="CA645" s="7">
        <v>43415</v>
      </c>
      <c r="CE645">
        <v>72</v>
      </c>
      <c r="CF645">
        <v>67</v>
      </c>
      <c r="CG645">
        <v>54</v>
      </c>
      <c r="CH645">
        <v>10</v>
      </c>
      <c r="CI645">
        <f t="shared" si="75"/>
        <v>2018</v>
      </c>
      <c r="CJ645" t="str">
        <f t="shared" si="76"/>
        <v>5682_2018</v>
      </c>
    </row>
    <row r="646" spans="1:88" x14ac:dyDescent="0.25">
      <c r="A646" t="s">
        <v>111</v>
      </c>
      <c r="B646" t="s">
        <v>267</v>
      </c>
      <c r="C646">
        <v>5683</v>
      </c>
      <c r="D646">
        <v>-37.768599999999999</v>
      </c>
      <c r="E646">
        <v>145.45830000000001</v>
      </c>
      <c r="F646">
        <v>3</v>
      </c>
      <c r="G646" t="s">
        <v>270</v>
      </c>
      <c r="H646">
        <v>40</v>
      </c>
      <c r="I646">
        <v>220</v>
      </c>
      <c r="J646">
        <v>188</v>
      </c>
      <c r="K646">
        <v>8</v>
      </c>
      <c r="L646">
        <v>229</v>
      </c>
      <c r="M646">
        <v>49</v>
      </c>
      <c r="T646">
        <v>66</v>
      </c>
      <c r="U646">
        <v>90</v>
      </c>
      <c r="Y646">
        <v>30</v>
      </c>
      <c r="Z646">
        <v>40</v>
      </c>
      <c r="AD646">
        <v>85</v>
      </c>
      <c r="AE646">
        <v>38</v>
      </c>
      <c r="AX646">
        <v>156</v>
      </c>
      <c r="AY646">
        <v>115</v>
      </c>
      <c r="AZ646">
        <v>271</v>
      </c>
      <c r="BA646">
        <v>70</v>
      </c>
      <c r="BB646">
        <v>104</v>
      </c>
      <c r="BC646">
        <v>174</v>
      </c>
      <c r="BD646">
        <v>123</v>
      </c>
      <c r="BE646">
        <v>130</v>
      </c>
      <c r="BF646">
        <v>253</v>
      </c>
      <c r="BP646">
        <v>222</v>
      </c>
      <c r="BR646">
        <v>90</v>
      </c>
      <c r="BS646">
        <v>3</v>
      </c>
      <c r="BT646">
        <v>17</v>
      </c>
      <c r="BV646">
        <v>17</v>
      </c>
      <c r="BW646">
        <v>349</v>
      </c>
      <c r="BX646" t="s">
        <v>82</v>
      </c>
      <c r="BY646" s="5"/>
      <c r="BZ646" s="6"/>
      <c r="CA646" s="7">
        <v>40853</v>
      </c>
      <c r="CI646">
        <f t="shared" si="75"/>
        <v>2011</v>
      </c>
      <c r="CJ646" t="str">
        <f t="shared" si="76"/>
        <v>5683_2011</v>
      </c>
    </row>
    <row r="647" spans="1:88" x14ac:dyDescent="0.25">
      <c r="A647" t="s">
        <v>111</v>
      </c>
      <c r="B647" t="s">
        <v>267</v>
      </c>
      <c r="C647">
        <v>5683</v>
      </c>
      <c r="D647">
        <v>-37.768599999999999</v>
      </c>
      <c r="E647">
        <v>145.45830000000001</v>
      </c>
      <c r="F647">
        <v>3</v>
      </c>
      <c r="G647" t="s">
        <v>270</v>
      </c>
      <c r="H647">
        <v>40</v>
      </c>
      <c r="I647">
        <v>220</v>
      </c>
      <c r="J647">
        <v>188</v>
      </c>
      <c r="K647">
        <v>8</v>
      </c>
      <c r="L647">
        <v>229</v>
      </c>
      <c r="M647">
        <v>49</v>
      </c>
      <c r="T647">
        <v>45</v>
      </c>
      <c r="U647">
        <v>45</v>
      </c>
      <c r="Y647">
        <v>19</v>
      </c>
      <c r="Z647">
        <v>51</v>
      </c>
      <c r="AD647">
        <v>74</v>
      </c>
      <c r="AE647">
        <v>52</v>
      </c>
      <c r="AX647">
        <v>90</v>
      </c>
      <c r="AY647">
        <v>93</v>
      </c>
      <c r="AZ647">
        <v>183</v>
      </c>
      <c r="BA647">
        <v>70</v>
      </c>
      <c r="BB647">
        <v>97</v>
      </c>
      <c r="BC647">
        <v>167</v>
      </c>
      <c r="BD647">
        <v>126</v>
      </c>
      <c r="BE647">
        <v>96</v>
      </c>
      <c r="BF647">
        <v>222</v>
      </c>
      <c r="BP647">
        <v>189</v>
      </c>
      <c r="BR647">
        <v>57</v>
      </c>
      <c r="BS647">
        <v>5</v>
      </c>
      <c r="BT647">
        <v>33</v>
      </c>
      <c r="BV647">
        <v>2</v>
      </c>
      <c r="BW647">
        <v>286</v>
      </c>
      <c r="BX647" t="str">
        <f t="shared" ref="BX647:BX652" si="77">IF(C647=C646,IF((CI647-1)=CI646,BW646,"no data"))</f>
        <v>no data</v>
      </c>
      <c r="BY647" s="5"/>
      <c r="BZ647" s="6"/>
      <c r="CA647" s="7">
        <v>41588</v>
      </c>
      <c r="CI647">
        <f t="shared" si="75"/>
        <v>2013</v>
      </c>
      <c r="CJ647" t="str">
        <f t="shared" si="76"/>
        <v>5683_2013</v>
      </c>
    </row>
    <row r="648" spans="1:88" x14ac:dyDescent="0.25">
      <c r="A648" t="s">
        <v>111</v>
      </c>
      <c r="B648" t="s">
        <v>267</v>
      </c>
      <c r="C648">
        <v>5683</v>
      </c>
      <c r="D648">
        <v>-37.768599999999999</v>
      </c>
      <c r="E648">
        <v>145.45830000000001</v>
      </c>
      <c r="F648">
        <v>3</v>
      </c>
      <c r="G648" t="s">
        <v>270</v>
      </c>
      <c r="H648">
        <v>40</v>
      </c>
      <c r="I648">
        <v>220</v>
      </c>
      <c r="J648">
        <v>188</v>
      </c>
      <c r="K648">
        <v>8</v>
      </c>
      <c r="L648">
        <v>229</v>
      </c>
      <c r="M648">
        <v>49</v>
      </c>
      <c r="T648">
        <v>25</v>
      </c>
      <c r="U648">
        <v>72</v>
      </c>
      <c r="Y648">
        <v>28</v>
      </c>
      <c r="Z648">
        <v>32</v>
      </c>
      <c r="AD648">
        <v>69</v>
      </c>
      <c r="AE648">
        <v>63</v>
      </c>
      <c r="AX648">
        <v>97</v>
      </c>
      <c r="AY648">
        <v>97</v>
      </c>
      <c r="AZ648">
        <v>194</v>
      </c>
      <c r="BA648">
        <v>60</v>
      </c>
      <c r="BB648">
        <v>88</v>
      </c>
      <c r="BC648">
        <v>148</v>
      </c>
      <c r="BD648">
        <v>132</v>
      </c>
      <c r="BE648">
        <v>104</v>
      </c>
      <c r="BF648">
        <v>236</v>
      </c>
      <c r="BP648">
        <v>192</v>
      </c>
      <c r="BR648">
        <v>62</v>
      </c>
      <c r="BS648">
        <v>18</v>
      </c>
      <c r="BT648">
        <v>17</v>
      </c>
      <c r="BV648">
        <v>0</v>
      </c>
      <c r="BW648">
        <v>289</v>
      </c>
      <c r="BX648">
        <f t="shared" si="77"/>
        <v>286</v>
      </c>
      <c r="BY648" s="5">
        <f t="shared" si="70"/>
        <v>1.048951048951049E-2</v>
      </c>
      <c r="BZ648" s="6">
        <f t="shared" ref="BZ648:BZ711" si="78">BY648</f>
        <v>1.048951048951049E-2</v>
      </c>
      <c r="CA648" s="7">
        <v>41952</v>
      </c>
      <c r="CI648">
        <f t="shared" si="75"/>
        <v>2014</v>
      </c>
      <c r="CJ648" t="str">
        <f t="shared" si="76"/>
        <v>5683_2014</v>
      </c>
    </row>
    <row r="649" spans="1:88" x14ac:dyDescent="0.25">
      <c r="A649" t="s">
        <v>111</v>
      </c>
      <c r="B649" t="s">
        <v>267</v>
      </c>
      <c r="C649">
        <v>5683</v>
      </c>
      <c r="D649">
        <v>-37.768599999999999</v>
      </c>
      <c r="E649">
        <v>145.45830000000001</v>
      </c>
      <c r="F649">
        <v>3</v>
      </c>
      <c r="G649" t="s">
        <v>270</v>
      </c>
      <c r="H649">
        <v>40</v>
      </c>
      <c r="I649">
        <v>220</v>
      </c>
      <c r="J649">
        <v>188</v>
      </c>
      <c r="K649">
        <v>8</v>
      </c>
      <c r="L649">
        <v>229</v>
      </c>
      <c r="M649">
        <v>49</v>
      </c>
      <c r="T649">
        <v>52</v>
      </c>
      <c r="U649">
        <v>68</v>
      </c>
      <c r="Y649">
        <v>62</v>
      </c>
      <c r="Z649">
        <v>58</v>
      </c>
      <c r="AD649">
        <v>115</v>
      </c>
      <c r="AE649">
        <v>76</v>
      </c>
      <c r="AX649">
        <v>120</v>
      </c>
      <c r="AY649">
        <v>177</v>
      </c>
      <c r="AZ649">
        <v>297</v>
      </c>
      <c r="BA649">
        <v>120</v>
      </c>
      <c r="BB649">
        <v>128</v>
      </c>
      <c r="BC649">
        <v>248</v>
      </c>
      <c r="BD649">
        <v>191</v>
      </c>
      <c r="BE649">
        <v>126</v>
      </c>
      <c r="BF649">
        <v>317</v>
      </c>
      <c r="BP649">
        <v>334</v>
      </c>
      <c r="BR649">
        <v>47</v>
      </c>
      <c r="BS649">
        <v>15</v>
      </c>
      <c r="BT649">
        <v>26</v>
      </c>
      <c r="BV649">
        <v>9</v>
      </c>
      <c r="BW649">
        <v>431</v>
      </c>
      <c r="BX649">
        <f t="shared" si="77"/>
        <v>289</v>
      </c>
      <c r="BY649" s="5">
        <f t="shared" si="70"/>
        <v>0.49134948096885811</v>
      </c>
      <c r="BZ649" s="6">
        <f t="shared" si="78"/>
        <v>0.49134948096885811</v>
      </c>
      <c r="CA649" s="7">
        <v>42316</v>
      </c>
      <c r="CE649">
        <v>64</v>
      </c>
      <c r="CF649">
        <v>136</v>
      </c>
      <c r="CG649">
        <v>118</v>
      </c>
      <c r="CH649">
        <v>113</v>
      </c>
      <c r="CI649">
        <f t="shared" si="75"/>
        <v>2015</v>
      </c>
      <c r="CJ649" t="str">
        <f t="shared" si="76"/>
        <v>5683_2015</v>
      </c>
    </row>
    <row r="650" spans="1:88" x14ac:dyDescent="0.25">
      <c r="A650" t="s">
        <v>111</v>
      </c>
      <c r="B650" t="s">
        <v>267</v>
      </c>
      <c r="C650">
        <v>5683</v>
      </c>
      <c r="D650">
        <v>-37.768580999999998</v>
      </c>
      <c r="E650">
        <v>145.458258</v>
      </c>
      <c r="F650">
        <v>3</v>
      </c>
      <c r="G650" t="s">
        <v>271</v>
      </c>
      <c r="H650">
        <v>40</v>
      </c>
      <c r="I650">
        <v>220</v>
      </c>
      <c r="J650">
        <v>188</v>
      </c>
      <c r="K650">
        <v>8</v>
      </c>
      <c r="L650">
        <v>229</v>
      </c>
      <c r="M650">
        <v>49</v>
      </c>
      <c r="T650">
        <v>51</v>
      </c>
      <c r="U650">
        <v>17</v>
      </c>
      <c r="Y650">
        <v>19</v>
      </c>
      <c r="Z650">
        <v>10</v>
      </c>
      <c r="AD650">
        <v>33</v>
      </c>
      <c r="AE650">
        <v>29</v>
      </c>
      <c r="AX650">
        <v>68</v>
      </c>
      <c r="AY650">
        <v>52</v>
      </c>
      <c r="AZ650">
        <v>120</v>
      </c>
      <c r="BA650">
        <v>29</v>
      </c>
      <c r="BB650">
        <v>80</v>
      </c>
      <c r="BC650">
        <v>109</v>
      </c>
      <c r="BD650">
        <v>62</v>
      </c>
      <c r="BE650">
        <v>27</v>
      </c>
      <c r="BF650">
        <v>89</v>
      </c>
      <c r="BP650">
        <v>35</v>
      </c>
      <c r="BR650">
        <v>108</v>
      </c>
      <c r="BS650">
        <v>1</v>
      </c>
      <c r="BT650">
        <v>15</v>
      </c>
      <c r="BV650">
        <v>0</v>
      </c>
      <c r="BW650">
        <v>159</v>
      </c>
      <c r="BX650">
        <f t="shared" si="77"/>
        <v>431</v>
      </c>
      <c r="BY650" s="5">
        <f t="shared" si="70"/>
        <v>-0.63109048723897909</v>
      </c>
      <c r="BZ650" s="6">
        <f t="shared" si="78"/>
        <v>-0.63109048723897909</v>
      </c>
      <c r="CA650" s="7">
        <v>42687</v>
      </c>
      <c r="CE650">
        <v>7</v>
      </c>
      <c r="CF650">
        <v>55</v>
      </c>
      <c r="CG650">
        <v>44</v>
      </c>
      <c r="CH650">
        <v>53</v>
      </c>
      <c r="CI650">
        <f t="shared" si="75"/>
        <v>2016</v>
      </c>
      <c r="CJ650" t="str">
        <f t="shared" si="76"/>
        <v>5683_2016</v>
      </c>
    </row>
    <row r="651" spans="1:88" x14ac:dyDescent="0.25">
      <c r="A651" t="s">
        <v>111</v>
      </c>
      <c r="B651" t="s">
        <v>267</v>
      </c>
      <c r="C651">
        <v>5683</v>
      </c>
      <c r="D651">
        <v>-37.768580999999998</v>
      </c>
      <c r="E651">
        <v>145.458258</v>
      </c>
      <c r="F651">
        <v>3</v>
      </c>
      <c r="G651" t="s">
        <v>271</v>
      </c>
      <c r="H651">
        <v>40</v>
      </c>
      <c r="I651">
        <v>220</v>
      </c>
      <c r="J651">
        <v>188</v>
      </c>
      <c r="K651">
        <v>8</v>
      </c>
      <c r="L651">
        <v>229</v>
      </c>
      <c r="M651">
        <v>49</v>
      </c>
      <c r="T651">
        <v>53</v>
      </c>
      <c r="U651">
        <v>54</v>
      </c>
      <c r="Y651">
        <v>55</v>
      </c>
      <c r="Z651">
        <v>43</v>
      </c>
      <c r="AD651">
        <v>69</v>
      </c>
      <c r="AE651">
        <v>52</v>
      </c>
      <c r="AX651">
        <v>107</v>
      </c>
      <c r="AY651">
        <v>124</v>
      </c>
      <c r="AZ651">
        <v>231</v>
      </c>
      <c r="BA651">
        <v>98</v>
      </c>
      <c r="BB651">
        <v>105</v>
      </c>
      <c r="BC651">
        <v>203</v>
      </c>
      <c r="BD651">
        <v>121</v>
      </c>
      <c r="BE651">
        <v>97</v>
      </c>
      <c r="BF651">
        <v>218</v>
      </c>
      <c r="BP651">
        <v>158</v>
      </c>
      <c r="BR651">
        <v>116</v>
      </c>
      <c r="BS651">
        <v>10</v>
      </c>
      <c r="BT651">
        <v>22</v>
      </c>
      <c r="BV651">
        <v>20</v>
      </c>
      <c r="BW651">
        <v>326</v>
      </c>
      <c r="BX651">
        <f t="shared" si="77"/>
        <v>159</v>
      </c>
      <c r="BY651" s="5">
        <f t="shared" si="70"/>
        <v>1.050314465408805</v>
      </c>
      <c r="BZ651" s="6">
        <f t="shared" si="78"/>
        <v>1.050314465408805</v>
      </c>
      <c r="CA651" s="7">
        <v>43051</v>
      </c>
      <c r="CE651">
        <v>55</v>
      </c>
      <c r="CF651">
        <v>79</v>
      </c>
      <c r="CG651">
        <v>90</v>
      </c>
      <c r="CH651">
        <v>102</v>
      </c>
      <c r="CI651">
        <f t="shared" si="75"/>
        <v>2017</v>
      </c>
      <c r="CJ651" t="str">
        <f t="shared" si="76"/>
        <v>5683_2017</v>
      </c>
    </row>
    <row r="652" spans="1:88" x14ac:dyDescent="0.25">
      <c r="A652" t="s">
        <v>111</v>
      </c>
      <c r="B652" t="s">
        <v>267</v>
      </c>
      <c r="C652">
        <v>5683</v>
      </c>
      <c r="D652">
        <v>-37.768580999999998</v>
      </c>
      <c r="E652">
        <v>145.458258</v>
      </c>
      <c r="F652">
        <v>3</v>
      </c>
      <c r="G652" t="s">
        <v>271</v>
      </c>
      <c r="H652">
        <v>40</v>
      </c>
      <c r="I652">
        <v>220</v>
      </c>
      <c r="J652">
        <v>188</v>
      </c>
      <c r="K652">
        <v>8</v>
      </c>
      <c r="L652">
        <v>229</v>
      </c>
      <c r="M652">
        <v>49</v>
      </c>
      <c r="T652">
        <v>133</v>
      </c>
      <c r="U652">
        <v>82</v>
      </c>
      <c r="Y652">
        <v>100</v>
      </c>
      <c r="Z652">
        <v>77</v>
      </c>
      <c r="AD652">
        <v>120</v>
      </c>
      <c r="AE652">
        <v>70</v>
      </c>
      <c r="AX652">
        <v>215</v>
      </c>
      <c r="AY652">
        <v>220</v>
      </c>
      <c r="AZ652">
        <v>435</v>
      </c>
      <c r="BA652">
        <v>177</v>
      </c>
      <c r="BB652">
        <v>203</v>
      </c>
      <c r="BC652">
        <v>380</v>
      </c>
      <c r="BD652">
        <v>190</v>
      </c>
      <c r="BE652">
        <v>159</v>
      </c>
      <c r="BF652">
        <v>349</v>
      </c>
      <c r="BP652">
        <v>308</v>
      </c>
      <c r="BR652">
        <v>175</v>
      </c>
      <c r="BS652">
        <v>11</v>
      </c>
      <c r="BT652">
        <v>56</v>
      </c>
      <c r="BV652">
        <v>32</v>
      </c>
      <c r="BW652">
        <v>582</v>
      </c>
      <c r="BX652">
        <f t="shared" si="77"/>
        <v>326</v>
      </c>
      <c r="BY652" s="5">
        <f t="shared" si="70"/>
        <v>0.78527607361963192</v>
      </c>
      <c r="BZ652" s="6">
        <f t="shared" si="78"/>
        <v>0.78527607361963192</v>
      </c>
      <c r="CA652" s="7">
        <v>43415</v>
      </c>
      <c r="CE652">
        <v>134</v>
      </c>
      <c r="CF652">
        <v>152</v>
      </c>
      <c r="CG652">
        <v>126</v>
      </c>
      <c r="CH652">
        <v>170</v>
      </c>
      <c r="CI652">
        <f t="shared" si="75"/>
        <v>2018</v>
      </c>
      <c r="CJ652" t="str">
        <f t="shared" si="76"/>
        <v>5683_2018</v>
      </c>
    </row>
    <row r="653" spans="1:88" x14ac:dyDescent="0.25">
      <c r="A653" t="s">
        <v>111</v>
      </c>
      <c r="B653" t="s">
        <v>267</v>
      </c>
      <c r="C653">
        <v>5684</v>
      </c>
      <c r="D653">
        <v>-37.781300000000002</v>
      </c>
      <c r="E653">
        <v>145.61160000000001</v>
      </c>
      <c r="F653">
        <v>3</v>
      </c>
      <c r="G653" t="s">
        <v>272</v>
      </c>
      <c r="H653">
        <v>78</v>
      </c>
      <c r="I653">
        <v>258</v>
      </c>
      <c r="J653">
        <v>173</v>
      </c>
      <c r="K653">
        <v>353</v>
      </c>
      <c r="L653">
        <v>283</v>
      </c>
      <c r="M653">
        <v>103</v>
      </c>
      <c r="T653">
        <v>7</v>
      </c>
      <c r="U653">
        <v>83</v>
      </c>
      <c r="Y653">
        <v>12</v>
      </c>
      <c r="Z653">
        <v>6</v>
      </c>
      <c r="AD653">
        <v>103</v>
      </c>
      <c r="AE653">
        <v>7</v>
      </c>
      <c r="AX653">
        <v>90</v>
      </c>
      <c r="AY653">
        <v>115</v>
      </c>
      <c r="AZ653">
        <v>205</v>
      </c>
      <c r="BA653">
        <v>18</v>
      </c>
      <c r="BB653">
        <v>14</v>
      </c>
      <c r="BC653">
        <v>32</v>
      </c>
      <c r="BD653">
        <v>110</v>
      </c>
      <c r="BE653">
        <v>89</v>
      </c>
      <c r="BF653">
        <v>199</v>
      </c>
      <c r="BP653">
        <v>163</v>
      </c>
      <c r="BR653">
        <v>33</v>
      </c>
      <c r="BS653">
        <v>7</v>
      </c>
      <c r="BT653">
        <v>15</v>
      </c>
      <c r="BV653">
        <v>0</v>
      </c>
      <c r="BW653">
        <v>218</v>
      </c>
      <c r="BX653" t="s">
        <v>82</v>
      </c>
      <c r="BY653" s="5"/>
      <c r="BZ653" s="6"/>
      <c r="CA653" s="7">
        <v>41588</v>
      </c>
      <c r="CI653">
        <f t="shared" si="75"/>
        <v>2013</v>
      </c>
      <c r="CJ653" t="str">
        <f t="shared" si="76"/>
        <v>5684_2013</v>
      </c>
    </row>
    <row r="654" spans="1:88" x14ac:dyDescent="0.25">
      <c r="A654" t="s">
        <v>111</v>
      </c>
      <c r="B654" t="s">
        <v>267</v>
      </c>
      <c r="C654">
        <v>5684</v>
      </c>
      <c r="D654">
        <v>-37.781300000000002</v>
      </c>
      <c r="E654">
        <v>145.61160000000001</v>
      </c>
      <c r="F654">
        <v>3</v>
      </c>
      <c r="G654" t="s">
        <v>272</v>
      </c>
      <c r="H654">
        <v>78</v>
      </c>
      <c r="I654">
        <v>258</v>
      </c>
      <c r="J654">
        <v>173</v>
      </c>
      <c r="K654">
        <v>353</v>
      </c>
      <c r="L654">
        <v>283</v>
      </c>
      <c r="M654">
        <v>103</v>
      </c>
      <c r="T654">
        <v>16</v>
      </c>
      <c r="U654">
        <v>45</v>
      </c>
      <c r="Y654">
        <v>11</v>
      </c>
      <c r="Z654">
        <v>0</v>
      </c>
      <c r="AD654">
        <v>41</v>
      </c>
      <c r="AE654">
        <v>3</v>
      </c>
      <c r="AX654">
        <v>61</v>
      </c>
      <c r="AY654">
        <v>52</v>
      </c>
      <c r="AZ654">
        <v>113</v>
      </c>
      <c r="BA654">
        <v>11</v>
      </c>
      <c r="BB654">
        <v>19</v>
      </c>
      <c r="BC654">
        <v>30</v>
      </c>
      <c r="BD654">
        <v>44</v>
      </c>
      <c r="BE654">
        <v>45</v>
      </c>
      <c r="BF654">
        <v>89</v>
      </c>
      <c r="BP654">
        <v>77</v>
      </c>
      <c r="BR654">
        <v>25</v>
      </c>
      <c r="BS654">
        <v>2</v>
      </c>
      <c r="BT654">
        <v>12</v>
      </c>
      <c r="BV654">
        <v>0</v>
      </c>
      <c r="BW654">
        <v>116</v>
      </c>
      <c r="BX654">
        <f>IF(C654=C653,IF((CI654-1)=CI653,BW653,"no data"))</f>
        <v>218</v>
      </c>
      <c r="BY654" s="5">
        <f t="shared" ref="BY654:BY717" si="79">(BW654-BX654)/BX654</f>
        <v>-0.46788990825688076</v>
      </c>
      <c r="BZ654" s="6">
        <f t="shared" si="78"/>
        <v>-0.46788990825688076</v>
      </c>
      <c r="CA654" s="7">
        <v>41952</v>
      </c>
      <c r="CI654">
        <f t="shared" si="75"/>
        <v>2014</v>
      </c>
      <c r="CJ654" t="str">
        <f t="shared" si="76"/>
        <v>5684_2014</v>
      </c>
    </row>
    <row r="655" spans="1:88" x14ac:dyDescent="0.25">
      <c r="A655" t="s">
        <v>111</v>
      </c>
      <c r="B655" t="s">
        <v>267</v>
      </c>
      <c r="C655">
        <v>5684</v>
      </c>
      <c r="D655">
        <v>-37.781300000000002</v>
      </c>
      <c r="E655">
        <v>145.61160000000001</v>
      </c>
      <c r="F655">
        <v>3</v>
      </c>
      <c r="G655" t="s">
        <v>272</v>
      </c>
      <c r="H655">
        <v>78</v>
      </c>
      <c r="I655">
        <v>258</v>
      </c>
      <c r="J655">
        <v>173</v>
      </c>
      <c r="K655">
        <v>353</v>
      </c>
      <c r="L655">
        <v>283</v>
      </c>
      <c r="M655">
        <v>103</v>
      </c>
      <c r="T655">
        <v>14</v>
      </c>
      <c r="U655">
        <v>125</v>
      </c>
      <c r="Y655">
        <v>27</v>
      </c>
      <c r="Z655">
        <v>10</v>
      </c>
      <c r="AD655">
        <v>169</v>
      </c>
      <c r="AE655">
        <v>17</v>
      </c>
      <c r="AX655">
        <v>139</v>
      </c>
      <c r="AY655">
        <v>196</v>
      </c>
      <c r="AZ655">
        <v>335</v>
      </c>
      <c r="BA655">
        <v>37</v>
      </c>
      <c r="BB655">
        <v>31</v>
      </c>
      <c r="BC655">
        <v>68</v>
      </c>
      <c r="BD655">
        <v>186</v>
      </c>
      <c r="BE655">
        <v>135</v>
      </c>
      <c r="BF655">
        <v>321</v>
      </c>
      <c r="BP655">
        <v>282</v>
      </c>
      <c r="BR655">
        <v>63</v>
      </c>
      <c r="BS655">
        <v>3</v>
      </c>
      <c r="BT655">
        <v>11</v>
      </c>
      <c r="BV655">
        <v>3</v>
      </c>
      <c r="BW655">
        <v>362</v>
      </c>
      <c r="BX655">
        <f>IF(C655=C654,IF((CI655-1)=CI654,BW654,"no data"))</f>
        <v>116</v>
      </c>
      <c r="BY655" s="5">
        <f t="shared" si="79"/>
        <v>2.1206896551724137</v>
      </c>
      <c r="BZ655" s="6">
        <f t="shared" si="78"/>
        <v>2.1206896551724137</v>
      </c>
      <c r="CA655" s="7">
        <v>42316</v>
      </c>
      <c r="CE655">
        <v>53</v>
      </c>
      <c r="CF655">
        <v>74</v>
      </c>
      <c r="CG655">
        <v>116</v>
      </c>
      <c r="CH655">
        <v>119</v>
      </c>
      <c r="CI655">
        <f t="shared" si="75"/>
        <v>2015</v>
      </c>
      <c r="CJ655" t="str">
        <f t="shared" si="76"/>
        <v>5684_2015</v>
      </c>
    </row>
    <row r="656" spans="1:88" x14ac:dyDescent="0.25">
      <c r="A656" t="s">
        <v>111</v>
      </c>
      <c r="B656" t="s">
        <v>267</v>
      </c>
      <c r="C656">
        <v>5684</v>
      </c>
      <c r="D656">
        <v>-37.781314000000002</v>
      </c>
      <c r="E656">
        <v>145.61161300000001</v>
      </c>
      <c r="F656">
        <v>3</v>
      </c>
      <c r="G656" t="s">
        <v>272</v>
      </c>
      <c r="H656">
        <v>78</v>
      </c>
      <c r="I656">
        <v>258</v>
      </c>
      <c r="J656">
        <v>173</v>
      </c>
      <c r="K656">
        <v>353</v>
      </c>
      <c r="L656">
        <v>283</v>
      </c>
      <c r="M656">
        <v>103</v>
      </c>
      <c r="T656">
        <v>0</v>
      </c>
      <c r="U656">
        <v>21</v>
      </c>
      <c r="Y656">
        <v>7</v>
      </c>
      <c r="Z656">
        <v>0</v>
      </c>
      <c r="AD656">
        <v>28</v>
      </c>
      <c r="AE656">
        <v>3</v>
      </c>
      <c r="AX656">
        <v>21</v>
      </c>
      <c r="AY656">
        <v>35</v>
      </c>
      <c r="AZ656">
        <v>56</v>
      </c>
      <c r="BA656">
        <v>7</v>
      </c>
      <c r="BB656">
        <v>3</v>
      </c>
      <c r="BC656">
        <v>10</v>
      </c>
      <c r="BD656">
        <v>31</v>
      </c>
      <c r="BE656">
        <v>21</v>
      </c>
      <c r="BF656">
        <v>52</v>
      </c>
      <c r="BP656">
        <v>23</v>
      </c>
      <c r="BR656">
        <v>22</v>
      </c>
      <c r="BS656">
        <v>1</v>
      </c>
      <c r="BT656">
        <v>11</v>
      </c>
      <c r="BV656">
        <v>2</v>
      </c>
      <c r="BW656">
        <v>59</v>
      </c>
      <c r="BX656">
        <f>IF(C656=C655,IF((CI656-1)=CI655,BW655,"no data"))</f>
        <v>362</v>
      </c>
      <c r="BY656" s="5">
        <f t="shared" si="79"/>
        <v>-0.83701657458563539</v>
      </c>
      <c r="BZ656" s="6">
        <f t="shared" si="78"/>
        <v>-0.83701657458563539</v>
      </c>
      <c r="CA656" s="7">
        <v>42687</v>
      </c>
      <c r="CE656">
        <v>8</v>
      </c>
      <c r="CF656">
        <v>21</v>
      </c>
      <c r="CG656">
        <v>16</v>
      </c>
      <c r="CH656">
        <v>14</v>
      </c>
      <c r="CI656">
        <f t="shared" si="75"/>
        <v>2016</v>
      </c>
      <c r="CJ656" t="str">
        <f t="shared" si="76"/>
        <v>5684_2016</v>
      </c>
    </row>
    <row r="657" spans="1:88" x14ac:dyDescent="0.25">
      <c r="A657" t="s">
        <v>111</v>
      </c>
      <c r="B657" t="s">
        <v>267</v>
      </c>
      <c r="C657">
        <v>5684</v>
      </c>
      <c r="D657">
        <v>-37.781314000000002</v>
      </c>
      <c r="E657">
        <v>145.61161300000001</v>
      </c>
      <c r="F657">
        <v>3</v>
      </c>
      <c r="G657" t="s">
        <v>272</v>
      </c>
      <c r="H657">
        <v>78</v>
      </c>
      <c r="I657">
        <v>258</v>
      </c>
      <c r="J657">
        <v>173</v>
      </c>
      <c r="K657">
        <v>353</v>
      </c>
      <c r="L657">
        <v>283</v>
      </c>
      <c r="M657">
        <v>103</v>
      </c>
      <c r="T657">
        <v>4</v>
      </c>
      <c r="U657">
        <v>96</v>
      </c>
      <c r="Y657">
        <v>4</v>
      </c>
      <c r="Z657">
        <v>56</v>
      </c>
      <c r="AD657">
        <v>123</v>
      </c>
      <c r="AE657">
        <v>22</v>
      </c>
      <c r="AX657">
        <v>100</v>
      </c>
      <c r="AY657">
        <v>127</v>
      </c>
      <c r="AZ657">
        <v>227</v>
      </c>
      <c r="BA657">
        <v>60</v>
      </c>
      <c r="BB657">
        <v>26</v>
      </c>
      <c r="BC657">
        <v>86</v>
      </c>
      <c r="BD657">
        <v>145</v>
      </c>
      <c r="BE657">
        <v>152</v>
      </c>
      <c r="BF657">
        <v>297</v>
      </c>
      <c r="BP657">
        <v>231</v>
      </c>
      <c r="BR657">
        <v>64</v>
      </c>
      <c r="BS657">
        <v>0</v>
      </c>
      <c r="BT657">
        <v>9</v>
      </c>
      <c r="BV657">
        <v>1</v>
      </c>
      <c r="BW657">
        <v>305</v>
      </c>
      <c r="BX657">
        <f>IF(C657=C656,IF((CI657-1)=CI656,BW656,"no data"))</f>
        <v>59</v>
      </c>
      <c r="BY657" s="5">
        <f t="shared" si="79"/>
        <v>4.1694915254237293</v>
      </c>
      <c r="BZ657" s="6">
        <f t="shared" si="78"/>
        <v>4.1694915254237293</v>
      </c>
      <c r="CA657" s="7">
        <v>43051</v>
      </c>
      <c r="CE657">
        <v>120</v>
      </c>
      <c r="CF657">
        <v>42</v>
      </c>
      <c r="CG657">
        <v>112</v>
      </c>
      <c r="CH657">
        <v>31</v>
      </c>
      <c r="CI657">
        <f t="shared" si="75"/>
        <v>2017</v>
      </c>
      <c r="CJ657" t="str">
        <f t="shared" si="76"/>
        <v>5684_2017</v>
      </c>
    </row>
    <row r="658" spans="1:88" x14ac:dyDescent="0.25">
      <c r="A658" t="s">
        <v>111</v>
      </c>
      <c r="B658" t="s">
        <v>267</v>
      </c>
      <c r="C658">
        <v>5684</v>
      </c>
      <c r="D658">
        <v>-37.781314000000002</v>
      </c>
      <c r="E658">
        <v>145.61161300000001</v>
      </c>
      <c r="F658">
        <v>3</v>
      </c>
      <c r="G658" t="s">
        <v>272</v>
      </c>
      <c r="H658">
        <v>78</v>
      </c>
      <c r="I658">
        <v>258</v>
      </c>
      <c r="J658">
        <v>173</v>
      </c>
      <c r="K658">
        <v>353</v>
      </c>
      <c r="L658">
        <v>283</v>
      </c>
      <c r="M658">
        <v>103</v>
      </c>
      <c r="T658">
        <v>3</v>
      </c>
      <c r="U658">
        <v>158</v>
      </c>
      <c r="Y658">
        <v>10</v>
      </c>
      <c r="Z658">
        <v>1</v>
      </c>
      <c r="AD658">
        <v>140</v>
      </c>
      <c r="AE658">
        <v>7</v>
      </c>
      <c r="AX658">
        <v>161</v>
      </c>
      <c r="AY658">
        <v>150</v>
      </c>
      <c r="AZ658">
        <v>311</v>
      </c>
      <c r="BA658">
        <v>11</v>
      </c>
      <c r="BB658">
        <v>10</v>
      </c>
      <c r="BC658">
        <v>21</v>
      </c>
      <c r="BD658">
        <v>147</v>
      </c>
      <c r="BE658">
        <v>159</v>
      </c>
      <c r="BF658">
        <v>306</v>
      </c>
      <c r="BP658">
        <v>196</v>
      </c>
      <c r="BR658">
        <v>91</v>
      </c>
      <c r="BS658">
        <v>2</v>
      </c>
      <c r="BT658">
        <v>20</v>
      </c>
      <c r="BV658">
        <v>10</v>
      </c>
      <c r="BW658">
        <v>319</v>
      </c>
      <c r="BX658">
        <f>IF(C658=C657,IF((CI658-1)=CI657,BW657,"no data"))</f>
        <v>305</v>
      </c>
      <c r="BY658" s="5">
        <f t="shared" si="79"/>
        <v>4.5901639344262293E-2</v>
      </c>
      <c r="BZ658" s="6">
        <f t="shared" si="78"/>
        <v>4.5901639344262293E-2</v>
      </c>
      <c r="CA658" s="7">
        <v>43415</v>
      </c>
      <c r="CE658">
        <v>53</v>
      </c>
      <c r="CF658">
        <v>76</v>
      </c>
      <c r="CG658">
        <v>98</v>
      </c>
      <c r="CH658">
        <v>92</v>
      </c>
      <c r="CI658">
        <f t="shared" si="75"/>
        <v>2018</v>
      </c>
      <c r="CJ658" t="str">
        <f t="shared" si="76"/>
        <v>5684_2018</v>
      </c>
    </row>
    <row r="659" spans="1:88" x14ac:dyDescent="0.25">
      <c r="A659" t="s">
        <v>111</v>
      </c>
      <c r="B659" t="s">
        <v>267</v>
      </c>
      <c r="C659">
        <v>5685</v>
      </c>
      <c r="D659">
        <v>-37.755499999999998</v>
      </c>
      <c r="E659">
        <v>145.68039999999999</v>
      </c>
      <c r="F659">
        <v>3</v>
      </c>
      <c r="G659" t="s">
        <v>273</v>
      </c>
      <c r="H659">
        <v>84</v>
      </c>
      <c r="I659">
        <v>264</v>
      </c>
      <c r="J659">
        <v>152</v>
      </c>
      <c r="K659">
        <v>332</v>
      </c>
      <c r="L659">
        <v>256</v>
      </c>
      <c r="M659">
        <v>76</v>
      </c>
      <c r="T659">
        <v>6</v>
      </c>
      <c r="U659">
        <v>124</v>
      </c>
      <c r="Y659">
        <v>2</v>
      </c>
      <c r="Z659">
        <v>3</v>
      </c>
      <c r="AD659">
        <v>153</v>
      </c>
      <c r="AE659">
        <v>6</v>
      </c>
      <c r="AX659">
        <v>130</v>
      </c>
      <c r="AY659">
        <v>155</v>
      </c>
      <c r="AZ659">
        <v>285</v>
      </c>
      <c r="BA659">
        <v>5</v>
      </c>
      <c r="BB659">
        <v>12</v>
      </c>
      <c r="BC659">
        <v>17</v>
      </c>
      <c r="BD659">
        <v>159</v>
      </c>
      <c r="BE659">
        <v>127</v>
      </c>
      <c r="BF659">
        <v>286</v>
      </c>
      <c r="BP659">
        <v>249</v>
      </c>
      <c r="BR659">
        <v>25</v>
      </c>
      <c r="BS659">
        <v>6</v>
      </c>
      <c r="BT659">
        <v>14</v>
      </c>
      <c r="BV659">
        <v>0</v>
      </c>
      <c r="BW659">
        <v>294</v>
      </c>
      <c r="BX659" t="s">
        <v>82</v>
      </c>
      <c r="BY659" s="5"/>
      <c r="BZ659" s="6"/>
      <c r="CA659" s="7">
        <v>41224</v>
      </c>
      <c r="CI659">
        <f t="shared" si="75"/>
        <v>2012</v>
      </c>
      <c r="CJ659" t="str">
        <f t="shared" si="76"/>
        <v>5685_2012</v>
      </c>
    </row>
    <row r="660" spans="1:88" x14ac:dyDescent="0.25">
      <c r="A660" t="s">
        <v>111</v>
      </c>
      <c r="B660" t="s">
        <v>267</v>
      </c>
      <c r="C660">
        <v>5685</v>
      </c>
      <c r="D660">
        <v>-37.755499999999998</v>
      </c>
      <c r="E660">
        <v>145.68039999999999</v>
      </c>
      <c r="F660">
        <v>3</v>
      </c>
      <c r="G660" t="s">
        <v>273</v>
      </c>
      <c r="H660">
        <v>84</v>
      </c>
      <c r="I660">
        <v>264</v>
      </c>
      <c r="J660">
        <v>152</v>
      </c>
      <c r="K660">
        <v>332</v>
      </c>
      <c r="L660">
        <v>256</v>
      </c>
      <c r="M660">
        <v>76</v>
      </c>
      <c r="T660">
        <v>0</v>
      </c>
      <c r="U660">
        <v>126</v>
      </c>
      <c r="Y660">
        <v>0</v>
      </c>
      <c r="Z660">
        <v>4</v>
      </c>
      <c r="AD660">
        <v>181</v>
      </c>
      <c r="AE660">
        <v>5</v>
      </c>
      <c r="AX660">
        <v>126</v>
      </c>
      <c r="AY660">
        <v>181</v>
      </c>
      <c r="AZ660">
        <v>307</v>
      </c>
      <c r="BA660">
        <v>4</v>
      </c>
      <c r="BB660">
        <v>5</v>
      </c>
      <c r="BC660">
        <v>9</v>
      </c>
      <c r="BD660">
        <v>186</v>
      </c>
      <c r="BE660">
        <v>130</v>
      </c>
      <c r="BF660">
        <v>316</v>
      </c>
      <c r="BP660">
        <v>243</v>
      </c>
      <c r="BR660">
        <v>53</v>
      </c>
      <c r="BS660">
        <v>2</v>
      </c>
      <c r="BT660">
        <v>15</v>
      </c>
      <c r="BV660">
        <v>3</v>
      </c>
      <c r="BW660">
        <v>316</v>
      </c>
      <c r="BX660">
        <f t="shared" ref="BX660:BX665" si="80">IF(C660=C659,IF((CI660-1)=CI659,BW659,"no data"))</f>
        <v>294</v>
      </c>
      <c r="BY660" s="5">
        <f t="shared" si="79"/>
        <v>7.4829931972789115E-2</v>
      </c>
      <c r="BZ660" s="6">
        <f t="shared" si="78"/>
        <v>7.4829931972789115E-2</v>
      </c>
      <c r="CA660" s="7">
        <v>41588</v>
      </c>
      <c r="CI660">
        <f t="shared" si="75"/>
        <v>2013</v>
      </c>
      <c r="CJ660" t="str">
        <f t="shared" si="76"/>
        <v>5685_2013</v>
      </c>
    </row>
    <row r="661" spans="1:88" x14ac:dyDescent="0.25">
      <c r="A661" t="s">
        <v>111</v>
      </c>
      <c r="B661" t="s">
        <v>267</v>
      </c>
      <c r="C661">
        <v>5685</v>
      </c>
      <c r="D661">
        <v>-37.755499999999998</v>
      </c>
      <c r="E661">
        <v>145.68039999999999</v>
      </c>
      <c r="F661">
        <v>3</v>
      </c>
      <c r="G661" t="s">
        <v>273</v>
      </c>
      <c r="H661">
        <v>84</v>
      </c>
      <c r="I661">
        <v>264</v>
      </c>
      <c r="J661">
        <v>152</v>
      </c>
      <c r="K661">
        <v>332</v>
      </c>
      <c r="L661">
        <v>256</v>
      </c>
      <c r="M661">
        <v>76</v>
      </c>
      <c r="T661">
        <v>4</v>
      </c>
      <c r="U661">
        <v>130</v>
      </c>
      <c r="Y661">
        <v>5</v>
      </c>
      <c r="Z661">
        <v>19</v>
      </c>
      <c r="AD661">
        <v>118</v>
      </c>
      <c r="AE661">
        <v>8</v>
      </c>
      <c r="AX661">
        <v>134</v>
      </c>
      <c r="AY661">
        <v>123</v>
      </c>
      <c r="AZ661">
        <v>257</v>
      </c>
      <c r="BA661">
        <v>24</v>
      </c>
      <c r="BB661">
        <v>12</v>
      </c>
      <c r="BC661">
        <v>36</v>
      </c>
      <c r="BD661">
        <v>126</v>
      </c>
      <c r="BE661">
        <v>149</v>
      </c>
      <c r="BF661">
        <v>275</v>
      </c>
      <c r="BP661">
        <v>206</v>
      </c>
      <c r="BR661">
        <v>67</v>
      </c>
      <c r="BS661">
        <v>6</v>
      </c>
      <c r="BT661">
        <v>3</v>
      </c>
      <c r="BV661">
        <v>2</v>
      </c>
      <c r="BW661">
        <v>284</v>
      </c>
      <c r="BX661">
        <f t="shared" si="80"/>
        <v>316</v>
      </c>
      <c r="BY661" s="5">
        <f t="shared" si="79"/>
        <v>-0.10126582278481013</v>
      </c>
      <c r="BZ661" s="6">
        <f t="shared" si="78"/>
        <v>-0.10126582278481013</v>
      </c>
      <c r="CA661" s="7">
        <v>41952</v>
      </c>
      <c r="CI661">
        <f t="shared" si="75"/>
        <v>2014</v>
      </c>
      <c r="CJ661" t="str">
        <f t="shared" si="76"/>
        <v>5685_2014</v>
      </c>
    </row>
    <row r="662" spans="1:88" x14ac:dyDescent="0.25">
      <c r="A662" t="s">
        <v>111</v>
      </c>
      <c r="B662" t="s">
        <v>267</v>
      </c>
      <c r="C662">
        <v>5685</v>
      </c>
      <c r="D662">
        <v>-37.755499999999998</v>
      </c>
      <c r="E662">
        <v>145.68039999999999</v>
      </c>
      <c r="F662">
        <v>3</v>
      </c>
      <c r="G662" t="s">
        <v>273</v>
      </c>
      <c r="H662">
        <v>84</v>
      </c>
      <c r="I662">
        <v>264</v>
      </c>
      <c r="J662">
        <v>152</v>
      </c>
      <c r="K662">
        <v>332</v>
      </c>
      <c r="L662">
        <v>256</v>
      </c>
      <c r="M662">
        <v>76</v>
      </c>
      <c r="T662">
        <v>5</v>
      </c>
      <c r="U662">
        <v>138</v>
      </c>
      <c r="Y662">
        <v>6</v>
      </c>
      <c r="Z662">
        <v>15</v>
      </c>
      <c r="AD662">
        <v>168</v>
      </c>
      <c r="AE662">
        <v>5</v>
      </c>
      <c r="AX662">
        <v>143</v>
      </c>
      <c r="AY662">
        <v>174</v>
      </c>
      <c r="AZ662">
        <v>317</v>
      </c>
      <c r="BA662">
        <v>21</v>
      </c>
      <c r="BB662">
        <v>10</v>
      </c>
      <c r="BC662">
        <v>31</v>
      </c>
      <c r="BD662">
        <v>173</v>
      </c>
      <c r="BE662">
        <v>153</v>
      </c>
      <c r="BF662">
        <v>326</v>
      </c>
      <c r="BP662">
        <v>292</v>
      </c>
      <c r="BR662">
        <v>35</v>
      </c>
      <c r="BS662">
        <v>1</v>
      </c>
      <c r="BT662">
        <v>9</v>
      </c>
      <c r="BV662">
        <v>0</v>
      </c>
      <c r="BW662">
        <v>337</v>
      </c>
      <c r="BX662">
        <f t="shared" si="80"/>
        <v>284</v>
      </c>
      <c r="BY662" s="5">
        <f t="shared" si="79"/>
        <v>0.18661971830985916</v>
      </c>
      <c r="BZ662" s="6">
        <f t="shared" si="78"/>
        <v>0.18661971830985916</v>
      </c>
      <c r="CA662" s="7">
        <v>42316</v>
      </c>
      <c r="CE662">
        <v>134</v>
      </c>
      <c r="CF662">
        <v>0</v>
      </c>
      <c r="CG662">
        <v>110</v>
      </c>
      <c r="CH662">
        <v>93</v>
      </c>
      <c r="CI662">
        <f t="shared" si="75"/>
        <v>2015</v>
      </c>
      <c r="CJ662" t="str">
        <f t="shared" si="76"/>
        <v>5685_2015</v>
      </c>
    </row>
    <row r="663" spans="1:88" x14ac:dyDescent="0.25">
      <c r="A663" t="s">
        <v>111</v>
      </c>
      <c r="B663" t="s">
        <v>267</v>
      </c>
      <c r="C663">
        <v>5685</v>
      </c>
      <c r="D663">
        <v>-37.755516999999998</v>
      </c>
      <c r="E663">
        <v>145.68041199999999</v>
      </c>
      <c r="F663">
        <v>3</v>
      </c>
      <c r="G663" t="s">
        <v>273</v>
      </c>
      <c r="H663">
        <v>84</v>
      </c>
      <c r="I663">
        <v>264</v>
      </c>
      <c r="J663">
        <v>152</v>
      </c>
      <c r="K663">
        <v>332</v>
      </c>
      <c r="L663">
        <v>256</v>
      </c>
      <c r="M663">
        <v>76</v>
      </c>
      <c r="T663">
        <v>0</v>
      </c>
      <c r="U663">
        <v>15</v>
      </c>
      <c r="Y663">
        <v>0</v>
      </c>
      <c r="Z663">
        <v>4</v>
      </c>
      <c r="AD663">
        <v>21</v>
      </c>
      <c r="AE663">
        <v>3</v>
      </c>
      <c r="AX663">
        <v>15</v>
      </c>
      <c r="AY663">
        <v>21</v>
      </c>
      <c r="AZ663">
        <v>36</v>
      </c>
      <c r="BA663">
        <v>4</v>
      </c>
      <c r="BB663">
        <v>3</v>
      </c>
      <c r="BC663">
        <v>7</v>
      </c>
      <c r="BD663">
        <v>24</v>
      </c>
      <c r="BE663">
        <v>19</v>
      </c>
      <c r="BF663">
        <v>43</v>
      </c>
      <c r="BP663">
        <v>24</v>
      </c>
      <c r="BR663">
        <v>15</v>
      </c>
      <c r="BS663">
        <v>1</v>
      </c>
      <c r="BT663">
        <v>3</v>
      </c>
      <c r="BV663">
        <v>0</v>
      </c>
      <c r="BW663">
        <v>43</v>
      </c>
      <c r="BX663">
        <f t="shared" si="80"/>
        <v>337</v>
      </c>
      <c r="BY663" s="5">
        <f t="shared" si="79"/>
        <v>-0.87240356083086057</v>
      </c>
      <c r="BZ663" s="6">
        <f t="shared" si="78"/>
        <v>-0.87240356083086057</v>
      </c>
      <c r="CA663" s="7">
        <v>42687</v>
      </c>
      <c r="CE663">
        <v>6</v>
      </c>
      <c r="CF663">
        <v>4</v>
      </c>
      <c r="CG663">
        <v>19</v>
      </c>
      <c r="CH663">
        <v>14</v>
      </c>
      <c r="CI663">
        <f t="shared" si="75"/>
        <v>2016</v>
      </c>
      <c r="CJ663" t="str">
        <f t="shared" si="76"/>
        <v>5685_2016</v>
      </c>
    </row>
    <row r="664" spans="1:88" x14ac:dyDescent="0.25">
      <c r="A664" t="s">
        <v>111</v>
      </c>
      <c r="B664" t="s">
        <v>267</v>
      </c>
      <c r="C664">
        <v>5685</v>
      </c>
      <c r="D664">
        <v>-37.755516999999998</v>
      </c>
      <c r="E664">
        <v>145.68041199999999</v>
      </c>
      <c r="F664">
        <v>3</v>
      </c>
      <c r="G664" t="s">
        <v>273</v>
      </c>
      <c r="H664">
        <v>84</v>
      </c>
      <c r="I664">
        <v>264</v>
      </c>
      <c r="J664">
        <v>152</v>
      </c>
      <c r="K664">
        <v>332</v>
      </c>
      <c r="L664">
        <v>256</v>
      </c>
      <c r="M664">
        <v>76</v>
      </c>
      <c r="T664">
        <v>1</v>
      </c>
      <c r="U664">
        <v>107</v>
      </c>
      <c r="Y664">
        <v>0</v>
      </c>
      <c r="Z664">
        <v>12</v>
      </c>
      <c r="AD664">
        <v>118</v>
      </c>
      <c r="AE664">
        <v>43</v>
      </c>
      <c r="AX664">
        <v>108</v>
      </c>
      <c r="AY664">
        <v>118</v>
      </c>
      <c r="AZ664">
        <v>226</v>
      </c>
      <c r="BA664">
        <v>12</v>
      </c>
      <c r="BB664">
        <v>44</v>
      </c>
      <c r="BC664">
        <v>56</v>
      </c>
      <c r="BD664">
        <v>161</v>
      </c>
      <c r="BE664">
        <v>119</v>
      </c>
      <c r="BF664">
        <v>280</v>
      </c>
      <c r="BP664">
        <v>203</v>
      </c>
      <c r="BR664">
        <v>61</v>
      </c>
      <c r="BS664">
        <v>7</v>
      </c>
      <c r="BT664">
        <v>8</v>
      </c>
      <c r="BV664">
        <v>2</v>
      </c>
      <c r="BW664">
        <v>281</v>
      </c>
      <c r="BX664">
        <f t="shared" si="80"/>
        <v>43</v>
      </c>
      <c r="BY664" s="5">
        <f t="shared" si="79"/>
        <v>5.5348837209302326</v>
      </c>
      <c r="BZ664" s="6">
        <f t="shared" si="78"/>
        <v>5.5348837209302326</v>
      </c>
      <c r="CA664" s="7">
        <v>43051</v>
      </c>
      <c r="CE664">
        <v>55</v>
      </c>
      <c r="CF664">
        <v>103</v>
      </c>
      <c r="CG664">
        <v>78</v>
      </c>
      <c r="CH664">
        <v>45</v>
      </c>
      <c r="CI664">
        <f t="shared" si="75"/>
        <v>2017</v>
      </c>
      <c r="CJ664" t="str">
        <f t="shared" si="76"/>
        <v>5685_2017</v>
      </c>
    </row>
    <row r="665" spans="1:88" x14ac:dyDescent="0.25">
      <c r="A665" t="s">
        <v>111</v>
      </c>
      <c r="B665" t="s">
        <v>267</v>
      </c>
      <c r="C665">
        <v>5685</v>
      </c>
      <c r="D665">
        <v>-37.755516999999998</v>
      </c>
      <c r="E665">
        <v>145.68041199999999</v>
      </c>
      <c r="F665">
        <v>3</v>
      </c>
      <c r="G665" t="s">
        <v>273</v>
      </c>
      <c r="H665">
        <v>84</v>
      </c>
      <c r="I665">
        <v>264</v>
      </c>
      <c r="J665">
        <v>152</v>
      </c>
      <c r="K665">
        <v>332</v>
      </c>
      <c r="L665">
        <v>256</v>
      </c>
      <c r="M665">
        <v>76</v>
      </c>
      <c r="T665">
        <v>9</v>
      </c>
      <c r="U665">
        <v>148</v>
      </c>
      <c r="Y665">
        <v>9</v>
      </c>
      <c r="Z665">
        <v>10</v>
      </c>
      <c r="AD665">
        <v>119</v>
      </c>
      <c r="AE665">
        <v>34</v>
      </c>
      <c r="AX665">
        <v>157</v>
      </c>
      <c r="AY665">
        <v>128</v>
      </c>
      <c r="AZ665">
        <v>285</v>
      </c>
      <c r="BA665">
        <v>19</v>
      </c>
      <c r="BB665">
        <v>43</v>
      </c>
      <c r="BC665">
        <v>62</v>
      </c>
      <c r="BD665">
        <v>153</v>
      </c>
      <c r="BE665">
        <v>158</v>
      </c>
      <c r="BF665">
        <v>311</v>
      </c>
      <c r="BP665">
        <v>226</v>
      </c>
      <c r="BR665">
        <v>84</v>
      </c>
      <c r="BS665">
        <v>7</v>
      </c>
      <c r="BT665">
        <v>12</v>
      </c>
      <c r="BV665">
        <v>0</v>
      </c>
      <c r="BW665">
        <v>329</v>
      </c>
      <c r="BX665">
        <f t="shared" si="80"/>
        <v>281</v>
      </c>
      <c r="BY665" s="5">
        <f t="shared" si="79"/>
        <v>0.1708185053380783</v>
      </c>
      <c r="BZ665" s="6">
        <f t="shared" si="78"/>
        <v>0.1708185053380783</v>
      </c>
      <c r="CA665" s="7">
        <v>43415</v>
      </c>
      <c r="CE665">
        <v>40</v>
      </c>
      <c r="CF665">
        <v>112</v>
      </c>
      <c r="CG665">
        <v>105</v>
      </c>
      <c r="CH665">
        <v>72</v>
      </c>
      <c r="CI665">
        <f t="shared" si="75"/>
        <v>2018</v>
      </c>
      <c r="CJ665" t="str">
        <f t="shared" si="76"/>
        <v>5685_2018</v>
      </c>
    </row>
    <row r="666" spans="1:88" x14ac:dyDescent="0.25">
      <c r="A666" t="s">
        <v>111</v>
      </c>
      <c r="B666" t="s">
        <v>112</v>
      </c>
      <c r="C666">
        <v>5686</v>
      </c>
      <c r="D666">
        <v>-37.693199999999997</v>
      </c>
      <c r="E666">
        <v>145.1001</v>
      </c>
      <c r="F666">
        <v>3</v>
      </c>
      <c r="G666" t="s">
        <v>274</v>
      </c>
      <c r="H666">
        <v>4</v>
      </c>
      <c r="I666">
        <v>184</v>
      </c>
      <c r="J666">
        <v>80</v>
      </c>
      <c r="K666">
        <v>260</v>
      </c>
      <c r="L666">
        <v>191</v>
      </c>
      <c r="M666">
        <v>11</v>
      </c>
      <c r="T666">
        <v>3</v>
      </c>
      <c r="U666">
        <v>17</v>
      </c>
      <c r="Y666">
        <v>1</v>
      </c>
      <c r="Z666">
        <v>3</v>
      </c>
      <c r="AD666">
        <v>10</v>
      </c>
      <c r="AE666">
        <v>3</v>
      </c>
      <c r="AX666">
        <v>20</v>
      </c>
      <c r="AY666">
        <v>11</v>
      </c>
      <c r="AZ666">
        <v>31</v>
      </c>
      <c r="BA666">
        <v>4</v>
      </c>
      <c r="BB666">
        <v>6</v>
      </c>
      <c r="BC666">
        <v>10</v>
      </c>
      <c r="BD666">
        <v>13</v>
      </c>
      <c r="BE666">
        <v>20</v>
      </c>
      <c r="BF666">
        <v>33</v>
      </c>
      <c r="BP666">
        <v>5</v>
      </c>
      <c r="BR666">
        <v>13</v>
      </c>
      <c r="BS666">
        <v>4</v>
      </c>
      <c r="BT666">
        <v>9</v>
      </c>
      <c r="BV666">
        <v>6</v>
      </c>
      <c r="BW666">
        <v>37</v>
      </c>
      <c r="BX666" t="s">
        <v>82</v>
      </c>
      <c r="BY666" s="5"/>
      <c r="BZ666" s="6"/>
      <c r="CA666" s="7">
        <v>40853</v>
      </c>
      <c r="CI666">
        <f t="shared" si="75"/>
        <v>2011</v>
      </c>
      <c r="CJ666" t="str">
        <f t="shared" si="76"/>
        <v>5686_2011</v>
      </c>
    </row>
    <row r="667" spans="1:88" x14ac:dyDescent="0.25">
      <c r="A667" t="s">
        <v>111</v>
      </c>
      <c r="B667" t="s">
        <v>112</v>
      </c>
      <c r="C667">
        <v>5687</v>
      </c>
      <c r="D667">
        <v>-37.692300000000003</v>
      </c>
      <c r="E667">
        <v>145.09819999999999</v>
      </c>
      <c r="F667">
        <v>3</v>
      </c>
      <c r="G667" t="s">
        <v>275</v>
      </c>
      <c r="H667">
        <v>55</v>
      </c>
      <c r="I667">
        <v>235</v>
      </c>
      <c r="J667">
        <v>88</v>
      </c>
      <c r="K667">
        <v>268</v>
      </c>
      <c r="L667">
        <v>268</v>
      </c>
      <c r="M667">
        <v>88</v>
      </c>
      <c r="T667">
        <v>4</v>
      </c>
      <c r="U667">
        <v>5</v>
      </c>
      <c r="Y667">
        <v>0</v>
      </c>
      <c r="Z667">
        <v>4</v>
      </c>
      <c r="AD667">
        <v>18</v>
      </c>
      <c r="AE667">
        <v>3</v>
      </c>
      <c r="AX667">
        <v>9</v>
      </c>
      <c r="AY667">
        <v>18</v>
      </c>
      <c r="AZ667">
        <v>27</v>
      </c>
      <c r="BA667">
        <v>4</v>
      </c>
      <c r="BB667">
        <v>7</v>
      </c>
      <c r="BC667">
        <v>11</v>
      </c>
      <c r="BD667">
        <v>21</v>
      </c>
      <c r="BE667">
        <v>9</v>
      </c>
      <c r="BF667">
        <v>30</v>
      </c>
      <c r="BP667">
        <v>27</v>
      </c>
      <c r="BR667">
        <v>3</v>
      </c>
      <c r="BS667">
        <v>2</v>
      </c>
      <c r="BT667">
        <v>2</v>
      </c>
      <c r="BV667">
        <v>0</v>
      </c>
      <c r="BW667">
        <v>34</v>
      </c>
      <c r="BX667" t="s">
        <v>82</v>
      </c>
      <c r="BY667" s="5"/>
      <c r="BZ667" s="6"/>
      <c r="CA667" s="7">
        <v>40853</v>
      </c>
      <c r="CI667">
        <f t="shared" si="75"/>
        <v>2011</v>
      </c>
      <c r="CJ667" t="str">
        <f t="shared" si="76"/>
        <v>5687_2011</v>
      </c>
    </row>
    <row r="668" spans="1:88" x14ac:dyDescent="0.25">
      <c r="A668" t="s">
        <v>111</v>
      </c>
      <c r="B668" t="s">
        <v>244</v>
      </c>
      <c r="C668">
        <v>5688</v>
      </c>
      <c r="D668">
        <v>-37.841079000000001</v>
      </c>
      <c r="E668">
        <v>145.12154799999999</v>
      </c>
      <c r="F668">
        <v>4</v>
      </c>
      <c r="G668" t="s">
        <v>276</v>
      </c>
      <c r="H668">
        <v>9</v>
      </c>
      <c r="I668">
        <v>189</v>
      </c>
      <c r="J668">
        <v>157</v>
      </c>
      <c r="K668">
        <v>337</v>
      </c>
      <c r="L668">
        <v>189</v>
      </c>
      <c r="M668">
        <v>9</v>
      </c>
      <c r="N668">
        <v>265</v>
      </c>
      <c r="O668">
        <v>85</v>
      </c>
      <c r="T668">
        <v>1</v>
      </c>
      <c r="U668">
        <v>0</v>
      </c>
      <c r="V668">
        <v>11</v>
      </c>
      <c r="Y668">
        <v>0</v>
      </c>
      <c r="Z668">
        <v>31</v>
      </c>
      <c r="AA668">
        <v>14</v>
      </c>
      <c r="AD668">
        <v>2</v>
      </c>
      <c r="AE668">
        <v>35</v>
      </c>
      <c r="AF668">
        <v>23</v>
      </c>
      <c r="AI668">
        <v>11</v>
      </c>
      <c r="AJ668">
        <v>17</v>
      </c>
      <c r="AK668">
        <v>66</v>
      </c>
      <c r="AX668">
        <v>12</v>
      </c>
      <c r="AY668">
        <v>13</v>
      </c>
      <c r="AZ668">
        <v>25</v>
      </c>
      <c r="BA668">
        <v>45</v>
      </c>
      <c r="BB668">
        <v>53</v>
      </c>
      <c r="BC668">
        <v>98</v>
      </c>
      <c r="BD668">
        <v>60</v>
      </c>
      <c r="BE668">
        <v>97</v>
      </c>
      <c r="BF668">
        <v>157</v>
      </c>
      <c r="BG668">
        <v>94</v>
      </c>
      <c r="BH668">
        <v>48</v>
      </c>
      <c r="BI668">
        <v>142</v>
      </c>
      <c r="BP668">
        <v>34</v>
      </c>
      <c r="BR668">
        <v>102</v>
      </c>
      <c r="BS668">
        <v>17</v>
      </c>
      <c r="BT668">
        <v>55</v>
      </c>
      <c r="BV668">
        <v>3</v>
      </c>
      <c r="BW668">
        <v>211</v>
      </c>
      <c r="BX668" t="s">
        <v>82</v>
      </c>
      <c r="BY668" s="5"/>
      <c r="BZ668" s="6"/>
      <c r="CA668" s="7">
        <v>40853</v>
      </c>
      <c r="CI668">
        <f t="shared" si="75"/>
        <v>2011</v>
      </c>
      <c r="CJ668" t="str">
        <f t="shared" si="76"/>
        <v>5688_2011</v>
      </c>
    </row>
    <row r="669" spans="1:88" x14ac:dyDescent="0.25">
      <c r="A669" t="s">
        <v>277</v>
      </c>
      <c r="B669" t="s">
        <v>278</v>
      </c>
      <c r="C669">
        <v>5778</v>
      </c>
      <c r="D669">
        <v>-34.908900000000003</v>
      </c>
      <c r="E669">
        <v>138.57640000000001</v>
      </c>
      <c r="F669">
        <v>3</v>
      </c>
      <c r="G669" t="s">
        <v>279</v>
      </c>
      <c r="H669">
        <v>15</v>
      </c>
      <c r="I669">
        <v>195</v>
      </c>
      <c r="J669">
        <v>104</v>
      </c>
      <c r="K669">
        <v>284</v>
      </c>
      <c r="L669">
        <v>270</v>
      </c>
      <c r="M669">
        <v>90</v>
      </c>
      <c r="T669">
        <v>4</v>
      </c>
      <c r="U669">
        <v>7</v>
      </c>
      <c r="Y669">
        <v>2</v>
      </c>
      <c r="Z669">
        <v>251</v>
      </c>
      <c r="AD669">
        <v>6</v>
      </c>
      <c r="AE669">
        <v>220</v>
      </c>
      <c r="AX669">
        <v>11</v>
      </c>
      <c r="AY669">
        <v>8</v>
      </c>
      <c r="AZ669">
        <v>19</v>
      </c>
      <c r="BA669">
        <v>253</v>
      </c>
      <c r="BB669">
        <v>224</v>
      </c>
      <c r="BC669">
        <v>477</v>
      </c>
      <c r="BD669">
        <v>226</v>
      </c>
      <c r="BE669">
        <v>258</v>
      </c>
      <c r="BF669">
        <v>484</v>
      </c>
      <c r="BP669">
        <v>388</v>
      </c>
      <c r="BR669">
        <v>42</v>
      </c>
      <c r="BS669">
        <v>56</v>
      </c>
      <c r="BT669">
        <v>4</v>
      </c>
      <c r="BV669">
        <v>0</v>
      </c>
      <c r="BW669">
        <v>490</v>
      </c>
      <c r="BX669" t="s">
        <v>82</v>
      </c>
      <c r="BY669" s="5"/>
      <c r="BZ669" s="6"/>
      <c r="CA669" s="7">
        <v>41588</v>
      </c>
      <c r="CI669">
        <f t="shared" si="75"/>
        <v>2013</v>
      </c>
      <c r="CJ669" t="str">
        <f t="shared" si="76"/>
        <v>5778_2013</v>
      </c>
    </row>
    <row r="670" spans="1:88" x14ac:dyDescent="0.25">
      <c r="A670" t="s">
        <v>277</v>
      </c>
      <c r="B670" t="s">
        <v>278</v>
      </c>
      <c r="C670">
        <v>5778</v>
      </c>
      <c r="D670">
        <v>-34.908900000000003</v>
      </c>
      <c r="E670">
        <v>138.57640000000001</v>
      </c>
      <c r="F670">
        <v>3</v>
      </c>
      <c r="G670" t="s">
        <v>279</v>
      </c>
      <c r="H670">
        <v>15</v>
      </c>
      <c r="I670">
        <v>195</v>
      </c>
      <c r="J670">
        <v>104</v>
      </c>
      <c r="K670">
        <v>284</v>
      </c>
      <c r="L670">
        <v>270</v>
      </c>
      <c r="M670">
        <v>90</v>
      </c>
      <c r="T670">
        <v>1</v>
      </c>
      <c r="U670">
        <v>10</v>
      </c>
      <c r="Y670">
        <v>1</v>
      </c>
      <c r="Z670">
        <v>304</v>
      </c>
      <c r="AD670">
        <v>14</v>
      </c>
      <c r="AE670">
        <v>272</v>
      </c>
      <c r="AX670">
        <v>11</v>
      </c>
      <c r="AY670">
        <v>15</v>
      </c>
      <c r="AZ670">
        <v>26</v>
      </c>
      <c r="BA670">
        <v>305</v>
      </c>
      <c r="BB670">
        <v>273</v>
      </c>
      <c r="BC670">
        <v>578</v>
      </c>
      <c r="BD670">
        <v>286</v>
      </c>
      <c r="BE670">
        <v>314</v>
      </c>
      <c r="BF670">
        <v>600</v>
      </c>
      <c r="BP670">
        <v>517</v>
      </c>
      <c r="BR670">
        <v>62</v>
      </c>
      <c r="BS670">
        <v>14</v>
      </c>
      <c r="BT670">
        <v>8</v>
      </c>
      <c r="BV670">
        <v>1</v>
      </c>
      <c r="BW670">
        <v>602</v>
      </c>
      <c r="BX670">
        <f>IF(C670=C669,IF((CI670-1)=CI669,BW669,"no data"))</f>
        <v>490</v>
      </c>
      <c r="BY670" s="5">
        <f t="shared" si="79"/>
        <v>0.22857142857142856</v>
      </c>
      <c r="BZ670" s="6">
        <f t="shared" si="78"/>
        <v>0.22857142857142856</v>
      </c>
      <c r="CA670" s="7">
        <v>41952</v>
      </c>
      <c r="CI670">
        <f t="shared" si="75"/>
        <v>2014</v>
      </c>
      <c r="CJ670" t="str">
        <f t="shared" si="76"/>
        <v>5778_2014</v>
      </c>
    </row>
    <row r="671" spans="1:88" x14ac:dyDescent="0.25">
      <c r="A671" t="s">
        <v>277</v>
      </c>
      <c r="B671" t="s">
        <v>278</v>
      </c>
      <c r="C671">
        <v>5779</v>
      </c>
      <c r="D671">
        <v>-34.9116</v>
      </c>
      <c r="E671">
        <v>138.56530000000001</v>
      </c>
      <c r="F671">
        <v>4</v>
      </c>
      <c r="G671" t="s">
        <v>280</v>
      </c>
      <c r="H671">
        <v>56</v>
      </c>
      <c r="I671">
        <v>236</v>
      </c>
      <c r="J671">
        <v>186</v>
      </c>
      <c r="K671">
        <v>6</v>
      </c>
      <c r="L671">
        <v>258</v>
      </c>
      <c r="M671">
        <v>78</v>
      </c>
      <c r="N671">
        <v>341</v>
      </c>
      <c r="O671">
        <v>161</v>
      </c>
      <c r="T671">
        <v>95</v>
      </c>
      <c r="U671">
        <v>95</v>
      </c>
      <c r="V671">
        <v>2</v>
      </c>
      <c r="Y671">
        <v>7</v>
      </c>
      <c r="Z671">
        <v>2</v>
      </c>
      <c r="AA671">
        <v>10</v>
      </c>
      <c r="AD671">
        <v>176</v>
      </c>
      <c r="AE671">
        <v>18</v>
      </c>
      <c r="AF671">
        <v>7</v>
      </c>
      <c r="AI671">
        <v>7</v>
      </c>
      <c r="AJ671">
        <v>16</v>
      </c>
      <c r="AK671">
        <v>0</v>
      </c>
      <c r="AX671">
        <v>192</v>
      </c>
      <c r="AY671">
        <v>190</v>
      </c>
      <c r="AZ671">
        <v>382</v>
      </c>
      <c r="BA671">
        <v>19</v>
      </c>
      <c r="BB671">
        <v>129</v>
      </c>
      <c r="BC671">
        <v>148</v>
      </c>
      <c r="BD671">
        <v>201</v>
      </c>
      <c r="BE671">
        <v>97</v>
      </c>
      <c r="BF671">
        <v>298</v>
      </c>
      <c r="BG671">
        <v>23</v>
      </c>
      <c r="BH671">
        <v>19</v>
      </c>
      <c r="BI671">
        <v>42</v>
      </c>
      <c r="BP671">
        <v>355</v>
      </c>
      <c r="BR671">
        <v>34</v>
      </c>
      <c r="BS671">
        <v>36</v>
      </c>
      <c r="BT671">
        <v>10</v>
      </c>
      <c r="BV671">
        <v>0</v>
      </c>
      <c r="BW671">
        <v>435</v>
      </c>
      <c r="BX671" t="s">
        <v>82</v>
      </c>
      <c r="BY671" s="5"/>
      <c r="BZ671" s="6"/>
      <c r="CA671" s="7">
        <v>41588</v>
      </c>
      <c r="CI671">
        <f t="shared" si="75"/>
        <v>2013</v>
      </c>
      <c r="CJ671" t="str">
        <f t="shared" si="76"/>
        <v>5779_2013</v>
      </c>
    </row>
    <row r="672" spans="1:88" x14ac:dyDescent="0.25">
      <c r="A672" t="s">
        <v>277</v>
      </c>
      <c r="B672" t="s">
        <v>278</v>
      </c>
      <c r="C672">
        <v>5780</v>
      </c>
      <c r="D672">
        <v>-34.9133</v>
      </c>
      <c r="E672">
        <v>138.54859999999999</v>
      </c>
      <c r="F672">
        <v>4</v>
      </c>
      <c r="G672" t="s">
        <v>281</v>
      </c>
      <c r="H672">
        <v>87</v>
      </c>
      <c r="I672">
        <v>267</v>
      </c>
      <c r="J672">
        <v>192</v>
      </c>
      <c r="K672">
        <v>12</v>
      </c>
      <c r="L672">
        <v>248</v>
      </c>
      <c r="M672">
        <v>68</v>
      </c>
      <c r="N672">
        <v>356</v>
      </c>
      <c r="O672">
        <v>176</v>
      </c>
      <c r="T672">
        <v>6</v>
      </c>
      <c r="U672">
        <v>293</v>
      </c>
      <c r="V672">
        <v>12</v>
      </c>
      <c r="Y672">
        <v>8</v>
      </c>
      <c r="Z672">
        <v>6</v>
      </c>
      <c r="AA672">
        <v>14</v>
      </c>
      <c r="AD672">
        <v>246</v>
      </c>
      <c r="AE672">
        <v>5</v>
      </c>
      <c r="AF672">
        <v>16</v>
      </c>
      <c r="AI672">
        <v>10</v>
      </c>
      <c r="AJ672">
        <v>10</v>
      </c>
      <c r="AK672">
        <v>10</v>
      </c>
      <c r="AX672">
        <v>311</v>
      </c>
      <c r="AY672">
        <v>264</v>
      </c>
      <c r="AZ672">
        <v>575</v>
      </c>
      <c r="BA672">
        <v>28</v>
      </c>
      <c r="BB672">
        <v>21</v>
      </c>
      <c r="BC672">
        <v>49</v>
      </c>
      <c r="BD672">
        <v>267</v>
      </c>
      <c r="BE672">
        <v>309</v>
      </c>
      <c r="BF672">
        <v>576</v>
      </c>
      <c r="BG672">
        <v>30</v>
      </c>
      <c r="BH672">
        <v>42</v>
      </c>
      <c r="BI672">
        <v>72</v>
      </c>
      <c r="BP672">
        <v>470</v>
      </c>
      <c r="BR672">
        <v>85</v>
      </c>
      <c r="BS672">
        <v>52</v>
      </c>
      <c r="BT672">
        <v>29</v>
      </c>
      <c r="BV672">
        <v>0</v>
      </c>
      <c r="BW672">
        <v>636</v>
      </c>
      <c r="BX672" t="s">
        <v>82</v>
      </c>
      <c r="BY672" s="5"/>
      <c r="BZ672" s="6"/>
      <c r="CA672" s="7">
        <v>41588</v>
      </c>
      <c r="CI672">
        <f t="shared" si="75"/>
        <v>2013</v>
      </c>
      <c r="CJ672" t="str">
        <f t="shared" si="76"/>
        <v>5780_2013</v>
      </c>
    </row>
    <row r="673" spans="1:88" x14ac:dyDescent="0.25">
      <c r="A673" t="s">
        <v>277</v>
      </c>
      <c r="B673" t="s">
        <v>278</v>
      </c>
      <c r="C673">
        <v>5781</v>
      </c>
      <c r="D673">
        <v>-34.917999999999999</v>
      </c>
      <c r="E673">
        <v>138.53579999999999</v>
      </c>
      <c r="F673">
        <v>3</v>
      </c>
      <c r="G673" t="s">
        <v>282</v>
      </c>
      <c r="H673">
        <v>67</v>
      </c>
      <c r="I673">
        <v>247</v>
      </c>
      <c r="J673">
        <v>246</v>
      </c>
      <c r="K673">
        <v>66</v>
      </c>
      <c r="L673">
        <v>309</v>
      </c>
      <c r="M673">
        <v>129</v>
      </c>
      <c r="T673">
        <v>250</v>
      </c>
      <c r="U673">
        <v>26</v>
      </c>
      <c r="Y673">
        <v>303</v>
      </c>
      <c r="Z673">
        <v>0</v>
      </c>
      <c r="AD673">
        <v>29</v>
      </c>
      <c r="AE673">
        <v>0</v>
      </c>
      <c r="AX673">
        <v>276</v>
      </c>
      <c r="AY673">
        <v>332</v>
      </c>
      <c r="AZ673">
        <v>608</v>
      </c>
      <c r="BA673">
        <v>303</v>
      </c>
      <c r="BB673">
        <v>250</v>
      </c>
      <c r="BC673">
        <v>553</v>
      </c>
      <c r="BD673">
        <v>29</v>
      </c>
      <c r="BE673">
        <v>26</v>
      </c>
      <c r="BF673">
        <v>55</v>
      </c>
      <c r="BP673">
        <v>443</v>
      </c>
      <c r="BR673">
        <v>93</v>
      </c>
      <c r="BS673">
        <v>40</v>
      </c>
      <c r="BT673">
        <v>30</v>
      </c>
      <c r="BV673">
        <v>2</v>
      </c>
      <c r="BW673">
        <v>608</v>
      </c>
      <c r="BX673" t="s">
        <v>82</v>
      </c>
      <c r="BY673" s="5"/>
      <c r="BZ673" s="6"/>
      <c r="CA673" s="7">
        <v>41588</v>
      </c>
      <c r="CI673">
        <f t="shared" si="75"/>
        <v>2013</v>
      </c>
      <c r="CJ673" t="str">
        <f t="shared" si="76"/>
        <v>5781_2013</v>
      </c>
    </row>
    <row r="674" spans="1:88" x14ac:dyDescent="0.25">
      <c r="A674" t="s">
        <v>277</v>
      </c>
      <c r="B674" t="s">
        <v>278</v>
      </c>
      <c r="C674">
        <v>5781</v>
      </c>
      <c r="D674">
        <v>-34.917999999999999</v>
      </c>
      <c r="E674">
        <v>138.53579999999999</v>
      </c>
      <c r="F674">
        <v>3</v>
      </c>
      <c r="G674" t="s">
        <v>282</v>
      </c>
      <c r="H674">
        <v>67</v>
      </c>
      <c r="I674">
        <v>247</v>
      </c>
      <c r="J674">
        <v>246</v>
      </c>
      <c r="K674">
        <v>66</v>
      </c>
      <c r="L674">
        <v>309</v>
      </c>
      <c r="M674">
        <v>129</v>
      </c>
      <c r="T674">
        <v>322</v>
      </c>
      <c r="U674">
        <v>25</v>
      </c>
      <c r="Y674">
        <v>286</v>
      </c>
      <c r="Z674">
        <v>24</v>
      </c>
      <c r="AD674">
        <v>25</v>
      </c>
      <c r="AE674">
        <v>18</v>
      </c>
      <c r="AX674">
        <v>347</v>
      </c>
      <c r="AY674">
        <v>311</v>
      </c>
      <c r="AZ674">
        <v>658</v>
      </c>
      <c r="BA674">
        <v>310</v>
      </c>
      <c r="BB674">
        <v>340</v>
      </c>
      <c r="BC674">
        <v>650</v>
      </c>
      <c r="BD674">
        <v>43</v>
      </c>
      <c r="BE674">
        <v>49</v>
      </c>
      <c r="BF674">
        <v>92</v>
      </c>
      <c r="BP674">
        <v>532</v>
      </c>
      <c r="BR674">
        <v>94</v>
      </c>
      <c r="BS674">
        <v>30</v>
      </c>
      <c r="BT674">
        <v>40</v>
      </c>
      <c r="BV674">
        <v>4</v>
      </c>
      <c r="BW674">
        <v>700</v>
      </c>
      <c r="BX674">
        <f>IF(C674=C673,IF((CI674-1)=CI673,BW673,"no data"))</f>
        <v>608</v>
      </c>
      <c r="BY674" s="5">
        <f t="shared" si="79"/>
        <v>0.15131578947368421</v>
      </c>
      <c r="BZ674" s="6">
        <f t="shared" si="78"/>
        <v>0.15131578947368421</v>
      </c>
      <c r="CA674" s="7">
        <v>41952</v>
      </c>
      <c r="CI674">
        <f t="shared" si="75"/>
        <v>2014</v>
      </c>
      <c r="CJ674" t="str">
        <f t="shared" si="76"/>
        <v>5781_2014</v>
      </c>
    </row>
    <row r="675" spans="1:88" x14ac:dyDescent="0.25">
      <c r="A675" t="s">
        <v>277</v>
      </c>
      <c r="B675" t="s">
        <v>278</v>
      </c>
      <c r="C675">
        <v>5782</v>
      </c>
      <c r="D675">
        <v>-34.918399999999998</v>
      </c>
      <c r="E675">
        <v>138.52289999999999</v>
      </c>
      <c r="F675">
        <v>6</v>
      </c>
      <c r="G675" t="s">
        <v>283</v>
      </c>
      <c r="H675">
        <v>67</v>
      </c>
      <c r="I675">
        <v>247</v>
      </c>
      <c r="J675">
        <v>77</v>
      </c>
      <c r="K675">
        <v>257</v>
      </c>
      <c r="L675">
        <v>159</v>
      </c>
      <c r="M675">
        <v>339</v>
      </c>
      <c r="N675">
        <v>229</v>
      </c>
      <c r="O675">
        <v>49</v>
      </c>
      <c r="P675">
        <v>252</v>
      </c>
      <c r="Q675">
        <v>72</v>
      </c>
      <c r="R675">
        <v>344</v>
      </c>
      <c r="S675">
        <v>164</v>
      </c>
      <c r="T675">
        <v>0</v>
      </c>
      <c r="U675">
        <v>0</v>
      </c>
      <c r="V675">
        <v>0</v>
      </c>
      <c r="W675">
        <v>4</v>
      </c>
      <c r="X675">
        <v>5</v>
      </c>
      <c r="Y675">
        <v>0</v>
      </c>
      <c r="Z675">
        <v>25</v>
      </c>
      <c r="AA675">
        <v>302</v>
      </c>
      <c r="AB675">
        <v>7</v>
      </c>
      <c r="AC675">
        <v>1</v>
      </c>
      <c r="AD675">
        <v>0</v>
      </c>
      <c r="AE675">
        <v>36</v>
      </c>
      <c r="AF675">
        <v>25</v>
      </c>
      <c r="AG675">
        <v>7</v>
      </c>
      <c r="AH675">
        <v>1</v>
      </c>
      <c r="AI675">
        <v>0</v>
      </c>
      <c r="AJ675">
        <v>225</v>
      </c>
      <c r="AK675">
        <v>21</v>
      </c>
      <c r="AL675">
        <v>8</v>
      </c>
      <c r="AM675">
        <v>0</v>
      </c>
      <c r="AN675">
        <v>4</v>
      </c>
      <c r="AO675">
        <v>0</v>
      </c>
      <c r="AP675">
        <v>0</v>
      </c>
      <c r="AQ675">
        <v>0</v>
      </c>
      <c r="AR675">
        <v>1</v>
      </c>
      <c r="AS675">
        <v>1</v>
      </c>
      <c r="AT675">
        <v>13</v>
      </c>
      <c r="AU675">
        <v>23</v>
      </c>
      <c r="AV675">
        <v>3</v>
      </c>
      <c r="AW675">
        <v>5</v>
      </c>
      <c r="AX675">
        <v>9</v>
      </c>
      <c r="AY675">
        <v>5</v>
      </c>
      <c r="AZ675">
        <v>14</v>
      </c>
      <c r="BA675">
        <v>335</v>
      </c>
      <c r="BB675">
        <v>274</v>
      </c>
      <c r="BC675">
        <v>609</v>
      </c>
      <c r="BD675">
        <v>69</v>
      </c>
      <c r="BE675">
        <v>69</v>
      </c>
      <c r="BF675">
        <v>138</v>
      </c>
      <c r="BG675">
        <v>254</v>
      </c>
      <c r="BH675">
        <v>330</v>
      </c>
      <c r="BI675">
        <v>584</v>
      </c>
      <c r="BJ675">
        <v>5</v>
      </c>
      <c r="BK675">
        <v>31</v>
      </c>
      <c r="BL675">
        <v>36</v>
      </c>
      <c r="BM675">
        <v>45</v>
      </c>
      <c r="BN675">
        <v>8</v>
      </c>
      <c r="BO675">
        <v>53</v>
      </c>
      <c r="BP675">
        <v>483</v>
      </c>
      <c r="BR675">
        <v>133</v>
      </c>
      <c r="BS675">
        <v>46</v>
      </c>
      <c r="BT675">
        <v>54</v>
      </c>
      <c r="BV675">
        <v>0</v>
      </c>
      <c r="BW675">
        <v>716</v>
      </c>
      <c r="BX675" t="s">
        <v>82</v>
      </c>
      <c r="BY675" s="5"/>
      <c r="BZ675" s="6"/>
      <c r="CA675" s="7">
        <v>41588</v>
      </c>
      <c r="CI675">
        <f t="shared" si="75"/>
        <v>2013</v>
      </c>
      <c r="CJ675" t="str">
        <f t="shared" si="76"/>
        <v>5782_2013</v>
      </c>
    </row>
    <row r="676" spans="1:88" x14ac:dyDescent="0.25">
      <c r="A676" t="s">
        <v>277</v>
      </c>
      <c r="B676" t="s">
        <v>278</v>
      </c>
      <c r="C676">
        <v>5783</v>
      </c>
      <c r="D676">
        <v>-34.934899999999999</v>
      </c>
      <c r="E676">
        <v>138.4982</v>
      </c>
      <c r="F676">
        <v>3</v>
      </c>
      <c r="G676" t="s">
        <v>284</v>
      </c>
      <c r="H676">
        <v>67</v>
      </c>
      <c r="I676">
        <v>247</v>
      </c>
      <c r="J676">
        <v>82</v>
      </c>
      <c r="K676">
        <v>262</v>
      </c>
      <c r="L676">
        <v>345</v>
      </c>
      <c r="M676">
        <v>165</v>
      </c>
      <c r="T676">
        <v>54</v>
      </c>
      <c r="U676">
        <v>249</v>
      </c>
      <c r="Y676">
        <v>61</v>
      </c>
      <c r="Z676">
        <v>199</v>
      </c>
      <c r="AD676">
        <v>244</v>
      </c>
      <c r="AE676">
        <v>140</v>
      </c>
      <c r="AX676">
        <v>303</v>
      </c>
      <c r="AY676">
        <v>305</v>
      </c>
      <c r="AZ676">
        <v>608</v>
      </c>
      <c r="BA676">
        <v>260</v>
      </c>
      <c r="BB676">
        <v>194</v>
      </c>
      <c r="BC676">
        <v>454</v>
      </c>
      <c r="BD676">
        <v>384</v>
      </c>
      <c r="BE676">
        <v>448</v>
      </c>
      <c r="BF676">
        <v>832</v>
      </c>
      <c r="BP676">
        <v>538</v>
      </c>
      <c r="BR676">
        <v>264</v>
      </c>
      <c r="BS676">
        <v>63</v>
      </c>
      <c r="BT676">
        <v>57</v>
      </c>
      <c r="BV676">
        <v>25</v>
      </c>
      <c r="BW676">
        <v>947</v>
      </c>
      <c r="BX676" t="s">
        <v>82</v>
      </c>
      <c r="BY676" s="5"/>
      <c r="BZ676" s="6"/>
      <c r="CA676" s="7">
        <v>41588</v>
      </c>
      <c r="CI676">
        <f t="shared" si="75"/>
        <v>2013</v>
      </c>
      <c r="CJ676" t="str">
        <f t="shared" si="76"/>
        <v>5783_2013</v>
      </c>
    </row>
    <row r="677" spans="1:88" x14ac:dyDescent="0.25">
      <c r="A677" t="s">
        <v>277</v>
      </c>
      <c r="B677" t="s">
        <v>278</v>
      </c>
      <c r="C677">
        <v>5784</v>
      </c>
      <c r="D677">
        <v>-34.946100000000001</v>
      </c>
      <c r="E677">
        <v>138.5017</v>
      </c>
      <c r="F677">
        <v>3</v>
      </c>
      <c r="G677" t="s">
        <v>285</v>
      </c>
      <c r="H677">
        <v>73</v>
      </c>
      <c r="I677">
        <v>253</v>
      </c>
      <c r="J677">
        <v>172</v>
      </c>
      <c r="K677">
        <v>352</v>
      </c>
      <c r="L677">
        <v>341</v>
      </c>
      <c r="M677">
        <v>161</v>
      </c>
      <c r="T677">
        <v>31</v>
      </c>
      <c r="U677">
        <v>392</v>
      </c>
      <c r="Y677">
        <v>25</v>
      </c>
      <c r="Z677">
        <v>440</v>
      </c>
      <c r="AD677">
        <v>319</v>
      </c>
      <c r="AE677">
        <v>522</v>
      </c>
      <c r="AX677">
        <v>423</v>
      </c>
      <c r="AY677">
        <v>344</v>
      </c>
      <c r="AZ677">
        <v>767</v>
      </c>
      <c r="BA677">
        <v>465</v>
      </c>
      <c r="BB677">
        <v>553</v>
      </c>
      <c r="BC677">
        <v>1018</v>
      </c>
      <c r="BD677">
        <v>841</v>
      </c>
      <c r="BE677">
        <v>832</v>
      </c>
      <c r="BF677">
        <v>1673</v>
      </c>
      <c r="BP677">
        <v>1161</v>
      </c>
      <c r="BR677">
        <v>460</v>
      </c>
      <c r="BS677">
        <v>45</v>
      </c>
      <c r="BT677">
        <v>52</v>
      </c>
      <c r="BV677">
        <v>11</v>
      </c>
      <c r="BW677">
        <v>1729</v>
      </c>
      <c r="BX677" t="s">
        <v>82</v>
      </c>
      <c r="BY677" s="5"/>
      <c r="BZ677" s="6"/>
      <c r="CA677" s="7">
        <v>41588</v>
      </c>
      <c r="CI677">
        <f t="shared" si="75"/>
        <v>2013</v>
      </c>
      <c r="CJ677" t="str">
        <f t="shared" si="76"/>
        <v>5784_2013</v>
      </c>
    </row>
    <row r="678" spans="1:88" x14ac:dyDescent="0.25">
      <c r="A678" t="s">
        <v>277</v>
      </c>
      <c r="B678" t="s">
        <v>278</v>
      </c>
      <c r="C678">
        <v>5784</v>
      </c>
      <c r="D678">
        <v>-34.946100000000001</v>
      </c>
      <c r="E678">
        <v>138.5017</v>
      </c>
      <c r="F678">
        <v>3</v>
      </c>
      <c r="G678" t="s">
        <v>285</v>
      </c>
      <c r="H678">
        <v>73</v>
      </c>
      <c r="I678">
        <v>253</v>
      </c>
      <c r="J678">
        <v>172</v>
      </c>
      <c r="K678">
        <v>352</v>
      </c>
      <c r="L678">
        <v>341</v>
      </c>
      <c r="M678">
        <v>161</v>
      </c>
      <c r="T678">
        <v>65</v>
      </c>
      <c r="U678">
        <v>267</v>
      </c>
      <c r="Y678">
        <v>95</v>
      </c>
      <c r="Z678">
        <v>641</v>
      </c>
      <c r="AD678">
        <v>230</v>
      </c>
      <c r="AE678">
        <v>693</v>
      </c>
      <c r="AX678">
        <v>332</v>
      </c>
      <c r="AY678">
        <v>325</v>
      </c>
      <c r="AZ678">
        <v>657</v>
      </c>
      <c r="BA678">
        <v>736</v>
      </c>
      <c r="BB678">
        <v>758</v>
      </c>
      <c r="BC678">
        <v>1494</v>
      </c>
      <c r="BD678">
        <v>923</v>
      </c>
      <c r="BE678">
        <v>908</v>
      </c>
      <c r="BF678">
        <v>1831</v>
      </c>
      <c r="BP678">
        <v>1013</v>
      </c>
      <c r="BR678">
        <v>835</v>
      </c>
      <c r="BS678">
        <v>50</v>
      </c>
      <c r="BT678">
        <v>78</v>
      </c>
      <c r="BV678">
        <v>15</v>
      </c>
      <c r="BW678">
        <v>1991</v>
      </c>
      <c r="BX678">
        <f>IF(C678=C677,IF((CI678-1)=CI677,BW677,"no data"))</f>
        <v>1729</v>
      </c>
      <c r="BY678" s="5">
        <f t="shared" si="79"/>
        <v>0.15153267784846733</v>
      </c>
      <c r="BZ678" s="6">
        <f t="shared" si="78"/>
        <v>0.15153267784846733</v>
      </c>
      <c r="CA678" s="7">
        <v>41952</v>
      </c>
      <c r="CI678">
        <f t="shared" si="75"/>
        <v>2014</v>
      </c>
      <c r="CJ678" t="str">
        <f t="shared" si="76"/>
        <v>5784_2014</v>
      </c>
    </row>
    <row r="679" spans="1:88" x14ac:dyDescent="0.25">
      <c r="A679" t="s">
        <v>277</v>
      </c>
      <c r="B679" t="s">
        <v>278</v>
      </c>
      <c r="C679">
        <v>5785</v>
      </c>
      <c r="D679">
        <v>-34.938000000000002</v>
      </c>
      <c r="E679">
        <v>138.4991</v>
      </c>
      <c r="F679">
        <v>3</v>
      </c>
      <c r="G679" t="s">
        <v>286</v>
      </c>
      <c r="H679">
        <v>82</v>
      </c>
      <c r="I679">
        <v>262</v>
      </c>
      <c r="J679">
        <v>160</v>
      </c>
      <c r="K679">
        <v>340</v>
      </c>
      <c r="L679">
        <v>342</v>
      </c>
      <c r="M679">
        <v>162</v>
      </c>
      <c r="T679">
        <v>4</v>
      </c>
      <c r="U679">
        <v>14</v>
      </c>
      <c r="Y679">
        <v>2</v>
      </c>
      <c r="Z679">
        <v>340</v>
      </c>
      <c r="AD679">
        <v>7</v>
      </c>
      <c r="AE679">
        <v>380</v>
      </c>
      <c r="AX679">
        <v>18</v>
      </c>
      <c r="AY679">
        <v>9</v>
      </c>
      <c r="AZ679">
        <v>27</v>
      </c>
      <c r="BA679">
        <v>342</v>
      </c>
      <c r="BB679">
        <v>384</v>
      </c>
      <c r="BC679">
        <v>726</v>
      </c>
      <c r="BD679">
        <v>387</v>
      </c>
      <c r="BE679">
        <v>354</v>
      </c>
      <c r="BF679">
        <v>741</v>
      </c>
      <c r="BP679">
        <v>358</v>
      </c>
      <c r="BR679">
        <v>270</v>
      </c>
      <c r="BS679">
        <v>51</v>
      </c>
      <c r="BT679">
        <v>48</v>
      </c>
      <c r="BV679">
        <v>20</v>
      </c>
      <c r="BW679">
        <v>747</v>
      </c>
      <c r="BX679" t="s">
        <v>82</v>
      </c>
      <c r="BY679" s="5"/>
      <c r="BZ679" s="6"/>
      <c r="CA679" s="7">
        <v>41588</v>
      </c>
      <c r="CI679">
        <f t="shared" si="75"/>
        <v>2013</v>
      </c>
      <c r="CJ679" t="str">
        <f t="shared" si="76"/>
        <v>5785_2013</v>
      </c>
    </row>
    <row r="680" spans="1:88" x14ac:dyDescent="0.25">
      <c r="A680" t="s">
        <v>277</v>
      </c>
      <c r="B680" t="s">
        <v>278</v>
      </c>
      <c r="C680">
        <v>5786</v>
      </c>
      <c r="D680">
        <v>-34.935400000000001</v>
      </c>
      <c r="E680">
        <v>138.499</v>
      </c>
      <c r="F680">
        <v>4</v>
      </c>
      <c r="G680" t="s">
        <v>287</v>
      </c>
      <c r="H680">
        <v>76</v>
      </c>
      <c r="I680">
        <v>256</v>
      </c>
      <c r="J680">
        <v>157</v>
      </c>
      <c r="K680">
        <v>337</v>
      </c>
      <c r="L680">
        <v>260</v>
      </c>
      <c r="M680">
        <v>80</v>
      </c>
      <c r="N680">
        <v>354</v>
      </c>
      <c r="O680">
        <v>174</v>
      </c>
      <c r="T680">
        <v>15</v>
      </c>
      <c r="U680">
        <v>43</v>
      </c>
      <c r="V680">
        <v>79</v>
      </c>
      <c r="Y680">
        <v>28</v>
      </c>
      <c r="Z680">
        <v>16</v>
      </c>
      <c r="AA680">
        <v>57</v>
      </c>
      <c r="AD680">
        <v>57</v>
      </c>
      <c r="AE680">
        <v>8</v>
      </c>
      <c r="AF680">
        <v>154</v>
      </c>
      <c r="AI680">
        <v>62</v>
      </c>
      <c r="AJ680">
        <v>67</v>
      </c>
      <c r="AK680">
        <v>365</v>
      </c>
      <c r="AX680">
        <v>137</v>
      </c>
      <c r="AY680">
        <v>147</v>
      </c>
      <c r="AZ680">
        <v>284</v>
      </c>
      <c r="BA680">
        <v>101</v>
      </c>
      <c r="BB680">
        <v>90</v>
      </c>
      <c r="BC680">
        <v>191</v>
      </c>
      <c r="BD680">
        <v>219</v>
      </c>
      <c r="BE680">
        <v>424</v>
      </c>
      <c r="BF680">
        <v>643</v>
      </c>
      <c r="BG680">
        <v>494</v>
      </c>
      <c r="BH680">
        <v>290</v>
      </c>
      <c r="BI680">
        <v>784</v>
      </c>
      <c r="BP680">
        <v>445</v>
      </c>
      <c r="BR680">
        <v>317</v>
      </c>
      <c r="BS680">
        <v>84</v>
      </c>
      <c r="BT680">
        <v>85</v>
      </c>
      <c r="BV680">
        <v>20</v>
      </c>
      <c r="BW680">
        <v>951</v>
      </c>
      <c r="BX680" t="s">
        <v>82</v>
      </c>
      <c r="BY680" s="5"/>
      <c r="BZ680" s="6"/>
      <c r="CA680" s="7">
        <v>41588</v>
      </c>
      <c r="CI680">
        <f t="shared" si="75"/>
        <v>2013</v>
      </c>
      <c r="CJ680" t="str">
        <f t="shared" si="76"/>
        <v>5786_2013</v>
      </c>
    </row>
    <row r="681" spans="1:88" x14ac:dyDescent="0.25">
      <c r="A681" t="s">
        <v>277</v>
      </c>
      <c r="B681" t="s">
        <v>278</v>
      </c>
      <c r="C681">
        <v>5787</v>
      </c>
      <c r="D681">
        <v>-34.925699999999999</v>
      </c>
      <c r="E681">
        <v>138.49529999999999</v>
      </c>
      <c r="F681">
        <v>3</v>
      </c>
      <c r="G681" t="s">
        <v>288</v>
      </c>
      <c r="H681">
        <v>80</v>
      </c>
      <c r="I681">
        <v>260</v>
      </c>
      <c r="J681">
        <v>166</v>
      </c>
      <c r="K681">
        <v>346</v>
      </c>
      <c r="L681">
        <v>348</v>
      </c>
      <c r="M681">
        <v>168</v>
      </c>
      <c r="T681">
        <v>128</v>
      </c>
      <c r="U681">
        <v>146</v>
      </c>
      <c r="Y681">
        <v>95</v>
      </c>
      <c r="Z681">
        <v>628</v>
      </c>
      <c r="AD681">
        <v>166</v>
      </c>
      <c r="AE681">
        <v>689</v>
      </c>
      <c r="AX681">
        <v>274</v>
      </c>
      <c r="AY681">
        <v>261</v>
      </c>
      <c r="AZ681">
        <v>535</v>
      </c>
      <c r="BA681">
        <v>723</v>
      </c>
      <c r="BB681">
        <v>817</v>
      </c>
      <c r="BC681">
        <v>1540</v>
      </c>
      <c r="BD681">
        <v>855</v>
      </c>
      <c r="BE681">
        <v>774</v>
      </c>
      <c r="BF681">
        <v>1629</v>
      </c>
      <c r="BP681">
        <v>391</v>
      </c>
      <c r="BR681">
        <v>1139</v>
      </c>
      <c r="BS681">
        <v>132</v>
      </c>
      <c r="BT681">
        <v>140</v>
      </c>
      <c r="BV681">
        <v>50</v>
      </c>
      <c r="BW681">
        <v>1852</v>
      </c>
      <c r="BX681" t="s">
        <v>82</v>
      </c>
      <c r="BY681" s="5"/>
      <c r="BZ681" s="6"/>
      <c r="CA681" s="7">
        <v>41952</v>
      </c>
      <c r="CI681">
        <f t="shared" si="75"/>
        <v>2014</v>
      </c>
      <c r="CJ681" t="str">
        <f t="shared" si="76"/>
        <v>5787_2014</v>
      </c>
    </row>
    <row r="682" spans="1:88" x14ac:dyDescent="0.25">
      <c r="A682" t="s">
        <v>277</v>
      </c>
      <c r="B682" t="s">
        <v>278</v>
      </c>
      <c r="C682">
        <v>5788</v>
      </c>
      <c r="D682">
        <v>-34.919699999999999</v>
      </c>
      <c r="E682">
        <v>138.49340000000001</v>
      </c>
      <c r="F682">
        <v>3</v>
      </c>
      <c r="G682" t="s">
        <v>289</v>
      </c>
      <c r="H682">
        <v>76</v>
      </c>
      <c r="I682">
        <v>256</v>
      </c>
      <c r="J682">
        <v>168</v>
      </c>
      <c r="K682">
        <v>348</v>
      </c>
      <c r="L682">
        <v>352</v>
      </c>
      <c r="M682">
        <v>172</v>
      </c>
      <c r="T682">
        <v>114</v>
      </c>
      <c r="U682">
        <v>220</v>
      </c>
      <c r="Y682">
        <v>108</v>
      </c>
      <c r="Z682">
        <v>620</v>
      </c>
      <c r="AD682">
        <v>226</v>
      </c>
      <c r="AE682">
        <v>837</v>
      </c>
      <c r="AX682">
        <v>334</v>
      </c>
      <c r="AY682">
        <v>334</v>
      </c>
      <c r="AZ682">
        <v>668</v>
      </c>
      <c r="BA682">
        <v>728</v>
      </c>
      <c r="BB682">
        <v>951</v>
      </c>
      <c r="BC682">
        <v>1679</v>
      </c>
      <c r="BD682">
        <v>1063</v>
      </c>
      <c r="BE682">
        <v>840</v>
      </c>
      <c r="BF682">
        <v>1903</v>
      </c>
      <c r="BP682">
        <v>378</v>
      </c>
      <c r="BR682">
        <v>1304</v>
      </c>
      <c r="BS682">
        <v>160</v>
      </c>
      <c r="BT682">
        <v>159</v>
      </c>
      <c r="BV682">
        <v>124</v>
      </c>
      <c r="BW682">
        <v>2125</v>
      </c>
      <c r="BX682" t="s">
        <v>82</v>
      </c>
      <c r="BY682" s="5"/>
      <c r="BZ682" s="6"/>
      <c r="CA682" s="7">
        <v>41952</v>
      </c>
      <c r="CI682">
        <f t="shared" si="75"/>
        <v>2014</v>
      </c>
      <c r="CJ682" t="str">
        <f t="shared" si="76"/>
        <v>5788_2014</v>
      </c>
    </row>
    <row r="683" spans="1:88" x14ac:dyDescent="0.25">
      <c r="A683" t="s">
        <v>277</v>
      </c>
      <c r="B683" t="s">
        <v>278</v>
      </c>
      <c r="C683">
        <v>5789</v>
      </c>
      <c r="D683">
        <v>-34.913899999999998</v>
      </c>
      <c r="E683">
        <v>138.49270000000001</v>
      </c>
      <c r="F683">
        <v>4</v>
      </c>
      <c r="G683" t="s">
        <v>290</v>
      </c>
      <c r="H683">
        <v>92</v>
      </c>
      <c r="I683">
        <v>272</v>
      </c>
      <c r="J683">
        <v>170</v>
      </c>
      <c r="K683">
        <v>350</v>
      </c>
      <c r="L683">
        <v>263</v>
      </c>
      <c r="M683">
        <v>83</v>
      </c>
      <c r="N683">
        <v>351</v>
      </c>
      <c r="O683">
        <v>171</v>
      </c>
      <c r="T683">
        <v>19</v>
      </c>
      <c r="U683">
        <v>103</v>
      </c>
      <c r="V683">
        <v>23</v>
      </c>
      <c r="Y683">
        <v>28</v>
      </c>
      <c r="Z683">
        <v>3</v>
      </c>
      <c r="AA683">
        <v>266</v>
      </c>
      <c r="AD683">
        <v>92</v>
      </c>
      <c r="AE683">
        <v>10</v>
      </c>
      <c r="AF683">
        <v>205</v>
      </c>
      <c r="AI683">
        <v>20</v>
      </c>
      <c r="AJ683">
        <v>279</v>
      </c>
      <c r="AK683">
        <v>115</v>
      </c>
      <c r="AX683">
        <v>145</v>
      </c>
      <c r="AY683">
        <v>140</v>
      </c>
      <c r="AZ683">
        <v>285</v>
      </c>
      <c r="BA683">
        <v>297</v>
      </c>
      <c r="BB683">
        <v>308</v>
      </c>
      <c r="BC683">
        <v>605</v>
      </c>
      <c r="BD683">
        <v>307</v>
      </c>
      <c r="BE683">
        <v>221</v>
      </c>
      <c r="BF683">
        <v>528</v>
      </c>
      <c r="BG683">
        <v>414</v>
      </c>
      <c r="BH683">
        <v>494</v>
      </c>
      <c r="BI683">
        <v>908</v>
      </c>
      <c r="BP683">
        <v>734</v>
      </c>
      <c r="BR683">
        <v>327</v>
      </c>
      <c r="BS683">
        <v>45</v>
      </c>
      <c r="BT683">
        <v>49</v>
      </c>
      <c r="BV683">
        <v>8</v>
      </c>
      <c r="BW683">
        <v>1163</v>
      </c>
      <c r="BX683" t="s">
        <v>82</v>
      </c>
      <c r="BY683" s="5"/>
      <c r="BZ683" s="6"/>
      <c r="CA683" s="7">
        <v>41588</v>
      </c>
      <c r="CI683">
        <f t="shared" si="75"/>
        <v>2013</v>
      </c>
      <c r="CJ683" t="str">
        <f t="shared" si="76"/>
        <v>5789_2013</v>
      </c>
    </row>
    <row r="684" spans="1:88" x14ac:dyDescent="0.25">
      <c r="A684" t="s">
        <v>277</v>
      </c>
      <c r="B684" t="s">
        <v>278</v>
      </c>
      <c r="C684">
        <v>5790</v>
      </c>
      <c r="D684">
        <v>-34.907499999999999</v>
      </c>
      <c r="E684">
        <v>138.49109999999999</v>
      </c>
      <c r="F684">
        <v>4</v>
      </c>
      <c r="G684" t="s">
        <v>291</v>
      </c>
      <c r="H684">
        <v>84</v>
      </c>
      <c r="I684">
        <v>264</v>
      </c>
      <c r="J684">
        <v>167</v>
      </c>
      <c r="K684">
        <v>347</v>
      </c>
      <c r="L684">
        <v>262</v>
      </c>
      <c r="M684">
        <v>82</v>
      </c>
      <c r="N684">
        <v>349</v>
      </c>
      <c r="O684">
        <v>169</v>
      </c>
      <c r="T684">
        <v>45</v>
      </c>
      <c r="U684">
        <v>86</v>
      </c>
      <c r="V684">
        <v>10</v>
      </c>
      <c r="Y684">
        <v>70</v>
      </c>
      <c r="Z684">
        <v>12</v>
      </c>
      <c r="AA684">
        <v>216</v>
      </c>
      <c r="AD684">
        <v>50</v>
      </c>
      <c r="AE684">
        <v>6</v>
      </c>
      <c r="AF684">
        <v>5</v>
      </c>
      <c r="AI684">
        <v>10</v>
      </c>
      <c r="AJ684">
        <v>153</v>
      </c>
      <c r="AK684">
        <v>3</v>
      </c>
      <c r="AX684">
        <v>141</v>
      </c>
      <c r="AY684">
        <v>130</v>
      </c>
      <c r="AZ684">
        <v>271</v>
      </c>
      <c r="BA684">
        <v>298</v>
      </c>
      <c r="BB684">
        <v>204</v>
      </c>
      <c r="BC684">
        <v>502</v>
      </c>
      <c r="BD684">
        <v>61</v>
      </c>
      <c r="BE684">
        <v>101</v>
      </c>
      <c r="BF684">
        <v>162</v>
      </c>
      <c r="BG684">
        <v>166</v>
      </c>
      <c r="BH684">
        <v>231</v>
      </c>
      <c r="BI684">
        <v>397</v>
      </c>
      <c r="BP684">
        <v>489</v>
      </c>
      <c r="BR684">
        <v>137</v>
      </c>
      <c r="BS684">
        <v>6</v>
      </c>
      <c r="BT684">
        <v>29</v>
      </c>
      <c r="BV684">
        <v>5</v>
      </c>
      <c r="BW684">
        <v>666</v>
      </c>
      <c r="BX684" t="s">
        <v>82</v>
      </c>
      <c r="BY684" s="5"/>
      <c r="BZ684" s="6"/>
      <c r="CA684" s="7">
        <v>41952</v>
      </c>
      <c r="CI684">
        <f t="shared" si="75"/>
        <v>2014</v>
      </c>
      <c r="CJ684" t="str">
        <f t="shared" si="76"/>
        <v>5790_2014</v>
      </c>
    </row>
    <row r="685" spans="1:88" x14ac:dyDescent="0.25">
      <c r="A685" t="s">
        <v>277</v>
      </c>
      <c r="B685" t="s">
        <v>278</v>
      </c>
      <c r="C685">
        <v>5791</v>
      </c>
      <c r="D685">
        <v>-34.902500000000003</v>
      </c>
      <c r="E685">
        <v>138.48939999999999</v>
      </c>
      <c r="F685">
        <v>4</v>
      </c>
      <c r="G685" t="s">
        <v>292</v>
      </c>
      <c r="H685">
        <v>85</v>
      </c>
      <c r="I685">
        <v>265</v>
      </c>
      <c r="J685">
        <v>176</v>
      </c>
      <c r="K685">
        <v>356</v>
      </c>
      <c r="L685">
        <v>265</v>
      </c>
      <c r="M685">
        <v>85</v>
      </c>
      <c r="N685">
        <v>349</v>
      </c>
      <c r="O685">
        <v>169</v>
      </c>
      <c r="T685">
        <v>89</v>
      </c>
      <c r="U685">
        <v>491</v>
      </c>
      <c r="V685">
        <v>51</v>
      </c>
      <c r="Y685">
        <v>67</v>
      </c>
      <c r="Z685">
        <v>221</v>
      </c>
      <c r="AA685">
        <v>123</v>
      </c>
      <c r="AD685">
        <v>377</v>
      </c>
      <c r="AE685">
        <v>311</v>
      </c>
      <c r="AF685">
        <v>113</v>
      </c>
      <c r="AI685">
        <v>65</v>
      </c>
      <c r="AJ685">
        <v>144</v>
      </c>
      <c r="AK685">
        <v>75</v>
      </c>
      <c r="AX685">
        <v>631</v>
      </c>
      <c r="AY685">
        <v>509</v>
      </c>
      <c r="AZ685">
        <v>1140</v>
      </c>
      <c r="BA685">
        <v>411</v>
      </c>
      <c r="BB685">
        <v>544</v>
      </c>
      <c r="BC685">
        <v>955</v>
      </c>
      <c r="BD685">
        <v>801</v>
      </c>
      <c r="BE685">
        <v>787</v>
      </c>
      <c r="BF685">
        <v>1588</v>
      </c>
      <c r="BG685">
        <v>284</v>
      </c>
      <c r="BH685">
        <v>287</v>
      </c>
      <c r="BI685">
        <v>571</v>
      </c>
      <c r="BP685">
        <v>252</v>
      </c>
      <c r="BR685">
        <v>1580</v>
      </c>
      <c r="BS685">
        <v>52</v>
      </c>
      <c r="BT685">
        <v>221</v>
      </c>
      <c r="BV685">
        <v>22</v>
      </c>
      <c r="BW685">
        <v>2127</v>
      </c>
      <c r="BX685" t="s">
        <v>82</v>
      </c>
      <c r="BY685" s="5"/>
      <c r="BZ685" s="6"/>
      <c r="CA685" s="7">
        <v>41588</v>
      </c>
      <c r="CI685">
        <f t="shared" si="75"/>
        <v>2013</v>
      </c>
      <c r="CJ685" t="str">
        <f t="shared" si="76"/>
        <v>5791_2013</v>
      </c>
    </row>
    <row r="686" spans="1:88" x14ac:dyDescent="0.25">
      <c r="A686" t="s">
        <v>277</v>
      </c>
      <c r="B686" t="s">
        <v>278</v>
      </c>
      <c r="C686">
        <v>5791</v>
      </c>
      <c r="D686">
        <v>-34.902500000000003</v>
      </c>
      <c r="E686">
        <v>138.48939999999999</v>
      </c>
      <c r="F686">
        <v>4</v>
      </c>
      <c r="G686" t="s">
        <v>292</v>
      </c>
      <c r="H686">
        <v>85</v>
      </c>
      <c r="I686">
        <v>265</v>
      </c>
      <c r="J686">
        <v>176</v>
      </c>
      <c r="K686">
        <v>356</v>
      </c>
      <c r="L686">
        <v>265</v>
      </c>
      <c r="M686">
        <v>85</v>
      </c>
      <c r="N686">
        <v>349</v>
      </c>
      <c r="O686">
        <v>169</v>
      </c>
      <c r="T686">
        <v>44</v>
      </c>
      <c r="U686">
        <v>0</v>
      </c>
      <c r="V686">
        <v>25</v>
      </c>
      <c r="Y686">
        <v>94</v>
      </c>
      <c r="Z686">
        <v>0</v>
      </c>
      <c r="AA686">
        <v>287</v>
      </c>
      <c r="AD686">
        <v>0</v>
      </c>
      <c r="AE686">
        <v>0</v>
      </c>
      <c r="AF686">
        <v>0</v>
      </c>
      <c r="AI686">
        <v>41</v>
      </c>
      <c r="AJ686">
        <v>183</v>
      </c>
      <c r="AK686">
        <v>0</v>
      </c>
      <c r="AX686">
        <v>69</v>
      </c>
      <c r="AY686">
        <v>135</v>
      </c>
      <c r="AZ686">
        <v>204</v>
      </c>
      <c r="BA686">
        <v>381</v>
      </c>
      <c r="BB686">
        <v>227</v>
      </c>
      <c r="BC686">
        <v>608</v>
      </c>
      <c r="BD686">
        <v>0</v>
      </c>
      <c r="BE686">
        <v>0</v>
      </c>
      <c r="BF686">
        <v>0</v>
      </c>
      <c r="BG686">
        <v>224</v>
      </c>
      <c r="BH686">
        <v>312</v>
      </c>
      <c r="BI686">
        <v>536</v>
      </c>
      <c r="BP686">
        <v>164</v>
      </c>
      <c r="BR686">
        <v>362</v>
      </c>
      <c r="BS686">
        <v>69</v>
      </c>
      <c r="BT686">
        <v>52</v>
      </c>
      <c r="BV686">
        <v>27</v>
      </c>
      <c r="BW686">
        <v>674</v>
      </c>
      <c r="BX686">
        <f>IF(C686=C685,IF((CI686-1)=CI685,BW685,"no data"))</f>
        <v>2127</v>
      </c>
      <c r="BY686" s="5">
        <f t="shared" si="79"/>
        <v>-0.68312176774800193</v>
      </c>
      <c r="BZ686" s="6">
        <f t="shared" si="78"/>
        <v>-0.68312176774800193</v>
      </c>
      <c r="CA686" s="7">
        <v>41952</v>
      </c>
      <c r="CI686">
        <f t="shared" si="75"/>
        <v>2014</v>
      </c>
      <c r="CJ686" t="str">
        <f t="shared" si="76"/>
        <v>5791_2014</v>
      </c>
    </row>
    <row r="687" spans="1:88" x14ac:dyDescent="0.25">
      <c r="A687" t="s">
        <v>277</v>
      </c>
      <c r="B687" t="s">
        <v>278</v>
      </c>
      <c r="C687">
        <v>5792</v>
      </c>
      <c r="D687">
        <v>-34.850200000000001</v>
      </c>
      <c r="E687">
        <v>138.4769</v>
      </c>
      <c r="F687">
        <v>4</v>
      </c>
      <c r="G687" t="s">
        <v>293</v>
      </c>
      <c r="H687">
        <v>23</v>
      </c>
      <c r="I687">
        <v>203</v>
      </c>
      <c r="J687">
        <v>96</v>
      </c>
      <c r="K687">
        <v>276</v>
      </c>
      <c r="L687">
        <v>184</v>
      </c>
      <c r="M687">
        <v>4</v>
      </c>
      <c r="N687">
        <v>359</v>
      </c>
      <c r="O687">
        <v>179</v>
      </c>
      <c r="T687">
        <v>0</v>
      </c>
      <c r="U687">
        <v>0</v>
      </c>
      <c r="V687">
        <v>0</v>
      </c>
      <c r="Y687">
        <v>0</v>
      </c>
      <c r="Z687">
        <v>12</v>
      </c>
      <c r="AA687">
        <v>24</v>
      </c>
      <c r="AD687">
        <v>0</v>
      </c>
      <c r="AE687">
        <v>4</v>
      </c>
      <c r="AF687">
        <v>117</v>
      </c>
      <c r="AI687">
        <v>0</v>
      </c>
      <c r="AJ687">
        <v>27</v>
      </c>
      <c r="AK687">
        <v>158</v>
      </c>
      <c r="AX687">
        <v>0</v>
      </c>
      <c r="AY687">
        <v>0</v>
      </c>
      <c r="AZ687">
        <v>0</v>
      </c>
      <c r="BA687">
        <v>36</v>
      </c>
      <c r="BB687">
        <v>31</v>
      </c>
      <c r="BC687">
        <v>67</v>
      </c>
      <c r="BD687">
        <v>121</v>
      </c>
      <c r="BE687">
        <v>170</v>
      </c>
      <c r="BF687">
        <v>291</v>
      </c>
      <c r="BG687">
        <v>185</v>
      </c>
      <c r="BH687">
        <v>141</v>
      </c>
      <c r="BI687">
        <v>326</v>
      </c>
      <c r="BP687">
        <v>124</v>
      </c>
      <c r="BR687">
        <v>122</v>
      </c>
      <c r="BS687">
        <v>27</v>
      </c>
      <c r="BT687">
        <v>56</v>
      </c>
      <c r="BV687">
        <v>13</v>
      </c>
      <c r="BW687">
        <v>342</v>
      </c>
      <c r="BX687" t="s">
        <v>82</v>
      </c>
      <c r="BY687" s="5"/>
      <c r="BZ687" s="6"/>
      <c r="CA687" s="7">
        <v>41588</v>
      </c>
      <c r="CI687">
        <f t="shared" si="75"/>
        <v>2013</v>
      </c>
      <c r="CJ687" t="str">
        <f t="shared" si="76"/>
        <v>5792_2013</v>
      </c>
    </row>
    <row r="688" spans="1:88" x14ac:dyDescent="0.25">
      <c r="A688" t="s">
        <v>277</v>
      </c>
      <c r="B688" t="s">
        <v>278</v>
      </c>
      <c r="C688">
        <v>5793</v>
      </c>
      <c r="D688">
        <v>-34.894500000000001</v>
      </c>
      <c r="E688">
        <v>138.48869999999999</v>
      </c>
      <c r="F688">
        <v>4</v>
      </c>
      <c r="G688" t="s">
        <v>294</v>
      </c>
      <c r="H688">
        <v>86</v>
      </c>
      <c r="I688">
        <v>266</v>
      </c>
      <c r="J688">
        <v>174</v>
      </c>
      <c r="K688">
        <v>354</v>
      </c>
      <c r="L688">
        <v>248</v>
      </c>
      <c r="M688">
        <v>68</v>
      </c>
      <c r="N688">
        <v>352</v>
      </c>
      <c r="O688">
        <v>172</v>
      </c>
      <c r="T688">
        <v>37</v>
      </c>
      <c r="U688">
        <v>13</v>
      </c>
      <c r="V688">
        <v>11</v>
      </c>
      <c r="Y688">
        <v>40</v>
      </c>
      <c r="Z688">
        <v>0</v>
      </c>
      <c r="AA688">
        <v>206</v>
      </c>
      <c r="AD688">
        <v>17</v>
      </c>
      <c r="AE688">
        <v>3</v>
      </c>
      <c r="AF688">
        <v>5</v>
      </c>
      <c r="AI688">
        <v>14</v>
      </c>
      <c r="AJ688">
        <v>271</v>
      </c>
      <c r="AK688">
        <v>12</v>
      </c>
      <c r="AX688">
        <v>61</v>
      </c>
      <c r="AY688">
        <v>71</v>
      </c>
      <c r="AZ688">
        <v>132</v>
      </c>
      <c r="BA688">
        <v>246</v>
      </c>
      <c r="BB688">
        <v>311</v>
      </c>
      <c r="BC688">
        <v>557</v>
      </c>
      <c r="BD688">
        <v>25</v>
      </c>
      <c r="BE688">
        <v>25</v>
      </c>
      <c r="BF688">
        <v>50</v>
      </c>
      <c r="BG688">
        <v>297</v>
      </c>
      <c r="BH688">
        <v>222</v>
      </c>
      <c r="BI688">
        <v>519</v>
      </c>
      <c r="BP688">
        <v>531</v>
      </c>
      <c r="BR688">
        <v>72</v>
      </c>
      <c r="BS688">
        <v>13</v>
      </c>
      <c r="BT688">
        <v>13</v>
      </c>
      <c r="BV688">
        <v>0</v>
      </c>
      <c r="BW688">
        <v>629</v>
      </c>
      <c r="BX688" t="s">
        <v>82</v>
      </c>
      <c r="BY688" s="5"/>
      <c r="BZ688" s="6"/>
      <c r="CA688" s="7">
        <v>41952</v>
      </c>
      <c r="CI688">
        <f t="shared" si="75"/>
        <v>2014</v>
      </c>
      <c r="CJ688" t="str">
        <f t="shared" si="76"/>
        <v>5793_2014</v>
      </c>
    </row>
    <row r="689" spans="1:88" x14ac:dyDescent="0.25">
      <c r="A689" t="s">
        <v>277</v>
      </c>
      <c r="B689" t="s">
        <v>278</v>
      </c>
      <c r="C689">
        <v>5794</v>
      </c>
      <c r="D689">
        <v>-34.871699999999997</v>
      </c>
      <c r="E689">
        <v>138.48220000000001</v>
      </c>
      <c r="F689">
        <v>3</v>
      </c>
      <c r="G689" t="s">
        <v>295</v>
      </c>
      <c r="H689">
        <v>77</v>
      </c>
      <c r="I689">
        <v>257</v>
      </c>
      <c r="J689">
        <v>160</v>
      </c>
      <c r="K689">
        <v>340</v>
      </c>
      <c r="L689">
        <v>336</v>
      </c>
      <c r="M689">
        <v>156</v>
      </c>
      <c r="T689">
        <v>16</v>
      </c>
      <c r="U689">
        <v>27</v>
      </c>
      <c r="Y689">
        <v>55</v>
      </c>
      <c r="Z689">
        <v>236</v>
      </c>
      <c r="AD689">
        <v>12</v>
      </c>
      <c r="AE689">
        <v>285</v>
      </c>
      <c r="AX689">
        <v>43</v>
      </c>
      <c r="AY689">
        <v>67</v>
      </c>
      <c r="AZ689">
        <v>110</v>
      </c>
      <c r="BA689">
        <v>291</v>
      </c>
      <c r="BB689">
        <v>301</v>
      </c>
      <c r="BC689">
        <v>592</v>
      </c>
      <c r="BD689">
        <v>297</v>
      </c>
      <c r="BE689">
        <v>263</v>
      </c>
      <c r="BF689">
        <v>560</v>
      </c>
      <c r="BP689">
        <v>597</v>
      </c>
      <c r="BR689">
        <v>23</v>
      </c>
      <c r="BS689">
        <v>6</v>
      </c>
      <c r="BT689">
        <v>4</v>
      </c>
      <c r="BV689">
        <v>1</v>
      </c>
      <c r="BW689">
        <v>631</v>
      </c>
      <c r="BX689" t="s">
        <v>82</v>
      </c>
      <c r="BY689" s="5"/>
      <c r="BZ689" s="6"/>
      <c r="CA689" s="7">
        <v>41952</v>
      </c>
      <c r="CI689">
        <f t="shared" si="75"/>
        <v>2014</v>
      </c>
      <c r="CJ689" t="str">
        <f t="shared" si="76"/>
        <v>5794_2014</v>
      </c>
    </row>
    <row r="690" spans="1:88" x14ac:dyDescent="0.25">
      <c r="A690" t="s">
        <v>277</v>
      </c>
      <c r="B690" t="s">
        <v>278</v>
      </c>
      <c r="C690">
        <v>5795</v>
      </c>
      <c r="D690">
        <v>-34.881999999999998</v>
      </c>
      <c r="E690">
        <v>138.4915</v>
      </c>
      <c r="F690">
        <v>4</v>
      </c>
      <c r="G690" t="s">
        <v>296</v>
      </c>
      <c r="H690">
        <v>3</v>
      </c>
      <c r="I690">
        <v>183</v>
      </c>
      <c r="J690">
        <v>92</v>
      </c>
      <c r="K690">
        <v>272</v>
      </c>
      <c r="L690">
        <v>181</v>
      </c>
      <c r="M690">
        <v>1</v>
      </c>
      <c r="N690">
        <v>273</v>
      </c>
      <c r="O690">
        <v>93</v>
      </c>
      <c r="T690">
        <v>2</v>
      </c>
      <c r="U690">
        <v>11</v>
      </c>
      <c r="V690">
        <v>2</v>
      </c>
      <c r="Y690">
        <v>1</v>
      </c>
      <c r="Z690">
        <v>12</v>
      </c>
      <c r="AA690">
        <v>8</v>
      </c>
      <c r="AD690">
        <v>39</v>
      </c>
      <c r="AE690">
        <v>15</v>
      </c>
      <c r="AF690">
        <v>20</v>
      </c>
      <c r="AI690">
        <v>0</v>
      </c>
      <c r="AJ690">
        <v>3</v>
      </c>
      <c r="AK690">
        <v>6</v>
      </c>
      <c r="AX690">
        <v>15</v>
      </c>
      <c r="AY690">
        <v>40</v>
      </c>
      <c r="AZ690">
        <v>55</v>
      </c>
      <c r="BA690">
        <v>21</v>
      </c>
      <c r="BB690">
        <v>20</v>
      </c>
      <c r="BC690">
        <v>41</v>
      </c>
      <c r="BD690">
        <v>74</v>
      </c>
      <c r="BE690">
        <v>29</v>
      </c>
      <c r="BF690">
        <v>103</v>
      </c>
      <c r="BG690">
        <v>9</v>
      </c>
      <c r="BH690">
        <v>30</v>
      </c>
      <c r="BI690">
        <v>39</v>
      </c>
      <c r="BP690">
        <v>39</v>
      </c>
      <c r="BR690">
        <v>66</v>
      </c>
      <c r="BS690">
        <v>6</v>
      </c>
      <c r="BT690">
        <v>4</v>
      </c>
      <c r="BV690">
        <v>4</v>
      </c>
      <c r="BW690">
        <v>119</v>
      </c>
      <c r="BX690" t="s">
        <v>82</v>
      </c>
      <c r="BY690" s="5"/>
      <c r="BZ690" s="6"/>
      <c r="CA690" s="7">
        <v>41952</v>
      </c>
      <c r="CI690">
        <f t="shared" si="75"/>
        <v>2014</v>
      </c>
      <c r="CJ690" t="str">
        <f t="shared" si="76"/>
        <v>5795_2014</v>
      </c>
    </row>
    <row r="691" spans="1:88" x14ac:dyDescent="0.25">
      <c r="A691" t="s">
        <v>277</v>
      </c>
      <c r="B691" t="s">
        <v>278</v>
      </c>
      <c r="C691">
        <v>5796</v>
      </c>
      <c r="D691">
        <v>-34.894399999999997</v>
      </c>
      <c r="E691">
        <v>138.49299999999999</v>
      </c>
      <c r="F691">
        <v>4</v>
      </c>
      <c r="G691" t="s">
        <v>297</v>
      </c>
      <c r="H691">
        <v>75</v>
      </c>
      <c r="I691">
        <v>255</v>
      </c>
      <c r="J691">
        <v>197</v>
      </c>
      <c r="K691">
        <v>17</v>
      </c>
      <c r="L691">
        <v>267</v>
      </c>
      <c r="M691">
        <v>87</v>
      </c>
      <c r="N691">
        <v>346</v>
      </c>
      <c r="O691">
        <v>166</v>
      </c>
      <c r="T691">
        <v>0</v>
      </c>
      <c r="U691">
        <v>25</v>
      </c>
      <c r="V691">
        <v>30</v>
      </c>
      <c r="Y691">
        <v>2</v>
      </c>
      <c r="Z691">
        <v>3</v>
      </c>
      <c r="AA691">
        <v>3</v>
      </c>
      <c r="AD691">
        <v>50</v>
      </c>
      <c r="AE691">
        <v>3</v>
      </c>
      <c r="AF691">
        <v>27</v>
      </c>
      <c r="AI691">
        <v>35</v>
      </c>
      <c r="AJ691">
        <v>5</v>
      </c>
      <c r="AK691">
        <v>15</v>
      </c>
      <c r="AX691">
        <v>55</v>
      </c>
      <c r="AY691">
        <v>87</v>
      </c>
      <c r="AZ691">
        <v>142</v>
      </c>
      <c r="BA691">
        <v>8</v>
      </c>
      <c r="BB691">
        <v>8</v>
      </c>
      <c r="BC691">
        <v>16</v>
      </c>
      <c r="BD691">
        <v>80</v>
      </c>
      <c r="BE691">
        <v>43</v>
      </c>
      <c r="BF691">
        <v>123</v>
      </c>
      <c r="BG691">
        <v>55</v>
      </c>
      <c r="BH691">
        <v>60</v>
      </c>
      <c r="BI691">
        <v>115</v>
      </c>
      <c r="BP691">
        <v>112</v>
      </c>
      <c r="BR691">
        <v>69</v>
      </c>
      <c r="BS691">
        <v>3</v>
      </c>
      <c r="BT691">
        <v>13</v>
      </c>
      <c r="BV691">
        <v>1</v>
      </c>
      <c r="BW691">
        <v>198</v>
      </c>
      <c r="BX691" t="s">
        <v>82</v>
      </c>
      <c r="BY691" s="5"/>
      <c r="BZ691" s="6"/>
      <c r="CA691" s="7">
        <v>41952</v>
      </c>
      <c r="CI691">
        <f t="shared" si="75"/>
        <v>2014</v>
      </c>
      <c r="CJ691" t="str">
        <f t="shared" si="76"/>
        <v>5796_2014</v>
      </c>
    </row>
    <row r="692" spans="1:88" x14ac:dyDescent="0.25">
      <c r="A692" t="s">
        <v>277</v>
      </c>
      <c r="B692" t="s">
        <v>278</v>
      </c>
      <c r="C692">
        <v>5797</v>
      </c>
      <c r="D692">
        <v>-34.909399999999998</v>
      </c>
      <c r="E692">
        <v>138.57329999999999</v>
      </c>
      <c r="F692">
        <v>4</v>
      </c>
      <c r="G692" t="s">
        <v>298</v>
      </c>
      <c r="H692">
        <v>73</v>
      </c>
      <c r="I692">
        <v>253</v>
      </c>
      <c r="J692">
        <v>169</v>
      </c>
      <c r="K692">
        <v>349</v>
      </c>
      <c r="L692">
        <v>254</v>
      </c>
      <c r="M692">
        <v>74</v>
      </c>
      <c r="N692">
        <v>312</v>
      </c>
      <c r="O692">
        <v>132</v>
      </c>
      <c r="T692">
        <v>0</v>
      </c>
      <c r="U692">
        <v>232</v>
      </c>
      <c r="V692">
        <v>31</v>
      </c>
      <c r="Y692">
        <v>0</v>
      </c>
      <c r="Z692">
        <v>0</v>
      </c>
      <c r="AA692">
        <v>0</v>
      </c>
      <c r="AD692">
        <v>213</v>
      </c>
      <c r="AE692">
        <v>0</v>
      </c>
      <c r="AF692">
        <v>5</v>
      </c>
      <c r="AI692">
        <v>82</v>
      </c>
      <c r="AJ692">
        <v>0</v>
      </c>
      <c r="AK692">
        <v>7</v>
      </c>
      <c r="AX692">
        <v>263</v>
      </c>
      <c r="AY692">
        <v>295</v>
      </c>
      <c r="AZ692">
        <v>558</v>
      </c>
      <c r="BA692">
        <v>0</v>
      </c>
      <c r="BB692">
        <v>0</v>
      </c>
      <c r="BC692">
        <v>0</v>
      </c>
      <c r="BD692">
        <v>218</v>
      </c>
      <c r="BE692">
        <v>239</v>
      </c>
      <c r="BF692">
        <v>457</v>
      </c>
      <c r="BG692">
        <v>89</v>
      </c>
      <c r="BH692">
        <v>36</v>
      </c>
      <c r="BI692">
        <v>125</v>
      </c>
      <c r="BP692">
        <v>459</v>
      </c>
      <c r="BR692">
        <v>70</v>
      </c>
      <c r="BS692">
        <v>41</v>
      </c>
      <c r="BT692">
        <v>0</v>
      </c>
      <c r="BV692">
        <v>0</v>
      </c>
      <c r="BW692">
        <v>570</v>
      </c>
      <c r="BX692" t="s">
        <v>82</v>
      </c>
      <c r="BY692" s="5"/>
      <c r="BZ692" s="6"/>
      <c r="CA692" s="7">
        <v>41588</v>
      </c>
      <c r="CI692">
        <f t="shared" si="75"/>
        <v>2013</v>
      </c>
      <c r="CJ692" t="str">
        <f t="shared" si="76"/>
        <v>5797_2013</v>
      </c>
    </row>
    <row r="693" spans="1:88" x14ac:dyDescent="0.25">
      <c r="A693" t="s">
        <v>277</v>
      </c>
      <c r="B693" t="s">
        <v>278</v>
      </c>
      <c r="C693">
        <v>5798</v>
      </c>
      <c r="D693">
        <v>-34.904400000000003</v>
      </c>
      <c r="E693">
        <v>138.5659</v>
      </c>
      <c r="F693">
        <v>4</v>
      </c>
      <c r="G693" t="s">
        <v>299</v>
      </c>
      <c r="H693">
        <v>9</v>
      </c>
      <c r="I693">
        <v>189</v>
      </c>
      <c r="J693">
        <v>126</v>
      </c>
      <c r="K693">
        <v>306</v>
      </c>
      <c r="L693">
        <v>189</v>
      </c>
      <c r="M693">
        <v>9</v>
      </c>
      <c r="N693">
        <v>280</v>
      </c>
      <c r="O693">
        <v>100</v>
      </c>
      <c r="T693">
        <v>1</v>
      </c>
      <c r="U693">
        <v>3</v>
      </c>
      <c r="V693">
        <v>1</v>
      </c>
      <c r="Y693">
        <v>0</v>
      </c>
      <c r="Z693">
        <v>2</v>
      </c>
      <c r="AA693">
        <v>41</v>
      </c>
      <c r="AD693">
        <v>5</v>
      </c>
      <c r="AE693">
        <v>3</v>
      </c>
      <c r="AF693">
        <v>7</v>
      </c>
      <c r="AI693">
        <v>6</v>
      </c>
      <c r="AJ693">
        <v>95</v>
      </c>
      <c r="AK693">
        <v>0</v>
      </c>
      <c r="AX693">
        <v>5</v>
      </c>
      <c r="AY693">
        <v>11</v>
      </c>
      <c r="AZ693">
        <v>16</v>
      </c>
      <c r="BA693">
        <v>43</v>
      </c>
      <c r="BB693">
        <v>99</v>
      </c>
      <c r="BC693">
        <v>142</v>
      </c>
      <c r="BD693">
        <v>15</v>
      </c>
      <c r="BE693">
        <v>5</v>
      </c>
      <c r="BF693">
        <v>20</v>
      </c>
      <c r="BG693">
        <v>101</v>
      </c>
      <c r="BH693">
        <v>49</v>
      </c>
      <c r="BI693">
        <v>150</v>
      </c>
      <c r="BP693">
        <v>105</v>
      </c>
      <c r="BR693">
        <v>53</v>
      </c>
      <c r="BS693">
        <v>4</v>
      </c>
      <c r="BT693">
        <v>2</v>
      </c>
      <c r="BV693">
        <v>0</v>
      </c>
      <c r="BW693">
        <v>164</v>
      </c>
      <c r="BX693" t="s">
        <v>82</v>
      </c>
      <c r="BY693" s="5"/>
      <c r="BZ693" s="6"/>
      <c r="CA693" s="7">
        <v>41952</v>
      </c>
      <c r="CI693">
        <f t="shared" si="75"/>
        <v>2014</v>
      </c>
      <c r="CJ693" t="str">
        <f t="shared" si="76"/>
        <v>5798_2014</v>
      </c>
    </row>
    <row r="694" spans="1:88" x14ac:dyDescent="0.25">
      <c r="A694" t="s">
        <v>277</v>
      </c>
      <c r="B694" t="s">
        <v>278</v>
      </c>
      <c r="C694">
        <v>5799</v>
      </c>
      <c r="D694">
        <v>-34.9255</v>
      </c>
      <c r="E694">
        <v>138.49610000000001</v>
      </c>
      <c r="F694">
        <v>4</v>
      </c>
      <c r="G694" t="s">
        <v>300</v>
      </c>
      <c r="H694">
        <v>91</v>
      </c>
      <c r="I694">
        <v>271</v>
      </c>
      <c r="J694">
        <v>171</v>
      </c>
      <c r="K694">
        <v>351</v>
      </c>
      <c r="L694">
        <v>257</v>
      </c>
      <c r="M694">
        <v>77</v>
      </c>
      <c r="N694">
        <v>342</v>
      </c>
      <c r="O694">
        <v>162</v>
      </c>
      <c r="T694">
        <v>21</v>
      </c>
      <c r="U694">
        <v>147</v>
      </c>
      <c r="V694">
        <v>30</v>
      </c>
      <c r="Y694">
        <v>35</v>
      </c>
      <c r="Z694">
        <v>17</v>
      </c>
      <c r="AA694">
        <v>223</v>
      </c>
      <c r="AD694">
        <v>208</v>
      </c>
      <c r="AE694">
        <v>22</v>
      </c>
      <c r="AF694">
        <v>13</v>
      </c>
      <c r="AI694">
        <v>28</v>
      </c>
      <c r="AJ694">
        <v>197</v>
      </c>
      <c r="AK694">
        <v>19</v>
      </c>
      <c r="AX694">
        <v>198</v>
      </c>
      <c r="AY694">
        <v>271</v>
      </c>
      <c r="AZ694">
        <v>469</v>
      </c>
      <c r="BA694">
        <v>275</v>
      </c>
      <c r="BB694">
        <v>240</v>
      </c>
      <c r="BC694">
        <v>515</v>
      </c>
      <c r="BD694">
        <v>243</v>
      </c>
      <c r="BE694">
        <v>183</v>
      </c>
      <c r="BF694">
        <v>426</v>
      </c>
      <c r="BG694">
        <v>244</v>
      </c>
      <c r="BH694">
        <v>266</v>
      </c>
      <c r="BI694">
        <v>510</v>
      </c>
      <c r="BP694">
        <v>556</v>
      </c>
      <c r="BR694">
        <v>237</v>
      </c>
      <c r="BS694">
        <v>33</v>
      </c>
      <c r="BT694">
        <v>134</v>
      </c>
      <c r="BV694">
        <v>0</v>
      </c>
      <c r="BW694">
        <v>960</v>
      </c>
      <c r="BX694" t="s">
        <v>82</v>
      </c>
      <c r="BY694" s="5"/>
      <c r="BZ694" s="6"/>
      <c r="CA694" s="7">
        <v>41588</v>
      </c>
      <c r="CI694">
        <f t="shared" si="75"/>
        <v>2013</v>
      </c>
      <c r="CJ694" t="str">
        <f t="shared" si="76"/>
        <v>5799_2013</v>
      </c>
    </row>
    <row r="695" spans="1:88" x14ac:dyDescent="0.25">
      <c r="A695" t="s">
        <v>111</v>
      </c>
      <c r="B695" t="s">
        <v>301</v>
      </c>
      <c r="C695">
        <v>5826</v>
      </c>
      <c r="D695">
        <v>-38.098587999999999</v>
      </c>
      <c r="E695">
        <v>145.13475800000001</v>
      </c>
      <c r="F695">
        <v>3</v>
      </c>
      <c r="G695" t="s">
        <v>302</v>
      </c>
      <c r="H695">
        <v>8</v>
      </c>
      <c r="I695">
        <v>188</v>
      </c>
      <c r="J695">
        <v>194</v>
      </c>
      <c r="K695">
        <v>14</v>
      </c>
      <c r="L695">
        <v>279</v>
      </c>
      <c r="M695">
        <v>99</v>
      </c>
      <c r="T695">
        <v>66</v>
      </c>
      <c r="U695">
        <v>6</v>
      </c>
      <c r="Y695">
        <v>56</v>
      </c>
      <c r="Z695">
        <v>7</v>
      </c>
      <c r="AD695">
        <v>0</v>
      </c>
      <c r="AE695">
        <v>4</v>
      </c>
      <c r="AX695">
        <v>72</v>
      </c>
      <c r="AY695">
        <v>56</v>
      </c>
      <c r="AZ695">
        <v>128</v>
      </c>
      <c r="BA695">
        <v>63</v>
      </c>
      <c r="BB695">
        <v>70</v>
      </c>
      <c r="BC695">
        <v>133</v>
      </c>
      <c r="BD695">
        <v>4</v>
      </c>
      <c r="BE695">
        <v>13</v>
      </c>
      <c r="BF695">
        <v>17</v>
      </c>
      <c r="BP695">
        <v>50</v>
      </c>
      <c r="BR695">
        <v>43</v>
      </c>
      <c r="BS695">
        <v>17</v>
      </c>
      <c r="BT695">
        <v>25</v>
      </c>
      <c r="BV695">
        <v>4</v>
      </c>
      <c r="BW695">
        <v>139</v>
      </c>
      <c r="BX695" t="s">
        <v>82</v>
      </c>
      <c r="BY695" s="5"/>
      <c r="BZ695" s="6"/>
      <c r="CA695" s="7">
        <v>44528</v>
      </c>
      <c r="CE695">
        <v>57</v>
      </c>
      <c r="CF695">
        <v>40</v>
      </c>
      <c r="CG695">
        <v>42</v>
      </c>
      <c r="CI695">
        <f t="shared" si="75"/>
        <v>2021</v>
      </c>
      <c r="CJ695" t="str">
        <f t="shared" si="76"/>
        <v>5826_2021</v>
      </c>
    </row>
    <row r="696" spans="1:88" x14ac:dyDescent="0.25">
      <c r="A696" t="s">
        <v>111</v>
      </c>
      <c r="B696" t="s">
        <v>301</v>
      </c>
      <c r="C696">
        <v>5828</v>
      </c>
      <c r="D696">
        <v>-38.184399999999997</v>
      </c>
      <c r="E696">
        <v>145.1165</v>
      </c>
      <c r="F696">
        <v>3</v>
      </c>
      <c r="G696" t="s">
        <v>303</v>
      </c>
      <c r="H696">
        <v>59</v>
      </c>
      <c r="I696">
        <v>239</v>
      </c>
      <c r="J696">
        <v>148</v>
      </c>
      <c r="K696">
        <v>328</v>
      </c>
      <c r="L696">
        <v>328</v>
      </c>
      <c r="M696">
        <v>148</v>
      </c>
      <c r="T696">
        <v>82</v>
      </c>
      <c r="U696">
        <v>46</v>
      </c>
      <c r="Y696">
        <v>110</v>
      </c>
      <c r="Z696">
        <v>174</v>
      </c>
      <c r="AD696">
        <v>96</v>
      </c>
      <c r="AE696">
        <v>152</v>
      </c>
      <c r="AX696">
        <v>128</v>
      </c>
      <c r="AY696">
        <v>206</v>
      </c>
      <c r="AZ696">
        <v>334</v>
      </c>
      <c r="BA696">
        <v>284</v>
      </c>
      <c r="BB696">
        <v>234</v>
      </c>
      <c r="BC696">
        <v>518</v>
      </c>
      <c r="BD696">
        <v>248</v>
      </c>
      <c r="BE696">
        <v>220</v>
      </c>
      <c r="BF696">
        <v>468</v>
      </c>
      <c r="BP696">
        <v>441</v>
      </c>
      <c r="BR696">
        <v>135</v>
      </c>
      <c r="BS696">
        <v>17</v>
      </c>
      <c r="BT696">
        <v>66</v>
      </c>
      <c r="BV696">
        <v>1</v>
      </c>
      <c r="BW696">
        <v>660</v>
      </c>
      <c r="BX696" t="s">
        <v>82</v>
      </c>
      <c r="BY696" s="5"/>
      <c r="BZ696" s="6"/>
      <c r="CA696" s="7">
        <v>42316</v>
      </c>
      <c r="CE696">
        <v>379</v>
      </c>
      <c r="CF696">
        <v>166</v>
      </c>
      <c r="CG696">
        <v>72</v>
      </c>
      <c r="CH696">
        <v>43</v>
      </c>
      <c r="CI696">
        <f t="shared" si="75"/>
        <v>2015</v>
      </c>
      <c r="CJ696" t="str">
        <f t="shared" si="76"/>
        <v>5828_2015</v>
      </c>
    </row>
    <row r="697" spans="1:88" x14ac:dyDescent="0.25">
      <c r="A697" t="s">
        <v>111</v>
      </c>
      <c r="B697" t="s">
        <v>301</v>
      </c>
      <c r="C697">
        <v>5828</v>
      </c>
      <c r="D697">
        <v>-38.184370999999999</v>
      </c>
      <c r="E697">
        <v>145.11648199999999</v>
      </c>
      <c r="F697">
        <v>3</v>
      </c>
      <c r="G697" t="s">
        <v>303</v>
      </c>
      <c r="H697">
        <v>59</v>
      </c>
      <c r="I697">
        <v>239</v>
      </c>
      <c r="J697">
        <v>148</v>
      </c>
      <c r="K697">
        <v>328</v>
      </c>
      <c r="L697">
        <v>328</v>
      </c>
      <c r="M697">
        <v>148</v>
      </c>
      <c r="T697">
        <v>12</v>
      </c>
      <c r="U697">
        <v>16</v>
      </c>
      <c r="Y697">
        <v>25</v>
      </c>
      <c r="Z697">
        <v>24</v>
      </c>
      <c r="AD697">
        <v>29</v>
      </c>
      <c r="AE697">
        <v>23</v>
      </c>
      <c r="AX697">
        <v>28</v>
      </c>
      <c r="AY697">
        <v>54</v>
      </c>
      <c r="AZ697">
        <v>82</v>
      </c>
      <c r="BA697">
        <v>49</v>
      </c>
      <c r="BB697">
        <v>35</v>
      </c>
      <c r="BC697">
        <v>84</v>
      </c>
      <c r="BD697">
        <v>52</v>
      </c>
      <c r="BE697">
        <v>40</v>
      </c>
      <c r="BF697">
        <v>92</v>
      </c>
      <c r="BP697">
        <v>33</v>
      </c>
      <c r="BR697">
        <v>57</v>
      </c>
      <c r="BS697">
        <v>16</v>
      </c>
      <c r="BT697">
        <v>19</v>
      </c>
      <c r="BV697">
        <v>4</v>
      </c>
      <c r="BW697">
        <v>129</v>
      </c>
      <c r="BX697">
        <f t="shared" ref="BX697:BX702" si="81">IF(C697=C696,IF((CI697-1)=CI696,BW696,"no data"))</f>
        <v>660</v>
      </c>
      <c r="BY697" s="5">
        <f t="shared" si="79"/>
        <v>-0.80454545454545456</v>
      </c>
      <c r="BZ697" s="6">
        <f t="shared" si="78"/>
        <v>-0.80454545454545456</v>
      </c>
      <c r="CA697" s="7">
        <v>42687</v>
      </c>
      <c r="CE697">
        <v>38</v>
      </c>
      <c r="CF697">
        <v>33</v>
      </c>
      <c r="CG697">
        <v>29</v>
      </c>
      <c r="CH697">
        <v>29</v>
      </c>
      <c r="CI697">
        <f t="shared" si="75"/>
        <v>2016</v>
      </c>
      <c r="CJ697" t="str">
        <f t="shared" si="76"/>
        <v>5828_2016</v>
      </c>
    </row>
    <row r="698" spans="1:88" x14ac:dyDescent="0.25">
      <c r="A698" t="s">
        <v>111</v>
      </c>
      <c r="B698" t="s">
        <v>301</v>
      </c>
      <c r="C698">
        <v>5828</v>
      </c>
      <c r="D698">
        <v>-38.184370999999999</v>
      </c>
      <c r="E698">
        <v>145.11648199999999</v>
      </c>
      <c r="F698">
        <v>3</v>
      </c>
      <c r="G698" t="s">
        <v>303</v>
      </c>
      <c r="H698">
        <v>59</v>
      </c>
      <c r="I698">
        <v>239</v>
      </c>
      <c r="J698">
        <v>148</v>
      </c>
      <c r="K698">
        <v>328</v>
      </c>
      <c r="L698">
        <v>328</v>
      </c>
      <c r="M698">
        <v>148</v>
      </c>
      <c r="T698">
        <v>49</v>
      </c>
      <c r="U698">
        <v>24</v>
      </c>
      <c r="Y698">
        <v>92</v>
      </c>
      <c r="Z698">
        <v>111</v>
      </c>
      <c r="AD698">
        <v>42</v>
      </c>
      <c r="AE698">
        <v>77</v>
      </c>
      <c r="AX698">
        <v>73</v>
      </c>
      <c r="AY698">
        <v>134</v>
      </c>
      <c r="AZ698">
        <v>207</v>
      </c>
      <c r="BA698">
        <v>203</v>
      </c>
      <c r="BB698">
        <v>126</v>
      </c>
      <c r="BC698">
        <v>329</v>
      </c>
      <c r="BD698">
        <v>119</v>
      </c>
      <c r="BE698">
        <v>135</v>
      </c>
      <c r="BF698">
        <v>254</v>
      </c>
      <c r="BP698">
        <v>255</v>
      </c>
      <c r="BR698">
        <v>81</v>
      </c>
      <c r="BS698">
        <v>13</v>
      </c>
      <c r="BT698">
        <v>38</v>
      </c>
      <c r="BV698">
        <v>8</v>
      </c>
      <c r="BW698">
        <v>395</v>
      </c>
      <c r="BX698">
        <f t="shared" si="81"/>
        <v>129</v>
      </c>
      <c r="BY698" s="5">
        <f t="shared" si="79"/>
        <v>2.0620155038759691</v>
      </c>
      <c r="BZ698" s="6">
        <f t="shared" si="78"/>
        <v>2.0620155038759691</v>
      </c>
      <c r="CA698" s="7">
        <v>43051</v>
      </c>
      <c r="CE698">
        <v>222</v>
      </c>
      <c r="CF698">
        <v>81</v>
      </c>
      <c r="CG698">
        <v>52</v>
      </c>
      <c r="CH698">
        <v>40</v>
      </c>
      <c r="CI698">
        <f t="shared" si="75"/>
        <v>2017</v>
      </c>
      <c r="CJ698" t="str">
        <f t="shared" si="76"/>
        <v>5828_2017</v>
      </c>
    </row>
    <row r="699" spans="1:88" x14ac:dyDescent="0.25">
      <c r="A699" t="s">
        <v>111</v>
      </c>
      <c r="B699" t="s">
        <v>301</v>
      </c>
      <c r="C699">
        <v>5828</v>
      </c>
      <c r="D699">
        <v>-38.184370999999999</v>
      </c>
      <c r="E699">
        <v>145.11648199999999</v>
      </c>
      <c r="F699">
        <v>3</v>
      </c>
      <c r="G699" t="s">
        <v>303</v>
      </c>
      <c r="H699">
        <v>59</v>
      </c>
      <c r="I699">
        <v>239</v>
      </c>
      <c r="J699">
        <v>148</v>
      </c>
      <c r="K699">
        <v>328</v>
      </c>
      <c r="L699">
        <v>328</v>
      </c>
      <c r="M699">
        <v>148</v>
      </c>
      <c r="T699">
        <v>29</v>
      </c>
      <c r="U699">
        <v>20</v>
      </c>
      <c r="Y699">
        <v>69</v>
      </c>
      <c r="Z699">
        <v>74</v>
      </c>
      <c r="AD699">
        <v>36</v>
      </c>
      <c r="AE699">
        <v>59</v>
      </c>
      <c r="AX699">
        <v>49</v>
      </c>
      <c r="AY699">
        <v>105</v>
      </c>
      <c r="AZ699">
        <v>154</v>
      </c>
      <c r="BA699">
        <v>143</v>
      </c>
      <c r="BB699">
        <v>88</v>
      </c>
      <c r="BC699">
        <v>231</v>
      </c>
      <c r="BD699">
        <v>95</v>
      </c>
      <c r="BE699">
        <v>94</v>
      </c>
      <c r="BF699">
        <v>189</v>
      </c>
      <c r="BP699">
        <v>175</v>
      </c>
      <c r="BR699">
        <v>65</v>
      </c>
      <c r="BS699">
        <v>12</v>
      </c>
      <c r="BT699">
        <v>27</v>
      </c>
      <c r="BV699">
        <v>8</v>
      </c>
      <c r="BW699">
        <v>287</v>
      </c>
      <c r="BX699">
        <f t="shared" si="81"/>
        <v>395</v>
      </c>
      <c r="BY699" s="5">
        <f t="shared" si="79"/>
        <v>-0.27341772151898736</v>
      </c>
      <c r="BZ699" s="6">
        <f t="shared" si="78"/>
        <v>-0.27341772151898736</v>
      </c>
      <c r="CA699" s="7">
        <v>43415</v>
      </c>
      <c r="CE699">
        <v>123</v>
      </c>
      <c r="CF699">
        <v>61</v>
      </c>
      <c r="CG699">
        <v>61</v>
      </c>
      <c r="CH699">
        <v>42</v>
      </c>
      <c r="CI699">
        <f t="shared" si="75"/>
        <v>2018</v>
      </c>
      <c r="CJ699" t="str">
        <f t="shared" si="76"/>
        <v>5828_2018</v>
      </c>
    </row>
    <row r="700" spans="1:88" x14ac:dyDescent="0.25">
      <c r="A700" t="s">
        <v>111</v>
      </c>
      <c r="B700" t="s">
        <v>301</v>
      </c>
      <c r="C700">
        <v>5828</v>
      </c>
      <c r="D700">
        <v>-38.184399999999997</v>
      </c>
      <c r="E700">
        <v>145.1165</v>
      </c>
      <c r="F700">
        <v>3</v>
      </c>
      <c r="G700" t="s">
        <v>303</v>
      </c>
      <c r="H700">
        <v>59</v>
      </c>
      <c r="I700">
        <v>239</v>
      </c>
      <c r="J700">
        <v>148</v>
      </c>
      <c r="K700">
        <v>328</v>
      </c>
      <c r="L700">
        <v>328</v>
      </c>
      <c r="M700">
        <v>148</v>
      </c>
      <c r="T700">
        <v>50</v>
      </c>
      <c r="U700">
        <v>26</v>
      </c>
      <c r="Y700">
        <v>63</v>
      </c>
      <c r="Z700">
        <v>82</v>
      </c>
      <c r="AD700">
        <v>52</v>
      </c>
      <c r="AE700">
        <v>69</v>
      </c>
      <c r="AX700">
        <v>76</v>
      </c>
      <c r="AY700">
        <v>115</v>
      </c>
      <c r="AZ700">
        <v>191</v>
      </c>
      <c r="BA700">
        <v>145</v>
      </c>
      <c r="BB700">
        <v>119</v>
      </c>
      <c r="BC700">
        <v>264</v>
      </c>
      <c r="BD700">
        <v>121</v>
      </c>
      <c r="BE700">
        <v>108</v>
      </c>
      <c r="BF700">
        <v>229</v>
      </c>
      <c r="BP700">
        <v>175</v>
      </c>
      <c r="BR700">
        <v>95</v>
      </c>
      <c r="BS700">
        <v>19</v>
      </c>
      <c r="BT700">
        <v>53</v>
      </c>
      <c r="BV700">
        <v>0</v>
      </c>
      <c r="BW700">
        <v>342</v>
      </c>
      <c r="BX700">
        <f t="shared" si="81"/>
        <v>287</v>
      </c>
      <c r="BY700" s="5">
        <f t="shared" si="79"/>
        <v>0.19163763066202091</v>
      </c>
      <c r="BZ700" s="6">
        <f t="shared" si="78"/>
        <v>0.19163763066202091</v>
      </c>
      <c r="CA700" s="7">
        <v>43779</v>
      </c>
      <c r="CE700">
        <v>117</v>
      </c>
      <c r="CF700">
        <v>90</v>
      </c>
      <c r="CG700">
        <v>72</v>
      </c>
      <c r="CH700">
        <v>63</v>
      </c>
      <c r="CI700">
        <f t="shared" si="75"/>
        <v>2019</v>
      </c>
      <c r="CJ700" t="str">
        <f t="shared" si="76"/>
        <v>5828_2019</v>
      </c>
    </row>
    <row r="701" spans="1:88" x14ac:dyDescent="0.25">
      <c r="A701" t="s">
        <v>111</v>
      </c>
      <c r="B701" t="s">
        <v>301</v>
      </c>
      <c r="C701">
        <v>5828</v>
      </c>
      <c r="D701">
        <v>-38.184399999999997</v>
      </c>
      <c r="E701">
        <v>145.1165</v>
      </c>
      <c r="F701">
        <v>3</v>
      </c>
      <c r="G701" t="s">
        <v>303</v>
      </c>
      <c r="H701">
        <v>59</v>
      </c>
      <c r="I701">
        <v>239</v>
      </c>
      <c r="J701">
        <v>148</v>
      </c>
      <c r="K701">
        <v>328</v>
      </c>
      <c r="L701">
        <v>328</v>
      </c>
      <c r="M701">
        <v>148</v>
      </c>
      <c r="T701">
        <v>80</v>
      </c>
      <c r="U701">
        <v>68</v>
      </c>
      <c r="Y701">
        <v>109</v>
      </c>
      <c r="Z701">
        <v>159</v>
      </c>
      <c r="AD701">
        <v>78</v>
      </c>
      <c r="AE701">
        <v>115</v>
      </c>
      <c r="AX701">
        <v>148</v>
      </c>
      <c r="AY701">
        <v>187</v>
      </c>
      <c r="AZ701">
        <v>335</v>
      </c>
      <c r="BA701">
        <v>268</v>
      </c>
      <c r="BB701">
        <v>195</v>
      </c>
      <c r="BC701">
        <v>463</v>
      </c>
      <c r="BD701">
        <v>193</v>
      </c>
      <c r="BE701">
        <v>227</v>
      </c>
      <c r="BF701">
        <v>420</v>
      </c>
      <c r="BP701">
        <v>374</v>
      </c>
      <c r="BR701">
        <v>150</v>
      </c>
      <c r="BS701">
        <v>29</v>
      </c>
      <c r="BT701">
        <v>51</v>
      </c>
      <c r="BV701">
        <v>5</v>
      </c>
      <c r="BW701">
        <v>609</v>
      </c>
      <c r="BX701">
        <f t="shared" si="81"/>
        <v>342</v>
      </c>
      <c r="BY701" s="5">
        <f t="shared" si="79"/>
        <v>0.7807017543859649</v>
      </c>
      <c r="BZ701" s="6">
        <f t="shared" si="78"/>
        <v>0.7807017543859649</v>
      </c>
      <c r="CA701" s="7">
        <v>44143</v>
      </c>
      <c r="CE701">
        <v>241</v>
      </c>
      <c r="CF701">
        <v>151</v>
      </c>
      <c r="CG701">
        <v>134</v>
      </c>
      <c r="CH701">
        <v>83</v>
      </c>
      <c r="CI701">
        <f t="shared" si="75"/>
        <v>2020</v>
      </c>
      <c r="CJ701" t="str">
        <f t="shared" si="76"/>
        <v>5828_2020</v>
      </c>
    </row>
    <row r="702" spans="1:88" x14ac:dyDescent="0.25">
      <c r="A702" t="s">
        <v>111</v>
      </c>
      <c r="B702" t="s">
        <v>301</v>
      </c>
      <c r="C702">
        <v>5828</v>
      </c>
      <c r="D702">
        <v>-38.184370999999999</v>
      </c>
      <c r="E702">
        <v>145.11648199999999</v>
      </c>
      <c r="F702">
        <v>3</v>
      </c>
      <c r="G702" t="s">
        <v>303</v>
      </c>
      <c r="H702">
        <v>59</v>
      </c>
      <c r="I702">
        <v>239</v>
      </c>
      <c r="J702">
        <v>148</v>
      </c>
      <c r="K702">
        <v>328</v>
      </c>
      <c r="L702">
        <v>328</v>
      </c>
      <c r="M702">
        <v>148</v>
      </c>
      <c r="T702">
        <v>50</v>
      </c>
      <c r="U702">
        <v>21</v>
      </c>
      <c r="Y702">
        <v>69</v>
      </c>
      <c r="Z702">
        <v>66</v>
      </c>
      <c r="AD702">
        <v>38</v>
      </c>
      <c r="AE702">
        <v>62</v>
      </c>
      <c r="AX702">
        <v>71</v>
      </c>
      <c r="AY702">
        <v>107</v>
      </c>
      <c r="AZ702">
        <v>178</v>
      </c>
      <c r="BA702">
        <v>135</v>
      </c>
      <c r="BB702">
        <v>112</v>
      </c>
      <c r="BC702">
        <v>247</v>
      </c>
      <c r="BD702">
        <v>100</v>
      </c>
      <c r="BE702">
        <v>87</v>
      </c>
      <c r="BF702">
        <v>187</v>
      </c>
      <c r="BP702">
        <v>170</v>
      </c>
      <c r="BR702">
        <v>82</v>
      </c>
      <c r="BS702">
        <v>13</v>
      </c>
      <c r="BT702">
        <v>33</v>
      </c>
      <c r="BV702">
        <v>8</v>
      </c>
      <c r="BW702">
        <v>306</v>
      </c>
      <c r="BX702">
        <f t="shared" si="81"/>
        <v>609</v>
      </c>
      <c r="BY702" s="5">
        <f t="shared" si="79"/>
        <v>-0.49753694581280788</v>
      </c>
      <c r="BZ702" s="6">
        <f t="shared" si="78"/>
        <v>-0.49753694581280788</v>
      </c>
      <c r="CA702" s="7">
        <v>44528</v>
      </c>
      <c r="CE702">
        <v>115</v>
      </c>
      <c r="CF702">
        <v>105</v>
      </c>
      <c r="CG702">
        <v>86</v>
      </c>
      <c r="CI702">
        <f t="shared" si="75"/>
        <v>2021</v>
      </c>
      <c r="CJ702" t="str">
        <f t="shared" si="76"/>
        <v>5828_2021</v>
      </c>
    </row>
    <row r="703" spans="1:88" x14ac:dyDescent="0.25">
      <c r="A703" t="s">
        <v>111</v>
      </c>
      <c r="B703" t="s">
        <v>301</v>
      </c>
      <c r="C703">
        <v>5830</v>
      </c>
      <c r="D703">
        <v>-38.132100000000001</v>
      </c>
      <c r="E703">
        <v>145.12379999999999</v>
      </c>
      <c r="F703">
        <v>4</v>
      </c>
      <c r="G703" t="s">
        <v>304</v>
      </c>
      <c r="H703">
        <v>10</v>
      </c>
      <c r="I703">
        <v>190</v>
      </c>
      <c r="J703">
        <v>109</v>
      </c>
      <c r="K703">
        <v>289</v>
      </c>
      <c r="L703">
        <v>195</v>
      </c>
      <c r="M703">
        <v>15</v>
      </c>
      <c r="N703">
        <v>289</v>
      </c>
      <c r="O703">
        <v>109</v>
      </c>
      <c r="T703">
        <v>2</v>
      </c>
      <c r="U703">
        <v>41</v>
      </c>
      <c r="V703">
        <v>8</v>
      </c>
      <c r="Y703">
        <v>3</v>
      </c>
      <c r="Z703">
        <v>2</v>
      </c>
      <c r="AA703">
        <v>2</v>
      </c>
      <c r="AD703">
        <v>45</v>
      </c>
      <c r="AE703">
        <v>3</v>
      </c>
      <c r="AF703">
        <v>5</v>
      </c>
      <c r="AI703">
        <v>0</v>
      </c>
      <c r="AJ703">
        <v>1</v>
      </c>
      <c r="AK703">
        <v>5</v>
      </c>
      <c r="AX703">
        <v>51</v>
      </c>
      <c r="AY703">
        <v>48</v>
      </c>
      <c r="AZ703">
        <v>99</v>
      </c>
      <c r="BA703">
        <v>7</v>
      </c>
      <c r="BB703">
        <v>6</v>
      </c>
      <c r="BC703">
        <v>13</v>
      </c>
      <c r="BD703">
        <v>53</v>
      </c>
      <c r="BE703">
        <v>48</v>
      </c>
      <c r="BF703">
        <v>101</v>
      </c>
      <c r="BG703">
        <v>6</v>
      </c>
      <c r="BH703">
        <v>15</v>
      </c>
      <c r="BI703">
        <v>21</v>
      </c>
      <c r="BP703">
        <v>14</v>
      </c>
      <c r="BR703">
        <v>47</v>
      </c>
      <c r="BS703">
        <v>28</v>
      </c>
      <c r="BT703">
        <v>17</v>
      </c>
      <c r="BV703">
        <v>11</v>
      </c>
      <c r="BW703">
        <v>117</v>
      </c>
      <c r="BX703" t="s">
        <v>82</v>
      </c>
      <c r="BY703" s="5"/>
      <c r="BZ703" s="6"/>
      <c r="CA703" s="7">
        <v>41588</v>
      </c>
      <c r="CI703">
        <f t="shared" si="75"/>
        <v>2013</v>
      </c>
      <c r="CJ703" t="str">
        <f t="shared" si="76"/>
        <v>5830_2013</v>
      </c>
    </row>
    <row r="704" spans="1:88" x14ac:dyDescent="0.25">
      <c r="A704" t="s">
        <v>111</v>
      </c>
      <c r="B704" t="s">
        <v>301</v>
      </c>
      <c r="C704">
        <v>5830</v>
      </c>
      <c r="D704">
        <v>-38.132100000000001</v>
      </c>
      <c r="E704">
        <v>145.12379999999999</v>
      </c>
      <c r="F704">
        <v>4</v>
      </c>
      <c r="G704" t="s">
        <v>304</v>
      </c>
      <c r="H704">
        <v>10</v>
      </c>
      <c r="I704">
        <v>190</v>
      </c>
      <c r="J704">
        <v>109</v>
      </c>
      <c r="K704">
        <v>289</v>
      </c>
      <c r="L704">
        <v>195</v>
      </c>
      <c r="M704">
        <v>15</v>
      </c>
      <c r="N704">
        <v>289</v>
      </c>
      <c r="O704">
        <v>109</v>
      </c>
      <c r="T704">
        <v>0</v>
      </c>
      <c r="U704">
        <v>32</v>
      </c>
      <c r="V704">
        <v>7</v>
      </c>
      <c r="Y704">
        <v>0</v>
      </c>
      <c r="Z704">
        <v>3</v>
      </c>
      <c r="AA704">
        <v>10</v>
      </c>
      <c r="AD704">
        <v>41</v>
      </c>
      <c r="AE704">
        <v>0</v>
      </c>
      <c r="AF704">
        <v>6</v>
      </c>
      <c r="AI704">
        <v>0</v>
      </c>
      <c r="AJ704">
        <v>6</v>
      </c>
      <c r="AK704">
        <v>20</v>
      </c>
      <c r="AX704">
        <v>39</v>
      </c>
      <c r="AY704">
        <v>41</v>
      </c>
      <c r="AZ704">
        <v>80</v>
      </c>
      <c r="BA704">
        <v>13</v>
      </c>
      <c r="BB704">
        <v>6</v>
      </c>
      <c r="BC704">
        <v>19</v>
      </c>
      <c r="BD704">
        <v>47</v>
      </c>
      <c r="BE704">
        <v>55</v>
      </c>
      <c r="BF704">
        <v>102</v>
      </c>
      <c r="BG704">
        <v>26</v>
      </c>
      <c r="BH704">
        <v>23</v>
      </c>
      <c r="BI704">
        <v>49</v>
      </c>
      <c r="BP704">
        <v>3</v>
      </c>
      <c r="BR704">
        <v>81</v>
      </c>
      <c r="BS704">
        <v>15</v>
      </c>
      <c r="BT704">
        <v>22</v>
      </c>
      <c r="BV704">
        <v>4</v>
      </c>
      <c r="BW704">
        <v>125</v>
      </c>
      <c r="BX704">
        <f>IF(C704=C703,IF((CI704-1)=CI703,BW703,"no data"))</f>
        <v>117</v>
      </c>
      <c r="BY704" s="5">
        <f t="shared" si="79"/>
        <v>6.8376068376068383E-2</v>
      </c>
      <c r="BZ704" s="6">
        <f t="shared" si="78"/>
        <v>6.8376068376068383E-2</v>
      </c>
      <c r="CA704" s="7">
        <v>41952</v>
      </c>
      <c r="CI704">
        <f t="shared" si="75"/>
        <v>2014</v>
      </c>
      <c r="CJ704" t="str">
        <f t="shared" si="76"/>
        <v>5830_2014</v>
      </c>
    </row>
    <row r="705" spans="1:88" x14ac:dyDescent="0.25">
      <c r="A705" t="s">
        <v>79</v>
      </c>
      <c r="B705" t="s">
        <v>305</v>
      </c>
      <c r="C705">
        <v>5846</v>
      </c>
      <c r="D705">
        <v>-32.959000000000003</v>
      </c>
      <c r="E705">
        <v>151.61510000000001</v>
      </c>
      <c r="F705">
        <v>4</v>
      </c>
      <c r="G705" t="s">
        <v>306</v>
      </c>
      <c r="H705">
        <v>51</v>
      </c>
      <c r="I705">
        <v>231</v>
      </c>
      <c r="J705">
        <v>185</v>
      </c>
      <c r="K705">
        <v>5</v>
      </c>
      <c r="L705">
        <v>232</v>
      </c>
      <c r="M705">
        <v>52</v>
      </c>
      <c r="N705">
        <v>356</v>
      </c>
      <c r="O705">
        <v>176</v>
      </c>
      <c r="T705">
        <v>4</v>
      </c>
      <c r="U705">
        <v>19</v>
      </c>
      <c r="V705">
        <v>0</v>
      </c>
      <c r="Y705">
        <v>4</v>
      </c>
      <c r="Z705">
        <v>78</v>
      </c>
      <c r="AA705">
        <v>42</v>
      </c>
      <c r="AD705">
        <v>16</v>
      </c>
      <c r="AE705">
        <v>108</v>
      </c>
      <c r="AF705">
        <v>5</v>
      </c>
      <c r="AI705">
        <v>3</v>
      </c>
      <c r="AJ705">
        <v>35</v>
      </c>
      <c r="AK705">
        <v>7</v>
      </c>
      <c r="AX705">
        <v>23</v>
      </c>
      <c r="AY705">
        <v>23</v>
      </c>
      <c r="AZ705">
        <v>46</v>
      </c>
      <c r="BA705">
        <v>124</v>
      </c>
      <c r="BB705">
        <v>147</v>
      </c>
      <c r="BC705">
        <v>271</v>
      </c>
      <c r="BD705">
        <v>129</v>
      </c>
      <c r="BE705">
        <v>104</v>
      </c>
      <c r="BF705">
        <v>233</v>
      </c>
      <c r="BG705">
        <v>45</v>
      </c>
      <c r="BH705">
        <v>47</v>
      </c>
      <c r="BI705">
        <v>92</v>
      </c>
      <c r="BP705">
        <v>231</v>
      </c>
      <c r="BR705">
        <v>47</v>
      </c>
      <c r="BS705">
        <v>21</v>
      </c>
      <c r="BT705">
        <v>11</v>
      </c>
      <c r="BV705">
        <v>11</v>
      </c>
      <c r="BW705">
        <v>321</v>
      </c>
      <c r="BX705" t="s">
        <v>82</v>
      </c>
      <c r="BY705" s="5"/>
      <c r="BZ705" s="6"/>
      <c r="CA705" s="7">
        <v>41952</v>
      </c>
      <c r="CI705">
        <f t="shared" si="75"/>
        <v>2014</v>
      </c>
      <c r="CJ705" t="str">
        <f t="shared" si="76"/>
        <v>5846_2014</v>
      </c>
    </row>
    <row r="706" spans="1:88" x14ac:dyDescent="0.25">
      <c r="A706" t="s">
        <v>79</v>
      </c>
      <c r="B706" t="s">
        <v>305</v>
      </c>
      <c r="C706">
        <v>5846</v>
      </c>
      <c r="D706">
        <v>-32.959000000000003</v>
      </c>
      <c r="E706">
        <v>151.61510000000001</v>
      </c>
      <c r="F706">
        <v>4</v>
      </c>
      <c r="G706" t="s">
        <v>306</v>
      </c>
      <c r="H706">
        <v>51</v>
      </c>
      <c r="I706">
        <v>231</v>
      </c>
      <c r="J706">
        <v>185</v>
      </c>
      <c r="K706">
        <v>5</v>
      </c>
      <c r="L706">
        <v>232</v>
      </c>
      <c r="M706">
        <v>52</v>
      </c>
      <c r="N706">
        <v>356</v>
      </c>
      <c r="O706">
        <v>176</v>
      </c>
      <c r="T706">
        <v>9</v>
      </c>
      <c r="U706">
        <v>17</v>
      </c>
      <c r="V706">
        <v>0</v>
      </c>
      <c r="Y706">
        <v>2</v>
      </c>
      <c r="Z706">
        <v>49</v>
      </c>
      <c r="AA706">
        <v>25</v>
      </c>
      <c r="AD706">
        <v>5</v>
      </c>
      <c r="AE706">
        <v>61</v>
      </c>
      <c r="AF706">
        <v>1</v>
      </c>
      <c r="AI706">
        <v>1</v>
      </c>
      <c r="AJ706">
        <v>23</v>
      </c>
      <c r="AK706">
        <v>3</v>
      </c>
      <c r="AX706">
        <v>26</v>
      </c>
      <c r="AY706">
        <v>8</v>
      </c>
      <c r="AZ706">
        <v>34</v>
      </c>
      <c r="BA706">
        <v>76</v>
      </c>
      <c r="BB706">
        <v>93</v>
      </c>
      <c r="BC706">
        <v>169</v>
      </c>
      <c r="BD706">
        <v>67</v>
      </c>
      <c r="BE706">
        <v>69</v>
      </c>
      <c r="BF706">
        <v>136</v>
      </c>
      <c r="BG706">
        <v>27</v>
      </c>
      <c r="BH706">
        <v>26</v>
      </c>
      <c r="BI706">
        <v>53</v>
      </c>
      <c r="BP706">
        <v>133</v>
      </c>
      <c r="BR706">
        <v>44</v>
      </c>
      <c r="BS706">
        <v>8</v>
      </c>
      <c r="BT706">
        <v>5</v>
      </c>
      <c r="BV706">
        <v>6</v>
      </c>
      <c r="BW706">
        <v>196</v>
      </c>
      <c r="BX706">
        <f>IF(C706=C705,IF((CI706-1)=CI705,BW705,"no data"))</f>
        <v>321</v>
      </c>
      <c r="BY706" s="5">
        <f t="shared" si="79"/>
        <v>-0.38940809968847351</v>
      </c>
      <c r="BZ706" s="6">
        <f t="shared" si="78"/>
        <v>-0.38940809968847351</v>
      </c>
      <c r="CA706" s="7">
        <v>42316</v>
      </c>
      <c r="CE706">
        <v>50</v>
      </c>
      <c r="CF706">
        <v>67</v>
      </c>
      <c r="CG706">
        <v>27</v>
      </c>
      <c r="CH706">
        <v>52</v>
      </c>
      <c r="CI706">
        <f t="shared" si="75"/>
        <v>2015</v>
      </c>
      <c r="CJ706" t="str">
        <f t="shared" si="76"/>
        <v>5846_2015</v>
      </c>
    </row>
    <row r="707" spans="1:88" x14ac:dyDescent="0.25">
      <c r="A707" t="s">
        <v>79</v>
      </c>
      <c r="B707" t="s">
        <v>305</v>
      </c>
      <c r="C707">
        <v>5846</v>
      </c>
      <c r="D707">
        <v>-32.959043999999999</v>
      </c>
      <c r="E707">
        <v>151.61513600000001</v>
      </c>
      <c r="F707">
        <v>4</v>
      </c>
      <c r="G707" t="s">
        <v>306</v>
      </c>
      <c r="H707">
        <v>51</v>
      </c>
      <c r="I707">
        <v>231</v>
      </c>
      <c r="J707">
        <v>185</v>
      </c>
      <c r="K707">
        <v>5</v>
      </c>
      <c r="L707">
        <v>232</v>
      </c>
      <c r="M707">
        <v>52</v>
      </c>
      <c r="N707">
        <v>356</v>
      </c>
      <c r="O707">
        <v>176</v>
      </c>
      <c r="T707">
        <v>0</v>
      </c>
      <c r="U707">
        <v>13</v>
      </c>
      <c r="V707">
        <v>2</v>
      </c>
      <c r="Y707">
        <v>2</v>
      </c>
      <c r="Z707">
        <v>19</v>
      </c>
      <c r="AA707">
        <v>14</v>
      </c>
      <c r="AD707">
        <v>16</v>
      </c>
      <c r="AE707">
        <v>23</v>
      </c>
      <c r="AF707">
        <v>0</v>
      </c>
      <c r="AI707">
        <v>2</v>
      </c>
      <c r="AJ707">
        <v>13</v>
      </c>
      <c r="AK707">
        <v>4</v>
      </c>
      <c r="AX707">
        <v>15</v>
      </c>
      <c r="AY707">
        <v>20</v>
      </c>
      <c r="AZ707">
        <v>35</v>
      </c>
      <c r="BA707">
        <v>35</v>
      </c>
      <c r="BB707">
        <v>36</v>
      </c>
      <c r="BC707">
        <v>71</v>
      </c>
      <c r="BD707">
        <v>39</v>
      </c>
      <c r="BE707">
        <v>36</v>
      </c>
      <c r="BF707">
        <v>75</v>
      </c>
      <c r="BG707">
        <v>19</v>
      </c>
      <c r="BH707">
        <v>16</v>
      </c>
      <c r="BI707">
        <v>35</v>
      </c>
      <c r="BP707">
        <v>79</v>
      </c>
      <c r="BR707">
        <v>22</v>
      </c>
      <c r="BS707">
        <v>6</v>
      </c>
      <c r="BT707">
        <v>0</v>
      </c>
      <c r="BV707">
        <v>1</v>
      </c>
      <c r="BW707">
        <v>108</v>
      </c>
      <c r="BX707">
        <f>IF(C707=C706,IF((CI707-1)=CI706,BW706,"no data"))</f>
        <v>196</v>
      </c>
      <c r="BY707" s="5">
        <f t="shared" si="79"/>
        <v>-0.44897959183673469</v>
      </c>
      <c r="BZ707" s="6">
        <f t="shared" si="78"/>
        <v>-0.44897959183673469</v>
      </c>
      <c r="CA707" s="7">
        <v>42687</v>
      </c>
      <c r="CE707">
        <v>76</v>
      </c>
      <c r="CF707">
        <v>27</v>
      </c>
      <c r="CG707">
        <v>4</v>
      </c>
      <c r="CH707">
        <v>1</v>
      </c>
      <c r="CI707">
        <f t="shared" ref="CI707:CI770" si="82">YEAR(CA707)</f>
        <v>2016</v>
      </c>
      <c r="CJ707" t="str">
        <f t="shared" ref="CJ707:CJ770" si="83">_xlfn.CONCAT(C707,"_",CI707)</f>
        <v>5846_2016</v>
      </c>
    </row>
    <row r="708" spans="1:88" x14ac:dyDescent="0.25">
      <c r="A708" t="s">
        <v>79</v>
      </c>
      <c r="B708" t="s">
        <v>305</v>
      </c>
      <c r="C708">
        <v>5846</v>
      </c>
      <c r="D708">
        <v>-32.959043999999999</v>
      </c>
      <c r="E708">
        <v>151.61513600000001</v>
      </c>
      <c r="F708">
        <v>4</v>
      </c>
      <c r="G708" t="s">
        <v>306</v>
      </c>
      <c r="H708">
        <v>51</v>
      </c>
      <c r="I708">
        <v>231</v>
      </c>
      <c r="J708">
        <v>185</v>
      </c>
      <c r="K708">
        <v>5</v>
      </c>
      <c r="L708">
        <v>232</v>
      </c>
      <c r="M708">
        <v>52</v>
      </c>
      <c r="N708">
        <v>356</v>
      </c>
      <c r="O708">
        <v>176</v>
      </c>
      <c r="T708">
        <v>6</v>
      </c>
      <c r="U708">
        <v>7</v>
      </c>
      <c r="V708">
        <v>0</v>
      </c>
      <c r="Y708">
        <v>2</v>
      </c>
      <c r="Z708">
        <v>73</v>
      </c>
      <c r="AA708">
        <v>54</v>
      </c>
      <c r="AD708">
        <v>3</v>
      </c>
      <c r="AE708">
        <v>119</v>
      </c>
      <c r="AF708">
        <v>8</v>
      </c>
      <c r="AI708">
        <v>0</v>
      </c>
      <c r="AJ708">
        <v>61</v>
      </c>
      <c r="AK708">
        <v>10</v>
      </c>
      <c r="AX708">
        <v>13</v>
      </c>
      <c r="AY708">
        <v>5</v>
      </c>
      <c r="AZ708">
        <v>18</v>
      </c>
      <c r="BA708">
        <v>129</v>
      </c>
      <c r="BB708">
        <v>186</v>
      </c>
      <c r="BC708">
        <v>315</v>
      </c>
      <c r="BD708">
        <v>130</v>
      </c>
      <c r="BE708">
        <v>90</v>
      </c>
      <c r="BF708">
        <v>220</v>
      </c>
      <c r="BG708">
        <v>71</v>
      </c>
      <c r="BH708">
        <v>62</v>
      </c>
      <c r="BI708">
        <v>133</v>
      </c>
      <c r="BP708">
        <v>236</v>
      </c>
      <c r="BR708">
        <v>48</v>
      </c>
      <c r="BS708">
        <v>17</v>
      </c>
      <c r="BT708">
        <v>22</v>
      </c>
      <c r="BV708">
        <v>20</v>
      </c>
      <c r="BW708">
        <v>343</v>
      </c>
      <c r="BX708">
        <f>IF(C708=C707,IF((CI708-1)=CI707,BW707,"no data"))</f>
        <v>108</v>
      </c>
      <c r="BY708" s="5">
        <f t="shared" si="79"/>
        <v>2.175925925925926</v>
      </c>
      <c r="BZ708" s="6">
        <f t="shared" si="78"/>
        <v>2.175925925925926</v>
      </c>
      <c r="CA708" s="7">
        <v>43051</v>
      </c>
      <c r="CE708">
        <v>97</v>
      </c>
      <c r="CF708">
        <v>106</v>
      </c>
      <c r="CG708">
        <v>102</v>
      </c>
      <c r="CH708">
        <v>38</v>
      </c>
      <c r="CI708">
        <f t="shared" si="82"/>
        <v>2017</v>
      </c>
      <c r="CJ708" t="str">
        <f t="shared" si="83"/>
        <v>5846_2017</v>
      </c>
    </row>
    <row r="709" spans="1:88" x14ac:dyDescent="0.25">
      <c r="A709" t="s">
        <v>79</v>
      </c>
      <c r="B709" t="s">
        <v>305</v>
      </c>
      <c r="C709">
        <v>5846</v>
      </c>
      <c r="D709">
        <v>-32.959043999999999</v>
      </c>
      <c r="E709">
        <v>151.61513600000001</v>
      </c>
      <c r="F709">
        <v>4</v>
      </c>
      <c r="G709" t="s">
        <v>306</v>
      </c>
      <c r="H709">
        <v>51</v>
      </c>
      <c r="I709">
        <v>231</v>
      </c>
      <c r="J709">
        <v>185</v>
      </c>
      <c r="K709">
        <v>5</v>
      </c>
      <c r="L709">
        <v>232</v>
      </c>
      <c r="M709">
        <v>52</v>
      </c>
      <c r="N709">
        <v>356</v>
      </c>
      <c r="O709">
        <v>176</v>
      </c>
      <c r="T709">
        <v>2</v>
      </c>
      <c r="U709">
        <v>14</v>
      </c>
      <c r="V709">
        <v>3</v>
      </c>
      <c r="Y709">
        <v>1</v>
      </c>
      <c r="Z709">
        <v>72</v>
      </c>
      <c r="AA709">
        <v>97</v>
      </c>
      <c r="AD709">
        <v>10</v>
      </c>
      <c r="AE709">
        <v>79</v>
      </c>
      <c r="AF709">
        <v>11</v>
      </c>
      <c r="AI709">
        <v>0</v>
      </c>
      <c r="AJ709">
        <v>101</v>
      </c>
      <c r="AK709">
        <v>20</v>
      </c>
      <c r="AX709">
        <v>19</v>
      </c>
      <c r="AY709">
        <v>11</v>
      </c>
      <c r="AZ709">
        <v>30</v>
      </c>
      <c r="BA709">
        <v>170</v>
      </c>
      <c r="BB709">
        <v>182</v>
      </c>
      <c r="BC709">
        <v>352</v>
      </c>
      <c r="BD709">
        <v>100</v>
      </c>
      <c r="BE709">
        <v>106</v>
      </c>
      <c r="BF709">
        <v>206</v>
      </c>
      <c r="BG709">
        <v>121</v>
      </c>
      <c r="BH709">
        <v>111</v>
      </c>
      <c r="BI709">
        <v>232</v>
      </c>
      <c r="BP709">
        <v>197</v>
      </c>
      <c r="BR709">
        <v>126</v>
      </c>
      <c r="BS709">
        <v>19</v>
      </c>
      <c r="BT709">
        <v>63</v>
      </c>
      <c r="BV709">
        <v>5</v>
      </c>
      <c r="BW709">
        <v>410</v>
      </c>
      <c r="BX709">
        <f>IF(C709=C708,IF((CI709-1)=CI708,BW708,"no data"))</f>
        <v>343</v>
      </c>
      <c r="BY709" s="5">
        <f t="shared" si="79"/>
        <v>0.19533527696793002</v>
      </c>
      <c r="BZ709" s="6">
        <f t="shared" si="78"/>
        <v>0.19533527696793002</v>
      </c>
      <c r="CA709" s="7">
        <v>43415</v>
      </c>
      <c r="CE709">
        <v>146</v>
      </c>
      <c r="CF709">
        <v>110</v>
      </c>
      <c r="CG709">
        <v>93</v>
      </c>
      <c r="CH709">
        <v>61</v>
      </c>
      <c r="CI709">
        <f t="shared" si="82"/>
        <v>2018</v>
      </c>
      <c r="CJ709" t="str">
        <f t="shared" si="83"/>
        <v>5846_2018</v>
      </c>
    </row>
    <row r="710" spans="1:88" x14ac:dyDescent="0.25">
      <c r="A710" t="s">
        <v>79</v>
      </c>
      <c r="B710" t="s">
        <v>305</v>
      </c>
      <c r="C710">
        <v>5847</v>
      </c>
      <c r="D710">
        <v>-32.977899999999998</v>
      </c>
      <c r="E710">
        <v>151.71100000000001</v>
      </c>
      <c r="F710">
        <v>4</v>
      </c>
      <c r="G710" t="s">
        <v>307</v>
      </c>
      <c r="H710">
        <v>39</v>
      </c>
      <c r="I710">
        <v>219</v>
      </c>
      <c r="J710">
        <v>130</v>
      </c>
      <c r="K710">
        <v>310</v>
      </c>
      <c r="L710">
        <v>220</v>
      </c>
      <c r="M710">
        <v>40</v>
      </c>
      <c r="N710">
        <v>323</v>
      </c>
      <c r="O710">
        <v>143</v>
      </c>
      <c r="T710">
        <v>87</v>
      </c>
      <c r="U710">
        <v>166</v>
      </c>
      <c r="V710">
        <v>22</v>
      </c>
      <c r="Y710">
        <v>73</v>
      </c>
      <c r="Z710">
        <v>29</v>
      </c>
      <c r="AA710">
        <v>15</v>
      </c>
      <c r="AD710">
        <v>191</v>
      </c>
      <c r="AE710">
        <v>17</v>
      </c>
      <c r="AF710">
        <v>8</v>
      </c>
      <c r="AI710">
        <v>24</v>
      </c>
      <c r="AJ710">
        <v>13</v>
      </c>
      <c r="AK710">
        <v>5</v>
      </c>
      <c r="AX710">
        <v>275</v>
      </c>
      <c r="AY710">
        <v>288</v>
      </c>
      <c r="AZ710">
        <v>563</v>
      </c>
      <c r="BA710">
        <v>117</v>
      </c>
      <c r="BB710">
        <v>117</v>
      </c>
      <c r="BC710">
        <v>234</v>
      </c>
      <c r="BD710">
        <v>216</v>
      </c>
      <c r="BE710">
        <v>200</v>
      </c>
      <c r="BF710">
        <v>416</v>
      </c>
      <c r="BG710">
        <v>42</v>
      </c>
      <c r="BH710">
        <v>45</v>
      </c>
      <c r="BI710">
        <v>87</v>
      </c>
      <c r="BP710">
        <v>464</v>
      </c>
      <c r="BR710">
        <v>104</v>
      </c>
      <c r="BS710">
        <v>21</v>
      </c>
      <c r="BT710">
        <v>27</v>
      </c>
      <c r="BV710">
        <v>34</v>
      </c>
      <c r="BW710">
        <v>650</v>
      </c>
      <c r="BX710" t="s">
        <v>82</v>
      </c>
      <c r="BY710" s="5"/>
      <c r="BZ710" s="6"/>
      <c r="CA710" s="7">
        <v>41952</v>
      </c>
      <c r="CI710">
        <f t="shared" si="82"/>
        <v>2014</v>
      </c>
      <c r="CJ710" t="str">
        <f t="shared" si="83"/>
        <v>5847_2014</v>
      </c>
    </row>
    <row r="711" spans="1:88" x14ac:dyDescent="0.25">
      <c r="A711" t="s">
        <v>79</v>
      </c>
      <c r="B711" t="s">
        <v>305</v>
      </c>
      <c r="C711">
        <v>5847</v>
      </c>
      <c r="D711">
        <v>-32.977899999999998</v>
      </c>
      <c r="E711">
        <v>151.71100000000001</v>
      </c>
      <c r="F711">
        <v>4</v>
      </c>
      <c r="G711" t="s">
        <v>307</v>
      </c>
      <c r="H711">
        <v>39</v>
      </c>
      <c r="I711">
        <v>219</v>
      </c>
      <c r="J711">
        <v>130</v>
      </c>
      <c r="K711">
        <v>310</v>
      </c>
      <c r="L711">
        <v>220</v>
      </c>
      <c r="M711">
        <v>40</v>
      </c>
      <c r="N711">
        <v>323</v>
      </c>
      <c r="O711">
        <v>143</v>
      </c>
      <c r="T711">
        <v>30</v>
      </c>
      <c r="U711">
        <v>134</v>
      </c>
      <c r="V711">
        <v>24</v>
      </c>
      <c r="Y711">
        <v>26</v>
      </c>
      <c r="Z711">
        <v>25</v>
      </c>
      <c r="AA711">
        <v>23</v>
      </c>
      <c r="AD711">
        <v>158</v>
      </c>
      <c r="AE711">
        <v>8</v>
      </c>
      <c r="AF711">
        <v>17</v>
      </c>
      <c r="AI711">
        <v>11</v>
      </c>
      <c r="AJ711">
        <v>9</v>
      </c>
      <c r="AK711">
        <v>24</v>
      </c>
      <c r="AX711">
        <v>188</v>
      </c>
      <c r="AY711">
        <v>195</v>
      </c>
      <c r="AZ711">
        <v>383</v>
      </c>
      <c r="BA711">
        <v>74</v>
      </c>
      <c r="BB711">
        <v>47</v>
      </c>
      <c r="BC711">
        <v>121</v>
      </c>
      <c r="BD711">
        <v>183</v>
      </c>
      <c r="BE711">
        <v>183</v>
      </c>
      <c r="BF711">
        <v>366</v>
      </c>
      <c r="BG711">
        <v>44</v>
      </c>
      <c r="BH711">
        <v>64</v>
      </c>
      <c r="BI711">
        <v>108</v>
      </c>
      <c r="BP711">
        <v>382</v>
      </c>
      <c r="BR711">
        <v>50</v>
      </c>
      <c r="BS711">
        <v>20</v>
      </c>
      <c r="BT711">
        <v>19</v>
      </c>
      <c r="BV711">
        <v>18</v>
      </c>
      <c r="BW711">
        <v>489</v>
      </c>
      <c r="BX711">
        <f>IF(C711=C710,IF((CI711-1)=CI710,BW710,"no data"))</f>
        <v>650</v>
      </c>
      <c r="BY711" s="5">
        <f t="shared" si="79"/>
        <v>-0.24769230769230768</v>
      </c>
      <c r="BZ711" s="6">
        <f t="shared" si="78"/>
        <v>-0.24769230769230768</v>
      </c>
      <c r="CA711" s="7">
        <v>42316</v>
      </c>
      <c r="CE711">
        <v>183</v>
      </c>
      <c r="CF711">
        <v>127</v>
      </c>
      <c r="CG711">
        <v>98</v>
      </c>
      <c r="CH711">
        <v>81</v>
      </c>
      <c r="CI711">
        <f t="shared" si="82"/>
        <v>2015</v>
      </c>
      <c r="CJ711" t="str">
        <f t="shared" si="83"/>
        <v>5847_2015</v>
      </c>
    </row>
    <row r="712" spans="1:88" x14ac:dyDescent="0.25">
      <c r="A712" t="s">
        <v>79</v>
      </c>
      <c r="B712" t="s">
        <v>305</v>
      </c>
      <c r="C712">
        <v>5847</v>
      </c>
      <c r="D712">
        <v>-32.977860999999997</v>
      </c>
      <c r="E712">
        <v>151.71097399999999</v>
      </c>
      <c r="F712">
        <v>4</v>
      </c>
      <c r="G712" t="s">
        <v>307</v>
      </c>
      <c r="H712">
        <v>39</v>
      </c>
      <c r="I712">
        <v>219</v>
      </c>
      <c r="J712">
        <v>130</v>
      </c>
      <c r="K712">
        <v>310</v>
      </c>
      <c r="L712">
        <v>220</v>
      </c>
      <c r="M712">
        <v>40</v>
      </c>
      <c r="N712">
        <v>323</v>
      </c>
      <c r="O712">
        <v>143</v>
      </c>
      <c r="T712">
        <v>50</v>
      </c>
      <c r="U712">
        <v>146</v>
      </c>
      <c r="V712">
        <v>22</v>
      </c>
      <c r="Y712">
        <v>42</v>
      </c>
      <c r="Z712">
        <v>18</v>
      </c>
      <c r="AA712">
        <v>3</v>
      </c>
      <c r="AD712">
        <v>151</v>
      </c>
      <c r="AE712">
        <v>22</v>
      </c>
      <c r="AF712">
        <v>13</v>
      </c>
      <c r="AI712">
        <v>22</v>
      </c>
      <c r="AJ712">
        <v>3</v>
      </c>
      <c r="AK712">
        <v>8</v>
      </c>
      <c r="AX712">
        <v>218</v>
      </c>
      <c r="AY712">
        <v>215</v>
      </c>
      <c r="AZ712">
        <v>433</v>
      </c>
      <c r="BA712">
        <v>63</v>
      </c>
      <c r="BB712">
        <v>75</v>
      </c>
      <c r="BC712">
        <v>138</v>
      </c>
      <c r="BD712">
        <v>186</v>
      </c>
      <c r="BE712">
        <v>172</v>
      </c>
      <c r="BF712">
        <v>358</v>
      </c>
      <c r="BG712">
        <v>33</v>
      </c>
      <c r="BH712">
        <v>38</v>
      </c>
      <c r="BI712">
        <v>71</v>
      </c>
      <c r="BP712">
        <v>380</v>
      </c>
      <c r="BR712">
        <v>64</v>
      </c>
      <c r="BS712">
        <v>27</v>
      </c>
      <c r="BT712">
        <v>7</v>
      </c>
      <c r="BV712">
        <v>22</v>
      </c>
      <c r="BW712">
        <v>500</v>
      </c>
      <c r="BX712">
        <f>IF(C712=C711,IF((CI712-1)=CI711,BW711,"no data"))</f>
        <v>489</v>
      </c>
      <c r="BY712" s="5">
        <f t="shared" si="79"/>
        <v>2.2494887525562373E-2</v>
      </c>
      <c r="BZ712" s="6">
        <f t="shared" ref="BZ712:BZ772" si="84">BY712</f>
        <v>2.2494887525562373E-2</v>
      </c>
      <c r="CA712" s="7">
        <v>42687</v>
      </c>
      <c r="CE712">
        <v>217</v>
      </c>
      <c r="CF712">
        <v>108</v>
      </c>
      <c r="CG712">
        <v>110</v>
      </c>
      <c r="CH712">
        <v>65</v>
      </c>
      <c r="CI712">
        <f t="shared" si="82"/>
        <v>2016</v>
      </c>
      <c r="CJ712" t="str">
        <f t="shared" si="83"/>
        <v>5847_2016</v>
      </c>
    </row>
    <row r="713" spans="1:88" x14ac:dyDescent="0.25">
      <c r="A713" t="s">
        <v>79</v>
      </c>
      <c r="B713" t="s">
        <v>305</v>
      </c>
      <c r="C713">
        <v>5847</v>
      </c>
      <c r="D713">
        <v>-32.977860999999997</v>
      </c>
      <c r="E713">
        <v>151.71097399999999</v>
      </c>
      <c r="F713">
        <v>4</v>
      </c>
      <c r="G713" t="s">
        <v>307</v>
      </c>
      <c r="H713">
        <v>39</v>
      </c>
      <c r="I713">
        <v>219</v>
      </c>
      <c r="J713">
        <v>130</v>
      </c>
      <c r="K713">
        <v>310</v>
      </c>
      <c r="L713">
        <v>220</v>
      </c>
      <c r="M713">
        <v>40</v>
      </c>
      <c r="N713">
        <v>323</v>
      </c>
      <c r="O713">
        <v>143</v>
      </c>
      <c r="T713">
        <v>78</v>
      </c>
      <c r="U713">
        <v>179</v>
      </c>
      <c r="V713">
        <v>20</v>
      </c>
      <c r="Y713">
        <v>83</v>
      </c>
      <c r="Z713">
        <v>28</v>
      </c>
      <c r="AA713">
        <v>5</v>
      </c>
      <c r="AD713">
        <v>181</v>
      </c>
      <c r="AE713">
        <v>30</v>
      </c>
      <c r="AF713">
        <v>11</v>
      </c>
      <c r="AI713">
        <v>22</v>
      </c>
      <c r="AJ713">
        <v>4</v>
      </c>
      <c r="AK713">
        <v>6</v>
      </c>
      <c r="AX713">
        <v>277</v>
      </c>
      <c r="AY713">
        <v>286</v>
      </c>
      <c r="AZ713">
        <v>563</v>
      </c>
      <c r="BA713">
        <v>116</v>
      </c>
      <c r="BB713">
        <v>112</v>
      </c>
      <c r="BC713">
        <v>228</v>
      </c>
      <c r="BD713">
        <v>222</v>
      </c>
      <c r="BE713">
        <v>213</v>
      </c>
      <c r="BF713">
        <v>435</v>
      </c>
      <c r="BG713">
        <v>32</v>
      </c>
      <c r="BH713">
        <v>36</v>
      </c>
      <c r="BI713">
        <v>68</v>
      </c>
      <c r="BP713">
        <v>440</v>
      </c>
      <c r="BR713">
        <v>132</v>
      </c>
      <c r="BS713">
        <v>29</v>
      </c>
      <c r="BT713">
        <v>28</v>
      </c>
      <c r="BV713">
        <v>18</v>
      </c>
      <c r="BW713">
        <v>647</v>
      </c>
      <c r="BX713">
        <f>IF(C713=C712,IF((CI713-1)=CI712,BW712,"no data"))</f>
        <v>500</v>
      </c>
      <c r="BY713" s="5">
        <f t="shared" si="79"/>
        <v>0.29399999999999998</v>
      </c>
      <c r="BZ713" s="6">
        <f t="shared" si="84"/>
        <v>0.29399999999999998</v>
      </c>
      <c r="CA713" s="7">
        <v>43051</v>
      </c>
      <c r="CE713">
        <v>215</v>
      </c>
      <c r="CF713">
        <v>191</v>
      </c>
      <c r="CG713">
        <v>143</v>
      </c>
      <c r="CH713">
        <v>98</v>
      </c>
      <c r="CI713">
        <f t="shared" si="82"/>
        <v>2017</v>
      </c>
      <c r="CJ713" t="str">
        <f t="shared" si="83"/>
        <v>5847_2017</v>
      </c>
    </row>
    <row r="714" spans="1:88" x14ac:dyDescent="0.25">
      <c r="A714" t="s">
        <v>79</v>
      </c>
      <c r="B714" t="s">
        <v>305</v>
      </c>
      <c r="C714">
        <v>5847</v>
      </c>
      <c r="D714">
        <v>-32.977860999999997</v>
      </c>
      <c r="E714">
        <v>151.71097399999999</v>
      </c>
      <c r="F714">
        <v>4</v>
      </c>
      <c r="G714" t="s">
        <v>307</v>
      </c>
      <c r="H714">
        <v>39</v>
      </c>
      <c r="I714">
        <v>219</v>
      </c>
      <c r="J714">
        <v>130</v>
      </c>
      <c r="K714">
        <v>310</v>
      </c>
      <c r="L714">
        <v>220</v>
      </c>
      <c r="M714">
        <v>40</v>
      </c>
      <c r="N714">
        <v>323</v>
      </c>
      <c r="O714">
        <v>143</v>
      </c>
      <c r="T714">
        <v>49</v>
      </c>
      <c r="U714">
        <v>184</v>
      </c>
      <c r="V714">
        <v>13</v>
      </c>
      <c r="Y714">
        <v>33</v>
      </c>
      <c r="Z714">
        <v>24</v>
      </c>
      <c r="AA714">
        <v>12</v>
      </c>
      <c r="AD714">
        <v>201</v>
      </c>
      <c r="AE714">
        <v>27</v>
      </c>
      <c r="AF714">
        <v>10</v>
      </c>
      <c r="AI714">
        <v>10</v>
      </c>
      <c r="AJ714">
        <v>12</v>
      </c>
      <c r="AK714">
        <v>8</v>
      </c>
      <c r="AX714">
        <v>246</v>
      </c>
      <c r="AY714">
        <v>244</v>
      </c>
      <c r="AZ714">
        <v>490</v>
      </c>
      <c r="BA714">
        <v>69</v>
      </c>
      <c r="BB714">
        <v>88</v>
      </c>
      <c r="BC714">
        <v>157</v>
      </c>
      <c r="BD714">
        <v>238</v>
      </c>
      <c r="BE714">
        <v>216</v>
      </c>
      <c r="BF714">
        <v>454</v>
      </c>
      <c r="BG714">
        <v>30</v>
      </c>
      <c r="BH714">
        <v>35</v>
      </c>
      <c r="BI714">
        <v>65</v>
      </c>
      <c r="BP714">
        <v>462</v>
      </c>
      <c r="BR714">
        <v>81</v>
      </c>
      <c r="BS714">
        <v>25</v>
      </c>
      <c r="BT714">
        <v>12</v>
      </c>
      <c r="BV714">
        <v>3</v>
      </c>
      <c r="BW714">
        <v>583</v>
      </c>
      <c r="BX714">
        <f>IF(C714=C713,IF((CI714-1)=CI713,BW713,"no data"))</f>
        <v>647</v>
      </c>
      <c r="BY714" s="5">
        <f t="shared" si="79"/>
        <v>-9.8918083462132919E-2</v>
      </c>
      <c r="BZ714" s="6">
        <f t="shared" si="84"/>
        <v>-9.8918083462132919E-2</v>
      </c>
      <c r="CA714" s="7">
        <v>43415</v>
      </c>
      <c r="CE714">
        <v>173</v>
      </c>
      <c r="CF714">
        <v>165</v>
      </c>
      <c r="CG714">
        <v>135</v>
      </c>
      <c r="CH714">
        <v>110</v>
      </c>
      <c r="CI714">
        <f t="shared" si="82"/>
        <v>2018</v>
      </c>
      <c r="CJ714" t="str">
        <f t="shared" si="83"/>
        <v>5847_2018</v>
      </c>
    </row>
    <row r="715" spans="1:88" x14ac:dyDescent="0.25">
      <c r="A715" t="s">
        <v>79</v>
      </c>
      <c r="B715" t="s">
        <v>305</v>
      </c>
      <c r="C715">
        <v>5849</v>
      </c>
      <c r="D715">
        <v>-32.966700000000003</v>
      </c>
      <c r="E715">
        <v>151.6525</v>
      </c>
      <c r="F715">
        <v>4</v>
      </c>
      <c r="G715" t="s">
        <v>308</v>
      </c>
      <c r="H715">
        <v>10</v>
      </c>
      <c r="I715">
        <v>190</v>
      </c>
      <c r="J715">
        <v>77</v>
      </c>
      <c r="K715">
        <v>257</v>
      </c>
      <c r="L715">
        <v>196</v>
      </c>
      <c r="M715">
        <v>16</v>
      </c>
      <c r="N715">
        <v>262</v>
      </c>
      <c r="O715">
        <v>82</v>
      </c>
      <c r="T715">
        <v>4</v>
      </c>
      <c r="U715">
        <v>10</v>
      </c>
      <c r="V715">
        <v>4</v>
      </c>
      <c r="Y715">
        <v>5</v>
      </c>
      <c r="Z715">
        <v>15</v>
      </c>
      <c r="AA715">
        <v>10</v>
      </c>
      <c r="AD715">
        <v>6</v>
      </c>
      <c r="AE715">
        <v>17</v>
      </c>
      <c r="AF715">
        <v>4</v>
      </c>
      <c r="AI715">
        <v>2</v>
      </c>
      <c r="AJ715">
        <v>9</v>
      </c>
      <c r="AK715">
        <v>2</v>
      </c>
      <c r="AX715">
        <v>18</v>
      </c>
      <c r="AY715">
        <v>13</v>
      </c>
      <c r="AZ715">
        <v>31</v>
      </c>
      <c r="BA715">
        <v>30</v>
      </c>
      <c r="BB715">
        <v>30</v>
      </c>
      <c r="BC715">
        <v>60</v>
      </c>
      <c r="BD715">
        <v>27</v>
      </c>
      <c r="BE715">
        <v>27</v>
      </c>
      <c r="BF715">
        <v>54</v>
      </c>
      <c r="BG715">
        <v>13</v>
      </c>
      <c r="BH715">
        <v>18</v>
      </c>
      <c r="BI715">
        <v>31</v>
      </c>
      <c r="BP715">
        <v>40</v>
      </c>
      <c r="BR715">
        <v>36</v>
      </c>
      <c r="BS715">
        <v>3</v>
      </c>
      <c r="BT715">
        <v>9</v>
      </c>
      <c r="BV715">
        <v>0</v>
      </c>
      <c r="BW715">
        <v>88</v>
      </c>
      <c r="BX715" t="s">
        <v>82</v>
      </c>
      <c r="BY715" s="5"/>
      <c r="BZ715" s="6"/>
      <c r="CA715" s="7">
        <v>41952</v>
      </c>
      <c r="CI715">
        <f t="shared" si="82"/>
        <v>2014</v>
      </c>
      <c r="CJ715" t="str">
        <f t="shared" si="83"/>
        <v>5849_2014</v>
      </c>
    </row>
    <row r="716" spans="1:88" x14ac:dyDescent="0.25">
      <c r="A716" t="s">
        <v>79</v>
      </c>
      <c r="B716" t="s">
        <v>305</v>
      </c>
      <c r="C716">
        <v>5849</v>
      </c>
      <c r="D716">
        <v>-32.966700000000003</v>
      </c>
      <c r="E716">
        <v>151.6525</v>
      </c>
      <c r="F716">
        <v>4</v>
      </c>
      <c r="G716" t="s">
        <v>308</v>
      </c>
      <c r="H716">
        <v>10</v>
      </c>
      <c r="I716">
        <v>190</v>
      </c>
      <c r="J716">
        <v>77</v>
      </c>
      <c r="K716">
        <v>257</v>
      </c>
      <c r="L716">
        <v>196</v>
      </c>
      <c r="M716">
        <v>16</v>
      </c>
      <c r="N716">
        <v>262</v>
      </c>
      <c r="O716">
        <v>82</v>
      </c>
      <c r="T716">
        <v>7</v>
      </c>
      <c r="U716">
        <v>2</v>
      </c>
      <c r="V716">
        <v>2</v>
      </c>
      <c r="Y716">
        <v>10</v>
      </c>
      <c r="Z716">
        <v>13</v>
      </c>
      <c r="AA716">
        <v>5</v>
      </c>
      <c r="AD716">
        <v>1</v>
      </c>
      <c r="AE716">
        <v>9</v>
      </c>
      <c r="AF716">
        <v>13</v>
      </c>
      <c r="AI716">
        <v>0</v>
      </c>
      <c r="AJ716">
        <v>2</v>
      </c>
      <c r="AK716">
        <v>11</v>
      </c>
      <c r="AX716">
        <v>11</v>
      </c>
      <c r="AY716">
        <v>11</v>
      </c>
      <c r="AZ716">
        <v>22</v>
      </c>
      <c r="BA716">
        <v>28</v>
      </c>
      <c r="BB716">
        <v>18</v>
      </c>
      <c r="BC716">
        <v>46</v>
      </c>
      <c r="BD716">
        <v>23</v>
      </c>
      <c r="BE716">
        <v>26</v>
      </c>
      <c r="BF716">
        <v>49</v>
      </c>
      <c r="BG716">
        <v>13</v>
      </c>
      <c r="BH716">
        <v>20</v>
      </c>
      <c r="BI716">
        <v>33</v>
      </c>
      <c r="BP716">
        <v>8</v>
      </c>
      <c r="BR716">
        <v>57</v>
      </c>
      <c r="BS716">
        <v>4</v>
      </c>
      <c r="BT716">
        <v>6</v>
      </c>
      <c r="BV716">
        <v>0</v>
      </c>
      <c r="BW716">
        <v>75</v>
      </c>
      <c r="BX716">
        <f>IF(C716=C715,IF((CI716-1)=CI715,BW715,"no data"))</f>
        <v>88</v>
      </c>
      <c r="BY716" s="5">
        <f t="shared" si="79"/>
        <v>-0.14772727272727273</v>
      </c>
      <c r="BZ716" s="6">
        <f t="shared" si="84"/>
        <v>-0.14772727272727273</v>
      </c>
      <c r="CA716" s="7">
        <v>42316</v>
      </c>
      <c r="CE716">
        <v>16</v>
      </c>
      <c r="CF716">
        <v>13</v>
      </c>
      <c r="CG716">
        <v>23</v>
      </c>
      <c r="CH716">
        <v>23</v>
      </c>
      <c r="CI716">
        <f t="shared" si="82"/>
        <v>2015</v>
      </c>
      <c r="CJ716" t="str">
        <f t="shared" si="83"/>
        <v>5849_2015</v>
      </c>
    </row>
    <row r="717" spans="1:88" x14ac:dyDescent="0.25">
      <c r="A717" t="s">
        <v>79</v>
      </c>
      <c r="B717" t="s">
        <v>305</v>
      </c>
      <c r="C717">
        <v>5849</v>
      </c>
      <c r="D717">
        <v>-32.966653000000001</v>
      </c>
      <c r="E717">
        <v>151.652469</v>
      </c>
      <c r="F717">
        <v>4</v>
      </c>
      <c r="G717" t="s">
        <v>308</v>
      </c>
      <c r="H717">
        <v>10</v>
      </c>
      <c r="I717">
        <v>190</v>
      </c>
      <c r="J717">
        <v>77</v>
      </c>
      <c r="K717">
        <v>257</v>
      </c>
      <c r="L717">
        <v>196</v>
      </c>
      <c r="M717">
        <v>16</v>
      </c>
      <c r="N717">
        <v>262</v>
      </c>
      <c r="O717">
        <v>82</v>
      </c>
      <c r="T717">
        <v>1</v>
      </c>
      <c r="U717">
        <v>3</v>
      </c>
      <c r="V717">
        <v>0</v>
      </c>
      <c r="Y717">
        <v>0</v>
      </c>
      <c r="Z717">
        <v>6</v>
      </c>
      <c r="AA717">
        <v>10</v>
      </c>
      <c r="AD717">
        <v>2</v>
      </c>
      <c r="AE717">
        <v>15</v>
      </c>
      <c r="AF717">
        <v>9</v>
      </c>
      <c r="AI717">
        <v>1</v>
      </c>
      <c r="AJ717">
        <v>16</v>
      </c>
      <c r="AK717">
        <v>5</v>
      </c>
      <c r="AX717">
        <v>4</v>
      </c>
      <c r="AY717">
        <v>3</v>
      </c>
      <c r="AZ717">
        <v>7</v>
      </c>
      <c r="BA717">
        <v>16</v>
      </c>
      <c r="BB717">
        <v>32</v>
      </c>
      <c r="BC717">
        <v>48</v>
      </c>
      <c r="BD717">
        <v>26</v>
      </c>
      <c r="BE717">
        <v>14</v>
      </c>
      <c r="BF717">
        <v>40</v>
      </c>
      <c r="BG717">
        <v>22</v>
      </c>
      <c r="BH717">
        <v>19</v>
      </c>
      <c r="BI717">
        <v>41</v>
      </c>
      <c r="BP717">
        <v>20</v>
      </c>
      <c r="BR717">
        <v>37</v>
      </c>
      <c r="BS717">
        <v>3</v>
      </c>
      <c r="BT717">
        <v>7</v>
      </c>
      <c r="BV717">
        <v>1</v>
      </c>
      <c r="BW717">
        <v>68</v>
      </c>
      <c r="BX717">
        <f>IF(C717=C716,IF((CI717-1)=CI716,BW716,"no data"))</f>
        <v>75</v>
      </c>
      <c r="BY717" s="5">
        <f t="shared" si="79"/>
        <v>-9.3333333333333338E-2</v>
      </c>
      <c r="BZ717" s="6">
        <f t="shared" si="84"/>
        <v>-9.3333333333333338E-2</v>
      </c>
      <c r="CA717" s="7">
        <v>42687</v>
      </c>
      <c r="CE717">
        <v>19</v>
      </c>
      <c r="CF717">
        <v>19</v>
      </c>
      <c r="CG717">
        <v>23</v>
      </c>
      <c r="CH717">
        <v>7</v>
      </c>
      <c r="CI717">
        <f t="shared" si="82"/>
        <v>2016</v>
      </c>
      <c r="CJ717" t="str">
        <f t="shared" si="83"/>
        <v>5849_2016</v>
      </c>
    </row>
    <row r="718" spans="1:88" x14ac:dyDescent="0.25">
      <c r="A718" t="s">
        <v>79</v>
      </c>
      <c r="B718" t="s">
        <v>305</v>
      </c>
      <c r="C718">
        <v>5849</v>
      </c>
      <c r="D718">
        <v>-32.966653000000001</v>
      </c>
      <c r="E718">
        <v>151.652469</v>
      </c>
      <c r="F718">
        <v>4</v>
      </c>
      <c r="G718" t="s">
        <v>308</v>
      </c>
      <c r="H718">
        <v>10</v>
      </c>
      <c r="I718">
        <v>190</v>
      </c>
      <c r="J718">
        <v>77</v>
      </c>
      <c r="K718">
        <v>257</v>
      </c>
      <c r="L718">
        <v>196</v>
      </c>
      <c r="M718">
        <v>16</v>
      </c>
      <c r="N718">
        <v>262</v>
      </c>
      <c r="O718">
        <v>82</v>
      </c>
      <c r="T718">
        <v>0</v>
      </c>
      <c r="U718">
        <v>0</v>
      </c>
      <c r="V718">
        <v>0</v>
      </c>
      <c r="Y718">
        <v>0</v>
      </c>
      <c r="Z718">
        <v>6</v>
      </c>
      <c r="AA718">
        <v>6</v>
      </c>
      <c r="AD718">
        <v>0</v>
      </c>
      <c r="AE718">
        <v>9</v>
      </c>
      <c r="AF718">
        <v>3</v>
      </c>
      <c r="AI718">
        <v>3</v>
      </c>
      <c r="AJ718">
        <v>3</v>
      </c>
      <c r="AK718">
        <v>2</v>
      </c>
      <c r="AX718">
        <v>0</v>
      </c>
      <c r="AY718">
        <v>3</v>
      </c>
      <c r="AZ718">
        <v>3</v>
      </c>
      <c r="BA718">
        <v>12</v>
      </c>
      <c r="BB718">
        <v>12</v>
      </c>
      <c r="BC718">
        <v>24</v>
      </c>
      <c r="BD718">
        <v>12</v>
      </c>
      <c r="BE718">
        <v>8</v>
      </c>
      <c r="BF718">
        <v>20</v>
      </c>
      <c r="BG718">
        <v>8</v>
      </c>
      <c r="BH718">
        <v>9</v>
      </c>
      <c r="BI718">
        <v>17</v>
      </c>
      <c r="BP718">
        <v>5</v>
      </c>
      <c r="BR718">
        <v>18</v>
      </c>
      <c r="BS718">
        <v>0</v>
      </c>
      <c r="BT718">
        <v>5</v>
      </c>
      <c r="BV718">
        <v>4</v>
      </c>
      <c r="BW718">
        <v>32</v>
      </c>
      <c r="BX718">
        <f>IF(C718=C717,IF((CI718-1)=CI717,BW717,"no data"))</f>
        <v>68</v>
      </c>
      <c r="BY718" s="5">
        <f t="shared" ref="BY718:BY781" si="85">(BW718-BX718)/BX718</f>
        <v>-0.52941176470588236</v>
      </c>
      <c r="BZ718" s="6">
        <f t="shared" si="84"/>
        <v>-0.52941176470588236</v>
      </c>
      <c r="CA718" s="7">
        <v>43051</v>
      </c>
      <c r="CE718">
        <v>14</v>
      </c>
      <c r="CF718">
        <v>8</v>
      </c>
      <c r="CG718">
        <v>6</v>
      </c>
      <c r="CH718">
        <v>4</v>
      </c>
      <c r="CI718">
        <f t="shared" si="82"/>
        <v>2017</v>
      </c>
      <c r="CJ718" t="str">
        <f t="shared" si="83"/>
        <v>5849_2017</v>
      </c>
    </row>
    <row r="719" spans="1:88" x14ac:dyDescent="0.25">
      <c r="A719" t="s">
        <v>79</v>
      </c>
      <c r="B719" t="s">
        <v>305</v>
      </c>
      <c r="C719">
        <v>5849</v>
      </c>
      <c r="D719">
        <v>-32.966653000000001</v>
      </c>
      <c r="E719">
        <v>151.652469</v>
      </c>
      <c r="F719">
        <v>4</v>
      </c>
      <c r="G719" t="s">
        <v>308</v>
      </c>
      <c r="H719">
        <v>10</v>
      </c>
      <c r="I719">
        <v>190</v>
      </c>
      <c r="J719">
        <v>77</v>
      </c>
      <c r="K719">
        <v>257</v>
      </c>
      <c r="L719">
        <v>196</v>
      </c>
      <c r="M719">
        <v>16</v>
      </c>
      <c r="N719">
        <v>262</v>
      </c>
      <c r="O719">
        <v>82</v>
      </c>
      <c r="T719">
        <v>5</v>
      </c>
      <c r="U719">
        <v>1</v>
      </c>
      <c r="V719">
        <v>1</v>
      </c>
      <c r="Y719">
        <v>0</v>
      </c>
      <c r="Z719">
        <v>18</v>
      </c>
      <c r="AA719">
        <v>10</v>
      </c>
      <c r="AD719">
        <v>0</v>
      </c>
      <c r="AE719">
        <v>21</v>
      </c>
      <c r="AF719">
        <v>7</v>
      </c>
      <c r="AI719">
        <v>4</v>
      </c>
      <c r="AJ719">
        <v>13</v>
      </c>
      <c r="AK719">
        <v>6</v>
      </c>
      <c r="AX719">
        <v>7</v>
      </c>
      <c r="AY719">
        <v>4</v>
      </c>
      <c r="AZ719">
        <v>11</v>
      </c>
      <c r="BA719">
        <v>28</v>
      </c>
      <c r="BB719">
        <v>39</v>
      </c>
      <c r="BC719">
        <v>67</v>
      </c>
      <c r="BD719">
        <v>28</v>
      </c>
      <c r="BE719">
        <v>25</v>
      </c>
      <c r="BF719">
        <v>53</v>
      </c>
      <c r="BG719">
        <v>23</v>
      </c>
      <c r="BH719">
        <v>18</v>
      </c>
      <c r="BI719">
        <v>41</v>
      </c>
      <c r="BP719">
        <v>38</v>
      </c>
      <c r="BR719">
        <v>43</v>
      </c>
      <c r="BS719">
        <v>0</v>
      </c>
      <c r="BT719">
        <v>0</v>
      </c>
      <c r="BV719">
        <v>5</v>
      </c>
      <c r="BW719">
        <v>86</v>
      </c>
      <c r="BX719">
        <f>IF(C719=C718,IF((CI719-1)=CI718,BW718,"no data"))</f>
        <v>32</v>
      </c>
      <c r="BY719" s="5">
        <f t="shared" si="85"/>
        <v>1.6875</v>
      </c>
      <c r="BZ719" s="6">
        <f t="shared" si="84"/>
        <v>1.6875</v>
      </c>
      <c r="CA719" s="7">
        <v>43415</v>
      </c>
      <c r="CE719">
        <v>13</v>
      </c>
      <c r="CF719">
        <v>10</v>
      </c>
      <c r="CG719">
        <v>32</v>
      </c>
      <c r="CH719">
        <v>31</v>
      </c>
      <c r="CI719">
        <f t="shared" si="82"/>
        <v>2018</v>
      </c>
      <c r="CJ719" t="str">
        <f t="shared" si="83"/>
        <v>5849_2018</v>
      </c>
    </row>
    <row r="720" spans="1:88" x14ac:dyDescent="0.25">
      <c r="A720" t="s">
        <v>79</v>
      </c>
      <c r="B720" t="s">
        <v>305</v>
      </c>
      <c r="C720">
        <v>5850</v>
      </c>
      <c r="D720">
        <v>-33.010199999999998</v>
      </c>
      <c r="E720">
        <v>151.59379999999999</v>
      </c>
      <c r="F720">
        <v>4</v>
      </c>
      <c r="G720" t="s">
        <v>309</v>
      </c>
      <c r="H720">
        <v>9</v>
      </c>
      <c r="I720">
        <v>189</v>
      </c>
      <c r="J720">
        <v>120</v>
      </c>
      <c r="K720">
        <v>300</v>
      </c>
      <c r="L720">
        <v>190</v>
      </c>
      <c r="M720">
        <v>10</v>
      </c>
      <c r="N720">
        <v>317</v>
      </c>
      <c r="O720">
        <v>137</v>
      </c>
      <c r="T720">
        <v>5</v>
      </c>
      <c r="U720">
        <v>12</v>
      </c>
      <c r="V720">
        <v>5</v>
      </c>
      <c r="Y720">
        <v>9</v>
      </c>
      <c r="Z720">
        <v>2</v>
      </c>
      <c r="AA720">
        <v>21</v>
      </c>
      <c r="AD720">
        <v>14</v>
      </c>
      <c r="AE720">
        <v>3</v>
      </c>
      <c r="AF720">
        <v>5</v>
      </c>
      <c r="AI720">
        <v>3</v>
      </c>
      <c r="AJ720">
        <v>20</v>
      </c>
      <c r="AK720">
        <v>0</v>
      </c>
      <c r="AX720">
        <v>22</v>
      </c>
      <c r="AY720">
        <v>26</v>
      </c>
      <c r="AZ720">
        <v>48</v>
      </c>
      <c r="BA720">
        <v>32</v>
      </c>
      <c r="BB720">
        <v>28</v>
      </c>
      <c r="BC720">
        <v>60</v>
      </c>
      <c r="BD720">
        <v>22</v>
      </c>
      <c r="BE720">
        <v>14</v>
      </c>
      <c r="BF720">
        <v>36</v>
      </c>
      <c r="BG720">
        <v>23</v>
      </c>
      <c r="BH720">
        <v>31</v>
      </c>
      <c r="BI720">
        <v>54</v>
      </c>
      <c r="BP720">
        <v>30</v>
      </c>
      <c r="BR720">
        <v>58</v>
      </c>
      <c r="BS720">
        <v>0</v>
      </c>
      <c r="BT720">
        <v>9</v>
      </c>
      <c r="BV720">
        <v>2</v>
      </c>
      <c r="BW720">
        <v>99</v>
      </c>
      <c r="BX720" t="s">
        <v>82</v>
      </c>
      <c r="BY720" s="5"/>
      <c r="BZ720" s="6"/>
      <c r="CA720" s="7">
        <v>41588</v>
      </c>
      <c r="CI720">
        <f t="shared" si="82"/>
        <v>2013</v>
      </c>
      <c r="CJ720" t="str">
        <f t="shared" si="83"/>
        <v>5850_2013</v>
      </c>
    </row>
    <row r="721" spans="1:88" x14ac:dyDescent="0.25">
      <c r="A721" t="s">
        <v>79</v>
      </c>
      <c r="B721" t="s">
        <v>305</v>
      </c>
      <c r="C721">
        <v>5850</v>
      </c>
      <c r="D721">
        <v>-33.010199999999998</v>
      </c>
      <c r="E721">
        <v>151.59379999999999</v>
      </c>
      <c r="F721">
        <v>4</v>
      </c>
      <c r="G721" t="s">
        <v>309</v>
      </c>
      <c r="H721">
        <v>9</v>
      </c>
      <c r="I721">
        <v>189</v>
      </c>
      <c r="J721">
        <v>120</v>
      </c>
      <c r="K721">
        <v>300</v>
      </c>
      <c r="L721">
        <v>190</v>
      </c>
      <c r="M721">
        <v>10</v>
      </c>
      <c r="N721">
        <v>317</v>
      </c>
      <c r="O721">
        <v>137</v>
      </c>
      <c r="T721">
        <v>10</v>
      </c>
      <c r="U721">
        <v>23</v>
      </c>
      <c r="V721">
        <v>4</v>
      </c>
      <c r="Y721">
        <v>7</v>
      </c>
      <c r="Z721">
        <v>2</v>
      </c>
      <c r="AA721">
        <v>26</v>
      </c>
      <c r="AD721">
        <v>11</v>
      </c>
      <c r="AE721">
        <v>3</v>
      </c>
      <c r="AF721">
        <v>4</v>
      </c>
      <c r="AI721">
        <v>6</v>
      </c>
      <c r="AJ721">
        <v>20</v>
      </c>
      <c r="AK721">
        <v>4</v>
      </c>
      <c r="AX721">
        <v>37</v>
      </c>
      <c r="AY721">
        <v>24</v>
      </c>
      <c r="AZ721">
        <v>61</v>
      </c>
      <c r="BA721">
        <v>35</v>
      </c>
      <c r="BB721">
        <v>33</v>
      </c>
      <c r="BC721">
        <v>68</v>
      </c>
      <c r="BD721">
        <v>18</v>
      </c>
      <c r="BE721">
        <v>29</v>
      </c>
      <c r="BF721">
        <v>47</v>
      </c>
      <c r="BG721">
        <v>30</v>
      </c>
      <c r="BH721">
        <v>34</v>
      </c>
      <c r="BI721">
        <v>64</v>
      </c>
      <c r="BP721">
        <v>56</v>
      </c>
      <c r="BR721">
        <v>49</v>
      </c>
      <c r="BS721">
        <v>1</v>
      </c>
      <c r="BT721">
        <v>10</v>
      </c>
      <c r="BV721">
        <v>4</v>
      </c>
      <c r="BW721">
        <v>120</v>
      </c>
      <c r="BX721">
        <f>IF(C721=C720,IF((CI721-1)=CI720,BW720,"no data"))</f>
        <v>99</v>
      </c>
      <c r="BY721" s="5">
        <f t="shared" si="85"/>
        <v>0.21212121212121213</v>
      </c>
      <c r="BZ721" s="6">
        <f t="shared" si="84"/>
        <v>0.21212121212121213</v>
      </c>
      <c r="CA721" s="7">
        <v>41952</v>
      </c>
      <c r="CI721">
        <f t="shared" si="82"/>
        <v>2014</v>
      </c>
      <c r="CJ721" t="str">
        <f t="shared" si="83"/>
        <v>5850_2014</v>
      </c>
    </row>
    <row r="722" spans="1:88" x14ac:dyDescent="0.25">
      <c r="A722" t="s">
        <v>79</v>
      </c>
      <c r="B722" t="s">
        <v>305</v>
      </c>
      <c r="C722">
        <v>5850</v>
      </c>
      <c r="D722">
        <v>-33.010199999999998</v>
      </c>
      <c r="E722">
        <v>151.59379999999999</v>
      </c>
      <c r="F722">
        <v>4</v>
      </c>
      <c r="G722" t="s">
        <v>309</v>
      </c>
      <c r="H722">
        <v>9</v>
      </c>
      <c r="I722">
        <v>189</v>
      </c>
      <c r="J722">
        <v>120</v>
      </c>
      <c r="K722">
        <v>300</v>
      </c>
      <c r="L722">
        <v>190</v>
      </c>
      <c r="M722">
        <v>10</v>
      </c>
      <c r="N722">
        <v>317</v>
      </c>
      <c r="O722">
        <v>137</v>
      </c>
      <c r="T722">
        <v>14</v>
      </c>
      <c r="U722">
        <v>11</v>
      </c>
      <c r="V722">
        <v>6</v>
      </c>
      <c r="Y722">
        <v>6</v>
      </c>
      <c r="Z722">
        <v>2</v>
      </c>
      <c r="AA722">
        <v>23</v>
      </c>
      <c r="AD722">
        <v>2</v>
      </c>
      <c r="AE722">
        <v>5</v>
      </c>
      <c r="AF722">
        <v>0</v>
      </c>
      <c r="AI722">
        <v>10</v>
      </c>
      <c r="AJ722">
        <v>31</v>
      </c>
      <c r="AK722">
        <v>5</v>
      </c>
      <c r="AX722">
        <v>31</v>
      </c>
      <c r="AY722">
        <v>18</v>
      </c>
      <c r="AZ722">
        <v>49</v>
      </c>
      <c r="BA722">
        <v>31</v>
      </c>
      <c r="BB722">
        <v>50</v>
      </c>
      <c r="BC722">
        <v>81</v>
      </c>
      <c r="BD722">
        <v>7</v>
      </c>
      <c r="BE722">
        <v>18</v>
      </c>
      <c r="BF722">
        <v>25</v>
      </c>
      <c r="BG722">
        <v>46</v>
      </c>
      <c r="BH722">
        <v>29</v>
      </c>
      <c r="BI722">
        <v>75</v>
      </c>
      <c r="BP722">
        <v>28</v>
      </c>
      <c r="BR722">
        <v>68</v>
      </c>
      <c r="BS722">
        <v>0</v>
      </c>
      <c r="BT722">
        <v>15</v>
      </c>
      <c r="BV722">
        <v>4</v>
      </c>
      <c r="BW722">
        <v>115</v>
      </c>
      <c r="BX722">
        <f>IF(C722=C721,IF((CI722-1)=CI721,BW721,"no data"))</f>
        <v>120</v>
      </c>
      <c r="BY722" s="5">
        <f t="shared" si="85"/>
        <v>-4.1666666666666664E-2</v>
      </c>
      <c r="BZ722" s="6">
        <f t="shared" si="84"/>
        <v>-4.1666666666666664E-2</v>
      </c>
      <c r="CA722" s="7">
        <v>42316</v>
      </c>
      <c r="CE722">
        <v>18</v>
      </c>
      <c r="CF722">
        <v>17</v>
      </c>
      <c r="CG722">
        <v>40</v>
      </c>
      <c r="CH722">
        <v>40</v>
      </c>
      <c r="CI722">
        <f t="shared" si="82"/>
        <v>2015</v>
      </c>
      <c r="CJ722" t="str">
        <f t="shared" si="83"/>
        <v>5850_2015</v>
      </c>
    </row>
    <row r="723" spans="1:88" x14ac:dyDescent="0.25">
      <c r="A723" t="s">
        <v>79</v>
      </c>
      <c r="B723" t="s">
        <v>305</v>
      </c>
      <c r="C723">
        <v>5850</v>
      </c>
      <c r="D723">
        <v>-33.01023</v>
      </c>
      <c r="E723">
        <v>151.59380200000001</v>
      </c>
      <c r="F723">
        <v>4</v>
      </c>
      <c r="G723" t="s">
        <v>309</v>
      </c>
      <c r="H723">
        <v>9</v>
      </c>
      <c r="I723">
        <v>189</v>
      </c>
      <c r="J723">
        <v>120</v>
      </c>
      <c r="K723">
        <v>300</v>
      </c>
      <c r="L723">
        <v>190</v>
      </c>
      <c r="M723">
        <v>10</v>
      </c>
      <c r="N723">
        <v>317</v>
      </c>
      <c r="O723">
        <v>137</v>
      </c>
      <c r="T723">
        <v>6</v>
      </c>
      <c r="U723">
        <v>4</v>
      </c>
      <c r="V723">
        <v>1</v>
      </c>
      <c r="Y723">
        <v>7</v>
      </c>
      <c r="Z723">
        <v>1</v>
      </c>
      <c r="AA723">
        <v>20</v>
      </c>
      <c r="AD723">
        <v>10</v>
      </c>
      <c r="AE723">
        <v>1</v>
      </c>
      <c r="AF723">
        <v>0</v>
      </c>
      <c r="AI723">
        <v>9</v>
      </c>
      <c r="AJ723">
        <v>33</v>
      </c>
      <c r="AK723">
        <v>2</v>
      </c>
      <c r="AX723">
        <v>11</v>
      </c>
      <c r="AY723">
        <v>26</v>
      </c>
      <c r="AZ723">
        <v>37</v>
      </c>
      <c r="BA723">
        <v>28</v>
      </c>
      <c r="BB723">
        <v>40</v>
      </c>
      <c r="BC723">
        <v>68</v>
      </c>
      <c r="BD723">
        <v>11</v>
      </c>
      <c r="BE723">
        <v>7</v>
      </c>
      <c r="BF723">
        <v>18</v>
      </c>
      <c r="BG723">
        <v>44</v>
      </c>
      <c r="BH723">
        <v>21</v>
      </c>
      <c r="BI723">
        <v>65</v>
      </c>
      <c r="BP723">
        <v>36</v>
      </c>
      <c r="BR723">
        <v>48</v>
      </c>
      <c r="BS723">
        <v>0</v>
      </c>
      <c r="BT723">
        <v>6</v>
      </c>
      <c r="BV723">
        <v>4</v>
      </c>
      <c r="BW723">
        <v>94</v>
      </c>
      <c r="BX723">
        <f>IF(C723=C722,IF((CI723-1)=CI722,BW722,"no data"))</f>
        <v>115</v>
      </c>
      <c r="BY723" s="5">
        <f t="shared" si="85"/>
        <v>-0.18260869565217391</v>
      </c>
      <c r="BZ723" s="6">
        <f t="shared" si="84"/>
        <v>-0.18260869565217391</v>
      </c>
      <c r="CA723" s="7">
        <v>42715</v>
      </c>
      <c r="CE723">
        <v>39</v>
      </c>
      <c r="CF723">
        <v>32</v>
      </c>
      <c r="CG723">
        <v>14</v>
      </c>
      <c r="CH723">
        <v>9</v>
      </c>
      <c r="CI723">
        <f t="shared" si="82"/>
        <v>2016</v>
      </c>
      <c r="CJ723" t="str">
        <f t="shared" si="83"/>
        <v>5850_2016</v>
      </c>
    </row>
    <row r="724" spans="1:88" x14ac:dyDescent="0.25">
      <c r="A724" t="s">
        <v>79</v>
      </c>
      <c r="B724" t="s">
        <v>305</v>
      </c>
      <c r="C724">
        <v>5850</v>
      </c>
      <c r="D724">
        <v>-33.01023</v>
      </c>
      <c r="E724">
        <v>151.59380200000001</v>
      </c>
      <c r="F724">
        <v>4</v>
      </c>
      <c r="G724" t="s">
        <v>309</v>
      </c>
      <c r="H724">
        <v>9</v>
      </c>
      <c r="I724">
        <v>189</v>
      </c>
      <c r="J724">
        <v>120</v>
      </c>
      <c r="K724">
        <v>300</v>
      </c>
      <c r="L724">
        <v>190</v>
      </c>
      <c r="M724">
        <v>10</v>
      </c>
      <c r="N724">
        <v>317</v>
      </c>
      <c r="O724">
        <v>137</v>
      </c>
      <c r="T724">
        <v>2</v>
      </c>
      <c r="U724">
        <v>11</v>
      </c>
      <c r="V724">
        <v>2</v>
      </c>
      <c r="Y724">
        <v>5</v>
      </c>
      <c r="Z724">
        <v>1</v>
      </c>
      <c r="AA724">
        <v>15</v>
      </c>
      <c r="AD724">
        <v>3</v>
      </c>
      <c r="AE724">
        <v>3</v>
      </c>
      <c r="AF724">
        <v>2</v>
      </c>
      <c r="AI724">
        <v>8</v>
      </c>
      <c r="AJ724">
        <v>24</v>
      </c>
      <c r="AK724">
        <v>2</v>
      </c>
      <c r="AX724">
        <v>15</v>
      </c>
      <c r="AY724">
        <v>16</v>
      </c>
      <c r="AZ724">
        <v>31</v>
      </c>
      <c r="BA724">
        <v>21</v>
      </c>
      <c r="BB724">
        <v>29</v>
      </c>
      <c r="BC724">
        <v>50</v>
      </c>
      <c r="BD724">
        <v>8</v>
      </c>
      <c r="BE724">
        <v>14</v>
      </c>
      <c r="BF724">
        <v>22</v>
      </c>
      <c r="BG724">
        <v>34</v>
      </c>
      <c r="BH724">
        <v>19</v>
      </c>
      <c r="BI724">
        <v>53</v>
      </c>
      <c r="BP724">
        <v>44</v>
      </c>
      <c r="BR724">
        <v>29</v>
      </c>
      <c r="BS724">
        <v>0</v>
      </c>
      <c r="BT724">
        <v>1</v>
      </c>
      <c r="BV724">
        <v>4</v>
      </c>
      <c r="BW724">
        <v>78</v>
      </c>
      <c r="BX724">
        <f>IF(C724=C723,IF((CI724-1)=CI723,BW723,"no data"))</f>
        <v>94</v>
      </c>
      <c r="BY724" s="5">
        <f t="shared" si="85"/>
        <v>-0.1702127659574468</v>
      </c>
      <c r="BZ724" s="6">
        <f t="shared" si="84"/>
        <v>-0.1702127659574468</v>
      </c>
      <c r="CA724" s="7">
        <v>43051</v>
      </c>
      <c r="CE724">
        <v>19</v>
      </c>
      <c r="CF724">
        <v>18</v>
      </c>
      <c r="CG724">
        <v>21</v>
      </c>
      <c r="CH724">
        <v>20</v>
      </c>
      <c r="CI724">
        <f t="shared" si="82"/>
        <v>2017</v>
      </c>
      <c r="CJ724" t="str">
        <f t="shared" si="83"/>
        <v>5850_2017</v>
      </c>
    </row>
    <row r="725" spans="1:88" x14ac:dyDescent="0.25">
      <c r="A725" t="s">
        <v>79</v>
      </c>
      <c r="B725" t="s">
        <v>305</v>
      </c>
      <c r="C725">
        <v>5850</v>
      </c>
      <c r="D725">
        <v>-33.01023</v>
      </c>
      <c r="E725">
        <v>151.59380200000001</v>
      </c>
      <c r="F725">
        <v>4</v>
      </c>
      <c r="G725" t="s">
        <v>309</v>
      </c>
      <c r="H725">
        <v>9</v>
      </c>
      <c r="I725">
        <v>189</v>
      </c>
      <c r="J725">
        <v>120</v>
      </c>
      <c r="K725">
        <v>300</v>
      </c>
      <c r="L725">
        <v>190</v>
      </c>
      <c r="M725">
        <v>10</v>
      </c>
      <c r="N725">
        <v>317</v>
      </c>
      <c r="O725">
        <v>137</v>
      </c>
      <c r="T725">
        <v>9</v>
      </c>
      <c r="U725">
        <v>10</v>
      </c>
      <c r="V725">
        <v>4</v>
      </c>
      <c r="Y725">
        <v>6</v>
      </c>
      <c r="Z725">
        <v>2</v>
      </c>
      <c r="AA725">
        <v>34</v>
      </c>
      <c r="AD725">
        <v>7</v>
      </c>
      <c r="AE725">
        <v>3</v>
      </c>
      <c r="AF725">
        <v>13</v>
      </c>
      <c r="AI725">
        <v>8</v>
      </c>
      <c r="AJ725">
        <v>37</v>
      </c>
      <c r="AK725">
        <v>11</v>
      </c>
      <c r="AX725">
        <v>23</v>
      </c>
      <c r="AY725">
        <v>21</v>
      </c>
      <c r="AZ725">
        <v>44</v>
      </c>
      <c r="BA725">
        <v>42</v>
      </c>
      <c r="BB725">
        <v>49</v>
      </c>
      <c r="BC725">
        <v>91</v>
      </c>
      <c r="BD725">
        <v>23</v>
      </c>
      <c r="BE725">
        <v>23</v>
      </c>
      <c r="BF725">
        <v>46</v>
      </c>
      <c r="BG725">
        <v>56</v>
      </c>
      <c r="BH725">
        <v>51</v>
      </c>
      <c r="BI725">
        <v>107</v>
      </c>
      <c r="BP725">
        <v>38</v>
      </c>
      <c r="BR725">
        <v>76</v>
      </c>
      <c r="BS725">
        <v>1</v>
      </c>
      <c r="BT725">
        <v>15</v>
      </c>
      <c r="BV725">
        <v>14</v>
      </c>
      <c r="BW725">
        <v>144</v>
      </c>
      <c r="BX725">
        <f>IF(C725=C724,IF((CI725-1)=CI724,BW724,"no data"))</f>
        <v>78</v>
      </c>
      <c r="BY725" s="5">
        <f t="shared" si="85"/>
        <v>0.84615384615384615</v>
      </c>
      <c r="BZ725" s="6">
        <f t="shared" si="84"/>
        <v>0.84615384615384615</v>
      </c>
      <c r="CA725" s="7">
        <v>43415</v>
      </c>
      <c r="CE725">
        <v>44</v>
      </c>
      <c r="CF725">
        <v>52</v>
      </c>
      <c r="CG725">
        <v>26</v>
      </c>
      <c r="CH725">
        <v>22</v>
      </c>
      <c r="CI725">
        <f t="shared" si="82"/>
        <v>2018</v>
      </c>
      <c r="CJ725" t="str">
        <f t="shared" si="83"/>
        <v>5850_2018</v>
      </c>
    </row>
    <row r="726" spans="1:88" x14ac:dyDescent="0.25">
      <c r="A726" t="s">
        <v>79</v>
      </c>
      <c r="B726" t="s">
        <v>305</v>
      </c>
      <c r="C726">
        <v>5851</v>
      </c>
      <c r="D726">
        <v>-33.008299999999998</v>
      </c>
      <c r="E726">
        <v>151.6431</v>
      </c>
      <c r="F726">
        <v>4</v>
      </c>
      <c r="G726" t="s">
        <v>310</v>
      </c>
      <c r="H726">
        <v>1</v>
      </c>
      <c r="I726">
        <v>181</v>
      </c>
      <c r="J726">
        <v>90</v>
      </c>
      <c r="K726">
        <v>270</v>
      </c>
      <c r="L726">
        <v>159</v>
      </c>
      <c r="M726">
        <v>339</v>
      </c>
      <c r="N726">
        <v>278</v>
      </c>
      <c r="O726">
        <v>98</v>
      </c>
      <c r="T726">
        <v>19</v>
      </c>
      <c r="U726">
        <v>28</v>
      </c>
      <c r="V726">
        <v>40</v>
      </c>
      <c r="Y726">
        <v>14</v>
      </c>
      <c r="Z726">
        <v>6</v>
      </c>
      <c r="AA726">
        <v>8</v>
      </c>
      <c r="AD726">
        <v>40</v>
      </c>
      <c r="AE726">
        <v>16</v>
      </c>
      <c r="AF726">
        <v>8</v>
      </c>
      <c r="AI726">
        <v>35</v>
      </c>
      <c r="AJ726">
        <v>4</v>
      </c>
      <c r="AK726">
        <v>3</v>
      </c>
      <c r="AX726">
        <v>87</v>
      </c>
      <c r="AY726">
        <v>89</v>
      </c>
      <c r="AZ726">
        <v>176</v>
      </c>
      <c r="BA726">
        <v>28</v>
      </c>
      <c r="BB726">
        <v>39</v>
      </c>
      <c r="BC726">
        <v>67</v>
      </c>
      <c r="BD726">
        <v>64</v>
      </c>
      <c r="BE726">
        <v>37</v>
      </c>
      <c r="BF726">
        <v>101</v>
      </c>
      <c r="BG726">
        <v>42</v>
      </c>
      <c r="BH726">
        <v>56</v>
      </c>
      <c r="BI726">
        <v>98</v>
      </c>
      <c r="BP726">
        <v>97</v>
      </c>
      <c r="BR726">
        <v>81</v>
      </c>
      <c r="BS726">
        <v>5</v>
      </c>
      <c r="BT726">
        <v>12</v>
      </c>
      <c r="BV726">
        <v>26</v>
      </c>
      <c r="BW726">
        <v>221</v>
      </c>
      <c r="BX726" t="s">
        <v>82</v>
      </c>
      <c r="BY726" s="5"/>
      <c r="BZ726" s="6"/>
      <c r="CA726" s="7">
        <v>41952</v>
      </c>
      <c r="CI726">
        <f t="shared" si="82"/>
        <v>2014</v>
      </c>
      <c r="CJ726" t="str">
        <f t="shared" si="83"/>
        <v>5851_2014</v>
      </c>
    </row>
    <row r="727" spans="1:88" x14ac:dyDescent="0.25">
      <c r="A727" t="s">
        <v>79</v>
      </c>
      <c r="B727" t="s">
        <v>305</v>
      </c>
      <c r="C727">
        <v>5851</v>
      </c>
      <c r="D727">
        <v>-33.008299999999998</v>
      </c>
      <c r="E727">
        <v>151.6431</v>
      </c>
      <c r="F727">
        <v>4</v>
      </c>
      <c r="G727" t="s">
        <v>310</v>
      </c>
      <c r="H727">
        <v>1</v>
      </c>
      <c r="I727">
        <v>181</v>
      </c>
      <c r="J727">
        <v>90</v>
      </c>
      <c r="K727">
        <v>270</v>
      </c>
      <c r="L727">
        <v>159</v>
      </c>
      <c r="M727">
        <v>339</v>
      </c>
      <c r="N727">
        <v>278</v>
      </c>
      <c r="O727">
        <v>98</v>
      </c>
      <c r="T727">
        <v>10</v>
      </c>
      <c r="U727">
        <v>22</v>
      </c>
      <c r="V727">
        <v>21</v>
      </c>
      <c r="Y727">
        <v>11</v>
      </c>
      <c r="Z727">
        <v>4</v>
      </c>
      <c r="AA727">
        <v>6</v>
      </c>
      <c r="AD727">
        <v>44</v>
      </c>
      <c r="AE727">
        <v>1</v>
      </c>
      <c r="AF727">
        <v>5</v>
      </c>
      <c r="AI727">
        <v>15</v>
      </c>
      <c r="AJ727">
        <v>3</v>
      </c>
      <c r="AK727">
        <v>3</v>
      </c>
      <c r="AX727">
        <v>53</v>
      </c>
      <c r="AY727">
        <v>70</v>
      </c>
      <c r="AZ727">
        <v>123</v>
      </c>
      <c r="BA727">
        <v>21</v>
      </c>
      <c r="BB727">
        <v>14</v>
      </c>
      <c r="BC727">
        <v>35</v>
      </c>
      <c r="BD727">
        <v>50</v>
      </c>
      <c r="BE727">
        <v>29</v>
      </c>
      <c r="BF727">
        <v>79</v>
      </c>
      <c r="BG727">
        <v>21</v>
      </c>
      <c r="BH727">
        <v>32</v>
      </c>
      <c r="BI727">
        <v>53</v>
      </c>
      <c r="BP727">
        <v>66</v>
      </c>
      <c r="BR727">
        <v>55</v>
      </c>
      <c r="BS727">
        <v>6</v>
      </c>
      <c r="BT727">
        <v>11</v>
      </c>
      <c r="BV727">
        <v>7</v>
      </c>
      <c r="BW727">
        <v>145</v>
      </c>
      <c r="BX727">
        <f>IF(C727=C726,IF((CI727-1)=CI726,BW726,"no data"))</f>
        <v>221</v>
      </c>
      <c r="BY727" s="5">
        <f t="shared" si="85"/>
        <v>-0.34389140271493213</v>
      </c>
      <c r="BZ727" s="6">
        <f t="shared" si="84"/>
        <v>-0.34389140271493213</v>
      </c>
      <c r="CA727" s="7">
        <v>42316</v>
      </c>
      <c r="CE727">
        <v>70</v>
      </c>
      <c r="CF727">
        <v>42</v>
      </c>
      <c r="CG727">
        <v>22</v>
      </c>
      <c r="CH727">
        <v>11</v>
      </c>
      <c r="CI727">
        <f t="shared" si="82"/>
        <v>2015</v>
      </c>
      <c r="CJ727" t="str">
        <f t="shared" si="83"/>
        <v>5851_2015</v>
      </c>
    </row>
    <row r="728" spans="1:88" x14ac:dyDescent="0.25">
      <c r="A728" t="s">
        <v>79</v>
      </c>
      <c r="B728" t="s">
        <v>305</v>
      </c>
      <c r="C728">
        <v>5851</v>
      </c>
      <c r="D728">
        <v>-33.008324999999999</v>
      </c>
      <c r="E728">
        <v>151.64307099999999</v>
      </c>
      <c r="F728">
        <v>4</v>
      </c>
      <c r="G728" t="s">
        <v>310</v>
      </c>
      <c r="H728">
        <v>1</v>
      </c>
      <c r="I728">
        <v>181</v>
      </c>
      <c r="J728">
        <v>90</v>
      </c>
      <c r="K728">
        <v>270</v>
      </c>
      <c r="L728">
        <v>159</v>
      </c>
      <c r="M728">
        <v>339</v>
      </c>
      <c r="N728">
        <v>278</v>
      </c>
      <c r="O728">
        <v>98</v>
      </c>
      <c r="T728">
        <v>2</v>
      </c>
      <c r="U728">
        <v>7</v>
      </c>
      <c r="V728">
        <v>14</v>
      </c>
      <c r="Y728">
        <v>3</v>
      </c>
      <c r="Z728">
        <v>1</v>
      </c>
      <c r="AA728">
        <v>0</v>
      </c>
      <c r="AD728">
        <v>16</v>
      </c>
      <c r="AE728">
        <v>1</v>
      </c>
      <c r="AF728">
        <v>0</v>
      </c>
      <c r="AI728">
        <v>17</v>
      </c>
      <c r="AJ728">
        <v>9</v>
      </c>
      <c r="AK728">
        <v>3</v>
      </c>
      <c r="AX728">
        <v>23</v>
      </c>
      <c r="AY728">
        <v>36</v>
      </c>
      <c r="AZ728">
        <v>59</v>
      </c>
      <c r="BA728">
        <v>4</v>
      </c>
      <c r="BB728">
        <v>12</v>
      </c>
      <c r="BC728">
        <v>16</v>
      </c>
      <c r="BD728">
        <v>17</v>
      </c>
      <c r="BE728">
        <v>11</v>
      </c>
      <c r="BF728">
        <v>28</v>
      </c>
      <c r="BG728">
        <v>29</v>
      </c>
      <c r="BH728">
        <v>14</v>
      </c>
      <c r="BI728">
        <v>43</v>
      </c>
      <c r="BP728">
        <v>47</v>
      </c>
      <c r="BR728">
        <v>19</v>
      </c>
      <c r="BS728">
        <v>1</v>
      </c>
      <c r="BT728">
        <v>1</v>
      </c>
      <c r="BV728">
        <v>5</v>
      </c>
      <c r="BW728">
        <v>73</v>
      </c>
      <c r="BX728">
        <f>IF(C728=C727,IF((CI728-1)=CI727,BW727,"no data"))</f>
        <v>145</v>
      </c>
      <c r="BY728" s="5">
        <f t="shared" si="85"/>
        <v>-0.49655172413793103</v>
      </c>
      <c r="BZ728" s="6">
        <f t="shared" si="84"/>
        <v>-0.49655172413793103</v>
      </c>
      <c r="CA728" s="7">
        <v>42715</v>
      </c>
      <c r="CE728">
        <v>0</v>
      </c>
      <c r="CF728">
        <v>32</v>
      </c>
      <c r="CG728">
        <v>20</v>
      </c>
      <c r="CH728">
        <v>21</v>
      </c>
      <c r="CI728">
        <f t="shared" si="82"/>
        <v>2016</v>
      </c>
      <c r="CJ728" t="str">
        <f t="shared" si="83"/>
        <v>5851_2016</v>
      </c>
    </row>
    <row r="729" spans="1:88" x14ac:dyDescent="0.25">
      <c r="A729" t="s">
        <v>79</v>
      </c>
      <c r="B729" t="s">
        <v>305</v>
      </c>
      <c r="C729">
        <v>5851</v>
      </c>
      <c r="D729">
        <v>-33.008324999999999</v>
      </c>
      <c r="E729">
        <v>151.64307099999999</v>
      </c>
      <c r="F729">
        <v>4</v>
      </c>
      <c r="G729" t="s">
        <v>310</v>
      </c>
      <c r="H729">
        <v>1</v>
      </c>
      <c r="I729">
        <v>181</v>
      </c>
      <c r="J729">
        <v>90</v>
      </c>
      <c r="K729">
        <v>270</v>
      </c>
      <c r="L729">
        <v>159</v>
      </c>
      <c r="M729">
        <v>339</v>
      </c>
      <c r="N729">
        <v>278</v>
      </c>
      <c r="O729">
        <v>98</v>
      </c>
      <c r="T729">
        <v>11</v>
      </c>
      <c r="U729">
        <v>19</v>
      </c>
      <c r="V729">
        <v>29</v>
      </c>
      <c r="Y729">
        <v>13</v>
      </c>
      <c r="Z729">
        <v>1</v>
      </c>
      <c r="AA729">
        <v>9</v>
      </c>
      <c r="AD729">
        <v>21</v>
      </c>
      <c r="AE729">
        <v>0</v>
      </c>
      <c r="AF729">
        <v>5</v>
      </c>
      <c r="AI729">
        <v>30</v>
      </c>
      <c r="AJ729">
        <v>17</v>
      </c>
      <c r="AK729">
        <v>6</v>
      </c>
      <c r="AX729">
        <v>59</v>
      </c>
      <c r="AY729">
        <v>64</v>
      </c>
      <c r="AZ729">
        <v>123</v>
      </c>
      <c r="BA729">
        <v>23</v>
      </c>
      <c r="BB729">
        <v>28</v>
      </c>
      <c r="BC729">
        <v>51</v>
      </c>
      <c r="BD729">
        <v>26</v>
      </c>
      <c r="BE729">
        <v>26</v>
      </c>
      <c r="BF729">
        <v>52</v>
      </c>
      <c r="BG729">
        <v>53</v>
      </c>
      <c r="BH729">
        <v>43</v>
      </c>
      <c r="BI729">
        <v>96</v>
      </c>
      <c r="BP729">
        <v>72</v>
      </c>
      <c r="BR729">
        <v>72</v>
      </c>
      <c r="BS729">
        <v>3</v>
      </c>
      <c r="BT729">
        <v>13</v>
      </c>
      <c r="BV729">
        <v>1</v>
      </c>
      <c r="BW729">
        <v>161</v>
      </c>
      <c r="BX729">
        <f>IF(C729=C728,IF((CI729-1)=CI728,BW728,"no data"))</f>
        <v>73</v>
      </c>
      <c r="BY729" s="5">
        <f t="shared" si="85"/>
        <v>1.2054794520547945</v>
      </c>
      <c r="BZ729" s="6">
        <f t="shared" si="84"/>
        <v>1.2054794520547945</v>
      </c>
      <c r="CA729" s="7">
        <v>43051</v>
      </c>
      <c r="CE729">
        <v>59</v>
      </c>
      <c r="CF729">
        <v>48</v>
      </c>
      <c r="CG729">
        <v>25</v>
      </c>
      <c r="CH729">
        <v>29</v>
      </c>
      <c r="CI729">
        <f t="shared" si="82"/>
        <v>2017</v>
      </c>
      <c r="CJ729" t="str">
        <f t="shared" si="83"/>
        <v>5851_2017</v>
      </c>
    </row>
    <row r="730" spans="1:88" x14ac:dyDescent="0.25">
      <c r="A730" t="s">
        <v>79</v>
      </c>
      <c r="B730" t="s">
        <v>305</v>
      </c>
      <c r="C730">
        <v>5851</v>
      </c>
      <c r="D730">
        <v>-33.008324999999999</v>
      </c>
      <c r="E730">
        <v>151.64307099999999</v>
      </c>
      <c r="F730">
        <v>4</v>
      </c>
      <c r="G730" t="s">
        <v>310</v>
      </c>
      <c r="H730">
        <v>1</v>
      </c>
      <c r="I730">
        <v>181</v>
      </c>
      <c r="J730">
        <v>90</v>
      </c>
      <c r="K730">
        <v>270</v>
      </c>
      <c r="L730">
        <v>159</v>
      </c>
      <c r="M730">
        <v>339</v>
      </c>
      <c r="N730">
        <v>278</v>
      </c>
      <c r="O730">
        <v>98</v>
      </c>
      <c r="T730">
        <v>12</v>
      </c>
      <c r="U730">
        <v>12</v>
      </c>
      <c r="V730">
        <v>47</v>
      </c>
      <c r="Y730">
        <v>7</v>
      </c>
      <c r="Z730">
        <v>1</v>
      </c>
      <c r="AA730">
        <v>18</v>
      </c>
      <c r="AD730">
        <v>18</v>
      </c>
      <c r="AE730">
        <v>0</v>
      </c>
      <c r="AF730">
        <v>0</v>
      </c>
      <c r="AI730">
        <v>35</v>
      </c>
      <c r="AJ730">
        <v>11</v>
      </c>
      <c r="AK730">
        <v>4</v>
      </c>
      <c r="AX730">
        <v>71</v>
      </c>
      <c r="AY730">
        <v>60</v>
      </c>
      <c r="AZ730">
        <v>131</v>
      </c>
      <c r="BA730">
        <v>26</v>
      </c>
      <c r="BB730">
        <v>23</v>
      </c>
      <c r="BC730">
        <v>49</v>
      </c>
      <c r="BD730">
        <v>18</v>
      </c>
      <c r="BE730">
        <v>17</v>
      </c>
      <c r="BF730">
        <v>35</v>
      </c>
      <c r="BG730">
        <v>50</v>
      </c>
      <c r="BH730">
        <v>65</v>
      </c>
      <c r="BI730">
        <v>115</v>
      </c>
      <c r="BP730">
        <v>69</v>
      </c>
      <c r="BR730">
        <v>79</v>
      </c>
      <c r="BS730">
        <v>4</v>
      </c>
      <c r="BT730">
        <v>12</v>
      </c>
      <c r="BV730">
        <v>1</v>
      </c>
      <c r="BW730">
        <v>165</v>
      </c>
      <c r="BX730">
        <f>IF(C730=C729,IF((CI730-1)=CI729,BW729,"no data"))</f>
        <v>161</v>
      </c>
      <c r="BY730" s="5">
        <f t="shared" si="85"/>
        <v>2.4844720496894408E-2</v>
      </c>
      <c r="BZ730" s="6">
        <f t="shared" si="84"/>
        <v>2.4844720496894408E-2</v>
      </c>
      <c r="CA730" s="7">
        <v>43415</v>
      </c>
      <c r="CE730">
        <v>81</v>
      </c>
      <c r="CF730">
        <v>43</v>
      </c>
      <c r="CG730">
        <v>24</v>
      </c>
      <c r="CH730">
        <v>17</v>
      </c>
      <c r="CI730">
        <f t="shared" si="82"/>
        <v>2018</v>
      </c>
      <c r="CJ730" t="str">
        <f t="shared" si="83"/>
        <v>5851_2018</v>
      </c>
    </row>
    <row r="731" spans="1:88" x14ac:dyDescent="0.25">
      <c r="A731" t="s">
        <v>79</v>
      </c>
      <c r="B731" t="s">
        <v>305</v>
      </c>
      <c r="C731">
        <v>5852</v>
      </c>
      <c r="D731">
        <v>-32.931800000000003</v>
      </c>
      <c r="E731">
        <v>151.63910000000001</v>
      </c>
      <c r="F731">
        <v>4</v>
      </c>
      <c r="G731" t="s">
        <v>311</v>
      </c>
      <c r="H731">
        <v>55</v>
      </c>
      <c r="I731">
        <v>235</v>
      </c>
      <c r="J731">
        <v>134</v>
      </c>
      <c r="K731">
        <v>314</v>
      </c>
      <c r="L731">
        <v>233</v>
      </c>
      <c r="M731">
        <v>53</v>
      </c>
      <c r="N731">
        <v>310</v>
      </c>
      <c r="O731">
        <v>130</v>
      </c>
      <c r="T731">
        <v>21</v>
      </c>
      <c r="U731">
        <v>2</v>
      </c>
      <c r="V731">
        <v>0</v>
      </c>
      <c r="Y731">
        <v>28</v>
      </c>
      <c r="Z731">
        <v>54</v>
      </c>
      <c r="AA731">
        <v>9</v>
      </c>
      <c r="AD731">
        <v>1</v>
      </c>
      <c r="AE731">
        <v>55</v>
      </c>
      <c r="AF731">
        <v>7</v>
      </c>
      <c r="AI731">
        <v>0</v>
      </c>
      <c r="AJ731">
        <v>12</v>
      </c>
      <c r="AK731">
        <v>3</v>
      </c>
      <c r="AX731">
        <v>23</v>
      </c>
      <c r="AY731">
        <v>29</v>
      </c>
      <c r="AZ731">
        <v>52</v>
      </c>
      <c r="BA731">
        <v>91</v>
      </c>
      <c r="BB731">
        <v>88</v>
      </c>
      <c r="BC731">
        <v>179</v>
      </c>
      <c r="BD731">
        <v>63</v>
      </c>
      <c r="BE731">
        <v>59</v>
      </c>
      <c r="BF731">
        <v>122</v>
      </c>
      <c r="BG731">
        <v>15</v>
      </c>
      <c r="BH731">
        <v>16</v>
      </c>
      <c r="BI731">
        <v>31</v>
      </c>
      <c r="BP731">
        <v>30</v>
      </c>
      <c r="BR731">
        <v>152</v>
      </c>
      <c r="BS731">
        <v>0</v>
      </c>
      <c r="BT731">
        <v>2</v>
      </c>
      <c r="BV731">
        <v>8</v>
      </c>
      <c r="BW731">
        <v>192</v>
      </c>
      <c r="BX731" t="s">
        <v>82</v>
      </c>
      <c r="BY731" s="5"/>
      <c r="BZ731" s="6"/>
      <c r="CA731" s="7">
        <v>41952</v>
      </c>
      <c r="CI731">
        <f t="shared" si="82"/>
        <v>2014</v>
      </c>
      <c r="CJ731" t="str">
        <f t="shared" si="83"/>
        <v>5852_2014</v>
      </c>
    </row>
    <row r="732" spans="1:88" x14ac:dyDescent="0.25">
      <c r="A732" t="s">
        <v>79</v>
      </c>
      <c r="B732" t="s">
        <v>305</v>
      </c>
      <c r="C732">
        <v>5852</v>
      </c>
      <c r="D732">
        <v>-32.931800000000003</v>
      </c>
      <c r="E732">
        <v>151.63910000000001</v>
      </c>
      <c r="F732">
        <v>4</v>
      </c>
      <c r="G732" t="s">
        <v>311</v>
      </c>
      <c r="H732">
        <v>55</v>
      </c>
      <c r="I732">
        <v>235</v>
      </c>
      <c r="J732">
        <v>134</v>
      </c>
      <c r="K732">
        <v>314</v>
      </c>
      <c r="L732">
        <v>233</v>
      </c>
      <c r="M732">
        <v>53</v>
      </c>
      <c r="N732">
        <v>310</v>
      </c>
      <c r="O732">
        <v>130</v>
      </c>
      <c r="T732">
        <v>6</v>
      </c>
      <c r="U732">
        <v>5</v>
      </c>
      <c r="V732">
        <v>0</v>
      </c>
      <c r="Y732">
        <v>17</v>
      </c>
      <c r="Z732">
        <v>14</v>
      </c>
      <c r="AA732">
        <v>10</v>
      </c>
      <c r="AD732">
        <v>0</v>
      </c>
      <c r="AE732">
        <v>8</v>
      </c>
      <c r="AF732">
        <v>13</v>
      </c>
      <c r="AI732">
        <v>0</v>
      </c>
      <c r="AJ732">
        <v>7</v>
      </c>
      <c r="AK732">
        <v>11</v>
      </c>
      <c r="AX732">
        <v>11</v>
      </c>
      <c r="AY732">
        <v>17</v>
      </c>
      <c r="AZ732">
        <v>28</v>
      </c>
      <c r="BA732">
        <v>41</v>
      </c>
      <c r="BB732">
        <v>21</v>
      </c>
      <c r="BC732">
        <v>62</v>
      </c>
      <c r="BD732">
        <v>21</v>
      </c>
      <c r="BE732">
        <v>30</v>
      </c>
      <c r="BF732">
        <v>51</v>
      </c>
      <c r="BG732">
        <v>18</v>
      </c>
      <c r="BH732">
        <v>23</v>
      </c>
      <c r="BI732">
        <v>41</v>
      </c>
      <c r="BP732">
        <v>21</v>
      </c>
      <c r="BR732">
        <v>55</v>
      </c>
      <c r="BS732">
        <v>5</v>
      </c>
      <c r="BT732">
        <v>6</v>
      </c>
      <c r="BV732">
        <v>4</v>
      </c>
      <c r="BW732">
        <v>91</v>
      </c>
      <c r="BX732">
        <f>IF(C732=C731,IF((CI732-1)=CI731,BW731,"no data"))</f>
        <v>192</v>
      </c>
      <c r="BY732" s="5">
        <f t="shared" si="85"/>
        <v>-0.52604166666666663</v>
      </c>
      <c r="BZ732" s="6">
        <f t="shared" si="84"/>
        <v>-0.52604166666666663</v>
      </c>
      <c r="CA732" s="7">
        <v>42316</v>
      </c>
      <c r="CE732">
        <v>26</v>
      </c>
      <c r="CF732">
        <v>23</v>
      </c>
      <c r="CG732">
        <v>25</v>
      </c>
      <c r="CH732">
        <v>17</v>
      </c>
      <c r="CI732">
        <f t="shared" si="82"/>
        <v>2015</v>
      </c>
      <c r="CJ732" t="str">
        <f t="shared" si="83"/>
        <v>5852_2015</v>
      </c>
    </row>
    <row r="733" spans="1:88" x14ac:dyDescent="0.25">
      <c r="A733" t="s">
        <v>79</v>
      </c>
      <c r="B733" t="s">
        <v>305</v>
      </c>
      <c r="C733">
        <v>5852</v>
      </c>
      <c r="D733">
        <v>-32.931801</v>
      </c>
      <c r="E733">
        <v>151.63914199999999</v>
      </c>
      <c r="F733">
        <v>4</v>
      </c>
      <c r="G733" t="s">
        <v>311</v>
      </c>
      <c r="H733">
        <v>55</v>
      </c>
      <c r="I733">
        <v>235</v>
      </c>
      <c r="J733">
        <v>134</v>
      </c>
      <c r="K733">
        <v>314</v>
      </c>
      <c r="L733">
        <v>233</v>
      </c>
      <c r="M733">
        <v>53</v>
      </c>
      <c r="N733">
        <v>310</v>
      </c>
      <c r="O733">
        <v>130</v>
      </c>
      <c r="T733">
        <v>3</v>
      </c>
      <c r="U733">
        <v>5</v>
      </c>
      <c r="V733">
        <v>0</v>
      </c>
      <c r="Y733">
        <v>0</v>
      </c>
      <c r="Z733">
        <v>23</v>
      </c>
      <c r="AA733">
        <v>12</v>
      </c>
      <c r="AD733">
        <v>3</v>
      </c>
      <c r="AE733">
        <v>31</v>
      </c>
      <c r="AF733">
        <v>24</v>
      </c>
      <c r="AI733">
        <v>2</v>
      </c>
      <c r="AJ733">
        <v>11</v>
      </c>
      <c r="AK733">
        <v>16</v>
      </c>
      <c r="AX733">
        <v>8</v>
      </c>
      <c r="AY733">
        <v>5</v>
      </c>
      <c r="AZ733">
        <v>13</v>
      </c>
      <c r="BA733">
        <v>35</v>
      </c>
      <c r="BB733">
        <v>45</v>
      </c>
      <c r="BC733">
        <v>80</v>
      </c>
      <c r="BD733">
        <v>58</v>
      </c>
      <c r="BE733">
        <v>44</v>
      </c>
      <c r="BF733">
        <v>102</v>
      </c>
      <c r="BG733">
        <v>29</v>
      </c>
      <c r="BH733">
        <v>36</v>
      </c>
      <c r="BI733">
        <v>65</v>
      </c>
      <c r="BP733">
        <v>42</v>
      </c>
      <c r="BR733">
        <v>79</v>
      </c>
      <c r="BS733">
        <v>0</v>
      </c>
      <c r="BT733">
        <v>5</v>
      </c>
      <c r="BV733">
        <v>4</v>
      </c>
      <c r="BW733">
        <v>130</v>
      </c>
      <c r="BX733">
        <f>IF(C733=C732,IF((CI733-1)=CI732,BW732,"no data"))</f>
        <v>91</v>
      </c>
      <c r="BY733" s="5">
        <f t="shared" si="85"/>
        <v>0.42857142857142855</v>
      </c>
      <c r="BZ733" s="6">
        <f t="shared" si="84"/>
        <v>0.42857142857142855</v>
      </c>
      <c r="CA733" s="7">
        <v>42687</v>
      </c>
      <c r="CE733">
        <v>63</v>
      </c>
      <c r="CF733">
        <v>25</v>
      </c>
      <c r="CG733">
        <v>26</v>
      </c>
      <c r="CH733">
        <v>16</v>
      </c>
      <c r="CI733">
        <f t="shared" si="82"/>
        <v>2016</v>
      </c>
      <c r="CJ733" t="str">
        <f t="shared" si="83"/>
        <v>5852_2016</v>
      </c>
    </row>
    <row r="734" spans="1:88" x14ac:dyDescent="0.25">
      <c r="A734" t="s">
        <v>79</v>
      </c>
      <c r="B734" t="s">
        <v>305</v>
      </c>
      <c r="C734">
        <v>5852</v>
      </c>
      <c r="D734">
        <v>-32.931801</v>
      </c>
      <c r="E734">
        <v>151.63914199999999</v>
      </c>
      <c r="F734">
        <v>4</v>
      </c>
      <c r="G734" t="s">
        <v>311</v>
      </c>
      <c r="H734">
        <v>55</v>
      </c>
      <c r="I734">
        <v>235</v>
      </c>
      <c r="J734">
        <v>134</v>
      </c>
      <c r="K734">
        <v>314</v>
      </c>
      <c r="L734">
        <v>233</v>
      </c>
      <c r="M734">
        <v>53</v>
      </c>
      <c r="N734">
        <v>310</v>
      </c>
      <c r="O734">
        <v>130</v>
      </c>
      <c r="T734">
        <v>10</v>
      </c>
      <c r="U734">
        <v>3</v>
      </c>
      <c r="V734">
        <v>0</v>
      </c>
      <c r="Y734">
        <v>12</v>
      </c>
      <c r="Z734">
        <v>36</v>
      </c>
      <c r="AA734">
        <v>6</v>
      </c>
      <c r="AD734">
        <v>4</v>
      </c>
      <c r="AE734">
        <v>47</v>
      </c>
      <c r="AF734">
        <v>20</v>
      </c>
      <c r="AI734">
        <v>1</v>
      </c>
      <c r="AJ734">
        <v>14</v>
      </c>
      <c r="AK734">
        <v>24</v>
      </c>
      <c r="AX734">
        <v>13</v>
      </c>
      <c r="AY734">
        <v>17</v>
      </c>
      <c r="AZ734">
        <v>30</v>
      </c>
      <c r="BA734">
        <v>54</v>
      </c>
      <c r="BB734">
        <v>71</v>
      </c>
      <c r="BC734">
        <v>125</v>
      </c>
      <c r="BD734">
        <v>71</v>
      </c>
      <c r="BE734">
        <v>63</v>
      </c>
      <c r="BF734">
        <v>134</v>
      </c>
      <c r="BG734">
        <v>39</v>
      </c>
      <c r="BH734">
        <v>26</v>
      </c>
      <c r="BI734">
        <v>65</v>
      </c>
      <c r="BP734">
        <v>55</v>
      </c>
      <c r="BR734">
        <v>101</v>
      </c>
      <c r="BS734">
        <v>1</v>
      </c>
      <c r="BT734">
        <v>9</v>
      </c>
      <c r="BV734">
        <v>11</v>
      </c>
      <c r="BW734">
        <v>177</v>
      </c>
      <c r="BX734">
        <f>IF(C734=C733,IF((CI734-1)=CI733,BW733,"no data"))</f>
        <v>130</v>
      </c>
      <c r="BY734" s="5">
        <f t="shared" si="85"/>
        <v>0.36153846153846153</v>
      </c>
      <c r="BZ734" s="6">
        <f t="shared" si="84"/>
        <v>0.36153846153846153</v>
      </c>
      <c r="CA734" s="7">
        <v>43051</v>
      </c>
      <c r="CE734">
        <v>54</v>
      </c>
      <c r="CF734">
        <v>46</v>
      </c>
      <c r="CG734">
        <v>56</v>
      </c>
      <c r="CH734">
        <v>21</v>
      </c>
      <c r="CI734">
        <f t="shared" si="82"/>
        <v>2017</v>
      </c>
      <c r="CJ734" t="str">
        <f t="shared" si="83"/>
        <v>5852_2017</v>
      </c>
    </row>
    <row r="735" spans="1:88" x14ac:dyDescent="0.25">
      <c r="A735" t="s">
        <v>79</v>
      </c>
      <c r="B735" t="s">
        <v>305</v>
      </c>
      <c r="C735">
        <v>5852</v>
      </c>
      <c r="D735">
        <v>-32.931801</v>
      </c>
      <c r="E735">
        <v>151.63914199999999</v>
      </c>
      <c r="F735">
        <v>4</v>
      </c>
      <c r="G735" t="s">
        <v>311</v>
      </c>
      <c r="H735">
        <v>55</v>
      </c>
      <c r="I735">
        <v>235</v>
      </c>
      <c r="J735">
        <v>134</v>
      </c>
      <c r="K735">
        <v>314</v>
      </c>
      <c r="L735">
        <v>233</v>
      </c>
      <c r="M735">
        <v>53</v>
      </c>
      <c r="N735">
        <v>310</v>
      </c>
      <c r="O735">
        <v>130</v>
      </c>
      <c r="T735">
        <v>0</v>
      </c>
      <c r="U735">
        <v>1</v>
      </c>
      <c r="V735">
        <v>0</v>
      </c>
      <c r="Y735">
        <v>3</v>
      </c>
      <c r="Z735">
        <v>18</v>
      </c>
      <c r="AA735">
        <v>7</v>
      </c>
      <c r="AD735">
        <v>3</v>
      </c>
      <c r="AE735">
        <v>30</v>
      </c>
      <c r="AF735">
        <v>17</v>
      </c>
      <c r="AI735">
        <v>4</v>
      </c>
      <c r="AJ735">
        <v>10</v>
      </c>
      <c r="AK735">
        <v>13</v>
      </c>
      <c r="AX735">
        <v>1</v>
      </c>
      <c r="AY735">
        <v>10</v>
      </c>
      <c r="AZ735">
        <v>11</v>
      </c>
      <c r="BA735">
        <v>28</v>
      </c>
      <c r="BB735">
        <v>40</v>
      </c>
      <c r="BC735">
        <v>68</v>
      </c>
      <c r="BD735">
        <v>50</v>
      </c>
      <c r="BE735">
        <v>32</v>
      </c>
      <c r="BF735">
        <v>82</v>
      </c>
      <c r="BG735">
        <v>27</v>
      </c>
      <c r="BH735">
        <v>24</v>
      </c>
      <c r="BI735">
        <v>51</v>
      </c>
      <c r="BP735">
        <v>33</v>
      </c>
      <c r="BR735">
        <v>58</v>
      </c>
      <c r="BS735">
        <v>4</v>
      </c>
      <c r="BT735">
        <v>2</v>
      </c>
      <c r="BV735">
        <v>9</v>
      </c>
      <c r="BW735">
        <v>106</v>
      </c>
      <c r="BX735">
        <f>IF(C735=C734,IF((CI735-1)=CI734,BW734,"no data"))</f>
        <v>177</v>
      </c>
      <c r="BY735" s="5">
        <f t="shared" si="85"/>
        <v>-0.40112994350282488</v>
      </c>
      <c r="BZ735" s="6">
        <f t="shared" si="84"/>
        <v>-0.40112994350282488</v>
      </c>
      <c r="CA735" s="7">
        <v>43415</v>
      </c>
      <c r="CE735">
        <v>31</v>
      </c>
      <c r="CF735">
        <v>19</v>
      </c>
      <c r="CG735">
        <v>48</v>
      </c>
      <c r="CH735">
        <v>8</v>
      </c>
      <c r="CI735">
        <f t="shared" si="82"/>
        <v>2018</v>
      </c>
      <c r="CJ735" t="str">
        <f t="shared" si="83"/>
        <v>5852_2018</v>
      </c>
    </row>
    <row r="736" spans="1:88" x14ac:dyDescent="0.25">
      <c r="A736" t="s">
        <v>79</v>
      </c>
      <c r="B736" t="s">
        <v>305</v>
      </c>
      <c r="C736">
        <v>5853</v>
      </c>
      <c r="D736">
        <v>-33.020400000000002</v>
      </c>
      <c r="E736">
        <v>151.68639999999999</v>
      </c>
      <c r="F736">
        <v>4</v>
      </c>
      <c r="G736" t="s">
        <v>312</v>
      </c>
      <c r="H736">
        <v>36</v>
      </c>
      <c r="I736">
        <v>216</v>
      </c>
      <c r="J736">
        <v>68</v>
      </c>
      <c r="K736">
        <v>248</v>
      </c>
      <c r="L736">
        <v>215</v>
      </c>
      <c r="M736">
        <v>35</v>
      </c>
      <c r="N736">
        <v>292</v>
      </c>
      <c r="O736">
        <v>112</v>
      </c>
      <c r="T736">
        <v>0</v>
      </c>
      <c r="U736">
        <v>129</v>
      </c>
      <c r="V736">
        <v>10</v>
      </c>
      <c r="Y736">
        <v>0</v>
      </c>
      <c r="Z736">
        <v>0</v>
      </c>
      <c r="AA736">
        <v>3</v>
      </c>
      <c r="AD736">
        <v>160</v>
      </c>
      <c r="AE736">
        <v>2</v>
      </c>
      <c r="AF736">
        <v>9</v>
      </c>
      <c r="AI736">
        <v>5</v>
      </c>
      <c r="AJ736">
        <v>13</v>
      </c>
      <c r="AK736">
        <v>3</v>
      </c>
      <c r="AX736">
        <v>139</v>
      </c>
      <c r="AY736">
        <v>165</v>
      </c>
      <c r="AZ736">
        <v>304</v>
      </c>
      <c r="BA736">
        <v>3</v>
      </c>
      <c r="BB736">
        <v>15</v>
      </c>
      <c r="BC736">
        <v>18</v>
      </c>
      <c r="BD736">
        <v>171</v>
      </c>
      <c r="BE736">
        <v>132</v>
      </c>
      <c r="BF736">
        <v>303</v>
      </c>
      <c r="BG736">
        <v>21</v>
      </c>
      <c r="BH736">
        <v>22</v>
      </c>
      <c r="BI736">
        <v>43</v>
      </c>
      <c r="BP736">
        <v>291</v>
      </c>
      <c r="BR736">
        <v>34</v>
      </c>
      <c r="BS736">
        <v>0</v>
      </c>
      <c r="BT736">
        <v>5</v>
      </c>
      <c r="BV736">
        <v>4</v>
      </c>
      <c r="BW736">
        <v>334</v>
      </c>
      <c r="BX736" t="s">
        <v>82</v>
      </c>
      <c r="BY736" s="5"/>
      <c r="BZ736" s="6"/>
      <c r="CA736" s="7">
        <v>41952</v>
      </c>
      <c r="CI736">
        <f t="shared" si="82"/>
        <v>2014</v>
      </c>
      <c r="CJ736" t="str">
        <f t="shared" si="83"/>
        <v>5853_2014</v>
      </c>
    </row>
    <row r="737" spans="1:88" x14ac:dyDescent="0.25">
      <c r="A737" t="s">
        <v>79</v>
      </c>
      <c r="B737" t="s">
        <v>305</v>
      </c>
      <c r="C737">
        <v>5853</v>
      </c>
      <c r="D737">
        <v>-33.020400000000002</v>
      </c>
      <c r="E737">
        <v>151.68639999999999</v>
      </c>
      <c r="F737">
        <v>4</v>
      </c>
      <c r="G737" t="s">
        <v>312</v>
      </c>
      <c r="H737">
        <v>36</v>
      </c>
      <c r="I737">
        <v>216</v>
      </c>
      <c r="J737">
        <v>68</v>
      </c>
      <c r="K737">
        <v>248</v>
      </c>
      <c r="L737">
        <v>215</v>
      </c>
      <c r="M737">
        <v>35</v>
      </c>
      <c r="N737">
        <v>292</v>
      </c>
      <c r="O737">
        <v>112</v>
      </c>
      <c r="T737">
        <v>2</v>
      </c>
      <c r="U737">
        <v>140</v>
      </c>
      <c r="V737">
        <v>9</v>
      </c>
      <c r="Y737">
        <v>0</v>
      </c>
      <c r="Z737">
        <v>1</v>
      </c>
      <c r="AA737">
        <v>0</v>
      </c>
      <c r="AD737">
        <v>133</v>
      </c>
      <c r="AE737">
        <v>0</v>
      </c>
      <c r="AF737">
        <v>26</v>
      </c>
      <c r="AI737">
        <v>12</v>
      </c>
      <c r="AJ737">
        <v>1</v>
      </c>
      <c r="AK737">
        <v>34</v>
      </c>
      <c r="AX737">
        <v>151</v>
      </c>
      <c r="AY737">
        <v>145</v>
      </c>
      <c r="AZ737">
        <v>296</v>
      </c>
      <c r="BA737">
        <v>1</v>
      </c>
      <c r="BB737">
        <v>3</v>
      </c>
      <c r="BC737">
        <v>4</v>
      </c>
      <c r="BD737">
        <v>159</v>
      </c>
      <c r="BE737">
        <v>175</v>
      </c>
      <c r="BF737">
        <v>334</v>
      </c>
      <c r="BG737">
        <v>47</v>
      </c>
      <c r="BH737">
        <v>35</v>
      </c>
      <c r="BI737">
        <v>82</v>
      </c>
      <c r="BP737">
        <v>294</v>
      </c>
      <c r="BR737">
        <v>44</v>
      </c>
      <c r="BS737">
        <v>11</v>
      </c>
      <c r="BT737">
        <v>9</v>
      </c>
      <c r="BV737">
        <v>0</v>
      </c>
      <c r="BW737">
        <v>358</v>
      </c>
      <c r="BX737">
        <f>IF(C737=C736,IF((CI737-1)=CI736,BW736,"no data"))</f>
        <v>334</v>
      </c>
      <c r="BY737" s="5">
        <f t="shared" si="85"/>
        <v>7.1856287425149698E-2</v>
      </c>
      <c r="BZ737" s="6">
        <f t="shared" si="84"/>
        <v>7.1856287425149698E-2</v>
      </c>
      <c r="CA737" s="7">
        <v>42316</v>
      </c>
      <c r="CE737">
        <v>110</v>
      </c>
      <c r="CF737">
        <v>115</v>
      </c>
      <c r="CG737">
        <v>73</v>
      </c>
      <c r="CH737">
        <v>60</v>
      </c>
      <c r="CI737">
        <f t="shared" si="82"/>
        <v>2015</v>
      </c>
      <c r="CJ737" t="str">
        <f t="shared" si="83"/>
        <v>5853_2015</v>
      </c>
    </row>
    <row r="738" spans="1:88" x14ac:dyDescent="0.25">
      <c r="A738" t="s">
        <v>79</v>
      </c>
      <c r="B738" t="s">
        <v>305</v>
      </c>
      <c r="C738">
        <v>5853</v>
      </c>
      <c r="D738">
        <v>-33.020386999999999</v>
      </c>
      <c r="E738">
        <v>151.68643499999999</v>
      </c>
      <c r="F738">
        <v>4</v>
      </c>
      <c r="G738" t="s">
        <v>312</v>
      </c>
      <c r="H738">
        <v>36</v>
      </c>
      <c r="I738">
        <v>216</v>
      </c>
      <c r="J738">
        <v>68</v>
      </c>
      <c r="K738">
        <v>248</v>
      </c>
      <c r="L738">
        <v>215</v>
      </c>
      <c r="M738">
        <v>35</v>
      </c>
      <c r="N738">
        <v>292</v>
      </c>
      <c r="O738">
        <v>112</v>
      </c>
      <c r="T738">
        <v>0</v>
      </c>
      <c r="U738">
        <v>122</v>
      </c>
      <c r="V738">
        <v>10</v>
      </c>
      <c r="Y738">
        <v>0</v>
      </c>
      <c r="Z738">
        <v>0</v>
      </c>
      <c r="AA738">
        <v>2</v>
      </c>
      <c r="AD738">
        <v>132</v>
      </c>
      <c r="AE738">
        <v>0</v>
      </c>
      <c r="AF738">
        <v>18</v>
      </c>
      <c r="AI738">
        <v>12</v>
      </c>
      <c r="AJ738">
        <v>0</v>
      </c>
      <c r="AK738">
        <v>10</v>
      </c>
      <c r="AX738">
        <v>132</v>
      </c>
      <c r="AY738">
        <v>144</v>
      </c>
      <c r="AZ738">
        <v>276</v>
      </c>
      <c r="BA738">
        <v>2</v>
      </c>
      <c r="BB738">
        <v>0</v>
      </c>
      <c r="BC738">
        <v>2</v>
      </c>
      <c r="BD738">
        <v>150</v>
      </c>
      <c r="BE738">
        <v>132</v>
      </c>
      <c r="BF738">
        <v>282</v>
      </c>
      <c r="BG738">
        <v>22</v>
      </c>
      <c r="BH738">
        <v>30</v>
      </c>
      <c r="BI738">
        <v>52</v>
      </c>
      <c r="BP738">
        <v>258</v>
      </c>
      <c r="BR738">
        <v>33</v>
      </c>
      <c r="BS738">
        <v>3</v>
      </c>
      <c r="BT738">
        <v>0</v>
      </c>
      <c r="BV738">
        <v>12</v>
      </c>
      <c r="BW738">
        <v>306</v>
      </c>
      <c r="BX738">
        <f>IF(C738=C737,IF((CI738-1)=CI737,BW737,"no data"))</f>
        <v>358</v>
      </c>
      <c r="BY738" s="5">
        <f t="shared" si="85"/>
        <v>-0.14525139664804471</v>
      </c>
      <c r="BZ738" s="6">
        <f t="shared" si="84"/>
        <v>-0.14525139664804471</v>
      </c>
      <c r="CA738" s="7">
        <v>42687</v>
      </c>
      <c r="CE738">
        <v>113</v>
      </c>
      <c r="CF738">
        <v>96</v>
      </c>
      <c r="CG738">
        <v>69</v>
      </c>
      <c r="CH738">
        <v>28</v>
      </c>
      <c r="CI738">
        <f t="shared" si="82"/>
        <v>2016</v>
      </c>
      <c r="CJ738" t="str">
        <f t="shared" si="83"/>
        <v>5853_2016</v>
      </c>
    </row>
    <row r="739" spans="1:88" x14ac:dyDescent="0.25">
      <c r="A739" t="s">
        <v>79</v>
      </c>
      <c r="B739" t="s">
        <v>305</v>
      </c>
      <c r="C739">
        <v>5853</v>
      </c>
      <c r="D739">
        <v>-33.020386999999999</v>
      </c>
      <c r="E739">
        <v>151.68643499999999</v>
      </c>
      <c r="F739">
        <v>4</v>
      </c>
      <c r="G739" t="s">
        <v>312</v>
      </c>
      <c r="H739">
        <v>36</v>
      </c>
      <c r="I739">
        <v>216</v>
      </c>
      <c r="J739">
        <v>68</v>
      </c>
      <c r="K739">
        <v>248</v>
      </c>
      <c r="L739">
        <v>215</v>
      </c>
      <c r="M739">
        <v>35</v>
      </c>
      <c r="N739">
        <v>292</v>
      </c>
      <c r="O739">
        <v>112</v>
      </c>
      <c r="T739">
        <v>15</v>
      </c>
      <c r="U739">
        <v>143</v>
      </c>
      <c r="V739">
        <v>12</v>
      </c>
      <c r="Y739">
        <v>8</v>
      </c>
      <c r="Z739">
        <v>4</v>
      </c>
      <c r="AA739">
        <v>4</v>
      </c>
      <c r="AD739">
        <v>164</v>
      </c>
      <c r="AE739">
        <v>8</v>
      </c>
      <c r="AF739">
        <v>7</v>
      </c>
      <c r="AI739">
        <v>9</v>
      </c>
      <c r="AJ739">
        <v>0</v>
      </c>
      <c r="AK739">
        <v>13</v>
      </c>
      <c r="AX739">
        <v>170</v>
      </c>
      <c r="AY739">
        <v>181</v>
      </c>
      <c r="AZ739">
        <v>351</v>
      </c>
      <c r="BA739">
        <v>16</v>
      </c>
      <c r="BB739">
        <v>23</v>
      </c>
      <c r="BC739">
        <v>39</v>
      </c>
      <c r="BD739">
        <v>179</v>
      </c>
      <c r="BE739">
        <v>160</v>
      </c>
      <c r="BF739">
        <v>339</v>
      </c>
      <c r="BG739">
        <v>22</v>
      </c>
      <c r="BH739">
        <v>23</v>
      </c>
      <c r="BI739">
        <v>45</v>
      </c>
      <c r="BP739">
        <v>322</v>
      </c>
      <c r="BR739">
        <v>32</v>
      </c>
      <c r="BS739">
        <v>17</v>
      </c>
      <c r="BT739">
        <v>7</v>
      </c>
      <c r="BV739">
        <v>9</v>
      </c>
      <c r="BW739">
        <v>387</v>
      </c>
      <c r="BX739">
        <f>IF(C739=C738,IF((CI739-1)=CI738,BW738,"no data"))</f>
        <v>306</v>
      </c>
      <c r="BY739" s="5">
        <f t="shared" si="85"/>
        <v>0.26470588235294118</v>
      </c>
      <c r="BZ739" s="6">
        <f t="shared" si="84"/>
        <v>0.26470588235294118</v>
      </c>
      <c r="CA739" s="7">
        <v>43051</v>
      </c>
      <c r="CE739">
        <v>143</v>
      </c>
      <c r="CF739">
        <v>93</v>
      </c>
      <c r="CG739">
        <v>76</v>
      </c>
      <c r="CH739">
        <v>75</v>
      </c>
      <c r="CI739">
        <f t="shared" si="82"/>
        <v>2017</v>
      </c>
      <c r="CJ739" t="str">
        <f t="shared" si="83"/>
        <v>5853_2017</v>
      </c>
    </row>
    <row r="740" spans="1:88" x14ac:dyDescent="0.25">
      <c r="A740" t="s">
        <v>79</v>
      </c>
      <c r="B740" t="s">
        <v>305</v>
      </c>
      <c r="C740">
        <v>5853</v>
      </c>
      <c r="D740">
        <v>-33.020386999999999</v>
      </c>
      <c r="E740">
        <v>151.68643499999999</v>
      </c>
      <c r="F740">
        <v>4</v>
      </c>
      <c r="G740" t="s">
        <v>312</v>
      </c>
      <c r="H740">
        <v>36</v>
      </c>
      <c r="I740">
        <v>216</v>
      </c>
      <c r="J740">
        <v>68</v>
      </c>
      <c r="K740">
        <v>248</v>
      </c>
      <c r="L740">
        <v>215</v>
      </c>
      <c r="M740">
        <v>35</v>
      </c>
      <c r="N740">
        <v>292</v>
      </c>
      <c r="O740">
        <v>112</v>
      </c>
      <c r="T740">
        <v>5</v>
      </c>
      <c r="U740">
        <v>177</v>
      </c>
      <c r="V740">
        <v>5</v>
      </c>
      <c r="Y740">
        <v>5</v>
      </c>
      <c r="Z740">
        <v>1</v>
      </c>
      <c r="AA740">
        <v>0</v>
      </c>
      <c r="AD740">
        <v>168</v>
      </c>
      <c r="AE740">
        <v>5</v>
      </c>
      <c r="AF740">
        <v>7</v>
      </c>
      <c r="AI740">
        <v>6</v>
      </c>
      <c r="AJ740">
        <v>0</v>
      </c>
      <c r="AK740">
        <v>5</v>
      </c>
      <c r="AX740">
        <v>187</v>
      </c>
      <c r="AY740">
        <v>179</v>
      </c>
      <c r="AZ740">
        <v>366</v>
      </c>
      <c r="BA740">
        <v>6</v>
      </c>
      <c r="BB740">
        <v>10</v>
      </c>
      <c r="BC740">
        <v>16</v>
      </c>
      <c r="BD740">
        <v>180</v>
      </c>
      <c r="BE740">
        <v>183</v>
      </c>
      <c r="BF740">
        <v>363</v>
      </c>
      <c r="BG740">
        <v>11</v>
      </c>
      <c r="BH740">
        <v>12</v>
      </c>
      <c r="BI740">
        <v>23</v>
      </c>
      <c r="BP740">
        <v>347</v>
      </c>
      <c r="BR740">
        <v>27</v>
      </c>
      <c r="BS740">
        <v>4</v>
      </c>
      <c r="BT740">
        <v>4</v>
      </c>
      <c r="BV740">
        <v>2</v>
      </c>
      <c r="BW740">
        <v>384</v>
      </c>
      <c r="BX740">
        <f>IF(C740=C739,IF((CI740-1)=CI739,BW739,"no data"))</f>
        <v>387</v>
      </c>
      <c r="BY740" s="5">
        <f t="shared" si="85"/>
        <v>-7.7519379844961239E-3</v>
      </c>
      <c r="BZ740" s="6">
        <f t="shared" si="84"/>
        <v>-7.7519379844961239E-3</v>
      </c>
      <c r="CA740" s="7">
        <v>43415</v>
      </c>
      <c r="CE740">
        <v>115</v>
      </c>
      <c r="CF740">
        <v>88</v>
      </c>
      <c r="CG740">
        <v>103</v>
      </c>
      <c r="CH740">
        <v>78</v>
      </c>
      <c r="CI740">
        <f t="shared" si="82"/>
        <v>2018</v>
      </c>
      <c r="CJ740" t="str">
        <f t="shared" si="83"/>
        <v>5853_2018</v>
      </c>
    </row>
    <row r="741" spans="1:88" x14ac:dyDescent="0.25">
      <c r="A741" t="s">
        <v>79</v>
      </c>
      <c r="B741" t="s">
        <v>305</v>
      </c>
      <c r="C741">
        <v>5854</v>
      </c>
      <c r="D741">
        <v>-32.982100000000003</v>
      </c>
      <c r="E741">
        <v>151.6687</v>
      </c>
      <c r="F741">
        <v>3</v>
      </c>
      <c r="G741" t="s">
        <v>313</v>
      </c>
      <c r="H741">
        <v>21</v>
      </c>
      <c r="I741">
        <v>201</v>
      </c>
      <c r="J741">
        <v>132</v>
      </c>
      <c r="K741">
        <v>312</v>
      </c>
      <c r="L741">
        <v>235</v>
      </c>
      <c r="M741">
        <v>55</v>
      </c>
      <c r="T741">
        <v>7</v>
      </c>
      <c r="U741">
        <v>6</v>
      </c>
      <c r="Y741">
        <v>6</v>
      </c>
      <c r="Z741">
        <v>1</v>
      </c>
      <c r="AD741">
        <v>4</v>
      </c>
      <c r="AE741">
        <v>4</v>
      </c>
      <c r="AX741">
        <v>13</v>
      </c>
      <c r="AY741">
        <v>10</v>
      </c>
      <c r="AZ741">
        <v>23</v>
      </c>
      <c r="BA741">
        <v>7</v>
      </c>
      <c r="BB741">
        <v>11</v>
      </c>
      <c r="BC741">
        <v>18</v>
      </c>
      <c r="BD741">
        <v>8</v>
      </c>
      <c r="BE741">
        <v>7</v>
      </c>
      <c r="BF741">
        <v>15</v>
      </c>
      <c r="BP741">
        <v>9</v>
      </c>
      <c r="BR741">
        <v>18</v>
      </c>
      <c r="BS741">
        <v>0</v>
      </c>
      <c r="BT741">
        <v>0</v>
      </c>
      <c r="BV741">
        <v>1</v>
      </c>
      <c r="BW741">
        <v>28</v>
      </c>
      <c r="BX741" t="s">
        <v>82</v>
      </c>
      <c r="BY741" s="5"/>
      <c r="BZ741" s="6"/>
      <c r="CA741" s="7">
        <v>41952</v>
      </c>
      <c r="CI741">
        <f t="shared" si="82"/>
        <v>2014</v>
      </c>
      <c r="CJ741" t="str">
        <f t="shared" si="83"/>
        <v>5854_2014</v>
      </c>
    </row>
    <row r="742" spans="1:88" x14ac:dyDescent="0.25">
      <c r="A742" t="s">
        <v>79</v>
      </c>
      <c r="B742" t="s">
        <v>305</v>
      </c>
      <c r="C742">
        <v>5854</v>
      </c>
      <c r="D742">
        <v>-32.982100000000003</v>
      </c>
      <c r="E742">
        <v>151.6687</v>
      </c>
      <c r="F742">
        <v>3</v>
      </c>
      <c r="G742" t="s">
        <v>313</v>
      </c>
      <c r="H742">
        <v>21</v>
      </c>
      <c r="I742">
        <v>201</v>
      </c>
      <c r="J742">
        <v>132</v>
      </c>
      <c r="K742">
        <v>312</v>
      </c>
      <c r="L742">
        <v>235</v>
      </c>
      <c r="M742">
        <v>55</v>
      </c>
      <c r="T742">
        <v>18</v>
      </c>
      <c r="U742">
        <v>1</v>
      </c>
      <c r="Y742">
        <v>15</v>
      </c>
      <c r="Z742">
        <v>9</v>
      </c>
      <c r="AD742">
        <v>0</v>
      </c>
      <c r="AE742">
        <v>6</v>
      </c>
      <c r="AX742">
        <v>19</v>
      </c>
      <c r="AY742">
        <v>15</v>
      </c>
      <c r="AZ742">
        <v>34</v>
      </c>
      <c r="BA742">
        <v>24</v>
      </c>
      <c r="BB742">
        <v>24</v>
      </c>
      <c r="BC742">
        <v>48</v>
      </c>
      <c r="BD742">
        <v>6</v>
      </c>
      <c r="BE742">
        <v>10</v>
      </c>
      <c r="BF742">
        <v>16</v>
      </c>
      <c r="BP742">
        <v>11</v>
      </c>
      <c r="BR742">
        <v>26</v>
      </c>
      <c r="BS742">
        <v>1</v>
      </c>
      <c r="BT742">
        <v>11</v>
      </c>
      <c r="BV742">
        <v>0</v>
      </c>
      <c r="BW742">
        <v>49</v>
      </c>
      <c r="BX742">
        <f>IF(C742=C741,IF((CI742-1)=CI741,BW741,"no data"))</f>
        <v>28</v>
      </c>
      <c r="BY742" s="5">
        <f t="shared" si="85"/>
        <v>0.75</v>
      </c>
      <c r="BZ742" s="6">
        <f t="shared" si="84"/>
        <v>0.75</v>
      </c>
      <c r="CA742" s="7">
        <v>42316</v>
      </c>
      <c r="CE742">
        <v>16</v>
      </c>
      <c r="CF742">
        <v>14</v>
      </c>
      <c r="CG742">
        <v>8</v>
      </c>
      <c r="CH742">
        <v>11</v>
      </c>
      <c r="CI742">
        <f t="shared" si="82"/>
        <v>2015</v>
      </c>
      <c r="CJ742" t="str">
        <f t="shared" si="83"/>
        <v>5854_2015</v>
      </c>
    </row>
    <row r="743" spans="1:88" x14ac:dyDescent="0.25">
      <c r="A743" t="s">
        <v>79</v>
      </c>
      <c r="B743" t="s">
        <v>305</v>
      </c>
      <c r="C743">
        <v>5854</v>
      </c>
      <c r="D743">
        <v>-32.982056</v>
      </c>
      <c r="E743">
        <v>151.66869199999999</v>
      </c>
      <c r="F743">
        <v>3</v>
      </c>
      <c r="G743" t="s">
        <v>313</v>
      </c>
      <c r="H743">
        <v>21</v>
      </c>
      <c r="I743">
        <v>201</v>
      </c>
      <c r="J743">
        <v>132</v>
      </c>
      <c r="K743">
        <v>312</v>
      </c>
      <c r="L743">
        <v>235</v>
      </c>
      <c r="M743">
        <v>55</v>
      </c>
      <c r="T743">
        <v>8</v>
      </c>
      <c r="U743">
        <v>10</v>
      </c>
      <c r="Y743">
        <v>4</v>
      </c>
      <c r="Z743">
        <v>3</v>
      </c>
      <c r="AD743">
        <v>1</v>
      </c>
      <c r="AE743">
        <v>8</v>
      </c>
      <c r="AX743">
        <v>18</v>
      </c>
      <c r="AY743">
        <v>5</v>
      </c>
      <c r="AZ743">
        <v>23</v>
      </c>
      <c r="BA743">
        <v>7</v>
      </c>
      <c r="BB743">
        <v>16</v>
      </c>
      <c r="BC743">
        <v>23</v>
      </c>
      <c r="BD743">
        <v>9</v>
      </c>
      <c r="BE743">
        <v>13</v>
      </c>
      <c r="BF743">
        <v>22</v>
      </c>
      <c r="BP743">
        <v>10</v>
      </c>
      <c r="BR743">
        <v>18</v>
      </c>
      <c r="BS743">
        <v>1</v>
      </c>
      <c r="BT743">
        <v>1</v>
      </c>
      <c r="BV743">
        <v>4</v>
      </c>
      <c r="BW743">
        <v>34</v>
      </c>
      <c r="BX743">
        <f>IF(C743=C742,IF((CI743-1)=CI742,BW742,"no data"))</f>
        <v>49</v>
      </c>
      <c r="BY743" s="5">
        <f t="shared" si="85"/>
        <v>-0.30612244897959184</v>
      </c>
      <c r="BZ743" s="6">
        <f t="shared" si="84"/>
        <v>-0.30612244897959184</v>
      </c>
      <c r="CA743" s="7">
        <v>42687</v>
      </c>
      <c r="CE743">
        <v>9</v>
      </c>
      <c r="CF743">
        <v>7</v>
      </c>
      <c r="CG743">
        <v>10</v>
      </c>
      <c r="CH743">
        <v>8</v>
      </c>
      <c r="CI743">
        <f t="shared" si="82"/>
        <v>2016</v>
      </c>
      <c r="CJ743" t="str">
        <f t="shared" si="83"/>
        <v>5854_2016</v>
      </c>
    </row>
    <row r="744" spans="1:88" x14ac:dyDescent="0.25">
      <c r="A744" t="s">
        <v>79</v>
      </c>
      <c r="B744" t="s">
        <v>305</v>
      </c>
      <c r="C744">
        <v>5854</v>
      </c>
      <c r="D744">
        <v>-32.982056</v>
      </c>
      <c r="E744">
        <v>151.66869199999999</v>
      </c>
      <c r="F744">
        <v>3</v>
      </c>
      <c r="G744" t="s">
        <v>313</v>
      </c>
      <c r="H744">
        <v>21</v>
      </c>
      <c r="I744">
        <v>201</v>
      </c>
      <c r="J744">
        <v>132</v>
      </c>
      <c r="K744">
        <v>312</v>
      </c>
      <c r="L744">
        <v>235</v>
      </c>
      <c r="M744">
        <v>55</v>
      </c>
      <c r="T744">
        <v>9</v>
      </c>
      <c r="U744">
        <v>6</v>
      </c>
      <c r="Y744">
        <v>9</v>
      </c>
      <c r="Z744">
        <v>1</v>
      </c>
      <c r="AD744">
        <v>3</v>
      </c>
      <c r="AE744">
        <v>3</v>
      </c>
      <c r="AX744">
        <v>15</v>
      </c>
      <c r="AY744">
        <v>12</v>
      </c>
      <c r="AZ744">
        <v>27</v>
      </c>
      <c r="BA744">
        <v>10</v>
      </c>
      <c r="BB744">
        <v>12</v>
      </c>
      <c r="BC744">
        <v>22</v>
      </c>
      <c r="BD744">
        <v>6</v>
      </c>
      <c r="BE744">
        <v>7</v>
      </c>
      <c r="BF744">
        <v>13</v>
      </c>
      <c r="BP744">
        <v>5</v>
      </c>
      <c r="BR744">
        <v>21</v>
      </c>
      <c r="BS744">
        <v>0</v>
      </c>
      <c r="BT744">
        <v>1</v>
      </c>
      <c r="BV744">
        <v>4</v>
      </c>
      <c r="BW744">
        <v>31</v>
      </c>
      <c r="BX744">
        <f>IF(C744=C743,IF((CI744-1)=CI743,BW743,"no data"))</f>
        <v>34</v>
      </c>
      <c r="BY744" s="5">
        <f t="shared" si="85"/>
        <v>-8.8235294117647065E-2</v>
      </c>
      <c r="BZ744" s="6">
        <f t="shared" si="84"/>
        <v>-8.8235294117647065E-2</v>
      </c>
      <c r="CA744" s="7">
        <v>43051</v>
      </c>
      <c r="CE744">
        <v>8</v>
      </c>
      <c r="CF744">
        <v>10</v>
      </c>
      <c r="CG744">
        <v>4</v>
      </c>
      <c r="CH744">
        <v>9</v>
      </c>
      <c r="CI744">
        <f t="shared" si="82"/>
        <v>2017</v>
      </c>
      <c r="CJ744" t="str">
        <f t="shared" si="83"/>
        <v>5854_2017</v>
      </c>
    </row>
    <row r="745" spans="1:88" x14ac:dyDescent="0.25">
      <c r="A745" t="s">
        <v>79</v>
      </c>
      <c r="B745" t="s">
        <v>305</v>
      </c>
      <c r="C745">
        <v>5854</v>
      </c>
      <c r="D745">
        <v>-32.982056</v>
      </c>
      <c r="E745">
        <v>151.66869199999999</v>
      </c>
      <c r="F745">
        <v>3</v>
      </c>
      <c r="G745" t="s">
        <v>313</v>
      </c>
      <c r="H745">
        <v>21</v>
      </c>
      <c r="I745">
        <v>201</v>
      </c>
      <c r="J745">
        <v>132</v>
      </c>
      <c r="K745">
        <v>312</v>
      </c>
      <c r="L745">
        <v>235</v>
      </c>
      <c r="M745">
        <v>55</v>
      </c>
      <c r="T745">
        <v>12</v>
      </c>
      <c r="U745">
        <v>5</v>
      </c>
      <c r="Y745">
        <v>9</v>
      </c>
      <c r="Z745">
        <v>4</v>
      </c>
      <c r="AD745">
        <v>5</v>
      </c>
      <c r="AE745">
        <v>7</v>
      </c>
      <c r="AX745">
        <v>17</v>
      </c>
      <c r="AY745">
        <v>14</v>
      </c>
      <c r="AZ745">
        <v>31</v>
      </c>
      <c r="BA745">
        <v>13</v>
      </c>
      <c r="BB745">
        <v>19</v>
      </c>
      <c r="BC745">
        <v>32</v>
      </c>
      <c r="BD745">
        <v>12</v>
      </c>
      <c r="BE745">
        <v>9</v>
      </c>
      <c r="BF745">
        <v>21</v>
      </c>
      <c r="BP745">
        <v>20</v>
      </c>
      <c r="BR745">
        <v>18</v>
      </c>
      <c r="BS745">
        <v>0</v>
      </c>
      <c r="BT745">
        <v>2</v>
      </c>
      <c r="BV745">
        <v>2</v>
      </c>
      <c r="BW745">
        <v>42</v>
      </c>
      <c r="BX745">
        <f>IF(C745=C744,IF((CI745-1)=CI744,BW744,"no data"))</f>
        <v>31</v>
      </c>
      <c r="BY745" s="5">
        <f t="shared" si="85"/>
        <v>0.35483870967741937</v>
      </c>
      <c r="BZ745" s="6">
        <f t="shared" si="84"/>
        <v>0.35483870967741937</v>
      </c>
      <c r="CA745" s="7">
        <v>43415</v>
      </c>
      <c r="CE745">
        <v>8</v>
      </c>
      <c r="CF745">
        <v>8</v>
      </c>
      <c r="CG745">
        <v>10</v>
      </c>
      <c r="CH745">
        <v>16</v>
      </c>
      <c r="CI745">
        <f t="shared" si="82"/>
        <v>2018</v>
      </c>
      <c r="CJ745" t="str">
        <f t="shared" si="83"/>
        <v>5854_2018</v>
      </c>
    </row>
    <row r="746" spans="1:88" x14ac:dyDescent="0.25">
      <c r="A746" t="s">
        <v>79</v>
      </c>
      <c r="B746" t="s">
        <v>305</v>
      </c>
      <c r="C746">
        <v>5855</v>
      </c>
      <c r="D746">
        <v>-32.956699999999998</v>
      </c>
      <c r="E746">
        <v>151.6866</v>
      </c>
      <c r="F746">
        <v>3</v>
      </c>
      <c r="G746" t="s">
        <v>314</v>
      </c>
      <c r="H746">
        <v>139</v>
      </c>
      <c r="I746">
        <v>319</v>
      </c>
      <c r="J746">
        <v>266</v>
      </c>
      <c r="K746">
        <v>86</v>
      </c>
      <c r="L746">
        <v>345</v>
      </c>
      <c r="M746">
        <v>165</v>
      </c>
      <c r="T746">
        <v>18</v>
      </c>
      <c r="U746">
        <v>8</v>
      </c>
      <c r="Y746">
        <v>4</v>
      </c>
      <c r="Z746">
        <v>1</v>
      </c>
      <c r="AD746">
        <v>9</v>
      </c>
      <c r="AE746">
        <v>5</v>
      </c>
      <c r="AX746">
        <v>26</v>
      </c>
      <c r="AY746">
        <v>13</v>
      </c>
      <c r="AZ746">
        <v>39</v>
      </c>
      <c r="BA746">
        <v>5</v>
      </c>
      <c r="BB746">
        <v>23</v>
      </c>
      <c r="BC746">
        <v>28</v>
      </c>
      <c r="BD746">
        <v>14</v>
      </c>
      <c r="BE746">
        <v>9</v>
      </c>
      <c r="BF746">
        <v>23</v>
      </c>
      <c r="BP746">
        <v>10</v>
      </c>
      <c r="BR746">
        <v>25</v>
      </c>
      <c r="BS746">
        <v>3</v>
      </c>
      <c r="BT746">
        <v>6</v>
      </c>
      <c r="BV746">
        <v>1</v>
      </c>
      <c r="BW746">
        <v>45</v>
      </c>
      <c r="BX746" t="s">
        <v>82</v>
      </c>
      <c r="BY746" s="5"/>
      <c r="BZ746" s="6"/>
      <c r="CA746" s="7">
        <v>42316</v>
      </c>
      <c r="CE746">
        <v>13</v>
      </c>
      <c r="CF746">
        <v>14</v>
      </c>
      <c r="CG746">
        <v>8</v>
      </c>
      <c r="CH746">
        <v>10</v>
      </c>
      <c r="CI746">
        <f t="shared" si="82"/>
        <v>2015</v>
      </c>
      <c r="CJ746" t="str">
        <f t="shared" si="83"/>
        <v>5855_2015</v>
      </c>
    </row>
    <row r="747" spans="1:88" x14ac:dyDescent="0.25">
      <c r="A747" t="s">
        <v>79</v>
      </c>
      <c r="B747" t="s">
        <v>305</v>
      </c>
      <c r="C747">
        <v>5855</v>
      </c>
      <c r="D747">
        <v>-32.956705999999997</v>
      </c>
      <c r="E747">
        <v>151.68664100000001</v>
      </c>
      <c r="F747">
        <v>3</v>
      </c>
      <c r="G747" t="s">
        <v>314</v>
      </c>
      <c r="H747">
        <v>139</v>
      </c>
      <c r="I747">
        <v>319</v>
      </c>
      <c r="J747">
        <v>266</v>
      </c>
      <c r="K747">
        <v>86</v>
      </c>
      <c r="L747">
        <v>345</v>
      </c>
      <c r="M747">
        <v>165</v>
      </c>
      <c r="T747">
        <v>2</v>
      </c>
      <c r="U747">
        <v>10</v>
      </c>
      <c r="Y747">
        <v>7</v>
      </c>
      <c r="Z747">
        <v>2</v>
      </c>
      <c r="AD747">
        <v>10</v>
      </c>
      <c r="AE747">
        <v>6</v>
      </c>
      <c r="AX747">
        <v>12</v>
      </c>
      <c r="AY747">
        <v>17</v>
      </c>
      <c r="AZ747">
        <v>29</v>
      </c>
      <c r="BA747">
        <v>9</v>
      </c>
      <c r="BB747">
        <v>8</v>
      </c>
      <c r="BC747">
        <v>17</v>
      </c>
      <c r="BD747">
        <v>16</v>
      </c>
      <c r="BE747">
        <v>12</v>
      </c>
      <c r="BF747">
        <v>28</v>
      </c>
      <c r="BP747">
        <v>10</v>
      </c>
      <c r="BR747">
        <v>19</v>
      </c>
      <c r="BS747">
        <v>4</v>
      </c>
      <c r="BT747">
        <v>1</v>
      </c>
      <c r="BV747">
        <v>3</v>
      </c>
      <c r="BW747">
        <v>37</v>
      </c>
      <c r="BX747">
        <f>IF(C747=C746,IF((CI747-1)=CI746,BW746,"no data"))</f>
        <v>45</v>
      </c>
      <c r="BY747" s="5">
        <f t="shared" si="85"/>
        <v>-0.17777777777777778</v>
      </c>
      <c r="BZ747" s="6">
        <f t="shared" si="84"/>
        <v>-0.17777777777777778</v>
      </c>
      <c r="CA747" s="7">
        <v>42687</v>
      </c>
      <c r="CE747">
        <v>10</v>
      </c>
      <c r="CF747">
        <v>5</v>
      </c>
      <c r="CG747">
        <v>10</v>
      </c>
      <c r="CH747">
        <v>12</v>
      </c>
      <c r="CI747">
        <f t="shared" si="82"/>
        <v>2016</v>
      </c>
      <c r="CJ747" t="str">
        <f t="shared" si="83"/>
        <v>5855_2016</v>
      </c>
    </row>
    <row r="748" spans="1:88" x14ac:dyDescent="0.25">
      <c r="A748" t="s">
        <v>79</v>
      </c>
      <c r="B748" t="s">
        <v>305</v>
      </c>
      <c r="C748">
        <v>5855</v>
      </c>
      <c r="D748">
        <v>-32.956705999999997</v>
      </c>
      <c r="E748">
        <v>151.68664100000001</v>
      </c>
      <c r="F748">
        <v>3</v>
      </c>
      <c r="G748" t="s">
        <v>314</v>
      </c>
      <c r="H748">
        <v>139</v>
      </c>
      <c r="I748">
        <v>319</v>
      </c>
      <c r="J748">
        <v>266</v>
      </c>
      <c r="K748">
        <v>86</v>
      </c>
      <c r="L748">
        <v>345</v>
      </c>
      <c r="M748">
        <v>165</v>
      </c>
      <c r="T748">
        <v>11</v>
      </c>
      <c r="U748">
        <v>12</v>
      </c>
      <c r="Y748">
        <v>3</v>
      </c>
      <c r="Z748">
        <v>2</v>
      </c>
      <c r="AD748">
        <v>10</v>
      </c>
      <c r="AE748">
        <v>9</v>
      </c>
      <c r="AX748">
        <v>23</v>
      </c>
      <c r="AY748">
        <v>13</v>
      </c>
      <c r="AZ748">
        <v>36</v>
      </c>
      <c r="BA748">
        <v>5</v>
      </c>
      <c r="BB748">
        <v>20</v>
      </c>
      <c r="BC748">
        <v>25</v>
      </c>
      <c r="BD748">
        <v>19</v>
      </c>
      <c r="BE748">
        <v>14</v>
      </c>
      <c r="BF748">
        <v>33</v>
      </c>
      <c r="BP748">
        <v>9</v>
      </c>
      <c r="BR748">
        <v>30</v>
      </c>
      <c r="BS748">
        <v>1</v>
      </c>
      <c r="BT748">
        <v>7</v>
      </c>
      <c r="BV748">
        <v>0</v>
      </c>
      <c r="BW748">
        <v>47</v>
      </c>
      <c r="BX748">
        <f>IF(C748=C747,IF((CI748-1)=CI747,BW747,"no data"))</f>
        <v>37</v>
      </c>
      <c r="BY748" s="5">
        <f t="shared" si="85"/>
        <v>0.27027027027027029</v>
      </c>
      <c r="BZ748" s="6">
        <f t="shared" si="84"/>
        <v>0.27027027027027029</v>
      </c>
      <c r="CA748" s="7">
        <v>43051</v>
      </c>
      <c r="CE748">
        <v>12</v>
      </c>
      <c r="CF748">
        <v>15</v>
      </c>
      <c r="CG748">
        <v>12</v>
      </c>
      <c r="CH748">
        <v>8</v>
      </c>
      <c r="CI748">
        <f t="shared" si="82"/>
        <v>2017</v>
      </c>
      <c r="CJ748" t="str">
        <f t="shared" si="83"/>
        <v>5855_2017</v>
      </c>
    </row>
    <row r="749" spans="1:88" x14ac:dyDescent="0.25">
      <c r="A749" t="s">
        <v>79</v>
      </c>
      <c r="B749" t="s">
        <v>305</v>
      </c>
      <c r="C749">
        <v>5855</v>
      </c>
      <c r="D749">
        <v>-32.956705999999997</v>
      </c>
      <c r="E749">
        <v>151.68664100000001</v>
      </c>
      <c r="F749">
        <v>3</v>
      </c>
      <c r="G749" t="s">
        <v>314</v>
      </c>
      <c r="H749">
        <v>139</v>
      </c>
      <c r="I749">
        <v>319</v>
      </c>
      <c r="J749">
        <v>266</v>
      </c>
      <c r="K749">
        <v>86</v>
      </c>
      <c r="L749">
        <v>345</v>
      </c>
      <c r="M749">
        <v>165</v>
      </c>
      <c r="T749">
        <v>9</v>
      </c>
      <c r="U749">
        <v>7</v>
      </c>
      <c r="Y749">
        <v>6</v>
      </c>
      <c r="Z749">
        <v>4</v>
      </c>
      <c r="AD749">
        <v>15</v>
      </c>
      <c r="AE749">
        <v>4</v>
      </c>
      <c r="AX749">
        <v>16</v>
      </c>
      <c r="AY749">
        <v>21</v>
      </c>
      <c r="AZ749">
        <v>37</v>
      </c>
      <c r="BA749">
        <v>10</v>
      </c>
      <c r="BB749">
        <v>13</v>
      </c>
      <c r="BC749">
        <v>23</v>
      </c>
      <c r="BD749">
        <v>19</v>
      </c>
      <c r="BE749">
        <v>11</v>
      </c>
      <c r="BF749">
        <v>30</v>
      </c>
      <c r="BP749">
        <v>13</v>
      </c>
      <c r="BR749">
        <v>28</v>
      </c>
      <c r="BS749">
        <v>1</v>
      </c>
      <c r="BT749">
        <v>2</v>
      </c>
      <c r="BV749">
        <v>1</v>
      </c>
      <c r="BW749">
        <v>45</v>
      </c>
      <c r="BX749">
        <f>IF(C749=C748,IF((CI749-1)=CI748,BW748,"no data"))</f>
        <v>47</v>
      </c>
      <c r="BY749" s="5">
        <f t="shared" si="85"/>
        <v>-4.2553191489361701E-2</v>
      </c>
      <c r="BZ749" s="6">
        <f t="shared" si="84"/>
        <v>-4.2553191489361701E-2</v>
      </c>
      <c r="CA749" s="7">
        <v>43415</v>
      </c>
      <c r="CE749">
        <v>3</v>
      </c>
      <c r="CF749">
        <v>18</v>
      </c>
      <c r="CG749">
        <v>12</v>
      </c>
      <c r="CH749">
        <v>12</v>
      </c>
      <c r="CI749">
        <f t="shared" si="82"/>
        <v>2018</v>
      </c>
      <c r="CJ749" t="str">
        <f t="shared" si="83"/>
        <v>5855_2018</v>
      </c>
    </row>
    <row r="750" spans="1:88" x14ac:dyDescent="0.25">
      <c r="A750" t="s">
        <v>79</v>
      </c>
      <c r="B750" t="s">
        <v>305</v>
      </c>
      <c r="C750">
        <v>5856</v>
      </c>
      <c r="D750">
        <v>-32.949199999999998</v>
      </c>
      <c r="E750">
        <v>151.66730000000001</v>
      </c>
      <c r="F750">
        <v>4</v>
      </c>
      <c r="G750" t="s">
        <v>315</v>
      </c>
      <c r="H750">
        <v>11</v>
      </c>
      <c r="I750">
        <v>191</v>
      </c>
      <c r="J750">
        <v>139</v>
      </c>
      <c r="K750">
        <v>319</v>
      </c>
      <c r="L750">
        <v>190</v>
      </c>
      <c r="M750">
        <v>10</v>
      </c>
      <c r="N750">
        <v>300</v>
      </c>
      <c r="O750">
        <v>120</v>
      </c>
      <c r="T750">
        <v>0</v>
      </c>
      <c r="U750">
        <v>1</v>
      </c>
      <c r="Y750">
        <v>0</v>
      </c>
      <c r="Z750">
        <v>1</v>
      </c>
      <c r="AD750">
        <v>1</v>
      </c>
      <c r="AE750">
        <v>2</v>
      </c>
      <c r="AX750">
        <v>1</v>
      </c>
      <c r="AY750">
        <v>1</v>
      </c>
      <c r="AZ750">
        <v>2</v>
      </c>
      <c r="BA750">
        <v>1</v>
      </c>
      <c r="BB750">
        <v>2</v>
      </c>
      <c r="BC750">
        <v>3</v>
      </c>
      <c r="BD750">
        <v>3</v>
      </c>
      <c r="BE750">
        <v>2</v>
      </c>
      <c r="BF750">
        <v>5</v>
      </c>
      <c r="BP750">
        <v>0</v>
      </c>
      <c r="BR750">
        <v>3</v>
      </c>
      <c r="BS750">
        <v>0</v>
      </c>
      <c r="BT750">
        <v>0</v>
      </c>
      <c r="BV750">
        <v>2</v>
      </c>
      <c r="BW750">
        <v>5</v>
      </c>
      <c r="BX750" t="s">
        <v>82</v>
      </c>
      <c r="BY750" s="5"/>
      <c r="BZ750" s="6"/>
      <c r="CA750" s="7">
        <v>41952</v>
      </c>
      <c r="CI750">
        <f t="shared" si="82"/>
        <v>2014</v>
      </c>
      <c r="CJ750" t="str">
        <f t="shared" si="83"/>
        <v>5856_2014</v>
      </c>
    </row>
    <row r="751" spans="1:88" x14ac:dyDescent="0.25">
      <c r="A751" t="s">
        <v>79</v>
      </c>
      <c r="B751" t="s">
        <v>305</v>
      </c>
      <c r="C751">
        <v>5856</v>
      </c>
      <c r="D751">
        <v>-32.949199999999998</v>
      </c>
      <c r="E751">
        <v>151.66730000000001</v>
      </c>
      <c r="F751">
        <v>4</v>
      </c>
      <c r="G751" t="s">
        <v>315</v>
      </c>
      <c r="H751">
        <v>11</v>
      </c>
      <c r="I751">
        <v>191</v>
      </c>
      <c r="J751">
        <v>139</v>
      </c>
      <c r="K751">
        <v>319</v>
      </c>
      <c r="L751">
        <v>190</v>
      </c>
      <c r="M751">
        <v>10</v>
      </c>
      <c r="N751">
        <v>300</v>
      </c>
      <c r="O751">
        <v>120</v>
      </c>
      <c r="T751">
        <v>3</v>
      </c>
      <c r="U751">
        <v>2</v>
      </c>
      <c r="Y751">
        <v>2</v>
      </c>
      <c r="Z751">
        <v>7</v>
      </c>
      <c r="AD751">
        <v>4</v>
      </c>
      <c r="AE751">
        <v>5</v>
      </c>
      <c r="AX751">
        <v>5</v>
      </c>
      <c r="AY751">
        <v>6</v>
      </c>
      <c r="AZ751">
        <v>11</v>
      </c>
      <c r="BA751">
        <v>9</v>
      </c>
      <c r="BB751">
        <v>8</v>
      </c>
      <c r="BC751">
        <v>17</v>
      </c>
      <c r="BD751">
        <v>9</v>
      </c>
      <c r="BE751">
        <v>9</v>
      </c>
      <c r="BF751">
        <v>18</v>
      </c>
      <c r="BP751">
        <v>8</v>
      </c>
      <c r="BR751">
        <v>10</v>
      </c>
      <c r="BS751">
        <v>1</v>
      </c>
      <c r="BT751">
        <v>4</v>
      </c>
      <c r="BV751">
        <v>0</v>
      </c>
      <c r="BW751">
        <v>23</v>
      </c>
      <c r="BX751">
        <f>IF(C751=C750,IF((CI751-1)=CI750,BW750,"no data"))</f>
        <v>5</v>
      </c>
      <c r="BY751" s="5">
        <f t="shared" si="85"/>
        <v>3.6</v>
      </c>
      <c r="BZ751" s="6">
        <f t="shared" si="84"/>
        <v>3.6</v>
      </c>
      <c r="CA751" s="7">
        <v>42316</v>
      </c>
      <c r="CE751">
        <v>18</v>
      </c>
      <c r="CF751">
        <v>4</v>
      </c>
      <c r="CG751">
        <v>0</v>
      </c>
      <c r="CH751">
        <v>1</v>
      </c>
      <c r="CI751">
        <f t="shared" si="82"/>
        <v>2015</v>
      </c>
      <c r="CJ751" t="str">
        <f t="shared" si="83"/>
        <v>5856_2015</v>
      </c>
    </row>
    <row r="752" spans="1:88" x14ac:dyDescent="0.25">
      <c r="A752" t="s">
        <v>79</v>
      </c>
      <c r="B752" t="s">
        <v>305</v>
      </c>
      <c r="C752">
        <v>5856</v>
      </c>
      <c r="D752">
        <v>-32.949235000000002</v>
      </c>
      <c r="E752">
        <v>151.66732500000001</v>
      </c>
      <c r="F752">
        <v>4</v>
      </c>
      <c r="G752" t="s">
        <v>315</v>
      </c>
      <c r="H752">
        <v>11</v>
      </c>
      <c r="I752">
        <v>191</v>
      </c>
      <c r="J752">
        <v>139</v>
      </c>
      <c r="K752">
        <v>319</v>
      </c>
      <c r="L752">
        <v>190</v>
      </c>
      <c r="M752">
        <v>10</v>
      </c>
      <c r="N752">
        <v>300</v>
      </c>
      <c r="O752">
        <v>120</v>
      </c>
      <c r="T752">
        <v>0</v>
      </c>
      <c r="U752">
        <v>0</v>
      </c>
      <c r="V752">
        <v>0</v>
      </c>
      <c r="Y752">
        <v>1</v>
      </c>
      <c r="Z752">
        <v>6</v>
      </c>
      <c r="AA752">
        <v>8</v>
      </c>
      <c r="AD752">
        <v>0</v>
      </c>
      <c r="AE752">
        <v>5</v>
      </c>
      <c r="AF752">
        <v>0</v>
      </c>
      <c r="AI752">
        <v>0</v>
      </c>
      <c r="AJ752">
        <v>6</v>
      </c>
      <c r="AK752">
        <v>0</v>
      </c>
      <c r="AX752">
        <v>0</v>
      </c>
      <c r="AY752">
        <v>1</v>
      </c>
      <c r="AZ752">
        <v>1</v>
      </c>
      <c r="BA752">
        <v>15</v>
      </c>
      <c r="BB752">
        <v>11</v>
      </c>
      <c r="BC752">
        <v>26</v>
      </c>
      <c r="BD752">
        <v>5</v>
      </c>
      <c r="BE752">
        <v>6</v>
      </c>
      <c r="BF752">
        <v>11</v>
      </c>
      <c r="BG752">
        <v>6</v>
      </c>
      <c r="BH752">
        <v>8</v>
      </c>
      <c r="BI752">
        <v>14</v>
      </c>
      <c r="BP752">
        <v>7</v>
      </c>
      <c r="BR752">
        <v>12</v>
      </c>
      <c r="BS752">
        <v>0</v>
      </c>
      <c r="BT752">
        <v>5</v>
      </c>
      <c r="BV752">
        <v>2</v>
      </c>
      <c r="BW752">
        <v>26</v>
      </c>
      <c r="BX752">
        <f>IF(C752=C751,IF((CI752-1)=CI751,BW751,"no data"))</f>
        <v>23</v>
      </c>
      <c r="BY752" s="5">
        <f t="shared" si="85"/>
        <v>0.13043478260869565</v>
      </c>
      <c r="BZ752" s="6">
        <f t="shared" si="84"/>
        <v>0.13043478260869565</v>
      </c>
      <c r="CA752" s="7">
        <v>42687</v>
      </c>
      <c r="CE752">
        <v>9</v>
      </c>
      <c r="CF752">
        <v>4</v>
      </c>
      <c r="CG752">
        <v>9</v>
      </c>
      <c r="CH752">
        <v>4</v>
      </c>
      <c r="CI752">
        <f t="shared" si="82"/>
        <v>2016</v>
      </c>
      <c r="CJ752" t="str">
        <f t="shared" si="83"/>
        <v>5856_2016</v>
      </c>
    </row>
    <row r="753" spans="1:88" x14ac:dyDescent="0.25">
      <c r="A753" t="s">
        <v>79</v>
      </c>
      <c r="B753" t="s">
        <v>305</v>
      </c>
      <c r="C753">
        <v>5856</v>
      </c>
      <c r="D753">
        <v>-32.949235000000002</v>
      </c>
      <c r="E753">
        <v>151.66732500000001</v>
      </c>
      <c r="F753">
        <v>4</v>
      </c>
      <c r="G753" t="s">
        <v>315</v>
      </c>
      <c r="H753">
        <v>11</v>
      </c>
      <c r="I753">
        <v>191</v>
      </c>
      <c r="J753">
        <v>139</v>
      </c>
      <c r="K753">
        <v>319</v>
      </c>
      <c r="L753">
        <v>190</v>
      </c>
      <c r="M753">
        <v>10</v>
      </c>
      <c r="N753">
        <v>300</v>
      </c>
      <c r="O753">
        <v>120</v>
      </c>
      <c r="T753">
        <v>4</v>
      </c>
      <c r="U753">
        <v>2</v>
      </c>
      <c r="V753">
        <v>0</v>
      </c>
      <c r="Y753">
        <v>8</v>
      </c>
      <c r="Z753">
        <v>7</v>
      </c>
      <c r="AA753">
        <v>4</v>
      </c>
      <c r="AD753">
        <v>2</v>
      </c>
      <c r="AE753">
        <v>12</v>
      </c>
      <c r="AF753">
        <v>0</v>
      </c>
      <c r="AI753">
        <v>2</v>
      </c>
      <c r="AJ753">
        <v>2</v>
      </c>
      <c r="AK753">
        <v>0</v>
      </c>
      <c r="AX753">
        <v>6</v>
      </c>
      <c r="AY753">
        <v>12</v>
      </c>
      <c r="AZ753">
        <v>18</v>
      </c>
      <c r="BA753">
        <v>19</v>
      </c>
      <c r="BB753">
        <v>18</v>
      </c>
      <c r="BC753">
        <v>37</v>
      </c>
      <c r="BD753">
        <v>14</v>
      </c>
      <c r="BE753">
        <v>9</v>
      </c>
      <c r="BF753">
        <v>23</v>
      </c>
      <c r="BG753">
        <v>4</v>
      </c>
      <c r="BH753">
        <v>4</v>
      </c>
      <c r="BI753">
        <v>8</v>
      </c>
      <c r="BP753">
        <v>8</v>
      </c>
      <c r="BR753">
        <v>22</v>
      </c>
      <c r="BS753">
        <v>0</v>
      </c>
      <c r="BT753">
        <v>11</v>
      </c>
      <c r="BV753">
        <v>2</v>
      </c>
      <c r="BW753">
        <v>43</v>
      </c>
      <c r="BX753">
        <f>IF(C753=C752,IF((CI753-1)=CI752,BW752,"no data"))</f>
        <v>26</v>
      </c>
      <c r="BY753" s="5">
        <f t="shared" si="85"/>
        <v>0.65384615384615385</v>
      </c>
      <c r="BZ753" s="6">
        <f t="shared" si="84"/>
        <v>0.65384615384615385</v>
      </c>
      <c r="CA753" s="7">
        <v>43051</v>
      </c>
      <c r="CE753">
        <v>21</v>
      </c>
      <c r="CF753">
        <v>12</v>
      </c>
      <c r="CG753">
        <v>6</v>
      </c>
      <c r="CH753">
        <v>4</v>
      </c>
      <c r="CI753">
        <f t="shared" si="82"/>
        <v>2017</v>
      </c>
      <c r="CJ753" t="str">
        <f t="shared" si="83"/>
        <v>5856_2017</v>
      </c>
    </row>
    <row r="754" spans="1:88" x14ac:dyDescent="0.25">
      <c r="A754" t="s">
        <v>79</v>
      </c>
      <c r="B754" t="s">
        <v>305</v>
      </c>
      <c r="C754">
        <v>5856</v>
      </c>
      <c r="D754">
        <v>-32.949235000000002</v>
      </c>
      <c r="E754">
        <v>151.66732500000001</v>
      </c>
      <c r="F754">
        <v>4</v>
      </c>
      <c r="G754" t="s">
        <v>315</v>
      </c>
      <c r="H754">
        <v>11</v>
      </c>
      <c r="I754">
        <v>191</v>
      </c>
      <c r="J754">
        <v>139</v>
      </c>
      <c r="K754">
        <v>319</v>
      </c>
      <c r="L754">
        <v>190</v>
      </c>
      <c r="M754">
        <v>10</v>
      </c>
      <c r="N754">
        <v>300</v>
      </c>
      <c r="O754">
        <v>120</v>
      </c>
      <c r="T754">
        <v>9</v>
      </c>
      <c r="U754">
        <v>2</v>
      </c>
      <c r="V754">
        <v>0</v>
      </c>
      <c r="Y754">
        <v>8</v>
      </c>
      <c r="Z754">
        <v>5</v>
      </c>
      <c r="AA754">
        <v>8</v>
      </c>
      <c r="AD754">
        <v>1</v>
      </c>
      <c r="AE754">
        <v>5</v>
      </c>
      <c r="AF754">
        <v>3</v>
      </c>
      <c r="AI754">
        <v>0</v>
      </c>
      <c r="AJ754">
        <v>4</v>
      </c>
      <c r="AK754">
        <v>3</v>
      </c>
      <c r="AX754">
        <v>11</v>
      </c>
      <c r="AY754">
        <v>9</v>
      </c>
      <c r="AZ754">
        <v>20</v>
      </c>
      <c r="BA754">
        <v>21</v>
      </c>
      <c r="BB754">
        <v>18</v>
      </c>
      <c r="BC754">
        <v>39</v>
      </c>
      <c r="BD754">
        <v>9</v>
      </c>
      <c r="BE754">
        <v>10</v>
      </c>
      <c r="BF754">
        <v>19</v>
      </c>
      <c r="BG754">
        <v>7</v>
      </c>
      <c r="BH754">
        <v>11</v>
      </c>
      <c r="BI754">
        <v>18</v>
      </c>
      <c r="BP754">
        <v>19</v>
      </c>
      <c r="BR754">
        <v>19</v>
      </c>
      <c r="BS754">
        <v>1</v>
      </c>
      <c r="BT754">
        <v>8</v>
      </c>
      <c r="BV754">
        <v>1</v>
      </c>
      <c r="BW754">
        <v>48</v>
      </c>
      <c r="BX754">
        <f>IF(C754=C753,IF((CI754-1)=CI753,BW753,"no data"))</f>
        <v>43</v>
      </c>
      <c r="BY754" s="5">
        <f t="shared" si="85"/>
        <v>0.11627906976744186</v>
      </c>
      <c r="BZ754" s="6">
        <f t="shared" si="84"/>
        <v>0.11627906976744186</v>
      </c>
      <c r="CA754" s="7">
        <v>43415</v>
      </c>
      <c r="CE754">
        <v>6</v>
      </c>
      <c r="CF754">
        <v>19</v>
      </c>
      <c r="CG754">
        <v>10</v>
      </c>
      <c r="CH754">
        <v>13</v>
      </c>
      <c r="CI754">
        <f t="shared" si="82"/>
        <v>2018</v>
      </c>
      <c r="CJ754" t="str">
        <f t="shared" si="83"/>
        <v>5856_2018</v>
      </c>
    </row>
    <row r="755" spans="1:88" x14ac:dyDescent="0.25">
      <c r="A755" t="s">
        <v>79</v>
      </c>
      <c r="B755" t="s">
        <v>305</v>
      </c>
      <c r="C755">
        <v>5857</v>
      </c>
      <c r="D755">
        <v>-32.942700000000002</v>
      </c>
      <c r="E755">
        <v>151.65969999999999</v>
      </c>
      <c r="F755">
        <v>4</v>
      </c>
      <c r="G755" t="s">
        <v>316</v>
      </c>
      <c r="H755">
        <v>9</v>
      </c>
      <c r="I755">
        <v>189</v>
      </c>
      <c r="J755">
        <v>115</v>
      </c>
      <c r="K755">
        <v>295</v>
      </c>
      <c r="L755">
        <v>180</v>
      </c>
      <c r="M755">
        <v>360</v>
      </c>
      <c r="N755">
        <v>283</v>
      </c>
      <c r="O755">
        <v>103</v>
      </c>
      <c r="T755">
        <v>19</v>
      </c>
      <c r="U755">
        <v>15</v>
      </c>
      <c r="V755">
        <v>16</v>
      </c>
      <c r="Y755">
        <v>15</v>
      </c>
      <c r="Z755">
        <v>6</v>
      </c>
      <c r="AA755">
        <v>4</v>
      </c>
      <c r="AD755">
        <v>14</v>
      </c>
      <c r="AE755">
        <v>2</v>
      </c>
      <c r="AF755">
        <v>2</v>
      </c>
      <c r="AI755">
        <v>2</v>
      </c>
      <c r="AJ755">
        <v>0</v>
      </c>
      <c r="AK755">
        <v>1</v>
      </c>
      <c r="AX755">
        <v>50</v>
      </c>
      <c r="AY755">
        <v>31</v>
      </c>
      <c r="AZ755">
        <v>81</v>
      </c>
      <c r="BA755">
        <v>25</v>
      </c>
      <c r="BB755">
        <v>21</v>
      </c>
      <c r="BC755">
        <v>46</v>
      </c>
      <c r="BD755">
        <v>18</v>
      </c>
      <c r="BE755">
        <v>22</v>
      </c>
      <c r="BF755">
        <v>40</v>
      </c>
      <c r="BG755">
        <v>3</v>
      </c>
      <c r="BH755">
        <v>22</v>
      </c>
      <c r="BI755">
        <v>25</v>
      </c>
      <c r="BP755">
        <v>21</v>
      </c>
      <c r="BR755">
        <v>56</v>
      </c>
      <c r="BS755">
        <v>0</v>
      </c>
      <c r="BT755">
        <v>3</v>
      </c>
      <c r="BV755">
        <v>16</v>
      </c>
      <c r="BW755">
        <v>96</v>
      </c>
      <c r="BX755" t="s">
        <v>82</v>
      </c>
      <c r="BY755" s="5"/>
      <c r="BZ755" s="6"/>
      <c r="CA755" s="7">
        <v>42316</v>
      </c>
      <c r="CE755">
        <v>21</v>
      </c>
      <c r="CF755">
        <v>17</v>
      </c>
      <c r="CG755">
        <v>24</v>
      </c>
      <c r="CH755">
        <v>34</v>
      </c>
      <c r="CI755">
        <f t="shared" si="82"/>
        <v>2015</v>
      </c>
      <c r="CJ755" t="str">
        <f t="shared" si="83"/>
        <v>5857_2015</v>
      </c>
    </row>
    <row r="756" spans="1:88" x14ac:dyDescent="0.25">
      <c r="A756" t="s">
        <v>79</v>
      </c>
      <c r="B756" t="s">
        <v>305</v>
      </c>
      <c r="C756">
        <v>5857</v>
      </c>
      <c r="D756">
        <v>-32.942691000000003</v>
      </c>
      <c r="E756">
        <v>151.65968100000001</v>
      </c>
      <c r="F756">
        <v>4</v>
      </c>
      <c r="G756" t="s">
        <v>316</v>
      </c>
      <c r="H756">
        <v>9</v>
      </c>
      <c r="I756">
        <v>189</v>
      </c>
      <c r="J756">
        <v>115</v>
      </c>
      <c r="K756">
        <v>295</v>
      </c>
      <c r="L756">
        <v>180</v>
      </c>
      <c r="M756">
        <v>360</v>
      </c>
      <c r="N756">
        <v>283</v>
      </c>
      <c r="O756">
        <v>103</v>
      </c>
      <c r="T756">
        <v>8</v>
      </c>
      <c r="U756">
        <v>1</v>
      </c>
      <c r="V756">
        <v>9</v>
      </c>
      <c r="Y756">
        <v>7</v>
      </c>
      <c r="Z756">
        <v>0</v>
      </c>
      <c r="AA756">
        <v>2</v>
      </c>
      <c r="AD756">
        <v>3</v>
      </c>
      <c r="AE756">
        <v>0</v>
      </c>
      <c r="AF756">
        <v>4</v>
      </c>
      <c r="AI756">
        <v>5</v>
      </c>
      <c r="AJ756">
        <v>6</v>
      </c>
      <c r="AK756">
        <v>1</v>
      </c>
      <c r="AX756">
        <v>18</v>
      </c>
      <c r="AY756">
        <v>15</v>
      </c>
      <c r="AZ756">
        <v>33</v>
      </c>
      <c r="BA756">
        <v>9</v>
      </c>
      <c r="BB756">
        <v>14</v>
      </c>
      <c r="BC756">
        <v>23</v>
      </c>
      <c r="BD756">
        <v>7</v>
      </c>
      <c r="BE756">
        <v>2</v>
      </c>
      <c r="BF756">
        <v>9</v>
      </c>
      <c r="BG756">
        <v>12</v>
      </c>
      <c r="BH756">
        <v>15</v>
      </c>
      <c r="BI756">
        <v>27</v>
      </c>
      <c r="BP756">
        <v>14</v>
      </c>
      <c r="BR756">
        <v>29</v>
      </c>
      <c r="BS756">
        <v>0</v>
      </c>
      <c r="BT756">
        <v>1</v>
      </c>
      <c r="BV756">
        <v>2</v>
      </c>
      <c r="BW756">
        <v>46</v>
      </c>
      <c r="BX756">
        <f>IF(C756=C755,IF((CI756-1)=CI755,BW755,"no data"))</f>
        <v>96</v>
      </c>
      <c r="BY756" s="5">
        <f t="shared" si="85"/>
        <v>-0.52083333333333337</v>
      </c>
      <c r="BZ756" s="6">
        <f t="shared" si="84"/>
        <v>-0.52083333333333337</v>
      </c>
      <c r="CA756" s="7">
        <v>42715</v>
      </c>
      <c r="CE756">
        <v>17</v>
      </c>
      <c r="CF756">
        <v>14</v>
      </c>
      <c r="CG756">
        <v>10</v>
      </c>
      <c r="CH756">
        <v>5</v>
      </c>
      <c r="CI756">
        <f t="shared" si="82"/>
        <v>2016</v>
      </c>
      <c r="CJ756" t="str">
        <f t="shared" si="83"/>
        <v>5857_2016</v>
      </c>
    </row>
    <row r="757" spans="1:88" x14ac:dyDescent="0.25">
      <c r="A757" t="s">
        <v>79</v>
      </c>
      <c r="B757" t="s">
        <v>305</v>
      </c>
      <c r="C757">
        <v>5857</v>
      </c>
      <c r="D757">
        <v>-32.942691000000003</v>
      </c>
      <c r="E757">
        <v>151.65968100000001</v>
      </c>
      <c r="F757">
        <v>4</v>
      </c>
      <c r="G757" t="s">
        <v>316</v>
      </c>
      <c r="H757">
        <v>9</v>
      </c>
      <c r="I757">
        <v>189</v>
      </c>
      <c r="J757">
        <v>115</v>
      </c>
      <c r="K757">
        <v>295</v>
      </c>
      <c r="L757">
        <v>180</v>
      </c>
      <c r="M757">
        <v>360</v>
      </c>
      <c r="N757">
        <v>283</v>
      </c>
      <c r="O757">
        <v>103</v>
      </c>
      <c r="T757">
        <v>3</v>
      </c>
      <c r="U757">
        <v>11</v>
      </c>
      <c r="V757">
        <v>3</v>
      </c>
      <c r="Y757">
        <v>15</v>
      </c>
      <c r="Z757">
        <v>9</v>
      </c>
      <c r="AA757">
        <v>6</v>
      </c>
      <c r="AD757">
        <v>2</v>
      </c>
      <c r="AE757">
        <v>3</v>
      </c>
      <c r="AF757">
        <v>2</v>
      </c>
      <c r="AI757">
        <v>9</v>
      </c>
      <c r="AJ757">
        <v>3</v>
      </c>
      <c r="AK757">
        <v>0</v>
      </c>
      <c r="AX757">
        <v>17</v>
      </c>
      <c r="AY757">
        <v>26</v>
      </c>
      <c r="AZ757">
        <v>43</v>
      </c>
      <c r="BA757">
        <v>30</v>
      </c>
      <c r="BB757">
        <v>9</v>
      </c>
      <c r="BC757">
        <v>39</v>
      </c>
      <c r="BD757">
        <v>7</v>
      </c>
      <c r="BE757">
        <v>20</v>
      </c>
      <c r="BF757">
        <v>27</v>
      </c>
      <c r="BG757">
        <v>12</v>
      </c>
      <c r="BH757">
        <v>11</v>
      </c>
      <c r="BI757">
        <v>23</v>
      </c>
      <c r="BP757">
        <v>13</v>
      </c>
      <c r="BR757">
        <v>38</v>
      </c>
      <c r="BS757">
        <v>7</v>
      </c>
      <c r="BT757">
        <v>8</v>
      </c>
      <c r="BV757">
        <v>0</v>
      </c>
      <c r="BW757">
        <v>66</v>
      </c>
      <c r="BX757">
        <f>IF(C757=C756,IF((CI757-1)=CI756,BW756,"no data"))</f>
        <v>46</v>
      </c>
      <c r="BY757" s="5">
        <f t="shared" si="85"/>
        <v>0.43478260869565216</v>
      </c>
      <c r="BZ757" s="6">
        <f t="shared" si="84"/>
        <v>0.43478260869565216</v>
      </c>
      <c r="CA757" s="7">
        <v>43051</v>
      </c>
      <c r="CE757">
        <v>16</v>
      </c>
      <c r="CF757">
        <v>17</v>
      </c>
      <c r="CG757">
        <v>19</v>
      </c>
      <c r="CH757">
        <v>14</v>
      </c>
      <c r="CI757">
        <f t="shared" si="82"/>
        <v>2017</v>
      </c>
      <c r="CJ757" t="str">
        <f t="shared" si="83"/>
        <v>5857_2017</v>
      </c>
    </row>
    <row r="758" spans="1:88" x14ac:dyDescent="0.25">
      <c r="A758" t="s">
        <v>79</v>
      </c>
      <c r="B758" t="s">
        <v>305</v>
      </c>
      <c r="C758">
        <v>5857</v>
      </c>
      <c r="D758">
        <v>-32.942691000000003</v>
      </c>
      <c r="E758">
        <v>151.65968100000001</v>
      </c>
      <c r="F758">
        <v>4</v>
      </c>
      <c r="G758" t="s">
        <v>316</v>
      </c>
      <c r="H758">
        <v>9</v>
      </c>
      <c r="I758">
        <v>189</v>
      </c>
      <c r="J758">
        <v>115</v>
      </c>
      <c r="K758">
        <v>295</v>
      </c>
      <c r="L758">
        <v>180</v>
      </c>
      <c r="M758">
        <v>360</v>
      </c>
      <c r="N758">
        <v>283</v>
      </c>
      <c r="O758">
        <v>103</v>
      </c>
      <c r="T758">
        <v>15</v>
      </c>
      <c r="U758">
        <v>4</v>
      </c>
      <c r="V758">
        <v>14</v>
      </c>
      <c r="Y758">
        <v>10</v>
      </c>
      <c r="Z758">
        <v>2</v>
      </c>
      <c r="AA758">
        <v>5</v>
      </c>
      <c r="AD758">
        <v>4</v>
      </c>
      <c r="AE758">
        <v>2</v>
      </c>
      <c r="AF758">
        <v>2</v>
      </c>
      <c r="AI758">
        <v>7</v>
      </c>
      <c r="AJ758">
        <v>13</v>
      </c>
      <c r="AK758">
        <v>3</v>
      </c>
      <c r="AX758">
        <v>33</v>
      </c>
      <c r="AY758">
        <v>21</v>
      </c>
      <c r="AZ758">
        <v>54</v>
      </c>
      <c r="BA758">
        <v>17</v>
      </c>
      <c r="BB758">
        <v>30</v>
      </c>
      <c r="BC758">
        <v>47</v>
      </c>
      <c r="BD758">
        <v>8</v>
      </c>
      <c r="BE758">
        <v>9</v>
      </c>
      <c r="BF758">
        <v>17</v>
      </c>
      <c r="BG758">
        <v>23</v>
      </c>
      <c r="BH758">
        <v>21</v>
      </c>
      <c r="BI758">
        <v>44</v>
      </c>
      <c r="BP758">
        <v>23</v>
      </c>
      <c r="BR758">
        <v>56</v>
      </c>
      <c r="BS758">
        <v>0</v>
      </c>
      <c r="BT758">
        <v>0</v>
      </c>
      <c r="BV758">
        <v>2</v>
      </c>
      <c r="BW758">
        <v>81</v>
      </c>
      <c r="BX758">
        <f>IF(C758=C757,IF((CI758-1)=CI757,BW757,"no data"))</f>
        <v>66</v>
      </c>
      <c r="BY758" s="5">
        <f t="shared" si="85"/>
        <v>0.22727272727272727</v>
      </c>
      <c r="BZ758" s="6">
        <f t="shared" si="84"/>
        <v>0.22727272727272727</v>
      </c>
      <c r="CA758" s="7">
        <v>43415</v>
      </c>
      <c r="CE758">
        <v>16</v>
      </c>
      <c r="CF758">
        <v>26</v>
      </c>
      <c r="CG758">
        <v>20</v>
      </c>
      <c r="CH758">
        <v>19</v>
      </c>
      <c r="CI758">
        <f t="shared" si="82"/>
        <v>2018</v>
      </c>
      <c r="CJ758" t="str">
        <f t="shared" si="83"/>
        <v>5857_2018</v>
      </c>
    </row>
    <row r="759" spans="1:88" x14ac:dyDescent="0.25">
      <c r="A759" t="s">
        <v>79</v>
      </c>
      <c r="B759" t="s">
        <v>305</v>
      </c>
      <c r="C759">
        <v>5858</v>
      </c>
      <c r="D759">
        <v>-32.9452</v>
      </c>
      <c r="E759">
        <v>151.6232</v>
      </c>
      <c r="F759">
        <v>4</v>
      </c>
      <c r="G759" t="s">
        <v>317</v>
      </c>
      <c r="H759">
        <v>12</v>
      </c>
      <c r="I759">
        <v>192</v>
      </c>
      <c r="J759">
        <v>85</v>
      </c>
      <c r="K759">
        <v>265</v>
      </c>
      <c r="L759">
        <v>193</v>
      </c>
      <c r="M759">
        <v>13</v>
      </c>
      <c r="N759">
        <v>216</v>
      </c>
      <c r="O759">
        <v>36</v>
      </c>
      <c r="U759">
        <v>6</v>
      </c>
      <c r="V759">
        <v>5</v>
      </c>
      <c r="AD759">
        <v>3</v>
      </c>
      <c r="AF759">
        <v>0</v>
      </c>
      <c r="AI759">
        <v>11</v>
      </c>
      <c r="AK759">
        <v>0</v>
      </c>
      <c r="AX759">
        <v>11</v>
      </c>
      <c r="AY759">
        <v>14</v>
      </c>
      <c r="AZ759">
        <v>25</v>
      </c>
      <c r="BD759">
        <v>3</v>
      </c>
      <c r="BE759">
        <v>6</v>
      </c>
      <c r="BF759">
        <v>9</v>
      </c>
      <c r="BG759">
        <v>11</v>
      </c>
      <c r="BH759">
        <v>5</v>
      </c>
      <c r="BI759">
        <v>16</v>
      </c>
      <c r="BP759">
        <v>23</v>
      </c>
      <c r="BR759">
        <v>2</v>
      </c>
      <c r="BS759">
        <v>0</v>
      </c>
      <c r="BT759">
        <v>0</v>
      </c>
      <c r="BV759">
        <v>0</v>
      </c>
      <c r="BW759">
        <v>25</v>
      </c>
      <c r="BX759" t="s">
        <v>82</v>
      </c>
      <c r="BY759" s="5"/>
      <c r="BZ759" s="6"/>
      <c r="CA759" s="7">
        <v>41952</v>
      </c>
      <c r="CI759">
        <f t="shared" si="82"/>
        <v>2014</v>
      </c>
      <c r="CJ759" t="str">
        <f t="shared" si="83"/>
        <v>5858_2014</v>
      </c>
    </row>
    <row r="760" spans="1:88" x14ac:dyDescent="0.25">
      <c r="A760" t="s">
        <v>79</v>
      </c>
      <c r="B760" t="s">
        <v>305</v>
      </c>
      <c r="C760">
        <v>5858</v>
      </c>
      <c r="D760">
        <v>-32.9452</v>
      </c>
      <c r="E760">
        <v>151.6232</v>
      </c>
      <c r="F760">
        <v>4</v>
      </c>
      <c r="G760" t="s">
        <v>317</v>
      </c>
      <c r="H760">
        <v>12</v>
      </c>
      <c r="I760">
        <v>192</v>
      </c>
      <c r="J760">
        <v>85</v>
      </c>
      <c r="K760">
        <v>265</v>
      </c>
      <c r="L760">
        <v>193</v>
      </c>
      <c r="M760">
        <v>13</v>
      </c>
      <c r="N760">
        <v>216</v>
      </c>
      <c r="O760">
        <v>36</v>
      </c>
      <c r="U760">
        <v>2</v>
      </c>
      <c r="V760">
        <v>7</v>
      </c>
      <c r="AD760">
        <v>4</v>
      </c>
      <c r="AF760">
        <v>1</v>
      </c>
      <c r="AI760">
        <v>5</v>
      </c>
      <c r="AK760">
        <v>0</v>
      </c>
      <c r="AX760">
        <v>9</v>
      </c>
      <c r="AY760">
        <v>9</v>
      </c>
      <c r="AZ760">
        <v>18</v>
      </c>
      <c r="BD760">
        <v>5</v>
      </c>
      <c r="BE760">
        <v>2</v>
      </c>
      <c r="BF760">
        <v>7</v>
      </c>
      <c r="BG760">
        <v>5</v>
      </c>
      <c r="BH760">
        <v>8</v>
      </c>
      <c r="BI760">
        <v>13</v>
      </c>
      <c r="BP760">
        <v>14</v>
      </c>
      <c r="BR760">
        <v>2</v>
      </c>
      <c r="BS760">
        <v>3</v>
      </c>
      <c r="BT760">
        <v>0</v>
      </c>
      <c r="BV760">
        <v>0</v>
      </c>
      <c r="BW760">
        <v>19</v>
      </c>
      <c r="BX760">
        <f>IF(C760=C759,IF((CI760-1)=CI759,BW759,"no data"))</f>
        <v>25</v>
      </c>
      <c r="BY760" s="5">
        <f t="shared" si="85"/>
        <v>-0.24</v>
      </c>
      <c r="BZ760" s="6">
        <f t="shared" si="84"/>
        <v>-0.24</v>
      </c>
      <c r="CA760" s="7">
        <v>42316</v>
      </c>
      <c r="CE760">
        <v>11</v>
      </c>
      <c r="CF760">
        <v>5</v>
      </c>
      <c r="CG760">
        <v>1</v>
      </c>
      <c r="CH760">
        <v>2</v>
      </c>
      <c r="CI760">
        <f t="shared" si="82"/>
        <v>2015</v>
      </c>
      <c r="CJ760" t="str">
        <f t="shared" si="83"/>
        <v>5858_2015</v>
      </c>
    </row>
    <row r="761" spans="1:88" x14ac:dyDescent="0.25">
      <c r="A761" t="s">
        <v>79</v>
      </c>
      <c r="B761" t="s">
        <v>305</v>
      </c>
      <c r="C761">
        <v>5858</v>
      </c>
      <c r="D761">
        <v>-32.944015</v>
      </c>
      <c r="E761">
        <v>151.62419800000001</v>
      </c>
      <c r="F761">
        <v>3</v>
      </c>
      <c r="G761" t="s">
        <v>318</v>
      </c>
      <c r="H761">
        <v>12</v>
      </c>
      <c r="I761">
        <v>192</v>
      </c>
      <c r="J761">
        <v>193</v>
      </c>
      <c r="K761">
        <v>13</v>
      </c>
      <c r="L761">
        <v>216</v>
      </c>
      <c r="M761">
        <v>36</v>
      </c>
      <c r="T761">
        <v>9</v>
      </c>
      <c r="U761">
        <v>14</v>
      </c>
      <c r="Y761">
        <v>16</v>
      </c>
      <c r="Z761">
        <v>0</v>
      </c>
      <c r="AD761">
        <v>6</v>
      </c>
      <c r="AE761">
        <v>0</v>
      </c>
      <c r="AX761">
        <v>23</v>
      </c>
      <c r="AY761">
        <v>22</v>
      </c>
      <c r="AZ761">
        <v>45</v>
      </c>
      <c r="BA761">
        <v>16</v>
      </c>
      <c r="BB761">
        <v>9</v>
      </c>
      <c r="BC761">
        <v>25</v>
      </c>
      <c r="BD761">
        <v>6</v>
      </c>
      <c r="BE761">
        <v>14</v>
      </c>
      <c r="BF761">
        <v>20</v>
      </c>
      <c r="BP761">
        <v>37</v>
      </c>
      <c r="BR761">
        <v>8</v>
      </c>
      <c r="BS761">
        <v>0</v>
      </c>
      <c r="BT761">
        <v>0</v>
      </c>
      <c r="BV761">
        <v>0</v>
      </c>
      <c r="BW761">
        <v>45</v>
      </c>
      <c r="BX761">
        <f>IF(C761=C760,IF((CI761-1)=CI760,BW760,"no data"))</f>
        <v>19</v>
      </c>
      <c r="BY761" s="5">
        <f t="shared" si="85"/>
        <v>1.368421052631579</v>
      </c>
      <c r="BZ761" s="6">
        <f t="shared" si="84"/>
        <v>1.368421052631579</v>
      </c>
      <c r="CA761" s="7">
        <v>42687</v>
      </c>
      <c r="CE761">
        <v>27</v>
      </c>
      <c r="CF761">
        <v>6</v>
      </c>
      <c r="CG761">
        <v>5</v>
      </c>
      <c r="CH761">
        <v>7</v>
      </c>
      <c r="CI761">
        <f t="shared" si="82"/>
        <v>2016</v>
      </c>
      <c r="CJ761" t="str">
        <f t="shared" si="83"/>
        <v>5858_2016</v>
      </c>
    </row>
    <row r="762" spans="1:88" x14ac:dyDescent="0.25">
      <c r="A762" t="s">
        <v>79</v>
      </c>
      <c r="B762" t="s">
        <v>305</v>
      </c>
      <c r="C762">
        <v>5858</v>
      </c>
      <c r="D762">
        <v>-32.945168000000002</v>
      </c>
      <c r="E762">
        <v>151.62324699999999</v>
      </c>
      <c r="F762">
        <v>4</v>
      </c>
      <c r="G762" t="s">
        <v>317</v>
      </c>
      <c r="H762">
        <v>12</v>
      </c>
      <c r="I762">
        <v>192</v>
      </c>
      <c r="J762">
        <v>85</v>
      </c>
      <c r="K762">
        <v>265</v>
      </c>
      <c r="L762">
        <v>193</v>
      </c>
      <c r="M762">
        <v>13</v>
      </c>
      <c r="N762">
        <v>216</v>
      </c>
      <c r="O762">
        <v>36</v>
      </c>
      <c r="T762">
        <v>0</v>
      </c>
      <c r="U762">
        <v>7</v>
      </c>
      <c r="V762">
        <v>26</v>
      </c>
      <c r="Y762">
        <v>0</v>
      </c>
      <c r="Z762">
        <v>0</v>
      </c>
      <c r="AA762">
        <v>0</v>
      </c>
      <c r="AD762">
        <v>3</v>
      </c>
      <c r="AE762">
        <v>0</v>
      </c>
      <c r="AF762">
        <v>3</v>
      </c>
      <c r="AI762">
        <v>28</v>
      </c>
      <c r="AJ762">
        <v>0</v>
      </c>
      <c r="AK762">
        <v>3</v>
      </c>
      <c r="AX762">
        <v>33</v>
      </c>
      <c r="AY762">
        <v>31</v>
      </c>
      <c r="AZ762">
        <v>64</v>
      </c>
      <c r="BA762">
        <v>0</v>
      </c>
      <c r="BB762">
        <v>0</v>
      </c>
      <c r="BC762">
        <v>0</v>
      </c>
      <c r="BD762">
        <v>6</v>
      </c>
      <c r="BE762">
        <v>10</v>
      </c>
      <c r="BF762">
        <v>16</v>
      </c>
      <c r="BG762">
        <v>31</v>
      </c>
      <c r="BH762">
        <v>29</v>
      </c>
      <c r="BI762">
        <v>60</v>
      </c>
      <c r="BP762">
        <v>60</v>
      </c>
      <c r="BR762">
        <v>5</v>
      </c>
      <c r="BS762">
        <v>4</v>
      </c>
      <c r="BT762">
        <v>0</v>
      </c>
      <c r="BV762">
        <v>1</v>
      </c>
      <c r="BW762">
        <v>70</v>
      </c>
      <c r="BX762">
        <f>IF(C762=C761,IF((CI762-1)=CI761,BW761,"no data"))</f>
        <v>45</v>
      </c>
      <c r="BY762" s="5">
        <f t="shared" si="85"/>
        <v>0.55555555555555558</v>
      </c>
      <c r="BZ762" s="6">
        <f t="shared" si="84"/>
        <v>0.55555555555555558</v>
      </c>
      <c r="CA762" s="7">
        <v>43051</v>
      </c>
      <c r="CE762">
        <v>25</v>
      </c>
      <c r="CF762">
        <v>21</v>
      </c>
      <c r="CG762">
        <v>17</v>
      </c>
      <c r="CH762">
        <v>7</v>
      </c>
      <c r="CI762">
        <f t="shared" si="82"/>
        <v>2017</v>
      </c>
      <c r="CJ762" t="str">
        <f t="shared" si="83"/>
        <v>5858_2017</v>
      </c>
    </row>
    <row r="763" spans="1:88" x14ac:dyDescent="0.25">
      <c r="A763" t="s">
        <v>79</v>
      </c>
      <c r="B763" t="s">
        <v>305</v>
      </c>
      <c r="C763">
        <v>5858</v>
      </c>
      <c r="D763">
        <v>-32.945168000000002</v>
      </c>
      <c r="E763">
        <v>151.62324699999999</v>
      </c>
      <c r="F763">
        <v>4</v>
      </c>
      <c r="G763" t="s">
        <v>317</v>
      </c>
      <c r="H763">
        <v>12</v>
      </c>
      <c r="I763">
        <v>192</v>
      </c>
      <c r="J763">
        <v>85</v>
      </c>
      <c r="K763">
        <v>265</v>
      </c>
      <c r="L763">
        <v>193</v>
      </c>
      <c r="M763">
        <v>13</v>
      </c>
      <c r="N763">
        <v>216</v>
      </c>
      <c r="O763">
        <v>36</v>
      </c>
      <c r="T763">
        <v>0</v>
      </c>
      <c r="U763">
        <v>11</v>
      </c>
      <c r="V763">
        <v>26</v>
      </c>
      <c r="Y763">
        <v>0</v>
      </c>
      <c r="Z763">
        <v>0</v>
      </c>
      <c r="AA763">
        <v>0</v>
      </c>
      <c r="AD763">
        <v>8</v>
      </c>
      <c r="AE763">
        <v>0</v>
      </c>
      <c r="AF763">
        <v>1</v>
      </c>
      <c r="AI763">
        <v>28</v>
      </c>
      <c r="AJ763">
        <v>0</v>
      </c>
      <c r="AK763">
        <v>0</v>
      </c>
      <c r="AX763">
        <v>37</v>
      </c>
      <c r="AY763">
        <v>36</v>
      </c>
      <c r="AZ763">
        <v>73</v>
      </c>
      <c r="BA763">
        <v>0</v>
      </c>
      <c r="BB763">
        <v>0</v>
      </c>
      <c r="BC763">
        <v>0</v>
      </c>
      <c r="BD763">
        <v>9</v>
      </c>
      <c r="BE763">
        <v>11</v>
      </c>
      <c r="BF763">
        <v>20</v>
      </c>
      <c r="BG763">
        <v>28</v>
      </c>
      <c r="BH763">
        <v>27</v>
      </c>
      <c r="BI763">
        <v>55</v>
      </c>
      <c r="BP763">
        <v>43</v>
      </c>
      <c r="BR763">
        <v>25</v>
      </c>
      <c r="BS763">
        <v>5</v>
      </c>
      <c r="BT763">
        <v>1</v>
      </c>
      <c r="BV763">
        <v>0</v>
      </c>
      <c r="BW763">
        <v>74</v>
      </c>
      <c r="BX763">
        <f>IF(C763=C762,IF((CI763-1)=CI762,BW762,"no data"))</f>
        <v>70</v>
      </c>
      <c r="BY763" s="5">
        <f t="shared" si="85"/>
        <v>5.7142857142857141E-2</v>
      </c>
      <c r="BZ763" s="6">
        <f t="shared" si="84"/>
        <v>5.7142857142857141E-2</v>
      </c>
      <c r="CA763" s="7">
        <v>43415</v>
      </c>
      <c r="CE763">
        <v>34</v>
      </c>
      <c r="CF763">
        <v>19</v>
      </c>
      <c r="CG763">
        <v>15</v>
      </c>
      <c r="CH763">
        <v>6</v>
      </c>
      <c r="CI763">
        <f t="shared" si="82"/>
        <v>2018</v>
      </c>
      <c r="CJ763" t="str">
        <f t="shared" si="83"/>
        <v>5858_2018</v>
      </c>
    </row>
    <row r="764" spans="1:88" x14ac:dyDescent="0.25">
      <c r="A764" t="s">
        <v>79</v>
      </c>
      <c r="B764" t="s">
        <v>305</v>
      </c>
      <c r="C764">
        <v>5859</v>
      </c>
      <c r="D764">
        <v>-32.942799999999998</v>
      </c>
      <c r="E764">
        <v>151.654</v>
      </c>
      <c r="F764">
        <v>4</v>
      </c>
      <c r="G764" t="s">
        <v>319</v>
      </c>
      <c r="H764">
        <v>4</v>
      </c>
      <c r="I764">
        <v>184</v>
      </c>
      <c r="J764">
        <v>85</v>
      </c>
      <c r="K764">
        <v>265</v>
      </c>
      <c r="L764">
        <v>183</v>
      </c>
      <c r="M764">
        <v>3</v>
      </c>
      <c r="N764">
        <v>266</v>
      </c>
      <c r="O764">
        <v>86</v>
      </c>
      <c r="T764">
        <v>0</v>
      </c>
      <c r="U764">
        <v>0</v>
      </c>
      <c r="V764">
        <v>1</v>
      </c>
      <c r="Y764">
        <v>0</v>
      </c>
      <c r="Z764">
        <v>8</v>
      </c>
      <c r="AA764">
        <v>3</v>
      </c>
      <c r="AD764">
        <v>0</v>
      </c>
      <c r="AE764">
        <v>0</v>
      </c>
      <c r="AF764">
        <v>0</v>
      </c>
      <c r="AI764">
        <v>3</v>
      </c>
      <c r="AJ764">
        <v>2</v>
      </c>
      <c r="AK764">
        <v>0</v>
      </c>
      <c r="AX764">
        <v>1</v>
      </c>
      <c r="AY764">
        <v>3</v>
      </c>
      <c r="AZ764">
        <v>4</v>
      </c>
      <c r="BA764">
        <v>11</v>
      </c>
      <c r="BB764">
        <v>2</v>
      </c>
      <c r="BC764">
        <v>13</v>
      </c>
      <c r="BD764">
        <v>0</v>
      </c>
      <c r="BE764">
        <v>8</v>
      </c>
      <c r="BF764">
        <v>8</v>
      </c>
      <c r="BG764">
        <v>5</v>
      </c>
      <c r="BH764">
        <v>4</v>
      </c>
      <c r="BI764">
        <v>9</v>
      </c>
      <c r="BP764">
        <v>0</v>
      </c>
      <c r="BR764">
        <v>13</v>
      </c>
      <c r="BS764">
        <v>1</v>
      </c>
      <c r="BT764">
        <v>0</v>
      </c>
      <c r="BV764">
        <v>3</v>
      </c>
      <c r="BW764">
        <v>17</v>
      </c>
      <c r="BX764" t="s">
        <v>82</v>
      </c>
      <c r="BY764" s="5"/>
      <c r="BZ764" s="6"/>
      <c r="CA764" s="7">
        <v>42316</v>
      </c>
      <c r="CE764">
        <v>8</v>
      </c>
      <c r="CF764">
        <v>1</v>
      </c>
      <c r="CG764">
        <v>1</v>
      </c>
      <c r="CH764">
        <v>7</v>
      </c>
      <c r="CI764">
        <f t="shared" si="82"/>
        <v>2015</v>
      </c>
      <c r="CJ764" t="str">
        <f t="shared" si="83"/>
        <v>5859_2015</v>
      </c>
    </row>
    <row r="765" spans="1:88" x14ac:dyDescent="0.25">
      <c r="A765" t="s">
        <v>79</v>
      </c>
      <c r="B765" t="s">
        <v>305</v>
      </c>
      <c r="C765">
        <v>5859</v>
      </c>
      <c r="D765">
        <v>-32.942765999999999</v>
      </c>
      <c r="E765">
        <v>151.654033</v>
      </c>
      <c r="F765">
        <v>4</v>
      </c>
      <c r="G765" t="s">
        <v>319</v>
      </c>
      <c r="H765">
        <v>4</v>
      </c>
      <c r="I765">
        <v>184</v>
      </c>
      <c r="J765">
        <v>85</v>
      </c>
      <c r="K765">
        <v>265</v>
      </c>
      <c r="L765">
        <v>183</v>
      </c>
      <c r="M765">
        <v>3</v>
      </c>
      <c r="N765">
        <v>266</v>
      </c>
      <c r="O765">
        <v>86</v>
      </c>
      <c r="T765">
        <v>5</v>
      </c>
      <c r="U765">
        <v>4</v>
      </c>
      <c r="V765">
        <v>4</v>
      </c>
      <c r="Y765">
        <v>5</v>
      </c>
      <c r="Z765">
        <v>0</v>
      </c>
      <c r="AA765">
        <v>3</v>
      </c>
      <c r="AD765">
        <v>8</v>
      </c>
      <c r="AE765">
        <v>0</v>
      </c>
      <c r="AF765">
        <v>2</v>
      </c>
      <c r="AI765">
        <v>5</v>
      </c>
      <c r="AJ765">
        <v>6</v>
      </c>
      <c r="AK765">
        <v>3</v>
      </c>
      <c r="AX765">
        <v>13</v>
      </c>
      <c r="AY765">
        <v>18</v>
      </c>
      <c r="AZ765">
        <v>31</v>
      </c>
      <c r="BA765">
        <v>8</v>
      </c>
      <c r="BB765">
        <v>11</v>
      </c>
      <c r="BC765">
        <v>19</v>
      </c>
      <c r="BD765">
        <v>10</v>
      </c>
      <c r="BE765">
        <v>7</v>
      </c>
      <c r="BF765">
        <v>17</v>
      </c>
      <c r="BG765">
        <v>14</v>
      </c>
      <c r="BH765">
        <v>9</v>
      </c>
      <c r="BI765">
        <v>23</v>
      </c>
      <c r="BP765">
        <v>11</v>
      </c>
      <c r="BR765">
        <v>33</v>
      </c>
      <c r="BS765">
        <v>0</v>
      </c>
      <c r="BT765">
        <v>1</v>
      </c>
      <c r="BV765">
        <v>0</v>
      </c>
      <c r="BW765">
        <v>45</v>
      </c>
      <c r="BX765">
        <f>IF(C765=C764,IF((CI765-1)=CI764,BW764,"no data"))</f>
        <v>17</v>
      </c>
      <c r="BY765" s="5">
        <f t="shared" si="85"/>
        <v>1.6470588235294117</v>
      </c>
      <c r="BZ765" s="6">
        <f t="shared" si="84"/>
        <v>1.6470588235294117</v>
      </c>
      <c r="CA765" s="7">
        <v>42687</v>
      </c>
      <c r="CE765">
        <v>9</v>
      </c>
      <c r="CF765">
        <v>12</v>
      </c>
      <c r="CG765">
        <v>14</v>
      </c>
      <c r="CH765">
        <v>10</v>
      </c>
      <c r="CI765">
        <f t="shared" si="82"/>
        <v>2016</v>
      </c>
      <c r="CJ765" t="str">
        <f t="shared" si="83"/>
        <v>5859_2016</v>
      </c>
    </row>
    <row r="766" spans="1:88" x14ac:dyDescent="0.25">
      <c r="A766" t="s">
        <v>79</v>
      </c>
      <c r="B766" t="s">
        <v>305</v>
      </c>
      <c r="C766">
        <v>5859</v>
      </c>
      <c r="D766">
        <v>-32.942765999999999</v>
      </c>
      <c r="E766">
        <v>151.654033</v>
      </c>
      <c r="F766">
        <v>4</v>
      </c>
      <c r="G766" t="s">
        <v>319</v>
      </c>
      <c r="H766">
        <v>4</v>
      </c>
      <c r="I766">
        <v>184</v>
      </c>
      <c r="J766">
        <v>85</v>
      </c>
      <c r="K766">
        <v>265</v>
      </c>
      <c r="L766">
        <v>183</v>
      </c>
      <c r="M766">
        <v>3</v>
      </c>
      <c r="N766">
        <v>266</v>
      </c>
      <c r="O766">
        <v>86</v>
      </c>
      <c r="T766">
        <v>0</v>
      </c>
      <c r="U766">
        <v>0</v>
      </c>
      <c r="V766">
        <v>0</v>
      </c>
      <c r="Y766">
        <v>0</v>
      </c>
      <c r="Z766">
        <v>0</v>
      </c>
      <c r="AA766">
        <v>3</v>
      </c>
      <c r="AD766">
        <v>0</v>
      </c>
      <c r="AE766">
        <v>0</v>
      </c>
      <c r="AF766">
        <v>2</v>
      </c>
      <c r="AI766">
        <v>11</v>
      </c>
      <c r="AJ766">
        <v>4</v>
      </c>
      <c r="AK766">
        <v>0</v>
      </c>
      <c r="AX766">
        <v>0</v>
      </c>
      <c r="AY766">
        <v>11</v>
      </c>
      <c r="AZ766">
        <v>11</v>
      </c>
      <c r="BA766">
        <v>3</v>
      </c>
      <c r="BB766">
        <v>4</v>
      </c>
      <c r="BC766">
        <v>7</v>
      </c>
      <c r="BD766">
        <v>2</v>
      </c>
      <c r="BE766">
        <v>0</v>
      </c>
      <c r="BF766">
        <v>2</v>
      </c>
      <c r="BG766">
        <v>15</v>
      </c>
      <c r="BH766">
        <v>5</v>
      </c>
      <c r="BI766">
        <v>20</v>
      </c>
      <c r="BP766">
        <v>1</v>
      </c>
      <c r="BR766">
        <v>17</v>
      </c>
      <c r="BS766">
        <v>1</v>
      </c>
      <c r="BT766">
        <v>1</v>
      </c>
      <c r="BV766">
        <v>0</v>
      </c>
      <c r="BW766">
        <v>20</v>
      </c>
      <c r="BX766">
        <f>IF(C766=C765,IF((CI766-1)=CI765,BW765,"no data"))</f>
        <v>45</v>
      </c>
      <c r="BY766" s="5">
        <f t="shared" si="85"/>
        <v>-0.55555555555555558</v>
      </c>
      <c r="BZ766" s="6">
        <f t="shared" si="84"/>
        <v>-0.55555555555555558</v>
      </c>
      <c r="CA766" s="7">
        <v>43051</v>
      </c>
      <c r="CE766">
        <v>5</v>
      </c>
      <c r="CF766">
        <v>4</v>
      </c>
      <c r="CG766">
        <v>1</v>
      </c>
      <c r="CH766">
        <v>10</v>
      </c>
      <c r="CI766">
        <f t="shared" si="82"/>
        <v>2017</v>
      </c>
      <c r="CJ766" t="str">
        <f t="shared" si="83"/>
        <v>5859_2017</v>
      </c>
    </row>
    <row r="767" spans="1:88" x14ac:dyDescent="0.25">
      <c r="A767" t="s">
        <v>79</v>
      </c>
      <c r="B767" t="s">
        <v>305</v>
      </c>
      <c r="C767">
        <v>5859</v>
      </c>
      <c r="D767">
        <v>-32.942765999999999</v>
      </c>
      <c r="E767">
        <v>151.654033</v>
      </c>
      <c r="F767">
        <v>4</v>
      </c>
      <c r="G767" t="s">
        <v>319</v>
      </c>
      <c r="H767">
        <v>4</v>
      </c>
      <c r="I767">
        <v>184</v>
      </c>
      <c r="J767">
        <v>85</v>
      </c>
      <c r="K767">
        <v>265</v>
      </c>
      <c r="L767">
        <v>183</v>
      </c>
      <c r="M767">
        <v>3</v>
      </c>
      <c r="N767">
        <v>266</v>
      </c>
      <c r="O767">
        <v>86</v>
      </c>
      <c r="T767">
        <v>0</v>
      </c>
      <c r="U767">
        <v>0</v>
      </c>
      <c r="V767">
        <v>0</v>
      </c>
      <c r="Y767">
        <v>0</v>
      </c>
      <c r="Z767">
        <v>2</v>
      </c>
      <c r="AA767">
        <v>3</v>
      </c>
      <c r="AD767">
        <v>0</v>
      </c>
      <c r="AE767">
        <v>2</v>
      </c>
      <c r="AF767">
        <v>0</v>
      </c>
      <c r="AI767">
        <v>0</v>
      </c>
      <c r="AJ767">
        <v>9</v>
      </c>
      <c r="AK767">
        <v>0</v>
      </c>
      <c r="AX767">
        <v>0</v>
      </c>
      <c r="AY767">
        <v>0</v>
      </c>
      <c r="AZ767">
        <v>0</v>
      </c>
      <c r="BA767">
        <v>5</v>
      </c>
      <c r="BB767">
        <v>11</v>
      </c>
      <c r="BC767">
        <v>16</v>
      </c>
      <c r="BD767">
        <v>2</v>
      </c>
      <c r="BE767">
        <v>2</v>
      </c>
      <c r="BF767">
        <v>4</v>
      </c>
      <c r="BG767">
        <v>9</v>
      </c>
      <c r="BH767">
        <v>3</v>
      </c>
      <c r="BI767">
        <v>12</v>
      </c>
      <c r="BP767">
        <v>2</v>
      </c>
      <c r="BR767">
        <v>14</v>
      </c>
      <c r="BS767">
        <v>0</v>
      </c>
      <c r="BT767">
        <v>0</v>
      </c>
      <c r="BV767">
        <v>0</v>
      </c>
      <c r="BW767">
        <v>16</v>
      </c>
      <c r="BX767">
        <f>IF(C767=C766,IF((CI767-1)=CI766,BW766,"no data"))</f>
        <v>20</v>
      </c>
      <c r="BY767" s="5">
        <f t="shared" si="85"/>
        <v>-0.2</v>
      </c>
      <c r="BZ767" s="6">
        <f t="shared" si="84"/>
        <v>-0.2</v>
      </c>
      <c r="CA767" s="7">
        <v>43415</v>
      </c>
      <c r="CE767">
        <v>1</v>
      </c>
      <c r="CF767">
        <v>2</v>
      </c>
      <c r="CG767">
        <v>8</v>
      </c>
      <c r="CH767">
        <v>5</v>
      </c>
      <c r="CI767">
        <f t="shared" si="82"/>
        <v>2018</v>
      </c>
      <c r="CJ767" t="str">
        <f t="shared" si="83"/>
        <v>5859_2018</v>
      </c>
    </row>
    <row r="768" spans="1:88" x14ac:dyDescent="0.25">
      <c r="A768" t="s">
        <v>79</v>
      </c>
      <c r="B768" t="s">
        <v>305</v>
      </c>
      <c r="C768">
        <v>5860</v>
      </c>
      <c r="D768">
        <v>-32.9679</v>
      </c>
      <c r="E768">
        <v>151.69460000000001</v>
      </c>
      <c r="F768">
        <v>4</v>
      </c>
      <c r="G768" t="s">
        <v>320</v>
      </c>
      <c r="H768">
        <v>26</v>
      </c>
      <c r="I768">
        <v>206</v>
      </c>
      <c r="J768">
        <v>157</v>
      </c>
      <c r="K768">
        <v>337</v>
      </c>
      <c r="L768">
        <v>237</v>
      </c>
      <c r="M768">
        <v>57</v>
      </c>
      <c r="N768">
        <v>312</v>
      </c>
      <c r="O768">
        <v>132</v>
      </c>
      <c r="T768">
        <v>13</v>
      </c>
      <c r="U768">
        <v>3</v>
      </c>
      <c r="V768">
        <v>3</v>
      </c>
      <c r="Y768">
        <v>22</v>
      </c>
      <c r="Z768">
        <v>7</v>
      </c>
      <c r="AA768">
        <v>14</v>
      </c>
      <c r="AD768">
        <v>6</v>
      </c>
      <c r="AE768">
        <v>2</v>
      </c>
      <c r="AF768">
        <v>3</v>
      </c>
      <c r="AI768">
        <v>0</v>
      </c>
      <c r="AJ768">
        <v>7</v>
      </c>
      <c r="AK768">
        <v>0</v>
      </c>
      <c r="AX768">
        <v>19</v>
      </c>
      <c r="AY768">
        <v>28</v>
      </c>
      <c r="AZ768">
        <v>47</v>
      </c>
      <c r="BA768">
        <v>43</v>
      </c>
      <c r="BB768">
        <v>22</v>
      </c>
      <c r="BC768">
        <v>65</v>
      </c>
      <c r="BD768">
        <v>11</v>
      </c>
      <c r="BE768">
        <v>10</v>
      </c>
      <c r="BF768">
        <v>21</v>
      </c>
      <c r="BG768">
        <v>7</v>
      </c>
      <c r="BH768">
        <v>20</v>
      </c>
      <c r="BI768">
        <v>27</v>
      </c>
      <c r="BP768">
        <v>29</v>
      </c>
      <c r="BR768">
        <v>48</v>
      </c>
      <c r="BS768">
        <v>1</v>
      </c>
      <c r="BT768">
        <v>1</v>
      </c>
      <c r="BV768">
        <v>1</v>
      </c>
      <c r="BW768">
        <v>80</v>
      </c>
      <c r="BX768" t="s">
        <v>82</v>
      </c>
      <c r="BY768" s="5"/>
      <c r="BZ768" s="6"/>
      <c r="CA768" s="7">
        <v>41952</v>
      </c>
      <c r="CI768">
        <f t="shared" si="82"/>
        <v>2014</v>
      </c>
      <c r="CJ768" t="str">
        <f t="shared" si="83"/>
        <v>5860_2014</v>
      </c>
    </row>
    <row r="769" spans="1:88" x14ac:dyDescent="0.25">
      <c r="A769" t="s">
        <v>79</v>
      </c>
      <c r="B769" t="s">
        <v>305</v>
      </c>
      <c r="C769">
        <v>5860</v>
      </c>
      <c r="D769">
        <v>-32.9679</v>
      </c>
      <c r="E769">
        <v>151.69460000000001</v>
      </c>
      <c r="F769">
        <v>4</v>
      </c>
      <c r="G769" t="s">
        <v>320</v>
      </c>
      <c r="H769">
        <v>26</v>
      </c>
      <c r="I769">
        <v>206</v>
      </c>
      <c r="J769">
        <v>157</v>
      </c>
      <c r="K769">
        <v>337</v>
      </c>
      <c r="L769">
        <v>237</v>
      </c>
      <c r="M769">
        <v>57</v>
      </c>
      <c r="N769">
        <v>312</v>
      </c>
      <c r="O769">
        <v>132</v>
      </c>
      <c r="T769">
        <v>11</v>
      </c>
      <c r="U769">
        <v>4</v>
      </c>
      <c r="V769">
        <v>10</v>
      </c>
      <c r="Y769">
        <v>17</v>
      </c>
      <c r="Z769">
        <v>6</v>
      </c>
      <c r="AA769">
        <v>9</v>
      </c>
      <c r="AD769">
        <v>2</v>
      </c>
      <c r="AE769">
        <v>4</v>
      </c>
      <c r="AF769">
        <v>1</v>
      </c>
      <c r="AI769">
        <v>5</v>
      </c>
      <c r="AJ769">
        <v>2</v>
      </c>
      <c r="AK769">
        <v>0</v>
      </c>
      <c r="AX769">
        <v>25</v>
      </c>
      <c r="AY769">
        <v>24</v>
      </c>
      <c r="AZ769">
        <v>49</v>
      </c>
      <c r="BA769">
        <v>32</v>
      </c>
      <c r="BB769">
        <v>17</v>
      </c>
      <c r="BC769">
        <v>49</v>
      </c>
      <c r="BD769">
        <v>7</v>
      </c>
      <c r="BE769">
        <v>10</v>
      </c>
      <c r="BF769">
        <v>17</v>
      </c>
      <c r="BG769">
        <v>7</v>
      </c>
      <c r="BH769">
        <v>20</v>
      </c>
      <c r="BI769">
        <v>27</v>
      </c>
      <c r="BP769">
        <v>8</v>
      </c>
      <c r="BR769">
        <v>53</v>
      </c>
      <c r="BS769">
        <v>3</v>
      </c>
      <c r="BT769">
        <v>6</v>
      </c>
      <c r="BV769">
        <v>1</v>
      </c>
      <c r="BW769">
        <v>71</v>
      </c>
      <c r="BX769">
        <f>IF(C769=C768,IF((CI769-1)=CI768,BW768,"no data"))</f>
        <v>80</v>
      </c>
      <c r="BY769" s="5">
        <f t="shared" si="85"/>
        <v>-0.1125</v>
      </c>
      <c r="BZ769" s="6">
        <f t="shared" si="84"/>
        <v>-0.1125</v>
      </c>
      <c r="CA769" s="7">
        <v>42316</v>
      </c>
      <c r="CE769">
        <v>27</v>
      </c>
      <c r="CF769">
        <v>22</v>
      </c>
      <c r="CG769">
        <v>16</v>
      </c>
      <c r="CH769">
        <v>6</v>
      </c>
      <c r="CI769">
        <f t="shared" si="82"/>
        <v>2015</v>
      </c>
      <c r="CJ769" t="str">
        <f t="shared" si="83"/>
        <v>5860_2015</v>
      </c>
    </row>
    <row r="770" spans="1:88" x14ac:dyDescent="0.25">
      <c r="A770" t="s">
        <v>79</v>
      </c>
      <c r="B770" t="s">
        <v>305</v>
      </c>
      <c r="C770">
        <v>5860</v>
      </c>
      <c r="D770">
        <v>-32.967917999999997</v>
      </c>
      <c r="E770">
        <v>151.694594</v>
      </c>
      <c r="F770">
        <v>4</v>
      </c>
      <c r="G770" t="s">
        <v>320</v>
      </c>
      <c r="H770">
        <v>26</v>
      </c>
      <c r="I770">
        <v>206</v>
      </c>
      <c r="J770">
        <v>157</v>
      </c>
      <c r="K770">
        <v>337</v>
      </c>
      <c r="L770">
        <v>237</v>
      </c>
      <c r="M770">
        <v>57</v>
      </c>
      <c r="N770">
        <v>312</v>
      </c>
      <c r="O770">
        <v>132</v>
      </c>
      <c r="T770">
        <v>14</v>
      </c>
      <c r="U770">
        <v>2</v>
      </c>
      <c r="V770">
        <v>12</v>
      </c>
      <c r="Y770">
        <v>16</v>
      </c>
      <c r="Z770">
        <v>2</v>
      </c>
      <c r="AA770">
        <v>9</v>
      </c>
      <c r="AD770">
        <v>3</v>
      </c>
      <c r="AE770">
        <v>4</v>
      </c>
      <c r="AF770">
        <v>1</v>
      </c>
      <c r="AI770">
        <v>3</v>
      </c>
      <c r="AJ770">
        <v>8</v>
      </c>
      <c r="AK770">
        <v>0</v>
      </c>
      <c r="AX770">
        <v>28</v>
      </c>
      <c r="AY770">
        <v>22</v>
      </c>
      <c r="AZ770">
        <v>50</v>
      </c>
      <c r="BA770">
        <v>27</v>
      </c>
      <c r="BB770">
        <v>26</v>
      </c>
      <c r="BC770">
        <v>53</v>
      </c>
      <c r="BD770">
        <v>8</v>
      </c>
      <c r="BE770">
        <v>4</v>
      </c>
      <c r="BF770">
        <v>12</v>
      </c>
      <c r="BG770">
        <v>11</v>
      </c>
      <c r="BH770">
        <v>22</v>
      </c>
      <c r="BI770">
        <v>33</v>
      </c>
      <c r="BP770">
        <v>21</v>
      </c>
      <c r="BR770">
        <v>47</v>
      </c>
      <c r="BS770">
        <v>2</v>
      </c>
      <c r="BT770">
        <v>2</v>
      </c>
      <c r="BV770">
        <v>2</v>
      </c>
      <c r="BW770">
        <v>74</v>
      </c>
      <c r="BX770">
        <f>IF(C770=C769,IF((CI770-1)=CI769,BW769,"no data"))</f>
        <v>71</v>
      </c>
      <c r="BY770" s="5">
        <f t="shared" si="85"/>
        <v>4.2253521126760563E-2</v>
      </c>
      <c r="BZ770" s="6">
        <f t="shared" si="84"/>
        <v>4.2253521126760563E-2</v>
      </c>
      <c r="CA770" s="7">
        <v>42687</v>
      </c>
      <c r="CE770">
        <v>25</v>
      </c>
      <c r="CF770">
        <v>15</v>
      </c>
      <c r="CG770">
        <v>20</v>
      </c>
      <c r="CH770">
        <v>14</v>
      </c>
      <c r="CI770">
        <f t="shared" si="82"/>
        <v>2016</v>
      </c>
      <c r="CJ770" t="str">
        <f t="shared" si="83"/>
        <v>5860_2016</v>
      </c>
    </row>
    <row r="771" spans="1:88" x14ac:dyDescent="0.25">
      <c r="A771" t="s">
        <v>79</v>
      </c>
      <c r="B771" t="s">
        <v>305</v>
      </c>
      <c r="C771">
        <v>5860</v>
      </c>
      <c r="D771">
        <v>-32.967917999999997</v>
      </c>
      <c r="E771">
        <v>151.694594</v>
      </c>
      <c r="F771">
        <v>4</v>
      </c>
      <c r="G771" t="s">
        <v>320</v>
      </c>
      <c r="H771">
        <v>26</v>
      </c>
      <c r="I771">
        <v>206</v>
      </c>
      <c r="J771">
        <v>157</v>
      </c>
      <c r="K771">
        <v>337</v>
      </c>
      <c r="L771">
        <v>237</v>
      </c>
      <c r="M771">
        <v>57</v>
      </c>
      <c r="N771">
        <v>312</v>
      </c>
      <c r="O771">
        <v>132</v>
      </c>
      <c r="T771">
        <v>6</v>
      </c>
      <c r="U771">
        <v>6</v>
      </c>
      <c r="V771">
        <v>10</v>
      </c>
      <c r="Y771">
        <v>20</v>
      </c>
      <c r="Z771">
        <v>1</v>
      </c>
      <c r="AA771">
        <v>19</v>
      </c>
      <c r="AD771">
        <v>1</v>
      </c>
      <c r="AE771">
        <v>4</v>
      </c>
      <c r="AF771">
        <v>0</v>
      </c>
      <c r="AI771">
        <v>6</v>
      </c>
      <c r="AJ771">
        <v>10</v>
      </c>
      <c r="AK771">
        <v>0</v>
      </c>
      <c r="AX771">
        <v>22</v>
      </c>
      <c r="AY771">
        <v>27</v>
      </c>
      <c r="AZ771">
        <v>49</v>
      </c>
      <c r="BA771">
        <v>40</v>
      </c>
      <c r="BB771">
        <v>20</v>
      </c>
      <c r="BC771">
        <v>60</v>
      </c>
      <c r="BD771">
        <v>5</v>
      </c>
      <c r="BE771">
        <v>7</v>
      </c>
      <c r="BF771">
        <v>12</v>
      </c>
      <c r="BG771">
        <v>16</v>
      </c>
      <c r="BH771">
        <v>29</v>
      </c>
      <c r="BI771">
        <v>45</v>
      </c>
      <c r="BP771">
        <v>19</v>
      </c>
      <c r="BR771">
        <v>52</v>
      </c>
      <c r="BS771">
        <v>5</v>
      </c>
      <c r="BT771">
        <v>6</v>
      </c>
      <c r="BV771">
        <v>1</v>
      </c>
      <c r="BW771">
        <v>83</v>
      </c>
      <c r="BX771">
        <f>IF(C771=C770,IF((CI771-1)=CI770,BW770,"no data"))</f>
        <v>74</v>
      </c>
      <c r="BY771" s="5">
        <f t="shared" si="85"/>
        <v>0.12162162162162163</v>
      </c>
      <c r="BZ771" s="6">
        <f t="shared" si="84"/>
        <v>0.12162162162162163</v>
      </c>
      <c r="CA771" s="7">
        <v>43051</v>
      </c>
      <c r="CE771">
        <v>19</v>
      </c>
      <c r="CF771">
        <v>17</v>
      </c>
      <c r="CG771">
        <v>23</v>
      </c>
      <c r="CH771">
        <v>24</v>
      </c>
      <c r="CI771">
        <f t="shared" ref="CI771:CI834" si="86">YEAR(CA771)</f>
        <v>2017</v>
      </c>
      <c r="CJ771" t="str">
        <f t="shared" ref="CJ771:CJ834" si="87">_xlfn.CONCAT(C771,"_",CI771)</f>
        <v>5860_2017</v>
      </c>
    </row>
    <row r="772" spans="1:88" x14ac:dyDescent="0.25">
      <c r="A772" t="s">
        <v>79</v>
      </c>
      <c r="B772" t="s">
        <v>305</v>
      </c>
      <c r="C772">
        <v>5860</v>
      </c>
      <c r="D772">
        <v>-32.967917999999997</v>
      </c>
      <c r="E772">
        <v>151.694594</v>
      </c>
      <c r="F772">
        <v>4</v>
      </c>
      <c r="G772" t="s">
        <v>320</v>
      </c>
      <c r="H772">
        <v>26</v>
      </c>
      <c r="I772">
        <v>206</v>
      </c>
      <c r="J772">
        <v>157</v>
      </c>
      <c r="K772">
        <v>337</v>
      </c>
      <c r="L772">
        <v>237</v>
      </c>
      <c r="M772">
        <v>57</v>
      </c>
      <c r="N772">
        <v>312</v>
      </c>
      <c r="O772">
        <v>132</v>
      </c>
      <c r="T772">
        <v>3</v>
      </c>
      <c r="U772">
        <v>2</v>
      </c>
      <c r="V772">
        <v>4</v>
      </c>
      <c r="Y772">
        <v>7</v>
      </c>
      <c r="Z772">
        <v>4</v>
      </c>
      <c r="AA772">
        <v>28</v>
      </c>
      <c r="AD772">
        <v>1</v>
      </c>
      <c r="AE772">
        <v>1</v>
      </c>
      <c r="AF772">
        <v>0</v>
      </c>
      <c r="AI772">
        <v>3</v>
      </c>
      <c r="AJ772">
        <v>15</v>
      </c>
      <c r="AK772">
        <v>2</v>
      </c>
      <c r="AX772">
        <v>9</v>
      </c>
      <c r="AY772">
        <v>11</v>
      </c>
      <c r="AZ772">
        <v>20</v>
      </c>
      <c r="BA772">
        <v>39</v>
      </c>
      <c r="BB772">
        <v>19</v>
      </c>
      <c r="BC772">
        <v>58</v>
      </c>
      <c r="BD772">
        <v>2</v>
      </c>
      <c r="BE772">
        <v>8</v>
      </c>
      <c r="BF772">
        <v>10</v>
      </c>
      <c r="BG772">
        <v>20</v>
      </c>
      <c r="BH772">
        <v>32</v>
      </c>
      <c r="BI772">
        <v>52</v>
      </c>
      <c r="BP772">
        <v>18</v>
      </c>
      <c r="BR772">
        <v>46</v>
      </c>
      <c r="BS772">
        <v>3</v>
      </c>
      <c r="BT772">
        <v>1</v>
      </c>
      <c r="BV772">
        <v>2</v>
      </c>
      <c r="BW772">
        <v>70</v>
      </c>
      <c r="BX772">
        <f>IF(C772=C771,IF((CI772-1)=CI771,BW771,"no data"))</f>
        <v>83</v>
      </c>
      <c r="BY772" s="5">
        <f t="shared" si="85"/>
        <v>-0.15662650602409639</v>
      </c>
      <c r="BZ772" s="6">
        <f t="shared" si="84"/>
        <v>-0.15662650602409639</v>
      </c>
      <c r="CA772" s="7">
        <v>43415</v>
      </c>
      <c r="CE772">
        <v>25</v>
      </c>
      <c r="CF772">
        <v>24</v>
      </c>
      <c r="CG772">
        <v>7</v>
      </c>
      <c r="CH772">
        <v>14</v>
      </c>
      <c r="CI772">
        <f t="shared" si="86"/>
        <v>2018</v>
      </c>
      <c r="CJ772" t="str">
        <f t="shared" si="87"/>
        <v>5860_2018</v>
      </c>
    </row>
    <row r="773" spans="1:88" x14ac:dyDescent="0.25">
      <c r="A773" t="s">
        <v>79</v>
      </c>
      <c r="B773" t="s">
        <v>305</v>
      </c>
      <c r="C773">
        <v>5861</v>
      </c>
      <c r="D773">
        <v>-32.975200000000001</v>
      </c>
      <c r="E773">
        <v>151.67750000000001</v>
      </c>
      <c r="F773">
        <v>5</v>
      </c>
      <c r="G773" t="s">
        <v>321</v>
      </c>
      <c r="H773">
        <v>84</v>
      </c>
      <c r="I773">
        <v>264</v>
      </c>
      <c r="J773">
        <v>166</v>
      </c>
      <c r="K773">
        <v>346</v>
      </c>
      <c r="L773">
        <v>239</v>
      </c>
      <c r="M773">
        <v>59</v>
      </c>
      <c r="N773">
        <v>294</v>
      </c>
      <c r="O773">
        <v>114</v>
      </c>
      <c r="P773">
        <v>350</v>
      </c>
      <c r="Q773">
        <v>170</v>
      </c>
      <c r="T773">
        <v>0</v>
      </c>
      <c r="U773">
        <v>0</v>
      </c>
      <c r="V773">
        <v>19</v>
      </c>
      <c r="W773">
        <v>4</v>
      </c>
      <c r="Y773">
        <v>0</v>
      </c>
      <c r="Z773">
        <v>0</v>
      </c>
      <c r="AA773">
        <v>6</v>
      </c>
      <c r="AB773">
        <v>0</v>
      </c>
      <c r="AD773">
        <v>0</v>
      </c>
      <c r="AE773">
        <v>0</v>
      </c>
      <c r="AF773">
        <v>2</v>
      </c>
      <c r="AG773">
        <v>0</v>
      </c>
      <c r="AI773">
        <v>3</v>
      </c>
      <c r="AJ773">
        <v>2</v>
      </c>
      <c r="AK773">
        <v>2</v>
      </c>
      <c r="AL773">
        <v>0</v>
      </c>
      <c r="AN773">
        <v>1</v>
      </c>
      <c r="AO773">
        <v>0</v>
      </c>
      <c r="AP773">
        <v>0</v>
      </c>
      <c r="AQ773">
        <v>0</v>
      </c>
      <c r="AX773">
        <v>23</v>
      </c>
      <c r="AY773">
        <v>4</v>
      </c>
      <c r="AZ773">
        <v>27</v>
      </c>
      <c r="BA773">
        <v>6</v>
      </c>
      <c r="BB773">
        <v>2</v>
      </c>
      <c r="BC773">
        <v>8</v>
      </c>
      <c r="BD773">
        <v>2</v>
      </c>
      <c r="BE773">
        <v>2</v>
      </c>
      <c r="BF773">
        <v>4</v>
      </c>
      <c r="BG773">
        <v>7</v>
      </c>
      <c r="BH773">
        <v>27</v>
      </c>
      <c r="BI773">
        <v>34</v>
      </c>
      <c r="BJ773">
        <v>1</v>
      </c>
      <c r="BK773">
        <v>4</v>
      </c>
      <c r="BL773">
        <v>5</v>
      </c>
      <c r="BP773">
        <v>8</v>
      </c>
      <c r="BR773">
        <v>4</v>
      </c>
      <c r="BS773">
        <v>0</v>
      </c>
      <c r="BT773">
        <v>0</v>
      </c>
      <c r="BV773">
        <v>27</v>
      </c>
      <c r="BW773">
        <v>39</v>
      </c>
      <c r="BX773" t="s">
        <v>82</v>
      </c>
      <c r="BY773" s="5"/>
      <c r="BZ773" s="6"/>
      <c r="CA773" s="7">
        <v>41952</v>
      </c>
      <c r="CI773">
        <f t="shared" si="86"/>
        <v>2014</v>
      </c>
      <c r="CJ773" t="str">
        <f t="shared" si="87"/>
        <v>5861_2014</v>
      </c>
    </row>
    <row r="774" spans="1:88" x14ac:dyDescent="0.25">
      <c r="A774" t="s">
        <v>79</v>
      </c>
      <c r="B774" t="s">
        <v>305</v>
      </c>
      <c r="C774">
        <v>5861</v>
      </c>
      <c r="D774">
        <v>-32.975200000000001</v>
      </c>
      <c r="E774">
        <v>151.67750000000001</v>
      </c>
      <c r="F774">
        <v>5</v>
      </c>
      <c r="G774" t="s">
        <v>321</v>
      </c>
      <c r="H774">
        <v>84</v>
      </c>
      <c r="I774">
        <v>264</v>
      </c>
      <c r="J774">
        <v>166</v>
      </c>
      <c r="K774">
        <v>346</v>
      </c>
      <c r="L774">
        <v>239</v>
      </c>
      <c r="M774">
        <v>59</v>
      </c>
      <c r="N774">
        <v>294</v>
      </c>
      <c r="O774">
        <v>114</v>
      </c>
      <c r="P774">
        <v>350</v>
      </c>
      <c r="Q774">
        <v>170</v>
      </c>
      <c r="T774">
        <v>1</v>
      </c>
      <c r="U774">
        <v>7</v>
      </c>
      <c r="V774">
        <v>3</v>
      </c>
      <c r="W774">
        <v>0</v>
      </c>
      <c r="Y774">
        <v>1</v>
      </c>
      <c r="Z774">
        <v>2</v>
      </c>
      <c r="AA774">
        <v>1</v>
      </c>
      <c r="AB774">
        <v>0</v>
      </c>
      <c r="AD774">
        <v>3</v>
      </c>
      <c r="AE774">
        <v>0</v>
      </c>
      <c r="AF774">
        <v>1</v>
      </c>
      <c r="AG774">
        <v>0</v>
      </c>
      <c r="AI774">
        <v>1</v>
      </c>
      <c r="AJ774">
        <v>0</v>
      </c>
      <c r="AK774">
        <v>1</v>
      </c>
      <c r="AL774">
        <v>0</v>
      </c>
      <c r="AN774">
        <v>0</v>
      </c>
      <c r="AO774">
        <v>0</v>
      </c>
      <c r="AP774">
        <v>0</v>
      </c>
      <c r="AQ774">
        <v>0</v>
      </c>
      <c r="AX774">
        <v>11</v>
      </c>
      <c r="AY774">
        <v>5</v>
      </c>
      <c r="AZ774">
        <v>16</v>
      </c>
      <c r="BA774">
        <v>4</v>
      </c>
      <c r="BB774">
        <v>1</v>
      </c>
      <c r="BC774">
        <v>5</v>
      </c>
      <c r="BD774">
        <v>4</v>
      </c>
      <c r="BE774">
        <v>10</v>
      </c>
      <c r="BF774">
        <v>14</v>
      </c>
      <c r="BG774">
        <v>2</v>
      </c>
      <c r="BH774">
        <v>5</v>
      </c>
      <c r="BI774">
        <v>7</v>
      </c>
      <c r="BJ774">
        <v>0</v>
      </c>
      <c r="BK774">
        <v>0</v>
      </c>
      <c r="BL774">
        <v>0</v>
      </c>
      <c r="BP774">
        <v>4</v>
      </c>
      <c r="BR774">
        <v>10</v>
      </c>
      <c r="BS774">
        <v>3</v>
      </c>
      <c r="BT774">
        <v>4</v>
      </c>
      <c r="BV774">
        <v>0</v>
      </c>
      <c r="BW774">
        <v>21</v>
      </c>
      <c r="BX774">
        <f>IF(C774=C773,IF((CI774-1)=CI773,BW773,"no data"))</f>
        <v>39</v>
      </c>
      <c r="BY774" s="5">
        <f t="shared" si="85"/>
        <v>-0.46153846153846156</v>
      </c>
      <c r="BZ774" s="6">
        <f t="shared" ref="BZ774:BZ837" si="88">BY774</f>
        <v>-0.46153846153846156</v>
      </c>
      <c r="CA774" s="7">
        <v>42316</v>
      </c>
      <c r="CE774">
        <v>10</v>
      </c>
      <c r="CF774">
        <v>4</v>
      </c>
      <c r="CG774">
        <v>5</v>
      </c>
      <c r="CH774">
        <v>2</v>
      </c>
      <c r="CI774">
        <f t="shared" si="86"/>
        <v>2015</v>
      </c>
      <c r="CJ774" t="str">
        <f t="shared" si="87"/>
        <v>5861_2015</v>
      </c>
    </row>
    <row r="775" spans="1:88" x14ac:dyDescent="0.25">
      <c r="A775" t="s">
        <v>79</v>
      </c>
      <c r="B775" t="s">
        <v>305</v>
      </c>
      <c r="C775">
        <v>5861</v>
      </c>
      <c r="D775">
        <v>-32.975163999999999</v>
      </c>
      <c r="E775">
        <v>151.67747600000001</v>
      </c>
      <c r="F775">
        <v>5</v>
      </c>
      <c r="G775" t="s">
        <v>321</v>
      </c>
      <c r="H775">
        <v>84</v>
      </c>
      <c r="I775">
        <v>264</v>
      </c>
      <c r="J775">
        <v>166</v>
      </c>
      <c r="K775">
        <v>346</v>
      </c>
      <c r="L775">
        <v>239</v>
      </c>
      <c r="M775">
        <v>59</v>
      </c>
      <c r="N775">
        <v>294</v>
      </c>
      <c r="O775">
        <v>114</v>
      </c>
      <c r="P775">
        <v>350</v>
      </c>
      <c r="Q775">
        <v>170</v>
      </c>
      <c r="T775">
        <v>0</v>
      </c>
      <c r="U775">
        <v>2</v>
      </c>
      <c r="V775">
        <v>4</v>
      </c>
      <c r="W775">
        <v>3</v>
      </c>
      <c r="Y775">
        <v>0</v>
      </c>
      <c r="Z775">
        <v>0</v>
      </c>
      <c r="AA775">
        <v>0</v>
      </c>
      <c r="AB775">
        <v>3</v>
      </c>
      <c r="AD775">
        <v>0</v>
      </c>
      <c r="AE775">
        <v>0</v>
      </c>
      <c r="AF775">
        <v>7</v>
      </c>
      <c r="AG775">
        <v>2</v>
      </c>
      <c r="AI775">
        <v>10</v>
      </c>
      <c r="AJ775">
        <v>0</v>
      </c>
      <c r="AK775">
        <v>0</v>
      </c>
      <c r="AL775">
        <v>0</v>
      </c>
      <c r="AN775">
        <v>0</v>
      </c>
      <c r="AO775">
        <v>5</v>
      </c>
      <c r="AP775">
        <v>2</v>
      </c>
      <c r="AQ775">
        <v>0</v>
      </c>
      <c r="AX775">
        <v>9</v>
      </c>
      <c r="AY775">
        <v>10</v>
      </c>
      <c r="AZ775">
        <v>19</v>
      </c>
      <c r="BA775">
        <v>3</v>
      </c>
      <c r="BB775">
        <v>5</v>
      </c>
      <c r="BC775">
        <v>8</v>
      </c>
      <c r="BD775">
        <v>9</v>
      </c>
      <c r="BE775">
        <v>4</v>
      </c>
      <c r="BF775">
        <v>13</v>
      </c>
      <c r="BG775">
        <v>10</v>
      </c>
      <c r="BH775">
        <v>11</v>
      </c>
      <c r="BI775">
        <v>21</v>
      </c>
      <c r="BJ775">
        <v>7</v>
      </c>
      <c r="BK775">
        <v>8</v>
      </c>
      <c r="BL775">
        <v>15</v>
      </c>
      <c r="BP775">
        <v>21</v>
      </c>
      <c r="BR775">
        <v>12</v>
      </c>
      <c r="BS775">
        <v>1</v>
      </c>
      <c r="BT775">
        <v>2</v>
      </c>
      <c r="BV775">
        <v>2</v>
      </c>
      <c r="BW775">
        <v>38</v>
      </c>
      <c r="BX775">
        <f>IF(C775=C774,IF((CI775-1)=CI774,BW774,"no data"))</f>
        <v>21</v>
      </c>
      <c r="BY775" s="5">
        <f t="shared" si="85"/>
        <v>0.80952380952380953</v>
      </c>
      <c r="BZ775" s="6">
        <f t="shared" si="88"/>
        <v>0.80952380952380953</v>
      </c>
      <c r="CA775" s="7">
        <v>42687</v>
      </c>
      <c r="CE775">
        <v>15</v>
      </c>
      <c r="CF775">
        <v>6</v>
      </c>
      <c r="CG775">
        <v>10</v>
      </c>
      <c r="CH775">
        <v>7</v>
      </c>
      <c r="CI775">
        <f t="shared" si="86"/>
        <v>2016</v>
      </c>
      <c r="CJ775" t="str">
        <f t="shared" si="87"/>
        <v>5861_2016</v>
      </c>
    </row>
    <row r="776" spans="1:88" x14ac:dyDescent="0.25">
      <c r="A776" t="s">
        <v>79</v>
      </c>
      <c r="B776" t="s">
        <v>305</v>
      </c>
      <c r="C776">
        <v>5861</v>
      </c>
      <c r="D776">
        <v>-32.975163999999999</v>
      </c>
      <c r="E776">
        <v>151.67747600000001</v>
      </c>
      <c r="F776">
        <v>5</v>
      </c>
      <c r="G776" t="s">
        <v>321</v>
      </c>
      <c r="H776">
        <v>84</v>
      </c>
      <c r="I776">
        <v>264</v>
      </c>
      <c r="J776">
        <v>166</v>
      </c>
      <c r="K776">
        <v>346</v>
      </c>
      <c r="L776">
        <v>239</v>
      </c>
      <c r="M776">
        <v>59</v>
      </c>
      <c r="N776">
        <v>294</v>
      </c>
      <c r="O776">
        <v>114</v>
      </c>
      <c r="P776">
        <v>350</v>
      </c>
      <c r="Q776">
        <v>170</v>
      </c>
      <c r="T776">
        <v>0</v>
      </c>
      <c r="U776">
        <v>0</v>
      </c>
      <c r="V776">
        <v>1</v>
      </c>
      <c r="W776">
        <v>2</v>
      </c>
      <c r="Y776">
        <v>2</v>
      </c>
      <c r="Z776">
        <v>0</v>
      </c>
      <c r="AA776">
        <v>0</v>
      </c>
      <c r="AB776">
        <v>0</v>
      </c>
      <c r="AD776">
        <v>0</v>
      </c>
      <c r="AE776">
        <v>0</v>
      </c>
      <c r="AF776">
        <v>0</v>
      </c>
      <c r="AG776">
        <v>0</v>
      </c>
      <c r="AI776">
        <v>5</v>
      </c>
      <c r="AJ776">
        <v>0</v>
      </c>
      <c r="AK776">
        <v>0</v>
      </c>
      <c r="AL776">
        <v>1</v>
      </c>
      <c r="AN776">
        <v>0</v>
      </c>
      <c r="AO776">
        <v>0</v>
      </c>
      <c r="AP776">
        <v>0</v>
      </c>
      <c r="AQ776">
        <v>1</v>
      </c>
      <c r="AX776">
        <v>3</v>
      </c>
      <c r="AY776">
        <v>7</v>
      </c>
      <c r="AZ776">
        <v>10</v>
      </c>
      <c r="BA776">
        <v>2</v>
      </c>
      <c r="BB776">
        <v>0</v>
      </c>
      <c r="BC776">
        <v>2</v>
      </c>
      <c r="BD776">
        <v>0</v>
      </c>
      <c r="BE776">
        <v>0</v>
      </c>
      <c r="BF776">
        <v>0</v>
      </c>
      <c r="BG776">
        <v>6</v>
      </c>
      <c r="BH776">
        <v>2</v>
      </c>
      <c r="BI776">
        <v>8</v>
      </c>
      <c r="BJ776">
        <v>1</v>
      </c>
      <c r="BK776">
        <v>3</v>
      </c>
      <c r="BL776">
        <v>4</v>
      </c>
      <c r="BP776">
        <v>8</v>
      </c>
      <c r="BR776">
        <v>2</v>
      </c>
      <c r="BS776">
        <v>2</v>
      </c>
      <c r="BT776">
        <v>0</v>
      </c>
      <c r="BV776">
        <v>0</v>
      </c>
      <c r="BW776">
        <v>12</v>
      </c>
      <c r="BX776">
        <f>IF(C776=C775,IF((CI776-1)=CI775,BW775,"no data"))</f>
        <v>38</v>
      </c>
      <c r="BY776" s="5">
        <f t="shared" si="85"/>
        <v>-0.68421052631578949</v>
      </c>
      <c r="BZ776" s="6">
        <f t="shared" si="88"/>
        <v>-0.68421052631578949</v>
      </c>
      <c r="CA776" s="7">
        <v>43051</v>
      </c>
      <c r="CE776">
        <v>3</v>
      </c>
      <c r="CF776">
        <v>6</v>
      </c>
      <c r="CG776">
        <v>1</v>
      </c>
      <c r="CH776">
        <v>2</v>
      </c>
      <c r="CI776">
        <f t="shared" si="86"/>
        <v>2017</v>
      </c>
      <c r="CJ776" t="str">
        <f t="shared" si="87"/>
        <v>5861_2017</v>
      </c>
    </row>
    <row r="777" spans="1:88" x14ac:dyDescent="0.25">
      <c r="A777" t="s">
        <v>79</v>
      </c>
      <c r="B777" t="s">
        <v>305</v>
      </c>
      <c r="C777">
        <v>5861</v>
      </c>
      <c r="D777">
        <v>-32.975163999999999</v>
      </c>
      <c r="E777">
        <v>151.67747600000001</v>
      </c>
      <c r="F777">
        <v>5</v>
      </c>
      <c r="G777" t="s">
        <v>321</v>
      </c>
      <c r="H777">
        <v>84</v>
      </c>
      <c r="I777">
        <v>264</v>
      </c>
      <c r="J777">
        <v>166</v>
      </c>
      <c r="K777">
        <v>346</v>
      </c>
      <c r="L777">
        <v>239</v>
      </c>
      <c r="M777">
        <v>59</v>
      </c>
      <c r="N777">
        <v>294</v>
      </c>
      <c r="O777">
        <v>114</v>
      </c>
      <c r="P777">
        <v>350</v>
      </c>
      <c r="Q777">
        <v>170</v>
      </c>
      <c r="T777">
        <v>0</v>
      </c>
      <c r="U777">
        <v>0</v>
      </c>
      <c r="V777">
        <v>7</v>
      </c>
      <c r="W777">
        <v>1</v>
      </c>
      <c r="Y777">
        <v>0</v>
      </c>
      <c r="Z777">
        <v>2</v>
      </c>
      <c r="AA777">
        <v>0</v>
      </c>
      <c r="AB777">
        <v>0</v>
      </c>
      <c r="AD777">
        <v>0</v>
      </c>
      <c r="AE777">
        <v>0</v>
      </c>
      <c r="AF777">
        <v>1</v>
      </c>
      <c r="AG777">
        <v>0</v>
      </c>
      <c r="AI777">
        <v>4</v>
      </c>
      <c r="AJ777">
        <v>0</v>
      </c>
      <c r="AK777">
        <v>0</v>
      </c>
      <c r="AL777">
        <v>0</v>
      </c>
      <c r="AN777">
        <v>0</v>
      </c>
      <c r="AO777">
        <v>0</v>
      </c>
      <c r="AP777">
        <v>0</v>
      </c>
      <c r="AQ777">
        <v>0</v>
      </c>
      <c r="AX777">
        <v>8</v>
      </c>
      <c r="AY777">
        <v>4</v>
      </c>
      <c r="AZ777">
        <v>12</v>
      </c>
      <c r="BA777">
        <v>2</v>
      </c>
      <c r="BB777">
        <v>0</v>
      </c>
      <c r="BC777">
        <v>2</v>
      </c>
      <c r="BD777">
        <v>1</v>
      </c>
      <c r="BE777">
        <v>2</v>
      </c>
      <c r="BF777">
        <v>3</v>
      </c>
      <c r="BG777">
        <v>4</v>
      </c>
      <c r="BH777">
        <v>8</v>
      </c>
      <c r="BI777">
        <v>12</v>
      </c>
      <c r="BJ777">
        <v>0</v>
      </c>
      <c r="BK777">
        <v>1</v>
      </c>
      <c r="BL777">
        <v>1</v>
      </c>
      <c r="BP777">
        <v>11</v>
      </c>
      <c r="BR777">
        <v>3</v>
      </c>
      <c r="BS777">
        <v>0</v>
      </c>
      <c r="BT777">
        <v>1</v>
      </c>
      <c r="BV777">
        <v>0</v>
      </c>
      <c r="BW777">
        <v>15</v>
      </c>
      <c r="BX777">
        <f>IF(C777=C776,IF((CI777-1)=CI776,BW776,"no data"))</f>
        <v>12</v>
      </c>
      <c r="BY777" s="5">
        <f t="shared" si="85"/>
        <v>0.25</v>
      </c>
      <c r="BZ777" s="6">
        <f t="shared" si="88"/>
        <v>0.25</v>
      </c>
      <c r="CA777" s="7">
        <v>43415</v>
      </c>
      <c r="CE777">
        <v>3</v>
      </c>
      <c r="CF777">
        <v>5</v>
      </c>
      <c r="CG777">
        <v>1</v>
      </c>
      <c r="CH777">
        <v>6</v>
      </c>
      <c r="CI777">
        <f t="shared" si="86"/>
        <v>2018</v>
      </c>
      <c r="CJ777" t="str">
        <f t="shared" si="87"/>
        <v>5861_2018</v>
      </c>
    </row>
    <row r="778" spans="1:88" x14ac:dyDescent="0.25">
      <c r="A778" t="s">
        <v>79</v>
      </c>
      <c r="B778" t="s">
        <v>305</v>
      </c>
      <c r="C778">
        <v>5862</v>
      </c>
      <c r="D778">
        <v>-32.970799999999997</v>
      </c>
      <c r="E778">
        <v>151.63800000000001</v>
      </c>
      <c r="F778">
        <v>3</v>
      </c>
      <c r="G778" t="s">
        <v>322</v>
      </c>
      <c r="H778">
        <v>15</v>
      </c>
      <c r="I778">
        <v>195</v>
      </c>
      <c r="J778">
        <v>108</v>
      </c>
      <c r="K778">
        <v>288</v>
      </c>
      <c r="L778">
        <v>262</v>
      </c>
      <c r="M778">
        <v>82</v>
      </c>
      <c r="T778">
        <v>9</v>
      </c>
      <c r="U778">
        <v>5</v>
      </c>
      <c r="Y778">
        <v>12</v>
      </c>
      <c r="Z778">
        <v>323</v>
      </c>
      <c r="AD778">
        <v>6</v>
      </c>
      <c r="AE778">
        <v>324</v>
      </c>
      <c r="AX778">
        <v>14</v>
      </c>
      <c r="AY778">
        <v>18</v>
      </c>
      <c r="AZ778">
        <v>32</v>
      </c>
      <c r="BA778">
        <v>335</v>
      </c>
      <c r="BB778">
        <v>333</v>
      </c>
      <c r="BC778">
        <v>668</v>
      </c>
      <c r="BD778">
        <v>330</v>
      </c>
      <c r="BE778">
        <v>328</v>
      </c>
      <c r="BF778">
        <v>658</v>
      </c>
      <c r="BP778">
        <v>156</v>
      </c>
      <c r="BR778">
        <v>378</v>
      </c>
      <c r="BS778">
        <v>34</v>
      </c>
      <c r="BT778">
        <v>64</v>
      </c>
      <c r="BV778">
        <v>47</v>
      </c>
      <c r="BW778">
        <v>679</v>
      </c>
      <c r="BX778" t="s">
        <v>82</v>
      </c>
      <c r="BY778" s="5"/>
      <c r="BZ778" s="6"/>
      <c r="CA778" s="7">
        <v>41588</v>
      </c>
      <c r="CI778">
        <f t="shared" si="86"/>
        <v>2013</v>
      </c>
      <c r="CJ778" t="str">
        <f t="shared" si="87"/>
        <v>5862_2013</v>
      </c>
    </row>
    <row r="779" spans="1:88" x14ac:dyDescent="0.25">
      <c r="A779" t="s">
        <v>79</v>
      </c>
      <c r="B779" t="s">
        <v>305</v>
      </c>
      <c r="C779">
        <v>5862</v>
      </c>
      <c r="D779">
        <v>-32.970799999999997</v>
      </c>
      <c r="E779">
        <v>151.63800000000001</v>
      </c>
      <c r="F779">
        <v>3</v>
      </c>
      <c r="G779" t="s">
        <v>322</v>
      </c>
      <c r="H779">
        <v>15</v>
      </c>
      <c r="I779">
        <v>195</v>
      </c>
      <c r="J779">
        <v>108</v>
      </c>
      <c r="K779">
        <v>288</v>
      </c>
      <c r="L779">
        <v>262</v>
      </c>
      <c r="M779">
        <v>82</v>
      </c>
      <c r="T779">
        <v>22</v>
      </c>
      <c r="U779">
        <v>18</v>
      </c>
      <c r="Y779">
        <v>24</v>
      </c>
      <c r="Z779">
        <v>471</v>
      </c>
      <c r="AD779">
        <v>18</v>
      </c>
      <c r="AE779">
        <v>468</v>
      </c>
      <c r="AX779">
        <v>40</v>
      </c>
      <c r="AY779">
        <v>42</v>
      </c>
      <c r="AZ779">
        <v>82</v>
      </c>
      <c r="BA779">
        <v>495</v>
      </c>
      <c r="BB779">
        <v>490</v>
      </c>
      <c r="BC779">
        <v>985</v>
      </c>
      <c r="BD779">
        <v>486</v>
      </c>
      <c r="BE779">
        <v>489</v>
      </c>
      <c r="BF779">
        <v>975</v>
      </c>
      <c r="BP779">
        <v>333</v>
      </c>
      <c r="BR779">
        <v>516</v>
      </c>
      <c r="BS779">
        <v>62</v>
      </c>
      <c r="BT779">
        <v>70</v>
      </c>
      <c r="BV779">
        <v>40</v>
      </c>
      <c r="BW779">
        <v>1021</v>
      </c>
      <c r="BX779">
        <f>IF(C779=C778,IF((CI779-1)=CI778,BW778,"no data"))</f>
        <v>679</v>
      </c>
      <c r="BY779" s="5">
        <f t="shared" si="85"/>
        <v>0.50368188512518408</v>
      </c>
      <c r="BZ779" s="6">
        <f t="shared" si="88"/>
        <v>0.50368188512518408</v>
      </c>
      <c r="CA779" s="7">
        <v>41952</v>
      </c>
      <c r="CI779">
        <f t="shared" si="86"/>
        <v>2014</v>
      </c>
      <c r="CJ779" t="str">
        <f t="shared" si="87"/>
        <v>5862_2014</v>
      </c>
    </row>
    <row r="780" spans="1:88" x14ac:dyDescent="0.25">
      <c r="A780" t="s">
        <v>79</v>
      </c>
      <c r="B780" t="s">
        <v>305</v>
      </c>
      <c r="C780">
        <v>5862</v>
      </c>
      <c r="D780">
        <v>-32.970799999999997</v>
      </c>
      <c r="E780">
        <v>151.63800000000001</v>
      </c>
      <c r="F780">
        <v>3</v>
      </c>
      <c r="G780" t="s">
        <v>322</v>
      </c>
      <c r="H780">
        <v>15</v>
      </c>
      <c r="I780">
        <v>195</v>
      </c>
      <c r="J780">
        <v>108</v>
      </c>
      <c r="K780">
        <v>288</v>
      </c>
      <c r="L780">
        <v>262</v>
      </c>
      <c r="M780">
        <v>82</v>
      </c>
      <c r="T780">
        <v>21</v>
      </c>
      <c r="U780">
        <v>19</v>
      </c>
      <c r="Y780">
        <v>9</v>
      </c>
      <c r="Z780">
        <v>396</v>
      </c>
      <c r="AD780">
        <v>14</v>
      </c>
      <c r="AE780">
        <v>407</v>
      </c>
      <c r="AX780">
        <v>40</v>
      </c>
      <c r="AY780">
        <v>23</v>
      </c>
      <c r="AZ780">
        <v>63</v>
      </c>
      <c r="BA780">
        <v>405</v>
      </c>
      <c r="BB780">
        <v>428</v>
      </c>
      <c r="BC780">
        <v>833</v>
      </c>
      <c r="BD780">
        <v>421</v>
      </c>
      <c r="BE780">
        <v>415</v>
      </c>
      <c r="BF780">
        <v>836</v>
      </c>
      <c r="BP780">
        <v>208</v>
      </c>
      <c r="BR780">
        <v>408</v>
      </c>
      <c r="BS780">
        <v>162</v>
      </c>
      <c r="BT780">
        <v>43</v>
      </c>
      <c r="BV780">
        <v>45</v>
      </c>
      <c r="BW780">
        <v>866</v>
      </c>
      <c r="BX780">
        <f>IF(C780=C779,IF((CI780-1)=CI779,BW779,"no data"))</f>
        <v>1021</v>
      </c>
      <c r="BY780" s="5">
        <f t="shared" si="85"/>
        <v>-0.15181194906953965</v>
      </c>
      <c r="BZ780" s="6">
        <f t="shared" si="88"/>
        <v>-0.15181194906953965</v>
      </c>
      <c r="CA780" s="7">
        <v>42316</v>
      </c>
      <c r="CE780">
        <v>357</v>
      </c>
      <c r="CF780">
        <v>207</v>
      </c>
      <c r="CG780">
        <v>97</v>
      </c>
      <c r="CH780">
        <v>205</v>
      </c>
      <c r="CI780">
        <f t="shared" si="86"/>
        <v>2015</v>
      </c>
      <c r="CJ780" t="str">
        <f t="shared" si="87"/>
        <v>5862_2015</v>
      </c>
    </row>
    <row r="781" spans="1:88" x14ac:dyDescent="0.25">
      <c r="A781" t="s">
        <v>79</v>
      </c>
      <c r="B781" t="s">
        <v>305</v>
      </c>
      <c r="C781">
        <v>5862</v>
      </c>
      <c r="D781">
        <v>-32.970834000000004</v>
      </c>
      <c r="E781">
        <v>151.63800800000001</v>
      </c>
      <c r="F781">
        <v>3</v>
      </c>
      <c r="G781" t="s">
        <v>322</v>
      </c>
      <c r="H781">
        <v>15</v>
      </c>
      <c r="I781">
        <v>195</v>
      </c>
      <c r="J781">
        <v>108</v>
      </c>
      <c r="K781">
        <v>288</v>
      </c>
      <c r="L781">
        <v>262</v>
      </c>
      <c r="M781">
        <v>82</v>
      </c>
      <c r="T781">
        <v>26</v>
      </c>
      <c r="U781">
        <v>20</v>
      </c>
      <c r="Y781">
        <v>23</v>
      </c>
      <c r="Z781">
        <v>298</v>
      </c>
      <c r="AD781">
        <v>26</v>
      </c>
      <c r="AE781">
        <v>304</v>
      </c>
      <c r="AX781">
        <v>46</v>
      </c>
      <c r="AY781">
        <v>49</v>
      </c>
      <c r="AZ781">
        <v>95</v>
      </c>
      <c r="BA781">
        <v>321</v>
      </c>
      <c r="BB781">
        <v>330</v>
      </c>
      <c r="BC781">
        <v>651</v>
      </c>
      <c r="BD781">
        <v>330</v>
      </c>
      <c r="BE781">
        <v>318</v>
      </c>
      <c r="BF781">
        <v>648</v>
      </c>
      <c r="BP781">
        <v>209</v>
      </c>
      <c r="BR781">
        <v>376</v>
      </c>
      <c r="BS781">
        <v>27</v>
      </c>
      <c r="BT781">
        <v>56</v>
      </c>
      <c r="BV781">
        <v>29</v>
      </c>
      <c r="BW781">
        <v>697</v>
      </c>
      <c r="BX781">
        <f>IF(C781=C780,IF((CI781-1)=CI780,BW780,"no data"))</f>
        <v>866</v>
      </c>
      <c r="BY781" s="5">
        <f t="shared" si="85"/>
        <v>-0.1951501154734411</v>
      </c>
      <c r="BZ781" s="6">
        <f t="shared" si="88"/>
        <v>-0.1951501154734411</v>
      </c>
      <c r="CA781" s="7">
        <v>42687</v>
      </c>
      <c r="CE781">
        <v>249</v>
      </c>
      <c r="CF781">
        <v>234</v>
      </c>
      <c r="CG781">
        <v>161</v>
      </c>
      <c r="CH781">
        <v>53</v>
      </c>
      <c r="CI781">
        <f t="shared" si="86"/>
        <v>2016</v>
      </c>
      <c r="CJ781" t="str">
        <f t="shared" si="87"/>
        <v>5862_2016</v>
      </c>
    </row>
    <row r="782" spans="1:88" x14ac:dyDescent="0.25">
      <c r="A782" t="s">
        <v>79</v>
      </c>
      <c r="B782" t="s">
        <v>305</v>
      </c>
      <c r="C782">
        <v>5862</v>
      </c>
      <c r="D782">
        <v>-32.970834000000004</v>
      </c>
      <c r="E782">
        <v>151.63800800000001</v>
      </c>
      <c r="F782">
        <v>3</v>
      </c>
      <c r="G782" t="s">
        <v>322</v>
      </c>
      <c r="H782">
        <v>15</v>
      </c>
      <c r="I782">
        <v>195</v>
      </c>
      <c r="J782">
        <v>108</v>
      </c>
      <c r="K782">
        <v>288</v>
      </c>
      <c r="L782">
        <v>262</v>
      </c>
      <c r="M782">
        <v>82</v>
      </c>
      <c r="T782">
        <v>29</v>
      </c>
      <c r="U782">
        <v>10</v>
      </c>
      <c r="Y782">
        <v>12</v>
      </c>
      <c r="Z782">
        <v>776</v>
      </c>
      <c r="AD782">
        <v>31</v>
      </c>
      <c r="AE782">
        <v>943</v>
      </c>
      <c r="AX782">
        <v>39</v>
      </c>
      <c r="AY782">
        <v>43</v>
      </c>
      <c r="AZ782">
        <v>82</v>
      </c>
      <c r="BA782">
        <v>788</v>
      </c>
      <c r="BB782">
        <v>972</v>
      </c>
      <c r="BC782">
        <v>1760</v>
      </c>
      <c r="BD782">
        <v>974</v>
      </c>
      <c r="BE782">
        <v>786</v>
      </c>
      <c r="BF782">
        <v>1760</v>
      </c>
      <c r="BP782">
        <v>231</v>
      </c>
      <c r="BR782">
        <v>1388</v>
      </c>
      <c r="BS782">
        <v>71</v>
      </c>
      <c r="BT782">
        <v>88</v>
      </c>
      <c r="BV782">
        <v>23</v>
      </c>
      <c r="BW782">
        <v>1801</v>
      </c>
      <c r="BX782">
        <f>IF(C782=C781,IF((CI782-1)=CI781,BW781,"no data"))</f>
        <v>697</v>
      </c>
      <c r="BY782" s="5">
        <f t="shared" ref="BY782:BY845" si="89">(BW782-BX782)/BX782</f>
        <v>1.5839311334289814</v>
      </c>
      <c r="BZ782" s="6">
        <f t="shared" si="88"/>
        <v>1.5839311334289814</v>
      </c>
      <c r="CA782" s="7">
        <v>43051</v>
      </c>
      <c r="CE782">
        <v>277</v>
      </c>
      <c r="CF782">
        <v>321</v>
      </c>
      <c r="CG782">
        <v>1016</v>
      </c>
      <c r="CH782">
        <v>187</v>
      </c>
      <c r="CI782">
        <f t="shared" si="86"/>
        <v>2017</v>
      </c>
      <c r="CJ782" t="str">
        <f t="shared" si="87"/>
        <v>5862_2017</v>
      </c>
    </row>
    <row r="783" spans="1:88" x14ac:dyDescent="0.25">
      <c r="A783" t="s">
        <v>79</v>
      </c>
      <c r="B783" t="s">
        <v>305</v>
      </c>
      <c r="C783">
        <v>5862</v>
      </c>
      <c r="D783">
        <v>-32.970834000000004</v>
      </c>
      <c r="E783">
        <v>151.63800800000001</v>
      </c>
      <c r="F783">
        <v>3</v>
      </c>
      <c r="G783" t="s">
        <v>322</v>
      </c>
      <c r="H783">
        <v>15</v>
      </c>
      <c r="I783">
        <v>195</v>
      </c>
      <c r="J783">
        <v>108</v>
      </c>
      <c r="K783">
        <v>288</v>
      </c>
      <c r="L783">
        <v>262</v>
      </c>
      <c r="M783">
        <v>82</v>
      </c>
      <c r="T783">
        <v>47</v>
      </c>
      <c r="U783">
        <v>24</v>
      </c>
      <c r="Y783">
        <v>51</v>
      </c>
      <c r="Z783">
        <v>375</v>
      </c>
      <c r="AD783">
        <v>23</v>
      </c>
      <c r="AE783">
        <v>494</v>
      </c>
      <c r="AX783">
        <v>71</v>
      </c>
      <c r="AY783">
        <v>74</v>
      </c>
      <c r="AZ783">
        <v>145</v>
      </c>
      <c r="BA783">
        <v>426</v>
      </c>
      <c r="BB783">
        <v>541</v>
      </c>
      <c r="BC783">
        <v>967</v>
      </c>
      <c r="BD783">
        <v>517</v>
      </c>
      <c r="BE783">
        <v>399</v>
      </c>
      <c r="BF783">
        <v>916</v>
      </c>
      <c r="BP783">
        <v>291</v>
      </c>
      <c r="BR783">
        <v>558</v>
      </c>
      <c r="BS783">
        <v>37</v>
      </c>
      <c r="BT783">
        <v>80</v>
      </c>
      <c r="BV783">
        <v>48</v>
      </c>
      <c r="BW783">
        <v>1014</v>
      </c>
      <c r="BX783">
        <f>IF(C783=C782,IF((CI783-1)=CI782,BW782,"no data"))</f>
        <v>1801</v>
      </c>
      <c r="BY783" s="5">
        <f t="shared" si="89"/>
        <v>-0.43697945585785675</v>
      </c>
      <c r="BZ783" s="6">
        <f t="shared" si="88"/>
        <v>-0.43697945585785675</v>
      </c>
      <c r="CA783" s="7">
        <v>43415</v>
      </c>
      <c r="CE783">
        <v>284</v>
      </c>
      <c r="CF783">
        <v>312</v>
      </c>
      <c r="CG783">
        <v>238</v>
      </c>
      <c r="CH783">
        <v>180</v>
      </c>
      <c r="CI783">
        <f t="shared" si="86"/>
        <v>2018</v>
      </c>
      <c r="CJ783" t="str">
        <f t="shared" si="87"/>
        <v>5862_2018</v>
      </c>
    </row>
    <row r="784" spans="1:88" x14ac:dyDescent="0.25">
      <c r="A784" t="s">
        <v>79</v>
      </c>
      <c r="B784" t="s">
        <v>305</v>
      </c>
      <c r="C784">
        <v>5863</v>
      </c>
      <c r="D784">
        <v>-33.086399999999998</v>
      </c>
      <c r="E784">
        <v>151.6396</v>
      </c>
      <c r="F784">
        <v>5</v>
      </c>
      <c r="G784" t="s">
        <v>323</v>
      </c>
      <c r="H784">
        <v>32</v>
      </c>
      <c r="I784">
        <v>212</v>
      </c>
      <c r="J784">
        <v>100</v>
      </c>
      <c r="K784">
        <v>280</v>
      </c>
      <c r="L784">
        <v>180</v>
      </c>
      <c r="M784">
        <v>360</v>
      </c>
      <c r="N784">
        <v>199</v>
      </c>
      <c r="O784">
        <v>19</v>
      </c>
      <c r="P784">
        <v>304</v>
      </c>
      <c r="Q784">
        <v>124</v>
      </c>
      <c r="V784">
        <v>32</v>
      </c>
      <c r="W784">
        <v>48</v>
      </c>
      <c r="AI784">
        <v>48</v>
      </c>
      <c r="AL784">
        <v>24</v>
      </c>
      <c r="AN784">
        <v>71</v>
      </c>
      <c r="AQ784">
        <v>18</v>
      </c>
      <c r="AX784">
        <v>80</v>
      </c>
      <c r="AY784">
        <v>119</v>
      </c>
      <c r="AZ784">
        <v>199</v>
      </c>
      <c r="BG784">
        <v>72</v>
      </c>
      <c r="BH784">
        <v>50</v>
      </c>
      <c r="BI784">
        <v>122</v>
      </c>
      <c r="BJ784">
        <v>89</v>
      </c>
      <c r="BK784">
        <v>72</v>
      </c>
      <c r="BL784">
        <v>161</v>
      </c>
      <c r="BP784">
        <v>131</v>
      </c>
      <c r="BR784">
        <v>91</v>
      </c>
      <c r="BS784">
        <v>1</v>
      </c>
      <c r="BT784">
        <v>11</v>
      </c>
      <c r="BV784">
        <v>7</v>
      </c>
      <c r="BW784">
        <v>241</v>
      </c>
      <c r="BX784" t="s">
        <v>82</v>
      </c>
      <c r="BY784" s="5"/>
      <c r="BZ784" s="6"/>
      <c r="CA784" s="7">
        <v>41952</v>
      </c>
      <c r="CI784">
        <f t="shared" si="86"/>
        <v>2014</v>
      </c>
      <c r="CJ784" t="str">
        <f t="shared" si="87"/>
        <v>5863_2014</v>
      </c>
    </row>
    <row r="785" spans="1:88" x14ac:dyDescent="0.25">
      <c r="A785" t="s">
        <v>79</v>
      </c>
      <c r="B785" t="s">
        <v>305</v>
      </c>
      <c r="C785">
        <v>5863</v>
      </c>
      <c r="D785">
        <v>-33.086385999999997</v>
      </c>
      <c r="E785">
        <v>151.63963799999999</v>
      </c>
      <c r="F785">
        <v>3</v>
      </c>
      <c r="G785" t="s">
        <v>324</v>
      </c>
      <c r="H785">
        <v>32</v>
      </c>
      <c r="I785">
        <v>212</v>
      </c>
      <c r="J785">
        <v>199</v>
      </c>
      <c r="K785">
        <v>19</v>
      </c>
      <c r="L785">
        <v>304</v>
      </c>
      <c r="M785">
        <v>124</v>
      </c>
      <c r="T785">
        <v>59</v>
      </c>
      <c r="U785">
        <v>40</v>
      </c>
      <c r="Y785">
        <v>40</v>
      </c>
      <c r="Z785">
        <v>70</v>
      </c>
      <c r="AD785">
        <v>51</v>
      </c>
      <c r="AE785">
        <v>67</v>
      </c>
      <c r="AX785">
        <v>99</v>
      </c>
      <c r="AY785">
        <v>91</v>
      </c>
      <c r="AZ785">
        <v>190</v>
      </c>
      <c r="BA785">
        <v>110</v>
      </c>
      <c r="BB785">
        <v>126</v>
      </c>
      <c r="BC785">
        <v>236</v>
      </c>
      <c r="BD785">
        <v>118</v>
      </c>
      <c r="BE785">
        <v>110</v>
      </c>
      <c r="BF785">
        <v>228</v>
      </c>
      <c r="BP785">
        <v>95</v>
      </c>
      <c r="BR785">
        <v>196</v>
      </c>
      <c r="BS785">
        <v>4</v>
      </c>
      <c r="BT785">
        <v>12</v>
      </c>
      <c r="BV785">
        <v>20</v>
      </c>
      <c r="BW785">
        <v>327</v>
      </c>
      <c r="BX785" t="str">
        <f>IF(C785=C784,IF((CI785-1)=CI784,BW784,"no data"))</f>
        <v>no data</v>
      </c>
      <c r="BY785" s="5"/>
      <c r="BZ785" s="6"/>
      <c r="CA785" s="7">
        <v>42715</v>
      </c>
      <c r="CE785">
        <v>117</v>
      </c>
      <c r="CF785">
        <v>74</v>
      </c>
      <c r="CG785">
        <v>87</v>
      </c>
      <c r="CH785">
        <v>49</v>
      </c>
      <c r="CI785">
        <f t="shared" si="86"/>
        <v>2016</v>
      </c>
      <c r="CJ785" t="str">
        <f t="shared" si="87"/>
        <v>5863_2016</v>
      </c>
    </row>
    <row r="786" spans="1:88" x14ac:dyDescent="0.25">
      <c r="A786" t="s">
        <v>79</v>
      </c>
      <c r="B786" t="s">
        <v>305</v>
      </c>
      <c r="C786">
        <v>5863</v>
      </c>
      <c r="D786">
        <v>-33.086385999999997</v>
      </c>
      <c r="E786">
        <v>151.63963799999999</v>
      </c>
      <c r="F786">
        <v>5</v>
      </c>
      <c r="G786" t="s">
        <v>323</v>
      </c>
      <c r="H786">
        <v>32</v>
      </c>
      <c r="I786">
        <v>212</v>
      </c>
      <c r="J786">
        <v>100</v>
      </c>
      <c r="K786">
        <v>280</v>
      </c>
      <c r="L786">
        <v>180</v>
      </c>
      <c r="M786">
        <v>360</v>
      </c>
      <c r="N786">
        <v>199</v>
      </c>
      <c r="O786">
        <v>19</v>
      </c>
      <c r="P786">
        <v>304</v>
      </c>
      <c r="Q786">
        <v>124</v>
      </c>
      <c r="T786">
        <v>4</v>
      </c>
      <c r="U786">
        <v>1</v>
      </c>
      <c r="V786">
        <v>86</v>
      </c>
      <c r="W786">
        <v>9</v>
      </c>
      <c r="Y786">
        <v>1</v>
      </c>
      <c r="Z786">
        <v>4</v>
      </c>
      <c r="AA786">
        <v>0</v>
      </c>
      <c r="AB786">
        <v>114</v>
      </c>
      <c r="AD786">
        <v>1</v>
      </c>
      <c r="AE786">
        <v>3</v>
      </c>
      <c r="AF786">
        <v>0</v>
      </c>
      <c r="AG786">
        <v>18</v>
      </c>
      <c r="AI786">
        <v>73</v>
      </c>
      <c r="AJ786">
        <v>2</v>
      </c>
      <c r="AK786">
        <v>0</v>
      </c>
      <c r="AL786">
        <v>2</v>
      </c>
      <c r="AN786">
        <v>12</v>
      </c>
      <c r="AO786">
        <v>114</v>
      </c>
      <c r="AP786">
        <v>21</v>
      </c>
      <c r="AQ786">
        <v>6</v>
      </c>
      <c r="AX786">
        <v>100</v>
      </c>
      <c r="AY786">
        <v>87</v>
      </c>
      <c r="AZ786">
        <v>187</v>
      </c>
      <c r="BA786">
        <v>119</v>
      </c>
      <c r="BB786">
        <v>123</v>
      </c>
      <c r="BC786">
        <v>242</v>
      </c>
      <c r="BD786">
        <v>22</v>
      </c>
      <c r="BE786">
        <v>26</v>
      </c>
      <c r="BF786">
        <v>48</v>
      </c>
      <c r="BG786">
        <v>77</v>
      </c>
      <c r="BH786">
        <v>92</v>
      </c>
      <c r="BI786">
        <v>169</v>
      </c>
      <c r="BJ786">
        <v>153</v>
      </c>
      <c r="BK786">
        <v>143</v>
      </c>
      <c r="BL786">
        <v>296</v>
      </c>
      <c r="BP786">
        <v>196</v>
      </c>
      <c r="BR786">
        <v>229</v>
      </c>
      <c r="BS786">
        <v>6</v>
      </c>
      <c r="BT786">
        <v>25</v>
      </c>
      <c r="BV786">
        <v>15</v>
      </c>
      <c r="BW786">
        <v>471</v>
      </c>
      <c r="BX786">
        <f>IF(C786=C785,IF((CI786-1)=CI785,BW785,"no data"))</f>
        <v>327</v>
      </c>
      <c r="BY786" s="5">
        <f t="shared" si="89"/>
        <v>0.44036697247706424</v>
      </c>
      <c r="BZ786" s="6">
        <f t="shared" si="88"/>
        <v>0.44036697247706424</v>
      </c>
      <c r="CA786" s="7">
        <v>43051</v>
      </c>
      <c r="CE786">
        <v>100</v>
      </c>
      <c r="CF786">
        <v>110</v>
      </c>
      <c r="CG786">
        <v>135</v>
      </c>
      <c r="CH786">
        <v>126</v>
      </c>
      <c r="CI786">
        <f t="shared" si="86"/>
        <v>2017</v>
      </c>
      <c r="CJ786" t="str">
        <f t="shared" si="87"/>
        <v>5863_2017</v>
      </c>
    </row>
    <row r="787" spans="1:88" x14ac:dyDescent="0.25">
      <c r="A787" t="s">
        <v>79</v>
      </c>
      <c r="B787" t="s">
        <v>305</v>
      </c>
      <c r="C787">
        <v>5863</v>
      </c>
      <c r="D787">
        <v>-33.086385999999997</v>
      </c>
      <c r="E787">
        <v>151.63963799999999</v>
      </c>
      <c r="F787">
        <v>5</v>
      </c>
      <c r="G787" t="s">
        <v>323</v>
      </c>
      <c r="H787">
        <v>32</v>
      </c>
      <c r="I787">
        <v>212</v>
      </c>
      <c r="J787">
        <v>100</v>
      </c>
      <c r="K787">
        <v>280</v>
      </c>
      <c r="L787">
        <v>180</v>
      </c>
      <c r="M787">
        <v>360</v>
      </c>
      <c r="N787">
        <v>199</v>
      </c>
      <c r="O787">
        <v>19</v>
      </c>
      <c r="P787">
        <v>304</v>
      </c>
      <c r="Q787">
        <v>124</v>
      </c>
      <c r="T787">
        <v>12</v>
      </c>
      <c r="U787">
        <v>0</v>
      </c>
      <c r="V787">
        <v>63</v>
      </c>
      <c r="W787">
        <v>68</v>
      </c>
      <c r="Y787">
        <v>9</v>
      </c>
      <c r="Z787">
        <v>0</v>
      </c>
      <c r="AA787">
        <v>0</v>
      </c>
      <c r="AB787">
        <v>126</v>
      </c>
      <c r="AD787">
        <v>0</v>
      </c>
      <c r="AE787">
        <v>2</v>
      </c>
      <c r="AF787">
        <v>0</v>
      </c>
      <c r="AG787">
        <v>45</v>
      </c>
      <c r="AI787">
        <v>56</v>
      </c>
      <c r="AJ787">
        <v>0</v>
      </c>
      <c r="AK787">
        <v>0</v>
      </c>
      <c r="AL787">
        <v>4</v>
      </c>
      <c r="AN787">
        <v>58</v>
      </c>
      <c r="AO787">
        <v>148</v>
      </c>
      <c r="AP787">
        <v>40</v>
      </c>
      <c r="AQ787">
        <v>6</v>
      </c>
      <c r="AX787">
        <v>143</v>
      </c>
      <c r="AY787">
        <v>123</v>
      </c>
      <c r="AZ787">
        <v>266</v>
      </c>
      <c r="BA787">
        <v>135</v>
      </c>
      <c r="BB787">
        <v>162</v>
      </c>
      <c r="BC787">
        <v>297</v>
      </c>
      <c r="BD787">
        <v>47</v>
      </c>
      <c r="BE787">
        <v>40</v>
      </c>
      <c r="BF787">
        <v>87</v>
      </c>
      <c r="BG787">
        <v>60</v>
      </c>
      <c r="BH787">
        <v>69</v>
      </c>
      <c r="BI787">
        <v>129</v>
      </c>
      <c r="BJ787">
        <v>252</v>
      </c>
      <c r="BK787">
        <v>243</v>
      </c>
      <c r="BL787">
        <v>495</v>
      </c>
      <c r="BP787">
        <v>210</v>
      </c>
      <c r="BR787">
        <v>380</v>
      </c>
      <c r="BS787">
        <v>4</v>
      </c>
      <c r="BT787">
        <v>18</v>
      </c>
      <c r="BV787">
        <v>25</v>
      </c>
      <c r="BW787">
        <v>637</v>
      </c>
      <c r="BX787">
        <f>IF(C787=C786,IF((CI787-1)=CI786,BW786,"no data"))</f>
        <v>471</v>
      </c>
      <c r="BY787" s="5">
        <f t="shared" si="89"/>
        <v>0.35244161358811038</v>
      </c>
      <c r="BZ787" s="6">
        <f t="shared" si="88"/>
        <v>0.35244161358811038</v>
      </c>
      <c r="CA787" s="7">
        <v>43415</v>
      </c>
      <c r="CE787">
        <v>127</v>
      </c>
      <c r="CF787">
        <v>191</v>
      </c>
      <c r="CG787">
        <v>191</v>
      </c>
      <c r="CH787">
        <v>128</v>
      </c>
      <c r="CI787">
        <f t="shared" si="86"/>
        <v>2018</v>
      </c>
      <c r="CJ787" t="str">
        <f t="shared" si="87"/>
        <v>5863_2018</v>
      </c>
    </row>
    <row r="788" spans="1:88" x14ac:dyDescent="0.25">
      <c r="A788" t="s">
        <v>79</v>
      </c>
      <c r="B788" t="s">
        <v>305</v>
      </c>
      <c r="C788">
        <v>5864</v>
      </c>
      <c r="D788">
        <v>-33.108400000000003</v>
      </c>
      <c r="E788">
        <v>151.48779999999999</v>
      </c>
      <c r="F788">
        <v>4</v>
      </c>
      <c r="G788" t="s">
        <v>325</v>
      </c>
      <c r="H788">
        <v>68</v>
      </c>
      <c r="I788">
        <v>248</v>
      </c>
      <c r="J788">
        <v>151</v>
      </c>
      <c r="K788">
        <v>331</v>
      </c>
      <c r="L788">
        <v>229</v>
      </c>
      <c r="M788">
        <v>49</v>
      </c>
      <c r="N788">
        <v>331</v>
      </c>
      <c r="O788">
        <v>151</v>
      </c>
      <c r="T788">
        <v>1</v>
      </c>
      <c r="U788">
        <v>16</v>
      </c>
      <c r="V788">
        <v>3</v>
      </c>
      <c r="Y788">
        <v>1</v>
      </c>
      <c r="Z788">
        <v>41</v>
      </c>
      <c r="AA788">
        <v>14</v>
      </c>
      <c r="AD788">
        <v>8</v>
      </c>
      <c r="AE788">
        <v>41</v>
      </c>
      <c r="AF788">
        <v>63</v>
      </c>
      <c r="AI788">
        <v>8</v>
      </c>
      <c r="AJ788">
        <v>7</v>
      </c>
      <c r="AK788">
        <v>60</v>
      </c>
      <c r="AX788">
        <v>20</v>
      </c>
      <c r="AY788">
        <v>17</v>
      </c>
      <c r="AZ788">
        <v>37</v>
      </c>
      <c r="BA788">
        <v>56</v>
      </c>
      <c r="BB788">
        <v>49</v>
      </c>
      <c r="BC788">
        <v>105</v>
      </c>
      <c r="BD788">
        <v>112</v>
      </c>
      <c r="BE788">
        <v>117</v>
      </c>
      <c r="BF788">
        <v>229</v>
      </c>
      <c r="BG788">
        <v>75</v>
      </c>
      <c r="BH788">
        <v>80</v>
      </c>
      <c r="BI788">
        <v>155</v>
      </c>
      <c r="BP788">
        <v>9</v>
      </c>
      <c r="BR788">
        <v>252</v>
      </c>
      <c r="BS788">
        <v>0</v>
      </c>
      <c r="BT788">
        <v>1</v>
      </c>
      <c r="BV788">
        <v>1</v>
      </c>
      <c r="BW788">
        <v>263</v>
      </c>
      <c r="BX788" t="s">
        <v>82</v>
      </c>
      <c r="BY788" s="5"/>
      <c r="BZ788" s="6"/>
      <c r="CA788" s="7">
        <v>41588</v>
      </c>
      <c r="CI788">
        <f t="shared" si="86"/>
        <v>2013</v>
      </c>
      <c r="CJ788" t="str">
        <f t="shared" si="87"/>
        <v>5864_2013</v>
      </c>
    </row>
    <row r="789" spans="1:88" x14ac:dyDescent="0.25">
      <c r="A789" t="s">
        <v>79</v>
      </c>
      <c r="B789" t="s">
        <v>305</v>
      </c>
      <c r="C789">
        <v>5864</v>
      </c>
      <c r="D789">
        <v>-33.108400000000003</v>
      </c>
      <c r="E789">
        <v>151.48779999999999</v>
      </c>
      <c r="F789">
        <v>4</v>
      </c>
      <c r="G789" t="s">
        <v>325</v>
      </c>
      <c r="H789">
        <v>68</v>
      </c>
      <c r="I789">
        <v>248</v>
      </c>
      <c r="J789">
        <v>151</v>
      </c>
      <c r="K789">
        <v>331</v>
      </c>
      <c r="L789">
        <v>229</v>
      </c>
      <c r="M789">
        <v>49</v>
      </c>
      <c r="N789">
        <v>331</v>
      </c>
      <c r="O789">
        <v>151</v>
      </c>
      <c r="T789">
        <v>8</v>
      </c>
      <c r="U789">
        <v>20</v>
      </c>
      <c r="V789">
        <v>10</v>
      </c>
      <c r="Y789">
        <v>40</v>
      </c>
      <c r="Z789">
        <v>129</v>
      </c>
      <c r="AA789">
        <v>1</v>
      </c>
      <c r="AD789">
        <v>47</v>
      </c>
      <c r="AE789">
        <v>100</v>
      </c>
      <c r="AF789">
        <v>92</v>
      </c>
      <c r="AI789">
        <v>14</v>
      </c>
      <c r="AJ789">
        <v>4</v>
      </c>
      <c r="AK789">
        <v>88</v>
      </c>
      <c r="AX789">
        <v>38</v>
      </c>
      <c r="AY789">
        <v>101</v>
      </c>
      <c r="AZ789">
        <v>139</v>
      </c>
      <c r="BA789">
        <v>170</v>
      </c>
      <c r="BB789">
        <v>112</v>
      </c>
      <c r="BC789">
        <v>282</v>
      </c>
      <c r="BD789">
        <v>239</v>
      </c>
      <c r="BE789">
        <v>237</v>
      </c>
      <c r="BF789">
        <v>476</v>
      </c>
      <c r="BG789">
        <v>106</v>
      </c>
      <c r="BH789">
        <v>103</v>
      </c>
      <c r="BI789">
        <v>209</v>
      </c>
      <c r="BP789">
        <v>7</v>
      </c>
      <c r="BR789">
        <v>526</v>
      </c>
      <c r="BS789">
        <v>5</v>
      </c>
      <c r="BT789">
        <v>3</v>
      </c>
      <c r="BV789">
        <v>12</v>
      </c>
      <c r="BW789">
        <v>553</v>
      </c>
      <c r="BX789">
        <f>IF(C789=C788,IF((CI789-1)=CI788,BW788,"no data"))</f>
        <v>263</v>
      </c>
      <c r="BY789" s="5">
        <f t="shared" si="89"/>
        <v>1.102661596958175</v>
      </c>
      <c r="BZ789" s="6">
        <f t="shared" si="88"/>
        <v>1.102661596958175</v>
      </c>
      <c r="CA789" s="7">
        <v>41952</v>
      </c>
      <c r="CI789">
        <f t="shared" si="86"/>
        <v>2014</v>
      </c>
      <c r="CJ789" t="str">
        <f t="shared" si="87"/>
        <v>5864_2014</v>
      </c>
    </row>
    <row r="790" spans="1:88" x14ac:dyDescent="0.25">
      <c r="A790" t="s">
        <v>79</v>
      </c>
      <c r="B790" t="s">
        <v>305</v>
      </c>
      <c r="C790">
        <v>5864</v>
      </c>
      <c r="D790">
        <v>-33.108400000000003</v>
      </c>
      <c r="E790">
        <v>151.48779999999999</v>
      </c>
      <c r="F790">
        <v>4</v>
      </c>
      <c r="G790" t="s">
        <v>325</v>
      </c>
      <c r="H790">
        <v>68</v>
      </c>
      <c r="I790">
        <v>248</v>
      </c>
      <c r="J790">
        <v>151</v>
      </c>
      <c r="K790">
        <v>331</v>
      </c>
      <c r="L790">
        <v>229</v>
      </c>
      <c r="M790">
        <v>49</v>
      </c>
      <c r="N790">
        <v>331</v>
      </c>
      <c r="O790">
        <v>151</v>
      </c>
      <c r="T790">
        <v>8</v>
      </c>
      <c r="U790">
        <v>31</v>
      </c>
      <c r="V790">
        <v>5</v>
      </c>
      <c r="Y790">
        <v>5</v>
      </c>
      <c r="Z790">
        <v>153</v>
      </c>
      <c r="AA790">
        <v>12</v>
      </c>
      <c r="AD790">
        <v>38</v>
      </c>
      <c r="AE790">
        <v>127</v>
      </c>
      <c r="AF790">
        <v>91</v>
      </c>
      <c r="AI790">
        <v>1</v>
      </c>
      <c r="AJ790">
        <v>2</v>
      </c>
      <c r="AK790">
        <v>83</v>
      </c>
      <c r="AX790">
        <v>44</v>
      </c>
      <c r="AY790">
        <v>44</v>
      </c>
      <c r="AZ790">
        <v>88</v>
      </c>
      <c r="BA790">
        <v>170</v>
      </c>
      <c r="BB790">
        <v>137</v>
      </c>
      <c r="BC790">
        <v>307</v>
      </c>
      <c r="BD790">
        <v>256</v>
      </c>
      <c r="BE790">
        <v>267</v>
      </c>
      <c r="BF790">
        <v>523</v>
      </c>
      <c r="BG790">
        <v>86</v>
      </c>
      <c r="BH790">
        <v>108</v>
      </c>
      <c r="BI790">
        <v>194</v>
      </c>
      <c r="BP790">
        <v>24</v>
      </c>
      <c r="BR790">
        <v>518</v>
      </c>
      <c r="BS790">
        <v>2</v>
      </c>
      <c r="BT790">
        <v>11</v>
      </c>
      <c r="BV790">
        <v>1</v>
      </c>
      <c r="BW790">
        <v>556</v>
      </c>
      <c r="BX790">
        <f>IF(C790=C789,IF((CI790-1)=CI789,BW789,"no data"))</f>
        <v>553</v>
      </c>
      <c r="BY790" s="5">
        <f t="shared" si="89"/>
        <v>5.4249547920433997E-3</v>
      </c>
      <c r="BZ790" s="6">
        <f t="shared" si="88"/>
        <v>5.4249547920433997E-3</v>
      </c>
      <c r="CA790" s="7">
        <v>42316</v>
      </c>
      <c r="CE790">
        <v>85</v>
      </c>
      <c r="CF790">
        <v>110</v>
      </c>
      <c r="CG790">
        <v>200</v>
      </c>
      <c r="CH790">
        <v>161</v>
      </c>
      <c r="CI790">
        <f t="shared" si="86"/>
        <v>2015</v>
      </c>
      <c r="CJ790" t="str">
        <f t="shared" si="87"/>
        <v>5864_2015</v>
      </c>
    </row>
    <row r="791" spans="1:88" x14ac:dyDescent="0.25">
      <c r="A791" t="s">
        <v>79</v>
      </c>
      <c r="B791" t="s">
        <v>305</v>
      </c>
      <c r="C791">
        <v>5864</v>
      </c>
      <c r="D791">
        <v>-33.108351999999996</v>
      </c>
      <c r="E791">
        <v>151.487763</v>
      </c>
      <c r="F791">
        <v>4</v>
      </c>
      <c r="G791" t="s">
        <v>325</v>
      </c>
      <c r="H791">
        <v>68</v>
      </c>
      <c r="I791">
        <v>248</v>
      </c>
      <c r="J791">
        <v>151</v>
      </c>
      <c r="K791">
        <v>331</v>
      </c>
      <c r="L791">
        <v>229</v>
      </c>
      <c r="M791">
        <v>49</v>
      </c>
      <c r="N791">
        <v>331</v>
      </c>
      <c r="O791">
        <v>151</v>
      </c>
      <c r="T791">
        <v>4</v>
      </c>
      <c r="U791">
        <v>22</v>
      </c>
      <c r="V791">
        <v>4</v>
      </c>
      <c r="Y791">
        <v>14</v>
      </c>
      <c r="Z791">
        <v>118</v>
      </c>
      <c r="AA791">
        <v>3</v>
      </c>
      <c r="AD791">
        <v>15</v>
      </c>
      <c r="AE791">
        <v>121</v>
      </c>
      <c r="AF791">
        <v>50</v>
      </c>
      <c r="AI791">
        <v>0</v>
      </c>
      <c r="AJ791">
        <v>10</v>
      </c>
      <c r="AK791">
        <v>60</v>
      </c>
      <c r="AX791">
        <v>30</v>
      </c>
      <c r="AY791">
        <v>29</v>
      </c>
      <c r="AZ791">
        <v>59</v>
      </c>
      <c r="BA791">
        <v>135</v>
      </c>
      <c r="BB791">
        <v>135</v>
      </c>
      <c r="BC791">
        <v>270</v>
      </c>
      <c r="BD791">
        <v>186</v>
      </c>
      <c r="BE791">
        <v>200</v>
      </c>
      <c r="BF791">
        <v>386</v>
      </c>
      <c r="BG791">
        <v>70</v>
      </c>
      <c r="BH791">
        <v>57</v>
      </c>
      <c r="BI791">
        <v>127</v>
      </c>
      <c r="BP791">
        <v>8</v>
      </c>
      <c r="BR791">
        <v>411</v>
      </c>
      <c r="BS791">
        <v>0</v>
      </c>
      <c r="BT791">
        <v>0</v>
      </c>
      <c r="BV791">
        <v>2</v>
      </c>
      <c r="BW791">
        <v>421</v>
      </c>
      <c r="BX791">
        <f>IF(C791=C790,IF((CI791-1)=CI790,BW790,"no data"))</f>
        <v>556</v>
      </c>
      <c r="BY791" s="5">
        <f t="shared" si="89"/>
        <v>-0.24280575539568344</v>
      </c>
      <c r="BZ791" s="6">
        <f t="shared" si="88"/>
        <v>-0.24280575539568344</v>
      </c>
      <c r="CA791" s="7">
        <v>42687</v>
      </c>
      <c r="CE791">
        <v>99</v>
      </c>
      <c r="CF791">
        <v>90</v>
      </c>
      <c r="CG791">
        <v>131</v>
      </c>
      <c r="CH791">
        <v>101</v>
      </c>
      <c r="CI791">
        <f t="shared" si="86"/>
        <v>2016</v>
      </c>
      <c r="CJ791" t="str">
        <f t="shared" si="87"/>
        <v>5864_2016</v>
      </c>
    </row>
    <row r="792" spans="1:88" x14ac:dyDescent="0.25">
      <c r="A792" t="s">
        <v>79</v>
      </c>
      <c r="B792" t="s">
        <v>305</v>
      </c>
      <c r="C792">
        <v>5864</v>
      </c>
      <c r="D792">
        <v>-33.108351999999996</v>
      </c>
      <c r="E792">
        <v>151.487763</v>
      </c>
      <c r="F792">
        <v>4</v>
      </c>
      <c r="G792" t="s">
        <v>325</v>
      </c>
      <c r="H792">
        <v>68</v>
      </c>
      <c r="I792">
        <v>248</v>
      </c>
      <c r="J792">
        <v>151</v>
      </c>
      <c r="K792">
        <v>331</v>
      </c>
      <c r="L792">
        <v>229</v>
      </c>
      <c r="M792">
        <v>49</v>
      </c>
      <c r="N792">
        <v>331</v>
      </c>
      <c r="O792">
        <v>151</v>
      </c>
      <c r="T792">
        <v>5</v>
      </c>
      <c r="U792">
        <v>41</v>
      </c>
      <c r="V792">
        <v>6</v>
      </c>
      <c r="Y792">
        <v>19</v>
      </c>
      <c r="Z792">
        <v>194</v>
      </c>
      <c r="AA792">
        <v>16</v>
      </c>
      <c r="AD792">
        <v>33</v>
      </c>
      <c r="AE792">
        <v>170</v>
      </c>
      <c r="AF792">
        <v>72</v>
      </c>
      <c r="AI792">
        <v>10</v>
      </c>
      <c r="AJ792">
        <v>5</v>
      </c>
      <c r="AK792">
        <v>67</v>
      </c>
      <c r="AX792">
        <v>52</v>
      </c>
      <c r="AY792">
        <v>62</v>
      </c>
      <c r="AZ792">
        <v>114</v>
      </c>
      <c r="BA792">
        <v>229</v>
      </c>
      <c r="BB792">
        <v>180</v>
      </c>
      <c r="BC792">
        <v>409</v>
      </c>
      <c r="BD792">
        <v>275</v>
      </c>
      <c r="BE792">
        <v>302</v>
      </c>
      <c r="BF792">
        <v>577</v>
      </c>
      <c r="BG792">
        <v>82</v>
      </c>
      <c r="BH792">
        <v>94</v>
      </c>
      <c r="BI792">
        <v>176</v>
      </c>
      <c r="BP792">
        <v>9</v>
      </c>
      <c r="BR792">
        <v>627</v>
      </c>
      <c r="BS792">
        <v>0</v>
      </c>
      <c r="BT792">
        <v>0</v>
      </c>
      <c r="BV792">
        <v>2</v>
      </c>
      <c r="BW792">
        <v>638</v>
      </c>
      <c r="BX792">
        <f>IF(C792=C791,IF((CI792-1)=CI791,BW791,"no data"))</f>
        <v>421</v>
      </c>
      <c r="BY792" s="5">
        <f t="shared" si="89"/>
        <v>0.51543942992874114</v>
      </c>
      <c r="BZ792" s="6">
        <f t="shared" si="88"/>
        <v>0.51543942992874114</v>
      </c>
      <c r="CA792" s="7">
        <v>43051</v>
      </c>
      <c r="CE792">
        <v>101</v>
      </c>
      <c r="CF792">
        <v>129</v>
      </c>
      <c r="CG792">
        <v>185</v>
      </c>
      <c r="CH792">
        <v>223</v>
      </c>
      <c r="CI792">
        <f t="shared" si="86"/>
        <v>2017</v>
      </c>
      <c r="CJ792" t="str">
        <f t="shared" si="87"/>
        <v>5864_2017</v>
      </c>
    </row>
    <row r="793" spans="1:88" x14ac:dyDescent="0.25">
      <c r="A793" t="s">
        <v>79</v>
      </c>
      <c r="B793" t="s">
        <v>305</v>
      </c>
      <c r="C793">
        <v>5864</v>
      </c>
      <c r="D793">
        <v>-33.108351999999996</v>
      </c>
      <c r="E793">
        <v>151.487763</v>
      </c>
      <c r="F793">
        <v>4</v>
      </c>
      <c r="G793" t="s">
        <v>325</v>
      </c>
      <c r="H793">
        <v>68</v>
      </c>
      <c r="I793">
        <v>248</v>
      </c>
      <c r="J793">
        <v>151</v>
      </c>
      <c r="K793">
        <v>331</v>
      </c>
      <c r="L793">
        <v>229</v>
      </c>
      <c r="M793">
        <v>49</v>
      </c>
      <c r="N793">
        <v>331</v>
      </c>
      <c r="O793">
        <v>151</v>
      </c>
      <c r="T793">
        <v>2</v>
      </c>
      <c r="U793">
        <v>14</v>
      </c>
      <c r="V793">
        <v>0</v>
      </c>
      <c r="Y793">
        <v>26</v>
      </c>
      <c r="Z793">
        <v>110</v>
      </c>
      <c r="AA793">
        <v>21</v>
      </c>
      <c r="AD793">
        <v>16</v>
      </c>
      <c r="AE793">
        <v>122</v>
      </c>
      <c r="AF793">
        <v>39</v>
      </c>
      <c r="AI793">
        <v>2</v>
      </c>
      <c r="AJ793">
        <v>7</v>
      </c>
      <c r="AK793">
        <v>56</v>
      </c>
      <c r="AX793">
        <v>16</v>
      </c>
      <c r="AY793">
        <v>44</v>
      </c>
      <c r="AZ793">
        <v>60</v>
      </c>
      <c r="BA793">
        <v>157</v>
      </c>
      <c r="BB793">
        <v>131</v>
      </c>
      <c r="BC793">
        <v>288</v>
      </c>
      <c r="BD793">
        <v>177</v>
      </c>
      <c r="BE793">
        <v>180</v>
      </c>
      <c r="BF793">
        <v>357</v>
      </c>
      <c r="BG793">
        <v>65</v>
      </c>
      <c r="BH793">
        <v>60</v>
      </c>
      <c r="BI793">
        <v>125</v>
      </c>
      <c r="BP793">
        <v>14</v>
      </c>
      <c r="BR793">
        <v>389</v>
      </c>
      <c r="BS793">
        <v>0</v>
      </c>
      <c r="BT793">
        <v>4</v>
      </c>
      <c r="BV793">
        <v>8</v>
      </c>
      <c r="BW793">
        <v>415</v>
      </c>
      <c r="BX793">
        <f>IF(C793=C792,IF((CI793-1)=CI792,BW792,"no data"))</f>
        <v>638</v>
      </c>
      <c r="BY793" s="5">
        <f t="shared" si="89"/>
        <v>-0.34952978056426331</v>
      </c>
      <c r="BZ793" s="6">
        <f t="shared" si="88"/>
        <v>-0.34952978056426331</v>
      </c>
      <c r="CA793" s="7">
        <v>43415</v>
      </c>
      <c r="CE793">
        <v>77</v>
      </c>
      <c r="CF793">
        <v>69</v>
      </c>
      <c r="CG793">
        <v>172</v>
      </c>
      <c r="CH793">
        <v>97</v>
      </c>
      <c r="CI793">
        <f t="shared" si="86"/>
        <v>2018</v>
      </c>
      <c r="CJ793" t="str">
        <f t="shared" si="87"/>
        <v>5864_2018</v>
      </c>
    </row>
    <row r="794" spans="1:88" x14ac:dyDescent="0.25">
      <c r="A794" t="s">
        <v>79</v>
      </c>
      <c r="B794" t="s">
        <v>305</v>
      </c>
      <c r="C794">
        <v>5865</v>
      </c>
      <c r="D794">
        <v>-33.109000000000002</v>
      </c>
      <c r="E794">
        <v>151.5342</v>
      </c>
      <c r="F794">
        <v>4</v>
      </c>
      <c r="G794" t="s">
        <v>326</v>
      </c>
      <c r="H794">
        <v>4</v>
      </c>
      <c r="I794">
        <v>184</v>
      </c>
      <c r="J794">
        <v>61</v>
      </c>
      <c r="K794">
        <v>241</v>
      </c>
      <c r="L794">
        <v>160</v>
      </c>
      <c r="M794">
        <v>340</v>
      </c>
      <c r="N794">
        <v>241</v>
      </c>
      <c r="O794">
        <v>61</v>
      </c>
      <c r="T794">
        <v>0</v>
      </c>
      <c r="U794">
        <v>4</v>
      </c>
      <c r="V794">
        <v>15</v>
      </c>
      <c r="Y794">
        <v>2</v>
      </c>
      <c r="Z794">
        <v>0</v>
      </c>
      <c r="AA794">
        <v>13</v>
      </c>
      <c r="AD794">
        <v>2</v>
      </c>
      <c r="AE794">
        <v>0</v>
      </c>
      <c r="AF794">
        <v>6</v>
      </c>
      <c r="AI794">
        <v>7</v>
      </c>
      <c r="AJ794">
        <v>14</v>
      </c>
      <c r="AK794">
        <v>3</v>
      </c>
      <c r="AX794">
        <v>19</v>
      </c>
      <c r="AY794">
        <v>11</v>
      </c>
      <c r="AZ794">
        <v>30</v>
      </c>
      <c r="BA794">
        <v>15</v>
      </c>
      <c r="BB794">
        <v>14</v>
      </c>
      <c r="BC794">
        <v>29</v>
      </c>
      <c r="BD794">
        <v>8</v>
      </c>
      <c r="BE794">
        <v>7</v>
      </c>
      <c r="BF794">
        <v>15</v>
      </c>
      <c r="BG794">
        <v>24</v>
      </c>
      <c r="BH794">
        <v>34</v>
      </c>
      <c r="BI794">
        <v>58</v>
      </c>
      <c r="BP794">
        <v>30</v>
      </c>
      <c r="BR794">
        <v>26</v>
      </c>
      <c r="BS794">
        <v>0</v>
      </c>
      <c r="BT794">
        <v>10</v>
      </c>
      <c r="BV794">
        <v>0</v>
      </c>
      <c r="BW794">
        <v>66</v>
      </c>
      <c r="BX794" t="s">
        <v>82</v>
      </c>
      <c r="BY794" s="5"/>
      <c r="BZ794" s="6"/>
      <c r="CA794" s="7">
        <v>41588</v>
      </c>
      <c r="CI794">
        <f t="shared" si="86"/>
        <v>2013</v>
      </c>
      <c r="CJ794" t="str">
        <f t="shared" si="87"/>
        <v>5865_2013</v>
      </c>
    </row>
    <row r="795" spans="1:88" x14ac:dyDescent="0.25">
      <c r="A795" t="s">
        <v>79</v>
      </c>
      <c r="B795" t="s">
        <v>305</v>
      </c>
      <c r="C795">
        <v>5865</v>
      </c>
      <c r="D795">
        <v>-33.109000000000002</v>
      </c>
      <c r="E795">
        <v>151.5342</v>
      </c>
      <c r="F795">
        <v>4</v>
      </c>
      <c r="G795" t="s">
        <v>326</v>
      </c>
      <c r="H795">
        <v>4</v>
      </c>
      <c r="I795">
        <v>184</v>
      </c>
      <c r="J795">
        <v>61</v>
      </c>
      <c r="K795">
        <v>241</v>
      </c>
      <c r="L795">
        <v>160</v>
      </c>
      <c r="M795">
        <v>340</v>
      </c>
      <c r="N795">
        <v>241</v>
      </c>
      <c r="O795">
        <v>61</v>
      </c>
      <c r="T795">
        <v>0</v>
      </c>
      <c r="U795">
        <v>2</v>
      </c>
      <c r="V795">
        <v>16</v>
      </c>
      <c r="Y795">
        <v>0</v>
      </c>
      <c r="Z795">
        <v>0</v>
      </c>
      <c r="AA795">
        <v>32</v>
      </c>
      <c r="AD795">
        <v>3</v>
      </c>
      <c r="AE795">
        <v>2</v>
      </c>
      <c r="AF795">
        <v>2</v>
      </c>
      <c r="AI795">
        <v>18</v>
      </c>
      <c r="AJ795">
        <v>16</v>
      </c>
      <c r="AK795">
        <v>11</v>
      </c>
      <c r="AX795">
        <v>18</v>
      </c>
      <c r="AY795">
        <v>21</v>
      </c>
      <c r="AZ795">
        <v>39</v>
      </c>
      <c r="BA795">
        <v>32</v>
      </c>
      <c r="BB795">
        <v>18</v>
      </c>
      <c r="BC795">
        <v>50</v>
      </c>
      <c r="BD795">
        <v>7</v>
      </c>
      <c r="BE795">
        <v>13</v>
      </c>
      <c r="BF795">
        <v>20</v>
      </c>
      <c r="BG795">
        <v>45</v>
      </c>
      <c r="BH795">
        <v>50</v>
      </c>
      <c r="BI795">
        <v>95</v>
      </c>
      <c r="BP795">
        <v>39</v>
      </c>
      <c r="BR795">
        <v>48</v>
      </c>
      <c r="BS795">
        <v>2</v>
      </c>
      <c r="BT795">
        <v>4</v>
      </c>
      <c r="BV795">
        <v>9</v>
      </c>
      <c r="BW795">
        <v>102</v>
      </c>
      <c r="BX795">
        <f>IF(C795=C794,IF((CI795-1)=CI794,BW794,"no data"))</f>
        <v>66</v>
      </c>
      <c r="BY795" s="5">
        <f t="shared" si="89"/>
        <v>0.54545454545454541</v>
      </c>
      <c r="BZ795" s="6">
        <f t="shared" si="88"/>
        <v>0.54545454545454541</v>
      </c>
      <c r="CA795" s="7">
        <v>41952</v>
      </c>
      <c r="CI795">
        <f t="shared" si="86"/>
        <v>2014</v>
      </c>
      <c r="CJ795" t="str">
        <f t="shared" si="87"/>
        <v>5865_2014</v>
      </c>
    </row>
    <row r="796" spans="1:88" x14ac:dyDescent="0.25">
      <c r="A796" t="s">
        <v>79</v>
      </c>
      <c r="B796" t="s">
        <v>305</v>
      </c>
      <c r="C796">
        <v>5865</v>
      </c>
      <c r="D796">
        <v>-33.109000000000002</v>
      </c>
      <c r="E796">
        <v>151.5342</v>
      </c>
      <c r="F796">
        <v>4</v>
      </c>
      <c r="G796" t="s">
        <v>326</v>
      </c>
      <c r="H796">
        <v>4</v>
      </c>
      <c r="I796">
        <v>184</v>
      </c>
      <c r="J796">
        <v>61</v>
      </c>
      <c r="K796">
        <v>241</v>
      </c>
      <c r="L796">
        <v>160</v>
      </c>
      <c r="M796">
        <v>340</v>
      </c>
      <c r="N796">
        <v>241</v>
      </c>
      <c r="O796">
        <v>61</v>
      </c>
      <c r="T796">
        <v>3</v>
      </c>
      <c r="U796">
        <v>5</v>
      </c>
      <c r="V796">
        <v>11</v>
      </c>
      <c r="Y796">
        <v>2</v>
      </c>
      <c r="Z796">
        <v>2</v>
      </c>
      <c r="AA796">
        <v>11</v>
      </c>
      <c r="AD796">
        <v>9</v>
      </c>
      <c r="AE796">
        <v>1</v>
      </c>
      <c r="AF796">
        <v>14</v>
      </c>
      <c r="AI796">
        <v>6</v>
      </c>
      <c r="AJ796">
        <v>12</v>
      </c>
      <c r="AK796">
        <v>15</v>
      </c>
      <c r="AX796">
        <v>19</v>
      </c>
      <c r="AY796">
        <v>17</v>
      </c>
      <c r="AZ796">
        <v>36</v>
      </c>
      <c r="BA796">
        <v>15</v>
      </c>
      <c r="BB796">
        <v>16</v>
      </c>
      <c r="BC796">
        <v>31</v>
      </c>
      <c r="BD796">
        <v>24</v>
      </c>
      <c r="BE796">
        <v>22</v>
      </c>
      <c r="BF796">
        <v>46</v>
      </c>
      <c r="BG796">
        <v>33</v>
      </c>
      <c r="BH796">
        <v>36</v>
      </c>
      <c r="BI796">
        <v>69</v>
      </c>
      <c r="BP796">
        <v>22</v>
      </c>
      <c r="BR796">
        <v>57</v>
      </c>
      <c r="BS796">
        <v>5</v>
      </c>
      <c r="BT796">
        <v>6</v>
      </c>
      <c r="BV796">
        <v>1</v>
      </c>
      <c r="BW796">
        <v>91</v>
      </c>
      <c r="BX796">
        <f>IF(C796=C795,IF((CI796-1)=CI795,BW795,"no data"))</f>
        <v>102</v>
      </c>
      <c r="BY796" s="5">
        <f t="shared" si="89"/>
        <v>-0.10784313725490197</v>
      </c>
      <c r="BZ796" s="6">
        <f t="shared" si="88"/>
        <v>-0.10784313725490197</v>
      </c>
      <c r="CA796" s="7">
        <v>42316</v>
      </c>
      <c r="CE796">
        <v>30</v>
      </c>
      <c r="CF796">
        <v>16</v>
      </c>
      <c r="CG796">
        <v>20</v>
      </c>
      <c r="CH796">
        <v>25</v>
      </c>
      <c r="CI796">
        <f t="shared" si="86"/>
        <v>2015</v>
      </c>
      <c r="CJ796" t="str">
        <f t="shared" si="87"/>
        <v>5865_2015</v>
      </c>
    </row>
    <row r="797" spans="1:88" x14ac:dyDescent="0.25">
      <c r="A797" t="s">
        <v>79</v>
      </c>
      <c r="B797" t="s">
        <v>305</v>
      </c>
      <c r="C797">
        <v>5865</v>
      </c>
      <c r="D797">
        <v>-33.108966000000002</v>
      </c>
      <c r="E797">
        <v>151.53424799999999</v>
      </c>
      <c r="F797">
        <v>4</v>
      </c>
      <c r="G797" t="s">
        <v>326</v>
      </c>
      <c r="H797">
        <v>4</v>
      </c>
      <c r="I797">
        <v>184</v>
      </c>
      <c r="J797">
        <v>61</v>
      </c>
      <c r="K797">
        <v>241</v>
      </c>
      <c r="L797">
        <v>160</v>
      </c>
      <c r="M797">
        <v>340</v>
      </c>
      <c r="N797">
        <v>241</v>
      </c>
      <c r="O797">
        <v>61</v>
      </c>
      <c r="T797">
        <v>0</v>
      </c>
      <c r="U797">
        <v>0</v>
      </c>
      <c r="V797">
        <v>9</v>
      </c>
      <c r="Y797">
        <v>0</v>
      </c>
      <c r="Z797">
        <v>2</v>
      </c>
      <c r="AA797">
        <v>10</v>
      </c>
      <c r="AD797">
        <v>3</v>
      </c>
      <c r="AE797">
        <v>4</v>
      </c>
      <c r="AF797">
        <v>5</v>
      </c>
      <c r="AI797">
        <v>8</v>
      </c>
      <c r="AJ797">
        <v>7</v>
      </c>
      <c r="AK797">
        <v>9</v>
      </c>
      <c r="AX797">
        <v>9</v>
      </c>
      <c r="AY797">
        <v>11</v>
      </c>
      <c r="AZ797">
        <v>20</v>
      </c>
      <c r="BA797">
        <v>12</v>
      </c>
      <c r="BB797">
        <v>11</v>
      </c>
      <c r="BC797">
        <v>23</v>
      </c>
      <c r="BD797">
        <v>12</v>
      </c>
      <c r="BE797">
        <v>11</v>
      </c>
      <c r="BF797">
        <v>23</v>
      </c>
      <c r="BG797">
        <v>24</v>
      </c>
      <c r="BH797">
        <v>24</v>
      </c>
      <c r="BI797">
        <v>48</v>
      </c>
      <c r="BP797">
        <v>7</v>
      </c>
      <c r="BR797">
        <v>41</v>
      </c>
      <c r="BS797">
        <v>3</v>
      </c>
      <c r="BT797">
        <v>6</v>
      </c>
      <c r="BV797">
        <v>0</v>
      </c>
      <c r="BW797">
        <v>57</v>
      </c>
      <c r="BX797">
        <f>IF(C797=C796,IF((CI797-1)=CI796,BW796,"no data"))</f>
        <v>91</v>
      </c>
      <c r="BY797" s="5">
        <f t="shared" si="89"/>
        <v>-0.37362637362637363</v>
      </c>
      <c r="BZ797" s="6">
        <f t="shared" si="88"/>
        <v>-0.37362637362637363</v>
      </c>
      <c r="CA797" s="7">
        <v>42715</v>
      </c>
      <c r="CE797">
        <v>25</v>
      </c>
      <c r="CF797">
        <v>19</v>
      </c>
      <c r="CG797">
        <v>7</v>
      </c>
      <c r="CH797">
        <v>6</v>
      </c>
      <c r="CI797">
        <f t="shared" si="86"/>
        <v>2016</v>
      </c>
      <c r="CJ797" t="str">
        <f t="shared" si="87"/>
        <v>5865_2016</v>
      </c>
    </row>
    <row r="798" spans="1:88" x14ac:dyDescent="0.25">
      <c r="A798" t="s">
        <v>79</v>
      </c>
      <c r="B798" t="s">
        <v>305</v>
      </c>
      <c r="C798">
        <v>5865</v>
      </c>
      <c r="D798">
        <v>-33.108966000000002</v>
      </c>
      <c r="E798">
        <v>151.53424799999999</v>
      </c>
      <c r="F798">
        <v>4</v>
      </c>
      <c r="G798" t="s">
        <v>326</v>
      </c>
      <c r="H798">
        <v>4</v>
      </c>
      <c r="I798">
        <v>184</v>
      </c>
      <c r="J798">
        <v>61</v>
      </c>
      <c r="K798">
        <v>241</v>
      </c>
      <c r="L798">
        <v>160</v>
      </c>
      <c r="M798">
        <v>340</v>
      </c>
      <c r="N798">
        <v>241</v>
      </c>
      <c r="O798">
        <v>61</v>
      </c>
      <c r="T798">
        <v>2</v>
      </c>
      <c r="U798">
        <v>0</v>
      </c>
      <c r="V798">
        <v>20</v>
      </c>
      <c r="Y798">
        <v>0</v>
      </c>
      <c r="Z798">
        <v>5</v>
      </c>
      <c r="AA798">
        <v>14</v>
      </c>
      <c r="AD798">
        <v>0</v>
      </c>
      <c r="AE798">
        <v>3</v>
      </c>
      <c r="AF798">
        <v>7</v>
      </c>
      <c r="AI798">
        <v>22</v>
      </c>
      <c r="AJ798">
        <v>15</v>
      </c>
      <c r="AK798">
        <v>5</v>
      </c>
      <c r="AX798">
        <v>22</v>
      </c>
      <c r="AY798">
        <v>22</v>
      </c>
      <c r="AZ798">
        <v>44</v>
      </c>
      <c r="BA798">
        <v>19</v>
      </c>
      <c r="BB798">
        <v>20</v>
      </c>
      <c r="BC798">
        <v>39</v>
      </c>
      <c r="BD798">
        <v>10</v>
      </c>
      <c r="BE798">
        <v>10</v>
      </c>
      <c r="BF798">
        <v>20</v>
      </c>
      <c r="BG798">
        <v>42</v>
      </c>
      <c r="BH798">
        <v>41</v>
      </c>
      <c r="BI798">
        <v>83</v>
      </c>
      <c r="BP798">
        <v>29</v>
      </c>
      <c r="BR798">
        <v>45</v>
      </c>
      <c r="BS798">
        <v>4</v>
      </c>
      <c r="BT798">
        <v>2</v>
      </c>
      <c r="BV798">
        <v>13</v>
      </c>
      <c r="BW798">
        <v>93</v>
      </c>
      <c r="BX798">
        <f>IF(C798=C797,IF((CI798-1)=CI797,BW797,"no data"))</f>
        <v>57</v>
      </c>
      <c r="BY798" s="5">
        <f t="shared" si="89"/>
        <v>0.63157894736842102</v>
      </c>
      <c r="BZ798" s="6">
        <f t="shared" si="88"/>
        <v>0.63157894736842102</v>
      </c>
      <c r="CA798" s="7">
        <v>43051</v>
      </c>
      <c r="CE798">
        <v>27</v>
      </c>
      <c r="CF798">
        <v>23</v>
      </c>
      <c r="CG798">
        <v>26</v>
      </c>
      <c r="CH798">
        <v>17</v>
      </c>
      <c r="CI798">
        <f t="shared" si="86"/>
        <v>2017</v>
      </c>
      <c r="CJ798" t="str">
        <f t="shared" si="87"/>
        <v>5865_2017</v>
      </c>
    </row>
    <row r="799" spans="1:88" x14ac:dyDescent="0.25">
      <c r="A799" t="s">
        <v>79</v>
      </c>
      <c r="B799" t="s">
        <v>305</v>
      </c>
      <c r="C799">
        <v>5865</v>
      </c>
      <c r="D799">
        <v>-33.108966000000002</v>
      </c>
      <c r="E799">
        <v>151.53424799999999</v>
      </c>
      <c r="F799">
        <v>4</v>
      </c>
      <c r="G799" t="s">
        <v>326</v>
      </c>
      <c r="H799">
        <v>4</v>
      </c>
      <c r="I799">
        <v>184</v>
      </c>
      <c r="J799">
        <v>61</v>
      </c>
      <c r="K799">
        <v>241</v>
      </c>
      <c r="L799">
        <v>160</v>
      </c>
      <c r="M799">
        <v>340</v>
      </c>
      <c r="N799">
        <v>241</v>
      </c>
      <c r="O799">
        <v>61</v>
      </c>
      <c r="T799">
        <v>1</v>
      </c>
      <c r="U799">
        <v>0</v>
      </c>
      <c r="V799">
        <v>8</v>
      </c>
      <c r="Y799">
        <v>0</v>
      </c>
      <c r="Z799">
        <v>0</v>
      </c>
      <c r="AA799">
        <v>10</v>
      </c>
      <c r="AD799">
        <v>0</v>
      </c>
      <c r="AE799">
        <v>0</v>
      </c>
      <c r="AF799">
        <v>2</v>
      </c>
      <c r="AI799">
        <v>5</v>
      </c>
      <c r="AJ799">
        <v>10</v>
      </c>
      <c r="AK799">
        <v>2</v>
      </c>
      <c r="AX799">
        <v>9</v>
      </c>
      <c r="AY799">
        <v>5</v>
      </c>
      <c r="AZ799">
        <v>14</v>
      </c>
      <c r="BA799">
        <v>10</v>
      </c>
      <c r="BB799">
        <v>11</v>
      </c>
      <c r="BC799">
        <v>21</v>
      </c>
      <c r="BD799">
        <v>2</v>
      </c>
      <c r="BE799">
        <v>2</v>
      </c>
      <c r="BF799">
        <v>4</v>
      </c>
      <c r="BG799">
        <v>17</v>
      </c>
      <c r="BH799">
        <v>20</v>
      </c>
      <c r="BI799">
        <v>37</v>
      </c>
      <c r="BP799">
        <v>8</v>
      </c>
      <c r="BR799">
        <v>25</v>
      </c>
      <c r="BS799">
        <v>0</v>
      </c>
      <c r="BT799">
        <v>3</v>
      </c>
      <c r="BV799">
        <v>2</v>
      </c>
      <c r="BW799">
        <v>38</v>
      </c>
      <c r="BX799">
        <f>IF(C799=C798,IF((CI799-1)=CI798,BW798,"no data"))</f>
        <v>93</v>
      </c>
      <c r="BY799" s="5">
        <f t="shared" si="89"/>
        <v>-0.59139784946236562</v>
      </c>
      <c r="BZ799" s="6">
        <f t="shared" si="88"/>
        <v>-0.59139784946236562</v>
      </c>
      <c r="CA799" s="7">
        <v>43443</v>
      </c>
      <c r="CE799">
        <v>21</v>
      </c>
      <c r="CF799">
        <v>10</v>
      </c>
      <c r="CG799">
        <v>3</v>
      </c>
      <c r="CH799">
        <v>4</v>
      </c>
      <c r="CI799">
        <f t="shared" si="86"/>
        <v>2018</v>
      </c>
      <c r="CJ799" t="str">
        <f t="shared" si="87"/>
        <v>5865_2018</v>
      </c>
    </row>
    <row r="800" spans="1:88" x14ac:dyDescent="0.25">
      <c r="A800" t="s">
        <v>79</v>
      </c>
      <c r="B800" t="s">
        <v>305</v>
      </c>
      <c r="C800">
        <v>5866</v>
      </c>
      <c r="D800">
        <v>-32.972700000000003</v>
      </c>
      <c r="E800">
        <v>151.6062</v>
      </c>
      <c r="F800">
        <v>5</v>
      </c>
      <c r="G800" t="s">
        <v>327</v>
      </c>
      <c r="H800">
        <v>10</v>
      </c>
      <c r="I800">
        <v>190</v>
      </c>
      <c r="J800">
        <v>81</v>
      </c>
      <c r="K800">
        <v>261</v>
      </c>
      <c r="L800">
        <v>120</v>
      </c>
      <c r="M800">
        <v>300</v>
      </c>
      <c r="N800">
        <v>171</v>
      </c>
      <c r="O800">
        <v>351</v>
      </c>
      <c r="P800">
        <v>324</v>
      </c>
      <c r="Q800">
        <v>144</v>
      </c>
      <c r="T800">
        <v>3</v>
      </c>
      <c r="V800">
        <v>42</v>
      </c>
      <c r="W800">
        <v>0</v>
      </c>
      <c r="Y800">
        <v>2</v>
      </c>
      <c r="AA800">
        <v>1</v>
      </c>
      <c r="AB800">
        <v>1</v>
      </c>
      <c r="AI800">
        <v>44</v>
      </c>
      <c r="AJ800">
        <v>0</v>
      </c>
      <c r="AL800">
        <v>0</v>
      </c>
      <c r="AN800">
        <v>0</v>
      </c>
      <c r="AO800">
        <v>1</v>
      </c>
      <c r="AQ800">
        <v>0</v>
      </c>
      <c r="AX800">
        <v>45</v>
      </c>
      <c r="AY800">
        <v>46</v>
      </c>
      <c r="AZ800">
        <v>91</v>
      </c>
      <c r="BA800">
        <v>4</v>
      </c>
      <c r="BB800">
        <v>4</v>
      </c>
      <c r="BC800">
        <v>8</v>
      </c>
      <c r="BG800">
        <v>44</v>
      </c>
      <c r="BH800">
        <v>43</v>
      </c>
      <c r="BI800">
        <v>87</v>
      </c>
      <c r="BJ800">
        <v>1</v>
      </c>
      <c r="BK800">
        <v>1</v>
      </c>
      <c r="BL800">
        <v>2</v>
      </c>
      <c r="BP800">
        <v>61</v>
      </c>
      <c r="BR800">
        <v>27</v>
      </c>
      <c r="BS800">
        <v>5</v>
      </c>
      <c r="BT800">
        <v>1</v>
      </c>
      <c r="BV800">
        <v>0</v>
      </c>
      <c r="BW800">
        <v>94</v>
      </c>
      <c r="BX800" t="s">
        <v>82</v>
      </c>
      <c r="BY800" s="5"/>
      <c r="BZ800" s="6"/>
      <c r="CA800" s="7">
        <v>41588</v>
      </c>
      <c r="CI800">
        <f t="shared" si="86"/>
        <v>2013</v>
      </c>
      <c r="CJ800" t="str">
        <f t="shared" si="87"/>
        <v>5866_2013</v>
      </c>
    </row>
    <row r="801" spans="1:88" x14ac:dyDescent="0.25">
      <c r="A801" t="s">
        <v>79</v>
      </c>
      <c r="B801" t="s">
        <v>305</v>
      </c>
      <c r="C801">
        <v>5866</v>
      </c>
      <c r="D801">
        <v>-32.972700000000003</v>
      </c>
      <c r="E801">
        <v>151.6062</v>
      </c>
      <c r="F801">
        <v>5</v>
      </c>
      <c r="G801" t="s">
        <v>327</v>
      </c>
      <c r="H801">
        <v>10</v>
      </c>
      <c r="I801">
        <v>190</v>
      </c>
      <c r="J801">
        <v>81</v>
      </c>
      <c r="K801">
        <v>261</v>
      </c>
      <c r="L801">
        <v>120</v>
      </c>
      <c r="M801">
        <v>300</v>
      </c>
      <c r="N801">
        <v>171</v>
      </c>
      <c r="O801">
        <v>351</v>
      </c>
      <c r="P801">
        <v>324</v>
      </c>
      <c r="Q801">
        <v>144</v>
      </c>
      <c r="T801">
        <v>3</v>
      </c>
      <c r="V801">
        <v>11</v>
      </c>
      <c r="W801">
        <v>0</v>
      </c>
      <c r="Y801">
        <v>2</v>
      </c>
      <c r="AA801">
        <v>0</v>
      </c>
      <c r="AB801">
        <v>0</v>
      </c>
      <c r="AI801">
        <v>15</v>
      </c>
      <c r="AJ801">
        <v>0</v>
      </c>
      <c r="AL801">
        <v>0</v>
      </c>
      <c r="AN801">
        <v>0</v>
      </c>
      <c r="AO801">
        <v>0</v>
      </c>
      <c r="AQ801">
        <v>3</v>
      </c>
      <c r="AX801">
        <v>14</v>
      </c>
      <c r="AY801">
        <v>17</v>
      </c>
      <c r="AZ801">
        <v>31</v>
      </c>
      <c r="BA801">
        <v>2</v>
      </c>
      <c r="BB801">
        <v>3</v>
      </c>
      <c r="BC801">
        <v>5</v>
      </c>
      <c r="BG801">
        <v>15</v>
      </c>
      <c r="BH801">
        <v>14</v>
      </c>
      <c r="BI801">
        <v>29</v>
      </c>
      <c r="BJ801">
        <v>3</v>
      </c>
      <c r="BK801">
        <v>0</v>
      </c>
      <c r="BL801">
        <v>3</v>
      </c>
      <c r="BP801">
        <v>30</v>
      </c>
      <c r="BR801">
        <v>3</v>
      </c>
      <c r="BS801">
        <v>1</v>
      </c>
      <c r="BT801">
        <v>0</v>
      </c>
      <c r="BV801">
        <v>0</v>
      </c>
      <c r="BW801">
        <v>34</v>
      </c>
      <c r="BX801">
        <f>IF(C801=C800,IF((CI801-1)=CI800,BW800,"no data"))</f>
        <v>94</v>
      </c>
      <c r="BY801" s="5">
        <f t="shared" si="89"/>
        <v>-0.63829787234042556</v>
      </c>
      <c r="BZ801" s="6">
        <f t="shared" si="88"/>
        <v>-0.63829787234042556</v>
      </c>
      <c r="CA801" s="7">
        <v>41952</v>
      </c>
      <c r="CI801">
        <f t="shared" si="86"/>
        <v>2014</v>
      </c>
      <c r="CJ801" t="str">
        <f t="shared" si="87"/>
        <v>5866_2014</v>
      </c>
    </row>
    <row r="802" spans="1:88" x14ac:dyDescent="0.25">
      <c r="A802" t="s">
        <v>79</v>
      </c>
      <c r="B802" t="s">
        <v>305</v>
      </c>
      <c r="C802">
        <v>5866</v>
      </c>
      <c r="D802">
        <v>-32.972700000000003</v>
      </c>
      <c r="E802">
        <v>151.6062</v>
      </c>
      <c r="F802">
        <v>5</v>
      </c>
      <c r="G802" t="s">
        <v>327</v>
      </c>
      <c r="H802">
        <v>10</v>
      </c>
      <c r="I802">
        <v>190</v>
      </c>
      <c r="J802">
        <v>81</v>
      </c>
      <c r="K802">
        <v>261</v>
      </c>
      <c r="L802">
        <v>120</v>
      </c>
      <c r="M802">
        <v>300</v>
      </c>
      <c r="N802">
        <v>171</v>
      </c>
      <c r="O802">
        <v>351</v>
      </c>
      <c r="P802">
        <v>324</v>
      </c>
      <c r="Q802">
        <v>144</v>
      </c>
      <c r="T802">
        <v>13</v>
      </c>
      <c r="V802">
        <v>3</v>
      </c>
      <c r="W802">
        <v>0</v>
      </c>
      <c r="Y802">
        <v>6</v>
      </c>
      <c r="AA802">
        <v>0</v>
      </c>
      <c r="AB802">
        <v>0</v>
      </c>
      <c r="AI802">
        <v>2</v>
      </c>
      <c r="AJ802">
        <v>0</v>
      </c>
      <c r="AL802">
        <v>0</v>
      </c>
      <c r="AN802">
        <v>0</v>
      </c>
      <c r="AO802">
        <v>0</v>
      </c>
      <c r="AQ802">
        <v>0</v>
      </c>
      <c r="AX802">
        <v>16</v>
      </c>
      <c r="AY802">
        <v>8</v>
      </c>
      <c r="AZ802">
        <v>24</v>
      </c>
      <c r="BA802">
        <v>6</v>
      </c>
      <c r="BB802">
        <v>13</v>
      </c>
      <c r="BC802">
        <v>19</v>
      </c>
      <c r="BG802">
        <v>2</v>
      </c>
      <c r="BH802">
        <v>3</v>
      </c>
      <c r="BI802">
        <v>5</v>
      </c>
      <c r="BJ802">
        <v>0</v>
      </c>
      <c r="BK802">
        <v>0</v>
      </c>
      <c r="BL802">
        <v>0</v>
      </c>
      <c r="BP802">
        <v>10</v>
      </c>
      <c r="BR802">
        <v>10</v>
      </c>
      <c r="BS802">
        <v>0</v>
      </c>
      <c r="BT802">
        <v>2</v>
      </c>
      <c r="BV802">
        <v>2</v>
      </c>
      <c r="BW802">
        <v>24</v>
      </c>
      <c r="BX802">
        <f>IF(C802=C801,IF((CI802-1)=CI801,BW801,"no data"))</f>
        <v>34</v>
      </c>
      <c r="BY802" s="5">
        <f t="shared" si="89"/>
        <v>-0.29411764705882354</v>
      </c>
      <c r="BZ802" s="6">
        <f t="shared" si="88"/>
        <v>-0.29411764705882354</v>
      </c>
      <c r="CA802" s="7">
        <v>42316</v>
      </c>
      <c r="CE802">
        <v>0</v>
      </c>
      <c r="CF802">
        <v>9</v>
      </c>
      <c r="CG802">
        <v>15</v>
      </c>
      <c r="CH802">
        <v>0</v>
      </c>
      <c r="CI802">
        <f t="shared" si="86"/>
        <v>2015</v>
      </c>
      <c r="CJ802" t="str">
        <f t="shared" si="87"/>
        <v>5866_2015</v>
      </c>
    </row>
    <row r="803" spans="1:88" x14ac:dyDescent="0.25">
      <c r="A803" t="s">
        <v>79</v>
      </c>
      <c r="B803" t="s">
        <v>305</v>
      </c>
      <c r="C803">
        <v>5866</v>
      </c>
      <c r="D803">
        <v>-32.972704999999998</v>
      </c>
      <c r="E803" t="s">
        <v>328</v>
      </c>
      <c r="F803">
        <v>5</v>
      </c>
      <c r="G803" t="s">
        <v>327</v>
      </c>
      <c r="H803">
        <v>10</v>
      </c>
      <c r="I803">
        <v>190</v>
      </c>
      <c r="J803">
        <v>81</v>
      </c>
      <c r="K803">
        <v>261</v>
      </c>
      <c r="L803">
        <v>120</v>
      </c>
      <c r="M803">
        <v>300</v>
      </c>
      <c r="N803">
        <v>171</v>
      </c>
      <c r="O803">
        <v>351</v>
      </c>
      <c r="P803">
        <v>324</v>
      </c>
      <c r="Q803">
        <v>144</v>
      </c>
      <c r="T803">
        <v>15</v>
      </c>
      <c r="U803">
        <v>4</v>
      </c>
      <c r="V803">
        <v>7</v>
      </c>
      <c r="W803">
        <v>0</v>
      </c>
      <c r="Y803">
        <v>8</v>
      </c>
      <c r="Z803">
        <v>1</v>
      </c>
      <c r="AA803">
        <v>0</v>
      </c>
      <c r="AB803">
        <v>0</v>
      </c>
      <c r="AD803">
        <v>5</v>
      </c>
      <c r="AE803">
        <v>0</v>
      </c>
      <c r="AF803">
        <v>0</v>
      </c>
      <c r="AG803">
        <v>0</v>
      </c>
      <c r="AI803">
        <v>11</v>
      </c>
      <c r="AJ803">
        <v>0</v>
      </c>
      <c r="AK803">
        <v>0</v>
      </c>
      <c r="AL803">
        <v>0</v>
      </c>
      <c r="AN803">
        <v>0</v>
      </c>
      <c r="AO803">
        <v>0</v>
      </c>
      <c r="AP803">
        <v>0</v>
      </c>
      <c r="AQ803">
        <v>0</v>
      </c>
      <c r="AX803">
        <v>26</v>
      </c>
      <c r="AY803">
        <v>24</v>
      </c>
      <c r="AZ803">
        <v>50</v>
      </c>
      <c r="BA803">
        <v>9</v>
      </c>
      <c r="BB803">
        <v>15</v>
      </c>
      <c r="BC803">
        <v>24</v>
      </c>
      <c r="BD803">
        <v>5</v>
      </c>
      <c r="BE803">
        <v>5</v>
      </c>
      <c r="BF803">
        <v>10</v>
      </c>
      <c r="BG803">
        <v>11</v>
      </c>
      <c r="BH803">
        <v>7</v>
      </c>
      <c r="BI803">
        <v>18</v>
      </c>
      <c r="BJ803">
        <v>0</v>
      </c>
      <c r="BK803">
        <v>0</v>
      </c>
      <c r="BL803">
        <v>0</v>
      </c>
      <c r="BP803">
        <v>20</v>
      </c>
      <c r="BR803">
        <v>29</v>
      </c>
      <c r="BS803">
        <v>0</v>
      </c>
      <c r="BT803">
        <v>2</v>
      </c>
      <c r="BV803">
        <v>0</v>
      </c>
      <c r="BW803">
        <v>51</v>
      </c>
      <c r="BX803">
        <f>IF(C803=C802,IF((CI803-1)=CI802,BW802,"no data"))</f>
        <v>24</v>
      </c>
      <c r="BY803" s="5">
        <f t="shared" si="89"/>
        <v>1.125</v>
      </c>
      <c r="BZ803" s="6">
        <f t="shared" si="88"/>
        <v>1.125</v>
      </c>
      <c r="CA803" s="7">
        <v>42687</v>
      </c>
      <c r="CE803">
        <v>13</v>
      </c>
      <c r="CF803">
        <v>26</v>
      </c>
      <c r="CG803">
        <v>3</v>
      </c>
      <c r="CH803">
        <v>9</v>
      </c>
      <c r="CI803">
        <f t="shared" si="86"/>
        <v>2016</v>
      </c>
      <c r="CJ803" t="str">
        <f t="shared" si="87"/>
        <v>5866_2016</v>
      </c>
    </row>
    <row r="804" spans="1:88" x14ac:dyDescent="0.25">
      <c r="A804" t="s">
        <v>79</v>
      </c>
      <c r="B804" t="s">
        <v>305</v>
      </c>
      <c r="C804">
        <v>5866</v>
      </c>
      <c r="D804">
        <v>-32.972704999999998</v>
      </c>
      <c r="E804">
        <v>151.60615799999999</v>
      </c>
      <c r="F804">
        <v>5</v>
      </c>
      <c r="G804" t="s">
        <v>327</v>
      </c>
      <c r="H804">
        <v>10</v>
      </c>
      <c r="I804">
        <v>190</v>
      </c>
      <c r="J804">
        <v>81</v>
      </c>
      <c r="K804">
        <v>261</v>
      </c>
      <c r="L804">
        <v>120</v>
      </c>
      <c r="M804">
        <v>300</v>
      </c>
      <c r="N804">
        <v>171</v>
      </c>
      <c r="O804">
        <v>351</v>
      </c>
      <c r="P804">
        <v>324</v>
      </c>
      <c r="Q804">
        <v>144</v>
      </c>
      <c r="T804">
        <v>0</v>
      </c>
      <c r="U804">
        <v>6</v>
      </c>
      <c r="V804">
        <v>4</v>
      </c>
      <c r="W804">
        <v>0</v>
      </c>
      <c r="Y804">
        <v>2</v>
      </c>
      <c r="Z804">
        <v>3</v>
      </c>
      <c r="AA804">
        <v>0</v>
      </c>
      <c r="AB804">
        <v>2</v>
      </c>
      <c r="AD804">
        <v>13</v>
      </c>
      <c r="AE804">
        <v>1</v>
      </c>
      <c r="AF804">
        <v>0</v>
      </c>
      <c r="AG804">
        <v>2</v>
      </c>
      <c r="AI804">
        <v>19</v>
      </c>
      <c r="AJ804">
        <v>1</v>
      </c>
      <c r="AK804">
        <v>1</v>
      </c>
      <c r="AL804">
        <v>0</v>
      </c>
      <c r="AN804">
        <v>0</v>
      </c>
      <c r="AO804">
        <v>3</v>
      </c>
      <c r="AP804">
        <v>2</v>
      </c>
      <c r="AQ804">
        <v>0</v>
      </c>
      <c r="AX804">
        <v>10</v>
      </c>
      <c r="AY804">
        <v>34</v>
      </c>
      <c r="AZ804">
        <v>44</v>
      </c>
      <c r="BA804">
        <v>7</v>
      </c>
      <c r="BB804">
        <v>5</v>
      </c>
      <c r="BC804">
        <v>12</v>
      </c>
      <c r="BD804">
        <v>16</v>
      </c>
      <c r="BE804">
        <v>12</v>
      </c>
      <c r="BF804">
        <v>28</v>
      </c>
      <c r="BG804">
        <v>21</v>
      </c>
      <c r="BH804">
        <v>4</v>
      </c>
      <c r="BI804">
        <v>25</v>
      </c>
      <c r="BJ804">
        <v>5</v>
      </c>
      <c r="BK804">
        <v>4</v>
      </c>
      <c r="BL804">
        <v>9</v>
      </c>
      <c r="BP804">
        <v>28</v>
      </c>
      <c r="BR804">
        <v>24</v>
      </c>
      <c r="BS804">
        <v>0</v>
      </c>
      <c r="BT804">
        <v>2</v>
      </c>
      <c r="BV804">
        <v>5</v>
      </c>
      <c r="BW804">
        <v>59</v>
      </c>
      <c r="BX804">
        <f>IF(C804=C803,IF((CI804-1)=CI803,BW803,"no data"))</f>
        <v>51</v>
      </c>
      <c r="BY804" s="5">
        <f t="shared" si="89"/>
        <v>0.15686274509803921</v>
      </c>
      <c r="BZ804" s="6">
        <f t="shared" si="88"/>
        <v>0.15686274509803921</v>
      </c>
      <c r="CA804" s="7">
        <v>43051</v>
      </c>
      <c r="CE804">
        <v>9</v>
      </c>
      <c r="CF804">
        <v>26</v>
      </c>
      <c r="CG804">
        <v>11</v>
      </c>
      <c r="CH804">
        <v>13</v>
      </c>
      <c r="CI804">
        <f t="shared" si="86"/>
        <v>2017</v>
      </c>
      <c r="CJ804" t="str">
        <f t="shared" si="87"/>
        <v>5866_2017</v>
      </c>
    </row>
    <row r="805" spans="1:88" x14ac:dyDescent="0.25">
      <c r="A805" t="s">
        <v>79</v>
      </c>
      <c r="B805" t="s">
        <v>305</v>
      </c>
      <c r="C805">
        <v>5866</v>
      </c>
      <c r="D805">
        <v>-32.972704999999998</v>
      </c>
      <c r="E805">
        <v>151.60615799999999</v>
      </c>
      <c r="F805">
        <v>5</v>
      </c>
      <c r="G805" t="s">
        <v>327</v>
      </c>
      <c r="H805">
        <v>10</v>
      </c>
      <c r="I805">
        <v>190</v>
      </c>
      <c r="J805">
        <v>81</v>
      </c>
      <c r="K805">
        <v>261</v>
      </c>
      <c r="L805">
        <v>120</v>
      </c>
      <c r="M805">
        <v>300</v>
      </c>
      <c r="N805">
        <v>171</v>
      </c>
      <c r="O805">
        <v>351</v>
      </c>
      <c r="P805">
        <v>324</v>
      </c>
      <c r="Q805">
        <v>144</v>
      </c>
      <c r="T805">
        <v>5</v>
      </c>
      <c r="U805">
        <v>5</v>
      </c>
      <c r="V805">
        <v>20</v>
      </c>
      <c r="W805">
        <v>2</v>
      </c>
      <c r="Y805">
        <v>7</v>
      </c>
      <c r="Z805">
        <v>2</v>
      </c>
      <c r="AA805">
        <v>0</v>
      </c>
      <c r="AB805">
        <v>0</v>
      </c>
      <c r="AD805">
        <v>1</v>
      </c>
      <c r="AE805">
        <v>0</v>
      </c>
      <c r="AF805">
        <v>0</v>
      </c>
      <c r="AG805">
        <v>0</v>
      </c>
      <c r="AI805">
        <v>13</v>
      </c>
      <c r="AJ805">
        <v>0</v>
      </c>
      <c r="AK805">
        <v>0</v>
      </c>
      <c r="AL805">
        <v>0</v>
      </c>
      <c r="AN805">
        <v>2</v>
      </c>
      <c r="AO805">
        <v>0</v>
      </c>
      <c r="AP805">
        <v>0</v>
      </c>
      <c r="AQ805">
        <v>0</v>
      </c>
      <c r="AX805">
        <v>32</v>
      </c>
      <c r="AY805">
        <v>23</v>
      </c>
      <c r="AZ805">
        <v>55</v>
      </c>
      <c r="BA805">
        <v>9</v>
      </c>
      <c r="BB805">
        <v>5</v>
      </c>
      <c r="BC805">
        <v>14</v>
      </c>
      <c r="BD805">
        <v>1</v>
      </c>
      <c r="BE805">
        <v>7</v>
      </c>
      <c r="BF805">
        <v>8</v>
      </c>
      <c r="BG805">
        <v>13</v>
      </c>
      <c r="BH805">
        <v>20</v>
      </c>
      <c r="BI805">
        <v>33</v>
      </c>
      <c r="BJ805">
        <v>2</v>
      </c>
      <c r="BK805">
        <v>2</v>
      </c>
      <c r="BL805">
        <v>4</v>
      </c>
      <c r="BP805">
        <v>34</v>
      </c>
      <c r="BR805">
        <v>20</v>
      </c>
      <c r="BS805">
        <v>2</v>
      </c>
      <c r="BT805">
        <v>1</v>
      </c>
      <c r="BV805">
        <v>0</v>
      </c>
      <c r="BW805">
        <v>57</v>
      </c>
      <c r="BX805">
        <f>IF(C805=C804,IF((CI805-1)=CI804,BW804,"no data"))</f>
        <v>59</v>
      </c>
      <c r="BY805" s="5">
        <f t="shared" si="89"/>
        <v>-3.3898305084745763E-2</v>
      </c>
      <c r="BZ805" s="6">
        <f t="shared" si="88"/>
        <v>-3.3898305084745763E-2</v>
      </c>
      <c r="CA805" s="7">
        <v>43415</v>
      </c>
      <c r="CE805">
        <v>22</v>
      </c>
      <c r="CF805">
        <v>15</v>
      </c>
      <c r="CG805">
        <v>6</v>
      </c>
      <c r="CH805">
        <v>14</v>
      </c>
      <c r="CI805">
        <f t="shared" si="86"/>
        <v>2018</v>
      </c>
      <c r="CJ805" t="str">
        <f t="shared" si="87"/>
        <v>5866_2018</v>
      </c>
    </row>
    <row r="806" spans="1:88" x14ac:dyDescent="0.25">
      <c r="A806" t="s">
        <v>79</v>
      </c>
      <c r="B806" t="s">
        <v>305</v>
      </c>
      <c r="C806">
        <v>5867</v>
      </c>
      <c r="D806">
        <v>-32.988599999999998</v>
      </c>
      <c r="E806">
        <v>151.69120000000001</v>
      </c>
      <c r="F806">
        <v>4</v>
      </c>
      <c r="G806" t="s">
        <v>329</v>
      </c>
      <c r="H806">
        <v>8</v>
      </c>
      <c r="I806">
        <v>188</v>
      </c>
      <c r="J806">
        <v>99</v>
      </c>
      <c r="K806">
        <v>279</v>
      </c>
      <c r="L806">
        <v>189</v>
      </c>
      <c r="M806">
        <v>9</v>
      </c>
      <c r="N806">
        <v>260</v>
      </c>
      <c r="O806">
        <v>80</v>
      </c>
      <c r="T806">
        <v>4</v>
      </c>
      <c r="U806">
        <v>4</v>
      </c>
      <c r="V806">
        <v>8</v>
      </c>
      <c r="Y806">
        <v>4</v>
      </c>
      <c r="Z806">
        <v>4</v>
      </c>
      <c r="AA806">
        <v>1</v>
      </c>
      <c r="AD806">
        <v>2</v>
      </c>
      <c r="AE806">
        <v>0</v>
      </c>
      <c r="AF806">
        <v>2</v>
      </c>
      <c r="AI806">
        <v>12</v>
      </c>
      <c r="AJ806">
        <v>0</v>
      </c>
      <c r="AK806">
        <v>0</v>
      </c>
      <c r="AX806">
        <v>16</v>
      </c>
      <c r="AY806">
        <v>18</v>
      </c>
      <c r="AZ806">
        <v>34</v>
      </c>
      <c r="BA806">
        <v>9</v>
      </c>
      <c r="BB806">
        <v>4</v>
      </c>
      <c r="BC806">
        <v>13</v>
      </c>
      <c r="BD806">
        <v>4</v>
      </c>
      <c r="BE806">
        <v>8</v>
      </c>
      <c r="BF806">
        <v>12</v>
      </c>
      <c r="BG806">
        <v>12</v>
      </c>
      <c r="BH806">
        <v>11</v>
      </c>
      <c r="BI806">
        <v>23</v>
      </c>
      <c r="BP806">
        <v>4</v>
      </c>
      <c r="BR806">
        <v>31</v>
      </c>
      <c r="BS806">
        <v>2</v>
      </c>
      <c r="BT806">
        <v>3</v>
      </c>
      <c r="BV806">
        <v>1</v>
      </c>
      <c r="BW806">
        <v>41</v>
      </c>
      <c r="BX806" t="s">
        <v>82</v>
      </c>
      <c r="BY806" s="5"/>
      <c r="BZ806" s="6"/>
      <c r="CA806" s="7">
        <v>42316</v>
      </c>
      <c r="CE806">
        <v>11</v>
      </c>
      <c r="CF806">
        <v>15</v>
      </c>
      <c r="CG806">
        <v>9</v>
      </c>
      <c r="CH806">
        <v>6</v>
      </c>
      <c r="CI806">
        <f t="shared" si="86"/>
        <v>2015</v>
      </c>
      <c r="CJ806" t="str">
        <f t="shared" si="87"/>
        <v>5867_2015</v>
      </c>
    </row>
    <row r="807" spans="1:88" x14ac:dyDescent="0.25">
      <c r="A807" t="s">
        <v>79</v>
      </c>
      <c r="B807" t="s">
        <v>305</v>
      </c>
      <c r="C807">
        <v>5867</v>
      </c>
      <c r="D807">
        <v>-32.988639999999997</v>
      </c>
      <c r="E807">
        <v>151.69116399999999</v>
      </c>
      <c r="F807">
        <v>4</v>
      </c>
      <c r="G807" t="s">
        <v>329</v>
      </c>
      <c r="H807">
        <v>8</v>
      </c>
      <c r="I807">
        <v>188</v>
      </c>
      <c r="J807">
        <v>99</v>
      </c>
      <c r="K807">
        <v>279</v>
      </c>
      <c r="L807">
        <v>189</v>
      </c>
      <c r="M807">
        <v>9</v>
      </c>
      <c r="N807">
        <v>260</v>
      </c>
      <c r="O807">
        <v>80</v>
      </c>
      <c r="T807">
        <v>4</v>
      </c>
      <c r="U807">
        <v>0</v>
      </c>
      <c r="V807">
        <v>5</v>
      </c>
      <c r="Y807">
        <v>4</v>
      </c>
      <c r="Z807">
        <v>1</v>
      </c>
      <c r="AA807">
        <v>7</v>
      </c>
      <c r="AD807">
        <v>6</v>
      </c>
      <c r="AE807">
        <v>0</v>
      </c>
      <c r="AF807">
        <v>0</v>
      </c>
      <c r="AI807">
        <v>4</v>
      </c>
      <c r="AJ807">
        <v>1</v>
      </c>
      <c r="AK807">
        <v>0</v>
      </c>
      <c r="AX807">
        <v>9</v>
      </c>
      <c r="AY807">
        <v>14</v>
      </c>
      <c r="AZ807">
        <v>23</v>
      </c>
      <c r="BA807">
        <v>12</v>
      </c>
      <c r="BB807">
        <v>5</v>
      </c>
      <c r="BC807">
        <v>17</v>
      </c>
      <c r="BD807">
        <v>6</v>
      </c>
      <c r="BE807">
        <v>1</v>
      </c>
      <c r="BF807">
        <v>7</v>
      </c>
      <c r="BG807">
        <v>5</v>
      </c>
      <c r="BH807">
        <v>12</v>
      </c>
      <c r="BI807">
        <v>17</v>
      </c>
      <c r="BP807">
        <v>18</v>
      </c>
      <c r="BR807">
        <v>11</v>
      </c>
      <c r="BS807">
        <v>2</v>
      </c>
      <c r="BT807">
        <v>0</v>
      </c>
      <c r="BV807">
        <v>1</v>
      </c>
      <c r="BW807">
        <v>32</v>
      </c>
      <c r="BX807">
        <f>IF(C807=C806,IF((CI807-1)=CI806,BW806,"no data"))</f>
        <v>41</v>
      </c>
      <c r="BY807" s="5">
        <f t="shared" si="89"/>
        <v>-0.21951219512195122</v>
      </c>
      <c r="BZ807" s="6">
        <f t="shared" si="88"/>
        <v>-0.21951219512195122</v>
      </c>
      <c r="CA807" s="7">
        <v>42687</v>
      </c>
      <c r="CE807">
        <v>3</v>
      </c>
      <c r="CF807">
        <v>7</v>
      </c>
      <c r="CG807">
        <v>17</v>
      </c>
      <c r="CH807">
        <v>5</v>
      </c>
      <c r="CI807">
        <f t="shared" si="86"/>
        <v>2016</v>
      </c>
      <c r="CJ807" t="str">
        <f t="shared" si="87"/>
        <v>5867_2016</v>
      </c>
    </row>
    <row r="808" spans="1:88" x14ac:dyDescent="0.25">
      <c r="A808" t="s">
        <v>79</v>
      </c>
      <c r="B808" t="s">
        <v>305</v>
      </c>
      <c r="C808">
        <v>5867</v>
      </c>
      <c r="D808">
        <v>-32.988639999999997</v>
      </c>
      <c r="E808">
        <v>151.69116399999999</v>
      </c>
      <c r="F808">
        <v>4</v>
      </c>
      <c r="G808" t="s">
        <v>329</v>
      </c>
      <c r="H808">
        <v>8</v>
      </c>
      <c r="I808">
        <v>188</v>
      </c>
      <c r="J808">
        <v>99</v>
      </c>
      <c r="K808">
        <v>279</v>
      </c>
      <c r="L808">
        <v>189</v>
      </c>
      <c r="M808">
        <v>9</v>
      </c>
      <c r="N808">
        <v>260</v>
      </c>
      <c r="O808">
        <v>80</v>
      </c>
      <c r="T808">
        <v>5</v>
      </c>
      <c r="U808">
        <v>5</v>
      </c>
      <c r="V808">
        <v>12</v>
      </c>
      <c r="Y808">
        <v>4</v>
      </c>
      <c r="Z808">
        <v>0</v>
      </c>
      <c r="AA808">
        <v>1</v>
      </c>
      <c r="AD808">
        <v>0</v>
      </c>
      <c r="AE808">
        <v>1</v>
      </c>
      <c r="AF808">
        <v>0</v>
      </c>
      <c r="AI808">
        <v>14</v>
      </c>
      <c r="AJ808">
        <v>0</v>
      </c>
      <c r="AK808">
        <v>0</v>
      </c>
      <c r="AX808">
        <v>22</v>
      </c>
      <c r="AY808">
        <v>18</v>
      </c>
      <c r="AZ808">
        <v>40</v>
      </c>
      <c r="BA808">
        <v>5</v>
      </c>
      <c r="BB808">
        <v>6</v>
      </c>
      <c r="BC808">
        <v>11</v>
      </c>
      <c r="BD808">
        <v>1</v>
      </c>
      <c r="BE808">
        <v>5</v>
      </c>
      <c r="BF808">
        <v>6</v>
      </c>
      <c r="BG808">
        <v>14</v>
      </c>
      <c r="BH808">
        <v>13</v>
      </c>
      <c r="BI808">
        <v>27</v>
      </c>
      <c r="BP808">
        <v>22</v>
      </c>
      <c r="BR808">
        <v>16</v>
      </c>
      <c r="BS808">
        <v>2</v>
      </c>
      <c r="BT808">
        <v>0</v>
      </c>
      <c r="BV808">
        <v>2</v>
      </c>
      <c r="BW808">
        <v>42</v>
      </c>
      <c r="BX808">
        <f>IF(C808=C807,IF((CI808-1)=CI807,BW807,"no data"))</f>
        <v>32</v>
      </c>
      <c r="BY808" s="5">
        <f t="shared" si="89"/>
        <v>0.3125</v>
      </c>
      <c r="BZ808" s="6">
        <f t="shared" si="88"/>
        <v>0.3125</v>
      </c>
      <c r="CA808" s="7">
        <v>43051</v>
      </c>
      <c r="CE808">
        <v>7</v>
      </c>
      <c r="CF808">
        <v>9</v>
      </c>
      <c r="CG808">
        <v>15</v>
      </c>
      <c r="CH808">
        <v>11</v>
      </c>
      <c r="CI808">
        <f t="shared" si="86"/>
        <v>2017</v>
      </c>
      <c r="CJ808" t="str">
        <f t="shared" si="87"/>
        <v>5867_2017</v>
      </c>
    </row>
    <row r="809" spans="1:88" x14ac:dyDescent="0.25">
      <c r="A809" t="s">
        <v>79</v>
      </c>
      <c r="B809" t="s">
        <v>305</v>
      </c>
      <c r="C809">
        <v>5867</v>
      </c>
      <c r="D809">
        <v>-32.988639999999997</v>
      </c>
      <c r="E809">
        <v>151.69116399999999</v>
      </c>
      <c r="F809">
        <v>4</v>
      </c>
      <c r="G809" t="s">
        <v>329</v>
      </c>
      <c r="H809">
        <v>8</v>
      </c>
      <c r="I809">
        <v>188</v>
      </c>
      <c r="J809">
        <v>99</v>
      </c>
      <c r="K809">
        <v>279</v>
      </c>
      <c r="L809">
        <v>189</v>
      </c>
      <c r="M809">
        <v>9</v>
      </c>
      <c r="N809">
        <v>260</v>
      </c>
      <c r="O809">
        <v>80</v>
      </c>
      <c r="T809">
        <v>1</v>
      </c>
      <c r="U809">
        <v>5</v>
      </c>
      <c r="V809">
        <v>3</v>
      </c>
      <c r="Y809">
        <v>2</v>
      </c>
      <c r="Z809">
        <v>2</v>
      </c>
      <c r="AA809">
        <v>1</v>
      </c>
      <c r="AD809">
        <v>1</v>
      </c>
      <c r="AE809">
        <v>0</v>
      </c>
      <c r="AF809">
        <v>0</v>
      </c>
      <c r="AI809">
        <v>8</v>
      </c>
      <c r="AJ809">
        <v>1</v>
      </c>
      <c r="AK809">
        <v>0</v>
      </c>
      <c r="AX809">
        <v>9</v>
      </c>
      <c r="AY809">
        <v>11</v>
      </c>
      <c r="AZ809">
        <v>20</v>
      </c>
      <c r="BA809">
        <v>5</v>
      </c>
      <c r="BB809">
        <v>2</v>
      </c>
      <c r="BC809">
        <v>7</v>
      </c>
      <c r="BD809">
        <v>1</v>
      </c>
      <c r="BE809">
        <v>7</v>
      </c>
      <c r="BF809">
        <v>8</v>
      </c>
      <c r="BG809">
        <v>9</v>
      </c>
      <c r="BH809">
        <v>4</v>
      </c>
      <c r="BI809">
        <v>13</v>
      </c>
      <c r="BP809">
        <v>10</v>
      </c>
      <c r="BR809">
        <v>13</v>
      </c>
      <c r="BS809">
        <v>0</v>
      </c>
      <c r="BT809">
        <v>0</v>
      </c>
      <c r="BV809">
        <v>1</v>
      </c>
      <c r="BW809">
        <v>24</v>
      </c>
      <c r="BX809">
        <f>IF(C809=C808,IF((CI809-1)=CI808,BW808,"no data"))</f>
        <v>42</v>
      </c>
      <c r="BY809" s="5">
        <f t="shared" si="89"/>
        <v>-0.42857142857142855</v>
      </c>
      <c r="BZ809" s="6">
        <f t="shared" si="88"/>
        <v>-0.42857142857142855</v>
      </c>
      <c r="CA809" s="7">
        <v>43415</v>
      </c>
      <c r="CE809">
        <v>9</v>
      </c>
      <c r="CF809">
        <v>4</v>
      </c>
      <c r="CG809">
        <v>4</v>
      </c>
      <c r="CH809">
        <v>7</v>
      </c>
      <c r="CI809">
        <f t="shared" si="86"/>
        <v>2018</v>
      </c>
      <c r="CJ809" t="str">
        <f t="shared" si="87"/>
        <v>5867_2018</v>
      </c>
    </row>
    <row r="810" spans="1:88" x14ac:dyDescent="0.25">
      <c r="A810" t="s">
        <v>111</v>
      </c>
      <c r="B810" t="s">
        <v>228</v>
      </c>
      <c r="C810">
        <v>5986</v>
      </c>
      <c r="D810">
        <v>-37.703899999999997</v>
      </c>
      <c r="E810">
        <v>145.0343</v>
      </c>
      <c r="F810">
        <v>3</v>
      </c>
      <c r="G810" t="s">
        <v>330</v>
      </c>
      <c r="H810">
        <v>31</v>
      </c>
      <c r="I810">
        <v>211</v>
      </c>
      <c r="J810">
        <v>189</v>
      </c>
      <c r="K810">
        <v>9</v>
      </c>
      <c r="L810">
        <v>277</v>
      </c>
      <c r="M810">
        <v>97</v>
      </c>
      <c r="T810">
        <v>33</v>
      </c>
      <c r="U810">
        <v>2</v>
      </c>
      <c r="Y810">
        <v>23</v>
      </c>
      <c r="Z810">
        <v>17</v>
      </c>
      <c r="AD810">
        <v>9</v>
      </c>
      <c r="AE810">
        <v>15</v>
      </c>
      <c r="AX810">
        <v>35</v>
      </c>
      <c r="AY810">
        <v>32</v>
      </c>
      <c r="AZ810">
        <v>67</v>
      </c>
      <c r="BA810">
        <v>40</v>
      </c>
      <c r="BB810">
        <v>48</v>
      </c>
      <c r="BC810">
        <v>88</v>
      </c>
      <c r="BD810">
        <v>24</v>
      </c>
      <c r="BE810">
        <v>19</v>
      </c>
      <c r="BF810">
        <v>43</v>
      </c>
      <c r="BP810">
        <v>36</v>
      </c>
      <c r="BR810">
        <v>34</v>
      </c>
      <c r="BS810">
        <v>2</v>
      </c>
      <c r="BT810">
        <v>26</v>
      </c>
      <c r="BV810">
        <v>1</v>
      </c>
      <c r="BW810">
        <v>99</v>
      </c>
      <c r="BX810" t="s">
        <v>82</v>
      </c>
      <c r="BY810" s="5"/>
      <c r="BZ810" s="6"/>
      <c r="CA810" s="7">
        <v>41224</v>
      </c>
      <c r="CI810">
        <f t="shared" si="86"/>
        <v>2012</v>
      </c>
      <c r="CJ810" t="str">
        <f t="shared" si="87"/>
        <v>5986_2012</v>
      </c>
    </row>
    <row r="811" spans="1:88" x14ac:dyDescent="0.25">
      <c r="A811" t="s">
        <v>111</v>
      </c>
      <c r="B811" t="s">
        <v>228</v>
      </c>
      <c r="C811">
        <v>5987</v>
      </c>
      <c r="D811">
        <v>-37.710799999999999</v>
      </c>
      <c r="E811">
        <v>145.0421</v>
      </c>
      <c r="F811">
        <v>3</v>
      </c>
      <c r="G811" t="s">
        <v>331</v>
      </c>
      <c r="H811">
        <v>122</v>
      </c>
      <c r="I811">
        <v>302</v>
      </c>
      <c r="J811">
        <v>243</v>
      </c>
      <c r="K811">
        <v>63</v>
      </c>
      <c r="L811">
        <v>328</v>
      </c>
      <c r="M811">
        <v>148</v>
      </c>
      <c r="T811">
        <v>23</v>
      </c>
      <c r="U811">
        <v>3</v>
      </c>
      <c r="Y811">
        <v>36</v>
      </c>
      <c r="Z811">
        <v>14</v>
      </c>
      <c r="AD811">
        <v>2</v>
      </c>
      <c r="AE811">
        <v>6</v>
      </c>
      <c r="AX811">
        <v>26</v>
      </c>
      <c r="AY811">
        <v>38</v>
      </c>
      <c r="AZ811">
        <v>64</v>
      </c>
      <c r="BA811">
        <v>50</v>
      </c>
      <c r="BB811">
        <v>29</v>
      </c>
      <c r="BC811">
        <v>79</v>
      </c>
      <c r="BD811">
        <v>8</v>
      </c>
      <c r="BE811">
        <v>17</v>
      </c>
      <c r="BF811">
        <v>25</v>
      </c>
      <c r="BP811">
        <v>29</v>
      </c>
      <c r="BR811">
        <v>28</v>
      </c>
      <c r="BS811">
        <v>3</v>
      </c>
      <c r="BT811">
        <v>24</v>
      </c>
      <c r="BV811">
        <v>0</v>
      </c>
      <c r="BW811">
        <v>84</v>
      </c>
      <c r="BX811" t="s">
        <v>82</v>
      </c>
      <c r="BY811" s="5"/>
      <c r="BZ811" s="6"/>
      <c r="CA811" s="7">
        <v>41224</v>
      </c>
      <c r="CI811">
        <f t="shared" si="86"/>
        <v>2012</v>
      </c>
      <c r="CJ811" t="str">
        <f t="shared" si="87"/>
        <v>5987_2012</v>
      </c>
    </row>
    <row r="812" spans="1:88" x14ac:dyDescent="0.25">
      <c r="A812" t="s">
        <v>111</v>
      </c>
      <c r="B812" t="s">
        <v>228</v>
      </c>
      <c r="C812">
        <v>5988</v>
      </c>
      <c r="D812">
        <v>-37.712000000000003</v>
      </c>
      <c r="E812">
        <v>145.04490000000001</v>
      </c>
      <c r="F812">
        <v>3</v>
      </c>
      <c r="G812" t="s">
        <v>332</v>
      </c>
      <c r="H812">
        <v>22</v>
      </c>
      <c r="I812">
        <v>202</v>
      </c>
      <c r="J812">
        <v>98</v>
      </c>
      <c r="K812">
        <v>278</v>
      </c>
      <c r="L812">
        <v>293</v>
      </c>
      <c r="M812">
        <v>113</v>
      </c>
      <c r="T812">
        <v>1</v>
      </c>
      <c r="U812">
        <v>17</v>
      </c>
      <c r="Y812">
        <v>1</v>
      </c>
      <c r="Z812">
        <v>56</v>
      </c>
      <c r="AD812">
        <v>13</v>
      </c>
      <c r="AE812">
        <v>5</v>
      </c>
      <c r="AX812">
        <v>18</v>
      </c>
      <c r="AY812">
        <v>14</v>
      </c>
      <c r="AZ812">
        <v>32</v>
      </c>
      <c r="BA812">
        <v>57</v>
      </c>
      <c r="BB812">
        <v>6</v>
      </c>
      <c r="BC812">
        <v>63</v>
      </c>
      <c r="BD812">
        <v>18</v>
      </c>
      <c r="BE812">
        <v>73</v>
      </c>
      <c r="BF812">
        <v>91</v>
      </c>
      <c r="BP812">
        <v>72</v>
      </c>
      <c r="BR812">
        <v>4</v>
      </c>
      <c r="BS812">
        <v>3</v>
      </c>
      <c r="BT812">
        <v>0</v>
      </c>
      <c r="BV812">
        <v>14</v>
      </c>
      <c r="BW812">
        <v>93</v>
      </c>
      <c r="BX812" t="s">
        <v>82</v>
      </c>
      <c r="BY812" s="5"/>
      <c r="BZ812" s="6"/>
      <c r="CA812" s="7">
        <v>41588</v>
      </c>
      <c r="CI812">
        <f t="shared" si="86"/>
        <v>2013</v>
      </c>
      <c r="CJ812" t="str">
        <f t="shared" si="87"/>
        <v>5988_2013</v>
      </c>
    </row>
    <row r="813" spans="1:88" x14ac:dyDescent="0.25">
      <c r="A813" t="s">
        <v>111</v>
      </c>
      <c r="B813" t="s">
        <v>228</v>
      </c>
      <c r="C813">
        <v>5989</v>
      </c>
      <c r="D813">
        <v>-37.718699999999998</v>
      </c>
      <c r="E813">
        <v>145.00720000000001</v>
      </c>
      <c r="F813">
        <v>2</v>
      </c>
      <c r="G813" t="s">
        <v>333</v>
      </c>
      <c r="H813">
        <v>4</v>
      </c>
      <c r="I813">
        <v>184</v>
      </c>
      <c r="J813">
        <v>187</v>
      </c>
      <c r="K813">
        <v>7</v>
      </c>
      <c r="T813">
        <v>41</v>
      </c>
      <c r="Y813">
        <v>41</v>
      </c>
      <c r="AX813">
        <v>41</v>
      </c>
      <c r="AY813">
        <v>41</v>
      </c>
      <c r="AZ813">
        <v>82</v>
      </c>
      <c r="BA813">
        <v>41</v>
      </c>
      <c r="BB813">
        <v>41</v>
      </c>
      <c r="BC813">
        <v>82</v>
      </c>
      <c r="BP813">
        <v>39</v>
      </c>
      <c r="BR813">
        <v>40</v>
      </c>
      <c r="BS813">
        <v>0</v>
      </c>
      <c r="BT813">
        <v>3</v>
      </c>
      <c r="BV813">
        <v>0</v>
      </c>
      <c r="BW813">
        <v>82</v>
      </c>
      <c r="BX813" t="s">
        <v>82</v>
      </c>
      <c r="BY813" s="5"/>
      <c r="BZ813" s="6"/>
      <c r="CA813" s="7">
        <v>41224</v>
      </c>
      <c r="CI813">
        <f t="shared" si="86"/>
        <v>2012</v>
      </c>
      <c r="CJ813" t="str">
        <f t="shared" si="87"/>
        <v>5989_2012</v>
      </c>
    </row>
    <row r="814" spans="1:88" x14ac:dyDescent="0.25">
      <c r="A814" t="s">
        <v>111</v>
      </c>
      <c r="B814" t="s">
        <v>228</v>
      </c>
      <c r="C814">
        <v>5990</v>
      </c>
      <c r="D814">
        <v>-37.730499999999999</v>
      </c>
      <c r="E814">
        <v>145.0025</v>
      </c>
      <c r="F814">
        <v>4</v>
      </c>
      <c r="G814" t="s">
        <v>334</v>
      </c>
      <c r="H814">
        <v>18</v>
      </c>
      <c r="I814">
        <v>198</v>
      </c>
      <c r="J814">
        <v>98</v>
      </c>
      <c r="K814">
        <v>278</v>
      </c>
      <c r="L814">
        <v>192</v>
      </c>
      <c r="M814">
        <v>12</v>
      </c>
      <c r="N814">
        <v>278</v>
      </c>
      <c r="O814">
        <v>98</v>
      </c>
      <c r="T814">
        <v>14</v>
      </c>
      <c r="U814">
        <v>40</v>
      </c>
      <c r="V814">
        <v>6</v>
      </c>
      <c r="Y814">
        <v>26</v>
      </c>
      <c r="Z814">
        <v>2</v>
      </c>
      <c r="AA814">
        <v>19</v>
      </c>
      <c r="AD814">
        <v>28</v>
      </c>
      <c r="AE814">
        <v>0</v>
      </c>
      <c r="AF814">
        <v>10</v>
      </c>
      <c r="AI814">
        <v>19</v>
      </c>
      <c r="AJ814">
        <v>12</v>
      </c>
      <c r="AK814">
        <v>13</v>
      </c>
      <c r="AX814">
        <v>60</v>
      </c>
      <c r="AY814">
        <v>73</v>
      </c>
      <c r="AZ814">
        <v>133</v>
      </c>
      <c r="BA814">
        <v>47</v>
      </c>
      <c r="BB814">
        <v>26</v>
      </c>
      <c r="BC814">
        <v>73</v>
      </c>
      <c r="BD814">
        <v>38</v>
      </c>
      <c r="BE814">
        <v>55</v>
      </c>
      <c r="BF814">
        <v>93</v>
      </c>
      <c r="BG814">
        <v>44</v>
      </c>
      <c r="BH814">
        <v>35</v>
      </c>
      <c r="BI814">
        <v>79</v>
      </c>
      <c r="BP814">
        <v>80</v>
      </c>
      <c r="BR814">
        <v>95</v>
      </c>
      <c r="BS814">
        <v>4</v>
      </c>
      <c r="BT814">
        <v>9</v>
      </c>
      <c r="BV814">
        <v>1</v>
      </c>
      <c r="BW814">
        <v>189</v>
      </c>
      <c r="BX814" t="s">
        <v>82</v>
      </c>
      <c r="BY814" s="5"/>
      <c r="BZ814" s="6"/>
      <c r="CA814" s="7">
        <v>41224</v>
      </c>
      <c r="CI814">
        <f t="shared" si="86"/>
        <v>2012</v>
      </c>
      <c r="CJ814" t="str">
        <f t="shared" si="87"/>
        <v>5990_2012</v>
      </c>
    </row>
    <row r="815" spans="1:88" x14ac:dyDescent="0.25">
      <c r="A815" t="s">
        <v>111</v>
      </c>
      <c r="B815" t="s">
        <v>228</v>
      </c>
      <c r="C815">
        <v>5991</v>
      </c>
      <c r="D815">
        <v>-37.758800000000001</v>
      </c>
      <c r="E815">
        <v>144.99350000000001</v>
      </c>
      <c r="F815">
        <v>4</v>
      </c>
      <c r="G815" t="s">
        <v>335</v>
      </c>
      <c r="H815">
        <v>4</v>
      </c>
      <c r="I815">
        <v>184</v>
      </c>
      <c r="J815">
        <v>97</v>
      </c>
      <c r="K815">
        <v>277</v>
      </c>
      <c r="L815">
        <v>189</v>
      </c>
      <c r="M815">
        <v>9</v>
      </c>
      <c r="N815">
        <v>277</v>
      </c>
      <c r="O815">
        <v>97</v>
      </c>
      <c r="T815">
        <v>13</v>
      </c>
      <c r="U815">
        <v>150</v>
      </c>
      <c r="V815">
        <v>8</v>
      </c>
      <c r="Y815">
        <v>7</v>
      </c>
      <c r="Z815">
        <v>17</v>
      </c>
      <c r="AA815">
        <v>35</v>
      </c>
      <c r="AD815">
        <v>111</v>
      </c>
      <c r="AE815">
        <v>6</v>
      </c>
      <c r="AF815">
        <v>11</v>
      </c>
      <c r="AI815">
        <v>4</v>
      </c>
      <c r="AJ815">
        <v>24</v>
      </c>
      <c r="AK815">
        <v>9</v>
      </c>
      <c r="AX815">
        <v>171</v>
      </c>
      <c r="AY815">
        <v>122</v>
      </c>
      <c r="AZ815">
        <v>293</v>
      </c>
      <c r="BA815">
        <v>59</v>
      </c>
      <c r="BB815">
        <v>43</v>
      </c>
      <c r="BC815">
        <v>102</v>
      </c>
      <c r="BD815">
        <v>128</v>
      </c>
      <c r="BE815">
        <v>176</v>
      </c>
      <c r="BF815">
        <v>304</v>
      </c>
      <c r="BG815">
        <v>37</v>
      </c>
      <c r="BH815">
        <v>54</v>
      </c>
      <c r="BI815">
        <v>91</v>
      </c>
      <c r="BP815">
        <v>269</v>
      </c>
      <c r="BR815">
        <v>99</v>
      </c>
      <c r="BS815">
        <v>22</v>
      </c>
      <c r="BT815">
        <v>5</v>
      </c>
      <c r="BV815">
        <v>0</v>
      </c>
      <c r="BW815">
        <v>395</v>
      </c>
      <c r="BX815" t="s">
        <v>82</v>
      </c>
      <c r="BY815" s="5"/>
      <c r="BZ815" s="6"/>
      <c r="CA815" s="7">
        <v>41224</v>
      </c>
      <c r="CI815">
        <f t="shared" si="86"/>
        <v>2012</v>
      </c>
      <c r="CJ815" t="str">
        <f t="shared" si="87"/>
        <v>5991_2012</v>
      </c>
    </row>
    <row r="816" spans="1:88" x14ac:dyDescent="0.25">
      <c r="A816" t="s">
        <v>111</v>
      </c>
      <c r="B816" t="s">
        <v>228</v>
      </c>
      <c r="C816">
        <v>5991</v>
      </c>
      <c r="D816">
        <v>-37.758800000000001</v>
      </c>
      <c r="E816">
        <v>144.99350000000001</v>
      </c>
      <c r="F816">
        <v>4</v>
      </c>
      <c r="G816" t="s">
        <v>335</v>
      </c>
      <c r="H816">
        <v>4</v>
      </c>
      <c r="I816">
        <v>184</v>
      </c>
      <c r="J816">
        <v>97</v>
      </c>
      <c r="K816">
        <v>277</v>
      </c>
      <c r="L816">
        <v>189</v>
      </c>
      <c r="M816">
        <v>9</v>
      </c>
      <c r="N816">
        <v>277</v>
      </c>
      <c r="O816">
        <v>97</v>
      </c>
      <c r="T816">
        <v>3</v>
      </c>
      <c r="U816">
        <v>88</v>
      </c>
      <c r="V816">
        <v>1</v>
      </c>
      <c r="Y816">
        <v>4</v>
      </c>
      <c r="Z816">
        <v>7</v>
      </c>
      <c r="AA816">
        <v>22</v>
      </c>
      <c r="AD816">
        <v>85</v>
      </c>
      <c r="AE816">
        <v>5</v>
      </c>
      <c r="AF816">
        <v>3</v>
      </c>
      <c r="AI816">
        <v>3</v>
      </c>
      <c r="AJ816">
        <v>16</v>
      </c>
      <c r="AK816">
        <v>7</v>
      </c>
      <c r="AX816">
        <v>92</v>
      </c>
      <c r="AY816">
        <v>92</v>
      </c>
      <c r="AZ816">
        <v>184</v>
      </c>
      <c r="BA816">
        <v>33</v>
      </c>
      <c r="BB816">
        <v>24</v>
      </c>
      <c r="BC816">
        <v>57</v>
      </c>
      <c r="BD816">
        <v>93</v>
      </c>
      <c r="BE816">
        <v>102</v>
      </c>
      <c r="BF816">
        <v>195</v>
      </c>
      <c r="BG816">
        <v>26</v>
      </c>
      <c r="BH816">
        <v>26</v>
      </c>
      <c r="BI816">
        <v>52</v>
      </c>
      <c r="BP816">
        <v>197</v>
      </c>
      <c r="BR816">
        <v>27</v>
      </c>
      <c r="BS816">
        <v>16</v>
      </c>
      <c r="BT816">
        <v>2</v>
      </c>
      <c r="BV816">
        <v>2</v>
      </c>
      <c r="BW816">
        <v>244</v>
      </c>
      <c r="BX816">
        <f>IF(C816=C815,IF((CI816-1)=CI815,BW815,"no data"))</f>
        <v>395</v>
      </c>
      <c r="BY816" s="5">
        <f t="shared" si="89"/>
        <v>-0.38227848101265821</v>
      </c>
      <c r="BZ816" s="6">
        <f t="shared" si="88"/>
        <v>-0.38227848101265821</v>
      </c>
      <c r="CA816" s="7">
        <v>41588</v>
      </c>
      <c r="CI816">
        <f t="shared" si="86"/>
        <v>2013</v>
      </c>
      <c r="CJ816" t="str">
        <f t="shared" si="87"/>
        <v>5991_2013</v>
      </c>
    </row>
    <row r="817" spans="1:88" x14ac:dyDescent="0.25">
      <c r="A817" t="s">
        <v>111</v>
      </c>
      <c r="B817" t="s">
        <v>228</v>
      </c>
      <c r="C817">
        <v>5992</v>
      </c>
      <c r="D817">
        <v>-37.7759</v>
      </c>
      <c r="E817">
        <v>144.98990000000001</v>
      </c>
      <c r="F817">
        <v>3</v>
      </c>
      <c r="G817" t="s">
        <v>336</v>
      </c>
      <c r="H817">
        <v>9</v>
      </c>
      <c r="I817">
        <v>189</v>
      </c>
      <c r="J817">
        <v>99</v>
      </c>
      <c r="K817">
        <v>279</v>
      </c>
      <c r="L817">
        <v>281</v>
      </c>
      <c r="M817">
        <v>101</v>
      </c>
      <c r="T817">
        <v>166</v>
      </c>
      <c r="U817">
        <v>44</v>
      </c>
      <c r="Y817">
        <v>7</v>
      </c>
      <c r="Z817">
        <v>64</v>
      </c>
      <c r="AD817">
        <v>86</v>
      </c>
      <c r="AE817">
        <v>23</v>
      </c>
      <c r="AX817">
        <v>210</v>
      </c>
      <c r="AY817">
        <v>93</v>
      </c>
      <c r="AZ817">
        <v>303</v>
      </c>
      <c r="BA817">
        <v>71</v>
      </c>
      <c r="BB817">
        <v>189</v>
      </c>
      <c r="BC817">
        <v>260</v>
      </c>
      <c r="BD817">
        <v>109</v>
      </c>
      <c r="BE817">
        <v>108</v>
      </c>
      <c r="BF817">
        <v>217</v>
      </c>
      <c r="BP817">
        <v>290</v>
      </c>
      <c r="BR817">
        <v>72</v>
      </c>
      <c r="BS817">
        <v>13</v>
      </c>
      <c r="BT817">
        <v>12</v>
      </c>
      <c r="BV817">
        <v>3</v>
      </c>
      <c r="BW817">
        <v>390</v>
      </c>
      <c r="BX817" t="s">
        <v>82</v>
      </c>
      <c r="BY817" s="5"/>
      <c r="BZ817" s="6"/>
      <c r="CA817" s="7">
        <v>41224</v>
      </c>
      <c r="CI817">
        <f t="shared" si="86"/>
        <v>2012</v>
      </c>
      <c r="CJ817" t="str">
        <f t="shared" si="87"/>
        <v>5992_2012</v>
      </c>
    </row>
    <row r="818" spans="1:88" x14ac:dyDescent="0.25">
      <c r="A818" t="s">
        <v>111</v>
      </c>
      <c r="B818" t="s">
        <v>228</v>
      </c>
      <c r="C818">
        <v>5993</v>
      </c>
      <c r="D818">
        <v>-37.778500000000001</v>
      </c>
      <c r="E818">
        <v>144.99039999999999</v>
      </c>
      <c r="F818">
        <v>4</v>
      </c>
      <c r="G818" t="s">
        <v>337</v>
      </c>
      <c r="H818">
        <v>97</v>
      </c>
      <c r="I818">
        <v>277</v>
      </c>
      <c r="J818">
        <v>145</v>
      </c>
      <c r="K818">
        <v>325</v>
      </c>
      <c r="L818">
        <v>171</v>
      </c>
      <c r="M818">
        <v>351</v>
      </c>
      <c r="N818">
        <v>340</v>
      </c>
      <c r="O818">
        <v>160</v>
      </c>
      <c r="T818">
        <v>0</v>
      </c>
      <c r="U818">
        <v>4</v>
      </c>
      <c r="V818">
        <v>1</v>
      </c>
      <c r="Y818">
        <v>1</v>
      </c>
      <c r="Z818">
        <v>95</v>
      </c>
      <c r="AA818">
        <v>135</v>
      </c>
      <c r="AD818">
        <v>17</v>
      </c>
      <c r="AE818">
        <v>83</v>
      </c>
      <c r="AF818">
        <v>53</v>
      </c>
      <c r="AI818">
        <v>3</v>
      </c>
      <c r="AJ818">
        <v>96</v>
      </c>
      <c r="AK818">
        <v>89</v>
      </c>
      <c r="AX818">
        <v>5</v>
      </c>
      <c r="AY818">
        <v>21</v>
      </c>
      <c r="AZ818">
        <v>26</v>
      </c>
      <c r="BA818">
        <v>231</v>
      </c>
      <c r="BB818">
        <v>179</v>
      </c>
      <c r="BC818">
        <v>410</v>
      </c>
      <c r="BD818">
        <v>153</v>
      </c>
      <c r="BE818">
        <v>188</v>
      </c>
      <c r="BF818">
        <v>341</v>
      </c>
      <c r="BG818">
        <v>188</v>
      </c>
      <c r="BH818">
        <v>189</v>
      </c>
      <c r="BI818">
        <v>377</v>
      </c>
      <c r="BP818">
        <v>412</v>
      </c>
      <c r="BR818">
        <v>104</v>
      </c>
      <c r="BS818">
        <v>47</v>
      </c>
      <c r="BT818">
        <v>14</v>
      </c>
      <c r="BV818">
        <v>0</v>
      </c>
      <c r="BW818">
        <v>577</v>
      </c>
      <c r="BX818" t="s">
        <v>82</v>
      </c>
      <c r="BY818" s="5"/>
      <c r="BZ818" s="6"/>
      <c r="CA818" s="7">
        <v>41588</v>
      </c>
      <c r="CI818">
        <f t="shared" si="86"/>
        <v>2013</v>
      </c>
      <c r="CJ818" t="str">
        <f t="shared" si="87"/>
        <v>5993_2013</v>
      </c>
    </row>
    <row r="819" spans="1:88" x14ac:dyDescent="0.25">
      <c r="A819" t="s">
        <v>111</v>
      </c>
      <c r="B819" t="s">
        <v>228</v>
      </c>
      <c r="C819">
        <v>5994</v>
      </c>
      <c r="D819">
        <v>-37.782899999999998</v>
      </c>
      <c r="E819">
        <v>144.99359999999999</v>
      </c>
      <c r="F819">
        <v>3</v>
      </c>
      <c r="G819" t="s">
        <v>338</v>
      </c>
      <c r="H819">
        <v>8</v>
      </c>
      <c r="I819">
        <v>188</v>
      </c>
      <c r="J819">
        <v>99</v>
      </c>
      <c r="K819">
        <v>279</v>
      </c>
      <c r="L819">
        <v>251</v>
      </c>
      <c r="M819">
        <v>71</v>
      </c>
      <c r="T819">
        <v>42</v>
      </c>
      <c r="U819">
        <v>217</v>
      </c>
      <c r="Y819">
        <v>29</v>
      </c>
      <c r="Z819">
        <v>24</v>
      </c>
      <c r="AD819">
        <v>164</v>
      </c>
      <c r="AE819">
        <v>33</v>
      </c>
      <c r="AX819">
        <v>259</v>
      </c>
      <c r="AY819">
        <v>193</v>
      </c>
      <c r="AZ819">
        <v>452</v>
      </c>
      <c r="BA819">
        <v>53</v>
      </c>
      <c r="BB819">
        <v>75</v>
      </c>
      <c r="BC819">
        <v>128</v>
      </c>
      <c r="BD819">
        <v>197</v>
      </c>
      <c r="BE819">
        <v>241</v>
      </c>
      <c r="BF819">
        <v>438</v>
      </c>
      <c r="BP819">
        <v>229</v>
      </c>
      <c r="BR819">
        <v>145</v>
      </c>
      <c r="BS819">
        <v>41</v>
      </c>
      <c r="BT819">
        <v>34</v>
      </c>
      <c r="BV819">
        <v>60</v>
      </c>
      <c r="BW819">
        <v>509</v>
      </c>
      <c r="BX819" t="s">
        <v>82</v>
      </c>
      <c r="BY819" s="5"/>
      <c r="BZ819" s="6"/>
      <c r="CA819" s="7">
        <v>41224</v>
      </c>
      <c r="CI819">
        <f t="shared" si="86"/>
        <v>2012</v>
      </c>
      <c r="CJ819" t="str">
        <f t="shared" si="87"/>
        <v>5994_2012</v>
      </c>
    </row>
    <row r="820" spans="1:88" x14ac:dyDescent="0.25">
      <c r="A820" t="s">
        <v>111</v>
      </c>
      <c r="B820" t="s">
        <v>228</v>
      </c>
      <c r="C820">
        <v>5994</v>
      </c>
      <c r="D820">
        <v>-37.782899999999998</v>
      </c>
      <c r="E820">
        <v>144.99359999999999</v>
      </c>
      <c r="F820">
        <v>3</v>
      </c>
      <c r="G820" t="s">
        <v>338</v>
      </c>
      <c r="H820">
        <v>8</v>
      </c>
      <c r="I820">
        <v>188</v>
      </c>
      <c r="J820">
        <v>99</v>
      </c>
      <c r="K820">
        <v>279</v>
      </c>
      <c r="L820">
        <v>251</v>
      </c>
      <c r="M820">
        <v>71</v>
      </c>
      <c r="T820">
        <v>5</v>
      </c>
      <c r="U820">
        <v>196</v>
      </c>
      <c r="Y820">
        <v>6</v>
      </c>
      <c r="Z820">
        <v>35</v>
      </c>
      <c r="AD820">
        <v>124</v>
      </c>
      <c r="AE820">
        <v>22</v>
      </c>
      <c r="AX820">
        <v>201</v>
      </c>
      <c r="AY820">
        <v>130</v>
      </c>
      <c r="AZ820">
        <v>331</v>
      </c>
      <c r="BA820">
        <v>41</v>
      </c>
      <c r="BB820">
        <v>27</v>
      </c>
      <c r="BC820">
        <v>68</v>
      </c>
      <c r="BD820">
        <v>146</v>
      </c>
      <c r="BE820">
        <v>231</v>
      </c>
      <c r="BF820">
        <v>377</v>
      </c>
      <c r="BP820">
        <v>180</v>
      </c>
      <c r="BR820">
        <v>150</v>
      </c>
      <c r="BS820">
        <v>31</v>
      </c>
      <c r="BT820">
        <v>26</v>
      </c>
      <c r="BV820">
        <v>1</v>
      </c>
      <c r="BW820">
        <v>388</v>
      </c>
      <c r="BX820">
        <f>IF(C820=C819,IF((CI820-1)=CI819,BW819,"no data"))</f>
        <v>509</v>
      </c>
      <c r="BY820" s="5">
        <f t="shared" si="89"/>
        <v>-0.23772102161100198</v>
      </c>
      <c r="BZ820" s="6">
        <f t="shared" si="88"/>
        <v>-0.23772102161100198</v>
      </c>
      <c r="CA820" s="7">
        <v>41588</v>
      </c>
      <c r="CI820">
        <f t="shared" si="86"/>
        <v>2013</v>
      </c>
      <c r="CJ820" t="str">
        <f t="shared" si="87"/>
        <v>5994_2013</v>
      </c>
    </row>
    <row r="821" spans="1:88" x14ac:dyDescent="0.25">
      <c r="A821" t="s">
        <v>111</v>
      </c>
      <c r="B821" t="s">
        <v>301</v>
      </c>
      <c r="C821">
        <v>5995</v>
      </c>
      <c r="D821">
        <v>-38.149799999999999</v>
      </c>
      <c r="E821">
        <v>145.11420000000001</v>
      </c>
      <c r="F821">
        <v>2</v>
      </c>
      <c r="G821" t="s">
        <v>339</v>
      </c>
      <c r="H821">
        <v>26</v>
      </c>
      <c r="I821">
        <v>206</v>
      </c>
      <c r="J821">
        <v>211</v>
      </c>
      <c r="K821">
        <v>31</v>
      </c>
      <c r="T821">
        <v>378</v>
      </c>
      <c r="Y821">
        <v>421</v>
      </c>
      <c r="AX821">
        <v>378</v>
      </c>
      <c r="AY821">
        <v>421</v>
      </c>
      <c r="AZ821">
        <v>799</v>
      </c>
      <c r="BA821">
        <v>421</v>
      </c>
      <c r="BB821">
        <v>378</v>
      </c>
      <c r="BC821">
        <v>799</v>
      </c>
      <c r="BP821">
        <v>29</v>
      </c>
      <c r="BR821">
        <v>537</v>
      </c>
      <c r="BS821">
        <v>49</v>
      </c>
      <c r="BT821">
        <v>78</v>
      </c>
      <c r="BV821">
        <v>106</v>
      </c>
      <c r="BW821">
        <v>799</v>
      </c>
      <c r="BX821" t="s">
        <v>82</v>
      </c>
      <c r="BY821" s="5"/>
      <c r="BZ821" s="6"/>
      <c r="CA821" s="7">
        <v>41224</v>
      </c>
      <c r="CI821">
        <f t="shared" si="86"/>
        <v>2012</v>
      </c>
      <c r="CJ821" t="str">
        <f t="shared" si="87"/>
        <v>5995_2012</v>
      </c>
    </row>
    <row r="822" spans="1:88" x14ac:dyDescent="0.25">
      <c r="A822" t="s">
        <v>111</v>
      </c>
      <c r="B822" t="s">
        <v>301</v>
      </c>
      <c r="C822">
        <v>5995</v>
      </c>
      <c r="D822">
        <v>-38.149799999999999</v>
      </c>
      <c r="E822">
        <v>145.11420000000001</v>
      </c>
      <c r="F822">
        <v>2</v>
      </c>
      <c r="G822" t="s">
        <v>339</v>
      </c>
      <c r="H822">
        <v>26</v>
      </c>
      <c r="I822">
        <v>206</v>
      </c>
      <c r="J822">
        <v>211</v>
      </c>
      <c r="K822">
        <v>31</v>
      </c>
      <c r="T822">
        <v>245</v>
      </c>
      <c r="Y822">
        <v>259</v>
      </c>
      <c r="AX822">
        <v>245</v>
      </c>
      <c r="AY822">
        <v>259</v>
      </c>
      <c r="AZ822">
        <v>504</v>
      </c>
      <c r="BA822">
        <v>259</v>
      </c>
      <c r="BB822">
        <v>245</v>
      </c>
      <c r="BC822">
        <v>504</v>
      </c>
      <c r="BP822">
        <v>15</v>
      </c>
      <c r="BR822">
        <v>376</v>
      </c>
      <c r="BS822">
        <v>48</v>
      </c>
      <c r="BT822">
        <v>65</v>
      </c>
      <c r="BV822">
        <v>0</v>
      </c>
      <c r="BW822">
        <v>504</v>
      </c>
      <c r="BX822">
        <f>IF(C822=C821,IF((CI822-1)=CI821,BW821,"no data"))</f>
        <v>799</v>
      </c>
      <c r="BY822" s="5">
        <f t="shared" si="89"/>
        <v>-0.36921151439299121</v>
      </c>
      <c r="BZ822" s="6">
        <f t="shared" si="88"/>
        <v>-0.36921151439299121</v>
      </c>
      <c r="CA822" s="7">
        <v>41588</v>
      </c>
      <c r="CI822">
        <f t="shared" si="86"/>
        <v>2013</v>
      </c>
      <c r="CJ822" t="str">
        <f t="shared" si="87"/>
        <v>5995_2013</v>
      </c>
    </row>
    <row r="823" spans="1:88" x14ac:dyDescent="0.25">
      <c r="A823" t="s">
        <v>111</v>
      </c>
      <c r="B823" t="s">
        <v>301</v>
      </c>
      <c r="C823">
        <v>5995</v>
      </c>
      <c r="D823">
        <v>-38.149799999999999</v>
      </c>
      <c r="E823">
        <v>145.11420000000001</v>
      </c>
      <c r="F823">
        <v>2</v>
      </c>
      <c r="G823" t="s">
        <v>339</v>
      </c>
      <c r="H823">
        <v>26</v>
      </c>
      <c r="I823">
        <v>206</v>
      </c>
      <c r="J823">
        <v>211</v>
      </c>
      <c r="K823">
        <v>31</v>
      </c>
      <c r="T823">
        <v>278</v>
      </c>
      <c r="Y823">
        <v>296</v>
      </c>
      <c r="AX823">
        <v>278</v>
      </c>
      <c r="AY823">
        <v>296</v>
      </c>
      <c r="AZ823">
        <v>574</v>
      </c>
      <c r="BA823">
        <v>296</v>
      </c>
      <c r="BB823">
        <v>278</v>
      </c>
      <c r="BC823">
        <v>574</v>
      </c>
      <c r="BP823">
        <v>20</v>
      </c>
      <c r="BR823">
        <v>391</v>
      </c>
      <c r="BS823">
        <v>75</v>
      </c>
      <c r="BT823">
        <v>68</v>
      </c>
      <c r="BV823">
        <v>20</v>
      </c>
      <c r="BW823">
        <v>574</v>
      </c>
      <c r="BX823">
        <f>IF(C823=C822,IF((CI823-1)=CI822,BW822,"no data"))</f>
        <v>504</v>
      </c>
      <c r="BY823" s="5">
        <f t="shared" si="89"/>
        <v>0.1388888888888889</v>
      </c>
      <c r="BZ823" s="6">
        <f t="shared" si="88"/>
        <v>0.1388888888888889</v>
      </c>
      <c r="CA823" s="7">
        <v>41952</v>
      </c>
      <c r="CI823">
        <f t="shared" si="86"/>
        <v>2014</v>
      </c>
      <c r="CJ823" t="str">
        <f t="shared" si="87"/>
        <v>5995_2014</v>
      </c>
    </row>
    <row r="824" spans="1:88" x14ac:dyDescent="0.25">
      <c r="A824" t="s">
        <v>111</v>
      </c>
      <c r="B824" t="s">
        <v>301</v>
      </c>
      <c r="C824">
        <v>5997</v>
      </c>
      <c r="D824">
        <v>-38.158700000000003</v>
      </c>
      <c r="E824">
        <v>145.1523</v>
      </c>
      <c r="F824">
        <v>3</v>
      </c>
      <c r="G824" t="s">
        <v>340</v>
      </c>
      <c r="H824">
        <v>11</v>
      </c>
      <c r="I824">
        <v>191</v>
      </c>
      <c r="J824">
        <v>131</v>
      </c>
      <c r="K824">
        <v>311</v>
      </c>
      <c r="L824">
        <v>311</v>
      </c>
      <c r="M824">
        <v>131</v>
      </c>
      <c r="T824">
        <v>0</v>
      </c>
      <c r="U824">
        <v>0</v>
      </c>
      <c r="Y824">
        <v>2</v>
      </c>
      <c r="Z824">
        <v>64</v>
      </c>
      <c r="AD824">
        <v>6</v>
      </c>
      <c r="AE824">
        <v>84</v>
      </c>
      <c r="AX824">
        <v>0</v>
      </c>
      <c r="AY824">
        <v>8</v>
      </c>
      <c r="AZ824">
        <v>8</v>
      </c>
      <c r="BA824">
        <v>66</v>
      </c>
      <c r="BB824">
        <v>84</v>
      </c>
      <c r="BC824">
        <v>150</v>
      </c>
      <c r="BD824">
        <v>90</v>
      </c>
      <c r="BE824">
        <v>64</v>
      </c>
      <c r="BF824">
        <v>154</v>
      </c>
      <c r="BP824">
        <v>83</v>
      </c>
      <c r="BR824">
        <v>50</v>
      </c>
      <c r="BS824">
        <v>4</v>
      </c>
      <c r="BT824">
        <v>17</v>
      </c>
      <c r="BV824">
        <v>2</v>
      </c>
      <c r="BW824">
        <v>156</v>
      </c>
      <c r="BX824" t="s">
        <v>82</v>
      </c>
      <c r="BY824" s="5"/>
      <c r="BZ824" s="6"/>
      <c r="CA824" s="7">
        <v>41224</v>
      </c>
      <c r="CI824">
        <f t="shared" si="86"/>
        <v>2012</v>
      </c>
      <c r="CJ824" t="str">
        <f t="shared" si="87"/>
        <v>5997_2012</v>
      </c>
    </row>
    <row r="825" spans="1:88" x14ac:dyDescent="0.25">
      <c r="A825" t="s">
        <v>111</v>
      </c>
      <c r="B825" t="s">
        <v>301</v>
      </c>
      <c r="C825">
        <v>5997</v>
      </c>
      <c r="D825">
        <v>-38.158700000000003</v>
      </c>
      <c r="E825">
        <v>145.1523</v>
      </c>
      <c r="F825">
        <v>3</v>
      </c>
      <c r="G825" t="s">
        <v>340</v>
      </c>
      <c r="H825">
        <v>11</v>
      </c>
      <c r="I825">
        <v>191</v>
      </c>
      <c r="J825">
        <v>131</v>
      </c>
      <c r="K825">
        <v>311</v>
      </c>
      <c r="L825">
        <v>311</v>
      </c>
      <c r="M825">
        <v>131</v>
      </c>
      <c r="T825">
        <v>0</v>
      </c>
      <c r="U825">
        <v>0</v>
      </c>
      <c r="Y825">
        <v>0</v>
      </c>
      <c r="Z825">
        <v>51</v>
      </c>
      <c r="AD825">
        <v>0</v>
      </c>
      <c r="AE825">
        <v>47</v>
      </c>
      <c r="AX825">
        <v>0</v>
      </c>
      <c r="AY825">
        <v>0</v>
      </c>
      <c r="AZ825">
        <v>0</v>
      </c>
      <c r="BA825">
        <v>51</v>
      </c>
      <c r="BB825">
        <v>47</v>
      </c>
      <c r="BC825">
        <v>98</v>
      </c>
      <c r="BD825">
        <v>47</v>
      </c>
      <c r="BE825">
        <v>51</v>
      </c>
      <c r="BF825">
        <v>98</v>
      </c>
      <c r="BP825">
        <v>75</v>
      </c>
      <c r="BR825">
        <v>11</v>
      </c>
      <c r="BS825">
        <v>6</v>
      </c>
      <c r="BT825">
        <v>6</v>
      </c>
      <c r="BV825">
        <v>0</v>
      </c>
      <c r="BW825">
        <v>98</v>
      </c>
      <c r="BX825" t="str">
        <f t="shared" ref="BX825:BX832" si="90">IF(C825=C824,IF((CI825-1)=CI824,BW824,"no data"))</f>
        <v>no data</v>
      </c>
      <c r="BY825" s="5"/>
      <c r="BZ825" s="6"/>
      <c r="CA825" s="7">
        <v>41952</v>
      </c>
      <c r="CI825">
        <f t="shared" si="86"/>
        <v>2014</v>
      </c>
      <c r="CJ825" t="str">
        <f t="shared" si="87"/>
        <v>5997_2014</v>
      </c>
    </row>
    <row r="826" spans="1:88" x14ac:dyDescent="0.25">
      <c r="A826" t="s">
        <v>111</v>
      </c>
      <c r="B826" t="s">
        <v>301</v>
      </c>
      <c r="C826">
        <v>5997</v>
      </c>
      <c r="D826">
        <v>-38.158700000000003</v>
      </c>
      <c r="E826">
        <v>145.1523</v>
      </c>
      <c r="F826">
        <v>3</v>
      </c>
      <c r="G826" t="s">
        <v>340</v>
      </c>
      <c r="H826">
        <v>11</v>
      </c>
      <c r="I826">
        <v>191</v>
      </c>
      <c r="J826">
        <v>131</v>
      </c>
      <c r="K826">
        <v>311</v>
      </c>
      <c r="L826">
        <v>311</v>
      </c>
      <c r="M826">
        <v>131</v>
      </c>
      <c r="T826">
        <v>8</v>
      </c>
      <c r="U826">
        <v>3</v>
      </c>
      <c r="Y826">
        <v>7</v>
      </c>
      <c r="Z826">
        <v>44</v>
      </c>
      <c r="AD826">
        <v>2</v>
      </c>
      <c r="AE826">
        <v>33</v>
      </c>
      <c r="AX826">
        <v>11</v>
      </c>
      <c r="AY826">
        <v>9</v>
      </c>
      <c r="AZ826">
        <v>20</v>
      </c>
      <c r="BA826">
        <v>51</v>
      </c>
      <c r="BB826">
        <v>41</v>
      </c>
      <c r="BC826">
        <v>92</v>
      </c>
      <c r="BD826">
        <v>35</v>
      </c>
      <c r="BE826">
        <v>47</v>
      </c>
      <c r="BF826">
        <v>82</v>
      </c>
      <c r="BP826">
        <v>51</v>
      </c>
      <c r="BR826">
        <v>20</v>
      </c>
      <c r="BS826">
        <v>7</v>
      </c>
      <c r="BT826">
        <v>11</v>
      </c>
      <c r="BV826">
        <v>8</v>
      </c>
      <c r="BW826">
        <v>97</v>
      </c>
      <c r="BX826">
        <f t="shared" si="90"/>
        <v>98</v>
      </c>
      <c r="BY826" s="5">
        <f t="shared" si="89"/>
        <v>-1.020408163265306E-2</v>
      </c>
      <c r="BZ826" s="6">
        <f t="shared" si="88"/>
        <v>-1.020408163265306E-2</v>
      </c>
      <c r="CA826" s="7">
        <v>42316</v>
      </c>
      <c r="CE826">
        <v>29</v>
      </c>
      <c r="CF826">
        <v>24</v>
      </c>
      <c r="CG826">
        <v>22</v>
      </c>
      <c r="CH826">
        <v>22</v>
      </c>
      <c r="CI826">
        <f t="shared" si="86"/>
        <v>2015</v>
      </c>
      <c r="CJ826" t="str">
        <f t="shared" si="87"/>
        <v>5997_2015</v>
      </c>
    </row>
    <row r="827" spans="1:88" x14ac:dyDescent="0.25">
      <c r="A827" t="s">
        <v>111</v>
      </c>
      <c r="B827" t="s">
        <v>301</v>
      </c>
      <c r="C827">
        <v>5997</v>
      </c>
      <c r="D827">
        <v>-38.158721999999997</v>
      </c>
      <c r="E827">
        <v>145.152255</v>
      </c>
      <c r="F827">
        <v>3</v>
      </c>
      <c r="G827" t="s">
        <v>340</v>
      </c>
      <c r="H827">
        <v>11</v>
      </c>
      <c r="I827">
        <v>191</v>
      </c>
      <c r="J827">
        <v>131</v>
      </c>
      <c r="K827">
        <v>311</v>
      </c>
      <c r="L827">
        <v>311</v>
      </c>
      <c r="M827">
        <v>131</v>
      </c>
      <c r="T827">
        <v>0</v>
      </c>
      <c r="U827">
        <v>5</v>
      </c>
      <c r="Y827">
        <v>6</v>
      </c>
      <c r="Z827">
        <v>42</v>
      </c>
      <c r="AD827">
        <v>6</v>
      </c>
      <c r="AE827">
        <v>23</v>
      </c>
      <c r="AX827">
        <v>5</v>
      </c>
      <c r="AY827">
        <v>12</v>
      </c>
      <c r="AZ827">
        <v>17</v>
      </c>
      <c r="BA827">
        <v>48</v>
      </c>
      <c r="BB827">
        <v>23</v>
      </c>
      <c r="BC827">
        <v>71</v>
      </c>
      <c r="BD827">
        <v>29</v>
      </c>
      <c r="BE827">
        <v>47</v>
      </c>
      <c r="BF827">
        <v>76</v>
      </c>
      <c r="BP827">
        <v>20</v>
      </c>
      <c r="BR827">
        <v>36</v>
      </c>
      <c r="BS827">
        <v>16</v>
      </c>
      <c r="BT827">
        <v>10</v>
      </c>
      <c r="BV827">
        <v>0</v>
      </c>
      <c r="BW827">
        <v>82</v>
      </c>
      <c r="BX827">
        <f t="shared" si="90"/>
        <v>97</v>
      </c>
      <c r="BY827" s="5">
        <f t="shared" si="89"/>
        <v>-0.15463917525773196</v>
      </c>
      <c r="BZ827" s="6">
        <f t="shared" si="88"/>
        <v>-0.15463917525773196</v>
      </c>
      <c r="CA827" s="7">
        <v>42687</v>
      </c>
      <c r="CE827">
        <v>35</v>
      </c>
      <c r="CF827">
        <v>26</v>
      </c>
      <c r="CG827">
        <v>13</v>
      </c>
      <c r="CH827">
        <v>8</v>
      </c>
      <c r="CI827">
        <f t="shared" si="86"/>
        <v>2016</v>
      </c>
      <c r="CJ827" t="str">
        <f t="shared" si="87"/>
        <v>5997_2016</v>
      </c>
    </row>
    <row r="828" spans="1:88" x14ac:dyDescent="0.25">
      <c r="A828" t="s">
        <v>111</v>
      </c>
      <c r="B828" t="s">
        <v>301</v>
      </c>
      <c r="C828">
        <v>5997</v>
      </c>
      <c r="D828">
        <v>-38.158721999999997</v>
      </c>
      <c r="E828">
        <v>145.152255</v>
      </c>
      <c r="F828">
        <v>3</v>
      </c>
      <c r="G828" t="s">
        <v>340</v>
      </c>
      <c r="H828">
        <v>11</v>
      </c>
      <c r="I828">
        <v>191</v>
      </c>
      <c r="J828">
        <v>131</v>
      </c>
      <c r="K828">
        <v>311</v>
      </c>
      <c r="L828">
        <v>311</v>
      </c>
      <c r="M828">
        <v>131</v>
      </c>
      <c r="T828">
        <v>3</v>
      </c>
      <c r="U828">
        <v>4</v>
      </c>
      <c r="Y828">
        <v>8</v>
      </c>
      <c r="Z828">
        <v>52</v>
      </c>
      <c r="AD828">
        <v>3</v>
      </c>
      <c r="AE828">
        <v>53</v>
      </c>
      <c r="AX828">
        <v>7</v>
      </c>
      <c r="AY828">
        <v>11</v>
      </c>
      <c r="AZ828">
        <v>18</v>
      </c>
      <c r="BA828">
        <v>60</v>
      </c>
      <c r="BB828">
        <v>56</v>
      </c>
      <c r="BC828">
        <v>116</v>
      </c>
      <c r="BD828">
        <v>56</v>
      </c>
      <c r="BE828">
        <v>56</v>
      </c>
      <c r="BF828">
        <v>112</v>
      </c>
      <c r="BP828">
        <v>68</v>
      </c>
      <c r="BR828">
        <v>33</v>
      </c>
      <c r="BS828">
        <v>8</v>
      </c>
      <c r="BT828">
        <v>11</v>
      </c>
      <c r="BV828">
        <v>3</v>
      </c>
      <c r="BW828">
        <v>123</v>
      </c>
      <c r="BX828">
        <f t="shared" si="90"/>
        <v>82</v>
      </c>
      <c r="BY828" s="5">
        <f t="shared" si="89"/>
        <v>0.5</v>
      </c>
      <c r="BZ828" s="6">
        <f t="shared" si="88"/>
        <v>0.5</v>
      </c>
      <c r="CA828" s="7">
        <v>43051</v>
      </c>
      <c r="CE828">
        <v>15</v>
      </c>
      <c r="CF828">
        <v>37</v>
      </c>
      <c r="CG828">
        <v>41</v>
      </c>
      <c r="CH828">
        <v>30</v>
      </c>
      <c r="CI828">
        <f t="shared" si="86"/>
        <v>2017</v>
      </c>
      <c r="CJ828" t="str">
        <f t="shared" si="87"/>
        <v>5997_2017</v>
      </c>
    </row>
    <row r="829" spans="1:88" x14ac:dyDescent="0.25">
      <c r="A829" t="s">
        <v>111</v>
      </c>
      <c r="B829" t="s">
        <v>301</v>
      </c>
      <c r="C829">
        <v>5997</v>
      </c>
      <c r="D829">
        <v>-38.158721999999997</v>
      </c>
      <c r="E829">
        <v>145.152255</v>
      </c>
      <c r="F829">
        <v>3</v>
      </c>
      <c r="G829" t="s">
        <v>340</v>
      </c>
      <c r="H829">
        <v>11</v>
      </c>
      <c r="I829">
        <v>191</v>
      </c>
      <c r="J829">
        <v>131</v>
      </c>
      <c r="K829">
        <v>311</v>
      </c>
      <c r="L829">
        <v>311</v>
      </c>
      <c r="M829">
        <v>131</v>
      </c>
      <c r="T829">
        <v>3</v>
      </c>
      <c r="U829">
        <v>12</v>
      </c>
      <c r="Y829">
        <v>3</v>
      </c>
      <c r="Z829">
        <v>35</v>
      </c>
      <c r="AD829">
        <v>14</v>
      </c>
      <c r="AE829">
        <v>24</v>
      </c>
      <c r="AX829">
        <v>15</v>
      </c>
      <c r="AY829">
        <v>17</v>
      </c>
      <c r="AZ829">
        <v>32</v>
      </c>
      <c r="BA829">
        <v>38</v>
      </c>
      <c r="BB829">
        <v>27</v>
      </c>
      <c r="BC829">
        <v>65</v>
      </c>
      <c r="BD829">
        <v>38</v>
      </c>
      <c r="BE829">
        <v>47</v>
      </c>
      <c r="BF829">
        <v>85</v>
      </c>
      <c r="BP829">
        <v>50</v>
      </c>
      <c r="BR829">
        <v>23</v>
      </c>
      <c r="BS829">
        <v>5</v>
      </c>
      <c r="BT829">
        <v>8</v>
      </c>
      <c r="BV829">
        <v>5</v>
      </c>
      <c r="BW829">
        <v>91</v>
      </c>
      <c r="BX829">
        <f t="shared" si="90"/>
        <v>123</v>
      </c>
      <c r="BY829" s="5">
        <f t="shared" si="89"/>
        <v>-0.26016260162601629</v>
      </c>
      <c r="BZ829" s="6">
        <f t="shared" si="88"/>
        <v>-0.26016260162601629</v>
      </c>
      <c r="CA829" s="7">
        <v>43415</v>
      </c>
      <c r="CE829">
        <v>20</v>
      </c>
      <c r="CF829">
        <v>27</v>
      </c>
      <c r="CG829">
        <v>21</v>
      </c>
      <c r="CH829">
        <v>23</v>
      </c>
      <c r="CI829">
        <f t="shared" si="86"/>
        <v>2018</v>
      </c>
      <c r="CJ829" t="str">
        <f t="shared" si="87"/>
        <v>5997_2018</v>
      </c>
    </row>
    <row r="830" spans="1:88" x14ac:dyDescent="0.25">
      <c r="A830" t="s">
        <v>111</v>
      </c>
      <c r="B830" t="s">
        <v>301</v>
      </c>
      <c r="C830">
        <v>5997</v>
      </c>
      <c r="D830">
        <v>-38.158700000000003</v>
      </c>
      <c r="E830">
        <v>145.1523</v>
      </c>
      <c r="F830">
        <v>3</v>
      </c>
      <c r="G830" t="s">
        <v>340</v>
      </c>
      <c r="H830">
        <v>11</v>
      </c>
      <c r="I830">
        <v>191</v>
      </c>
      <c r="J830">
        <v>131</v>
      </c>
      <c r="K830">
        <v>311</v>
      </c>
      <c r="L830">
        <v>311</v>
      </c>
      <c r="M830">
        <v>131</v>
      </c>
      <c r="T830">
        <v>2</v>
      </c>
      <c r="U830">
        <v>4</v>
      </c>
      <c r="Y830">
        <v>4</v>
      </c>
      <c r="Z830">
        <v>21</v>
      </c>
      <c r="AD830">
        <v>3</v>
      </c>
      <c r="AE830">
        <v>6</v>
      </c>
      <c r="AX830">
        <v>6</v>
      </c>
      <c r="AY830">
        <v>7</v>
      </c>
      <c r="AZ830">
        <v>13</v>
      </c>
      <c r="BA830">
        <v>25</v>
      </c>
      <c r="BB830">
        <v>8</v>
      </c>
      <c r="BC830">
        <v>33</v>
      </c>
      <c r="BD830">
        <v>9</v>
      </c>
      <c r="BE830">
        <v>25</v>
      </c>
      <c r="BF830">
        <v>34</v>
      </c>
      <c r="BP830">
        <v>14</v>
      </c>
      <c r="BR830">
        <v>14</v>
      </c>
      <c r="BS830">
        <v>6</v>
      </c>
      <c r="BT830">
        <v>6</v>
      </c>
      <c r="BV830">
        <v>0</v>
      </c>
      <c r="BW830">
        <v>40</v>
      </c>
      <c r="BX830">
        <f t="shared" si="90"/>
        <v>91</v>
      </c>
      <c r="BY830" s="5">
        <f t="shared" si="89"/>
        <v>-0.56043956043956045</v>
      </c>
      <c r="BZ830" s="6">
        <f t="shared" si="88"/>
        <v>-0.56043956043956045</v>
      </c>
      <c r="CA830" s="7">
        <v>43779</v>
      </c>
      <c r="CE830">
        <v>11</v>
      </c>
      <c r="CF830">
        <v>6</v>
      </c>
      <c r="CG830">
        <v>10</v>
      </c>
      <c r="CH830">
        <v>13</v>
      </c>
      <c r="CI830">
        <f t="shared" si="86"/>
        <v>2019</v>
      </c>
      <c r="CJ830" t="str">
        <f t="shared" si="87"/>
        <v>5997_2019</v>
      </c>
    </row>
    <row r="831" spans="1:88" x14ac:dyDescent="0.25">
      <c r="A831" t="s">
        <v>111</v>
      </c>
      <c r="B831" t="s">
        <v>301</v>
      </c>
      <c r="C831">
        <v>5997</v>
      </c>
      <c r="D831">
        <v>-38.158700000000003</v>
      </c>
      <c r="E831">
        <v>145.1523</v>
      </c>
      <c r="F831">
        <v>3</v>
      </c>
      <c r="G831" t="s">
        <v>340</v>
      </c>
      <c r="H831">
        <v>11</v>
      </c>
      <c r="I831">
        <v>191</v>
      </c>
      <c r="J831">
        <v>131</v>
      </c>
      <c r="K831">
        <v>311</v>
      </c>
      <c r="L831">
        <v>311</v>
      </c>
      <c r="M831">
        <v>131</v>
      </c>
      <c r="T831">
        <v>1</v>
      </c>
      <c r="U831">
        <v>9</v>
      </c>
      <c r="Y831">
        <v>6</v>
      </c>
      <c r="Z831">
        <v>58</v>
      </c>
      <c r="AD831">
        <v>2</v>
      </c>
      <c r="AE831">
        <v>65</v>
      </c>
      <c r="AX831">
        <v>10</v>
      </c>
      <c r="AY831">
        <v>8</v>
      </c>
      <c r="AZ831">
        <v>18</v>
      </c>
      <c r="BA831">
        <v>64</v>
      </c>
      <c r="BB831">
        <v>66</v>
      </c>
      <c r="BC831">
        <v>130</v>
      </c>
      <c r="BD831">
        <v>67</v>
      </c>
      <c r="BE831">
        <v>67</v>
      </c>
      <c r="BF831">
        <v>134</v>
      </c>
      <c r="BP831">
        <v>56</v>
      </c>
      <c r="BR831">
        <v>55</v>
      </c>
      <c r="BS831">
        <v>9</v>
      </c>
      <c r="BT831">
        <v>7</v>
      </c>
      <c r="BV831">
        <v>14</v>
      </c>
      <c r="BW831">
        <v>141</v>
      </c>
      <c r="BX831">
        <f t="shared" si="90"/>
        <v>40</v>
      </c>
      <c r="BY831" s="5">
        <f t="shared" si="89"/>
        <v>2.5249999999999999</v>
      </c>
      <c r="BZ831" s="6">
        <f t="shared" si="88"/>
        <v>2.5249999999999999</v>
      </c>
      <c r="CA831" s="7">
        <v>44143</v>
      </c>
      <c r="CE831">
        <v>34</v>
      </c>
      <c r="CF831">
        <v>50</v>
      </c>
      <c r="CG831">
        <v>31</v>
      </c>
      <c r="CH831">
        <v>26</v>
      </c>
      <c r="CI831">
        <f t="shared" si="86"/>
        <v>2020</v>
      </c>
      <c r="CJ831" t="str">
        <f t="shared" si="87"/>
        <v>5997_2020</v>
      </c>
    </row>
    <row r="832" spans="1:88" x14ac:dyDescent="0.25">
      <c r="A832" t="s">
        <v>111</v>
      </c>
      <c r="B832" t="s">
        <v>301</v>
      </c>
      <c r="C832">
        <v>5997</v>
      </c>
      <c r="D832">
        <v>-38.158721999999997</v>
      </c>
      <c r="E832">
        <v>145.152255</v>
      </c>
      <c r="F832">
        <v>3</v>
      </c>
      <c r="G832" t="s">
        <v>340</v>
      </c>
      <c r="H832">
        <v>11</v>
      </c>
      <c r="I832">
        <v>191</v>
      </c>
      <c r="J832">
        <v>131</v>
      </c>
      <c r="K832">
        <v>311</v>
      </c>
      <c r="L832">
        <v>311</v>
      </c>
      <c r="M832">
        <v>131</v>
      </c>
      <c r="T832">
        <v>7</v>
      </c>
      <c r="U832">
        <v>1</v>
      </c>
      <c r="Y832">
        <v>2</v>
      </c>
      <c r="Z832">
        <v>25</v>
      </c>
      <c r="AD832">
        <v>8</v>
      </c>
      <c r="AE832">
        <v>37</v>
      </c>
      <c r="AX832">
        <v>8</v>
      </c>
      <c r="AY832">
        <v>10</v>
      </c>
      <c r="AZ832">
        <v>18</v>
      </c>
      <c r="BA832">
        <v>27</v>
      </c>
      <c r="BB832">
        <v>44</v>
      </c>
      <c r="BC832">
        <v>71</v>
      </c>
      <c r="BD832">
        <v>45</v>
      </c>
      <c r="BE832">
        <v>26</v>
      </c>
      <c r="BF832">
        <v>71</v>
      </c>
      <c r="BP832">
        <v>39</v>
      </c>
      <c r="BR832">
        <v>25</v>
      </c>
      <c r="BS832">
        <v>4</v>
      </c>
      <c r="BT832">
        <v>12</v>
      </c>
      <c r="BV832">
        <v>0</v>
      </c>
      <c r="BW832">
        <v>80</v>
      </c>
      <c r="BX832">
        <f t="shared" si="90"/>
        <v>141</v>
      </c>
      <c r="BY832" s="5">
        <f t="shared" si="89"/>
        <v>-0.43262411347517732</v>
      </c>
      <c r="BZ832" s="6">
        <f t="shared" si="88"/>
        <v>-0.43262411347517732</v>
      </c>
      <c r="CA832" s="7">
        <v>44528</v>
      </c>
      <c r="CE832">
        <v>26</v>
      </c>
      <c r="CF832">
        <v>22</v>
      </c>
      <c r="CG832">
        <v>32</v>
      </c>
      <c r="CI832">
        <f t="shared" si="86"/>
        <v>2021</v>
      </c>
      <c r="CJ832" t="str">
        <f t="shared" si="87"/>
        <v>5997_2021</v>
      </c>
    </row>
    <row r="833" spans="1:88" x14ac:dyDescent="0.25">
      <c r="A833" t="s">
        <v>111</v>
      </c>
      <c r="B833" t="s">
        <v>301</v>
      </c>
      <c r="C833">
        <v>5998</v>
      </c>
      <c r="D833">
        <v>-38.102200000000003</v>
      </c>
      <c r="E833">
        <v>145.13939999999999</v>
      </c>
      <c r="F833">
        <v>3</v>
      </c>
      <c r="G833" t="s">
        <v>341</v>
      </c>
      <c r="H833">
        <v>16</v>
      </c>
      <c r="I833">
        <v>196</v>
      </c>
      <c r="J833">
        <v>76</v>
      </c>
      <c r="K833">
        <v>256</v>
      </c>
      <c r="L833">
        <v>202</v>
      </c>
      <c r="M833">
        <v>22</v>
      </c>
      <c r="T833">
        <v>4</v>
      </c>
      <c r="U833">
        <v>47</v>
      </c>
      <c r="Y833">
        <v>2</v>
      </c>
      <c r="Z833">
        <v>0</v>
      </c>
      <c r="AD833">
        <v>55</v>
      </c>
      <c r="AE833">
        <v>0</v>
      </c>
      <c r="AX833">
        <v>51</v>
      </c>
      <c r="AY833">
        <v>57</v>
      </c>
      <c r="AZ833">
        <v>108</v>
      </c>
      <c r="BA833">
        <v>2</v>
      </c>
      <c r="BB833">
        <v>4</v>
      </c>
      <c r="BC833">
        <v>6</v>
      </c>
      <c r="BD833">
        <v>55</v>
      </c>
      <c r="BE833">
        <v>47</v>
      </c>
      <c r="BF833">
        <v>102</v>
      </c>
      <c r="BP833">
        <v>62</v>
      </c>
      <c r="BR833">
        <v>34</v>
      </c>
      <c r="BS833">
        <v>0</v>
      </c>
      <c r="BT833">
        <v>8</v>
      </c>
      <c r="BV833">
        <v>4</v>
      </c>
      <c r="BW833">
        <v>108</v>
      </c>
      <c r="BX833" t="s">
        <v>82</v>
      </c>
      <c r="BY833" s="5"/>
      <c r="BZ833" s="6"/>
      <c r="CA833" s="7">
        <v>41224</v>
      </c>
      <c r="CI833">
        <f t="shared" si="86"/>
        <v>2012</v>
      </c>
      <c r="CJ833" t="str">
        <f t="shared" si="87"/>
        <v>5998_2012</v>
      </c>
    </row>
    <row r="834" spans="1:88" x14ac:dyDescent="0.25">
      <c r="A834" t="s">
        <v>111</v>
      </c>
      <c r="B834" t="s">
        <v>301</v>
      </c>
      <c r="C834">
        <v>5998</v>
      </c>
      <c r="D834">
        <v>-38.102200000000003</v>
      </c>
      <c r="E834">
        <v>145.13939999999999</v>
      </c>
      <c r="F834">
        <v>3</v>
      </c>
      <c r="G834" t="s">
        <v>341</v>
      </c>
      <c r="H834">
        <v>16</v>
      </c>
      <c r="I834">
        <v>196</v>
      </c>
      <c r="J834">
        <v>76</v>
      </c>
      <c r="K834">
        <v>256</v>
      </c>
      <c r="L834">
        <v>202</v>
      </c>
      <c r="M834">
        <v>22</v>
      </c>
      <c r="T834">
        <v>22</v>
      </c>
      <c r="U834">
        <v>31</v>
      </c>
      <c r="Y834">
        <v>22</v>
      </c>
      <c r="Z834">
        <v>24</v>
      </c>
      <c r="AD834">
        <v>30</v>
      </c>
      <c r="AE834">
        <v>11</v>
      </c>
      <c r="AX834">
        <v>53</v>
      </c>
      <c r="AY834">
        <v>52</v>
      </c>
      <c r="AZ834">
        <v>105</v>
      </c>
      <c r="BA834">
        <v>46</v>
      </c>
      <c r="BB834">
        <v>33</v>
      </c>
      <c r="BC834">
        <v>79</v>
      </c>
      <c r="BD834">
        <v>41</v>
      </c>
      <c r="BE834">
        <v>55</v>
      </c>
      <c r="BF834">
        <v>96</v>
      </c>
      <c r="BP834">
        <v>80</v>
      </c>
      <c r="BR834">
        <v>27</v>
      </c>
      <c r="BS834">
        <v>10</v>
      </c>
      <c r="BT834">
        <v>18</v>
      </c>
      <c r="BV834">
        <v>5</v>
      </c>
      <c r="BW834">
        <v>140</v>
      </c>
      <c r="BX834">
        <f t="shared" ref="BX834:BX842" si="91">IF(C834=C833,IF((CI834-1)=CI833,BW833,"no data"))</f>
        <v>108</v>
      </c>
      <c r="BY834" s="5">
        <f t="shared" si="89"/>
        <v>0.29629629629629628</v>
      </c>
      <c r="BZ834" s="6">
        <f t="shared" si="88"/>
        <v>0.29629629629629628</v>
      </c>
      <c r="CA834" s="7">
        <v>41588</v>
      </c>
      <c r="CI834">
        <f t="shared" si="86"/>
        <v>2013</v>
      </c>
      <c r="CJ834" t="str">
        <f t="shared" si="87"/>
        <v>5998_2013</v>
      </c>
    </row>
    <row r="835" spans="1:88" x14ac:dyDescent="0.25">
      <c r="A835" t="s">
        <v>111</v>
      </c>
      <c r="B835" t="s">
        <v>301</v>
      </c>
      <c r="C835">
        <v>5998</v>
      </c>
      <c r="D835">
        <v>-38.102200000000003</v>
      </c>
      <c r="E835">
        <v>145.13939999999999</v>
      </c>
      <c r="F835">
        <v>3</v>
      </c>
      <c r="G835" t="s">
        <v>341</v>
      </c>
      <c r="H835">
        <v>16</v>
      </c>
      <c r="I835">
        <v>196</v>
      </c>
      <c r="J835">
        <v>76</v>
      </c>
      <c r="K835">
        <v>256</v>
      </c>
      <c r="L835">
        <v>202</v>
      </c>
      <c r="M835">
        <v>22</v>
      </c>
      <c r="T835">
        <v>39</v>
      </c>
      <c r="U835">
        <v>45</v>
      </c>
      <c r="Y835">
        <v>22</v>
      </c>
      <c r="Z835">
        <v>25</v>
      </c>
      <c r="AD835">
        <v>54</v>
      </c>
      <c r="AE835">
        <v>8</v>
      </c>
      <c r="AX835">
        <v>84</v>
      </c>
      <c r="AY835">
        <v>76</v>
      </c>
      <c r="AZ835">
        <v>160</v>
      </c>
      <c r="BA835">
        <v>47</v>
      </c>
      <c r="BB835">
        <v>47</v>
      </c>
      <c r="BC835">
        <v>94</v>
      </c>
      <c r="BD835">
        <v>62</v>
      </c>
      <c r="BE835">
        <v>70</v>
      </c>
      <c r="BF835">
        <v>132</v>
      </c>
      <c r="BP835">
        <v>117</v>
      </c>
      <c r="BR835">
        <v>30</v>
      </c>
      <c r="BS835">
        <v>29</v>
      </c>
      <c r="BT835">
        <v>10</v>
      </c>
      <c r="BV835">
        <v>7</v>
      </c>
      <c r="BW835">
        <v>193</v>
      </c>
      <c r="BX835">
        <f t="shared" si="91"/>
        <v>140</v>
      </c>
      <c r="BY835" s="5">
        <f t="shared" si="89"/>
        <v>0.37857142857142856</v>
      </c>
      <c r="BZ835" s="6">
        <f t="shared" si="88"/>
        <v>0.37857142857142856</v>
      </c>
      <c r="CA835" s="7">
        <v>41952</v>
      </c>
      <c r="CI835">
        <f t="shared" ref="CI835:CI898" si="92">YEAR(CA835)</f>
        <v>2014</v>
      </c>
      <c r="CJ835" t="str">
        <f t="shared" ref="CJ835:CJ898" si="93">_xlfn.CONCAT(C835,"_",CI835)</f>
        <v>5998_2014</v>
      </c>
    </row>
    <row r="836" spans="1:88" x14ac:dyDescent="0.25">
      <c r="A836" t="s">
        <v>111</v>
      </c>
      <c r="B836" t="s">
        <v>301</v>
      </c>
      <c r="C836">
        <v>5998</v>
      </c>
      <c r="D836">
        <v>-38.102200000000003</v>
      </c>
      <c r="E836">
        <v>145.13939999999999</v>
      </c>
      <c r="F836">
        <v>3</v>
      </c>
      <c r="G836" t="s">
        <v>341</v>
      </c>
      <c r="H836">
        <v>16</v>
      </c>
      <c r="I836">
        <v>196</v>
      </c>
      <c r="J836">
        <v>76</v>
      </c>
      <c r="K836">
        <v>256</v>
      </c>
      <c r="L836">
        <v>202</v>
      </c>
      <c r="M836">
        <v>22</v>
      </c>
      <c r="T836">
        <v>8</v>
      </c>
      <c r="U836">
        <v>74</v>
      </c>
      <c r="Y836">
        <v>6</v>
      </c>
      <c r="Z836">
        <v>45</v>
      </c>
      <c r="AD836">
        <v>105</v>
      </c>
      <c r="AE836">
        <v>26</v>
      </c>
      <c r="AX836">
        <v>82</v>
      </c>
      <c r="AY836">
        <v>111</v>
      </c>
      <c r="AZ836">
        <v>193</v>
      </c>
      <c r="BA836">
        <v>51</v>
      </c>
      <c r="BB836">
        <v>34</v>
      </c>
      <c r="BC836">
        <v>85</v>
      </c>
      <c r="BD836">
        <v>131</v>
      </c>
      <c r="BE836">
        <v>119</v>
      </c>
      <c r="BF836">
        <v>250</v>
      </c>
      <c r="BP836">
        <v>134</v>
      </c>
      <c r="BR836">
        <v>65</v>
      </c>
      <c r="BS836">
        <v>13</v>
      </c>
      <c r="BT836">
        <v>33</v>
      </c>
      <c r="BV836">
        <v>19</v>
      </c>
      <c r="BW836">
        <v>264</v>
      </c>
      <c r="BX836">
        <f t="shared" si="91"/>
        <v>193</v>
      </c>
      <c r="BY836" s="5">
        <f t="shared" si="89"/>
        <v>0.36787564766839376</v>
      </c>
      <c r="BZ836" s="6">
        <f t="shared" si="88"/>
        <v>0.36787564766839376</v>
      </c>
      <c r="CA836" s="7">
        <v>42316</v>
      </c>
      <c r="CE836">
        <v>76</v>
      </c>
      <c r="CF836">
        <v>82</v>
      </c>
      <c r="CG836">
        <v>64</v>
      </c>
      <c r="CH836">
        <v>42</v>
      </c>
      <c r="CI836">
        <f t="shared" si="92"/>
        <v>2015</v>
      </c>
      <c r="CJ836" t="str">
        <f t="shared" si="93"/>
        <v>5998_2015</v>
      </c>
    </row>
    <row r="837" spans="1:88" x14ac:dyDescent="0.25">
      <c r="A837" t="s">
        <v>111</v>
      </c>
      <c r="B837" t="s">
        <v>301</v>
      </c>
      <c r="C837">
        <v>5998</v>
      </c>
      <c r="D837">
        <v>-38.102215999999999</v>
      </c>
      <c r="E837">
        <v>145.13937899999999</v>
      </c>
      <c r="F837">
        <v>3</v>
      </c>
      <c r="G837" t="s">
        <v>341</v>
      </c>
      <c r="H837">
        <v>16</v>
      </c>
      <c r="I837">
        <v>196</v>
      </c>
      <c r="J837">
        <v>76</v>
      </c>
      <c r="K837">
        <v>256</v>
      </c>
      <c r="L837">
        <v>202</v>
      </c>
      <c r="M837">
        <v>22</v>
      </c>
      <c r="T837">
        <v>15</v>
      </c>
      <c r="U837">
        <v>50</v>
      </c>
      <c r="Y837">
        <v>10</v>
      </c>
      <c r="Z837">
        <v>20</v>
      </c>
      <c r="AD837">
        <v>70</v>
      </c>
      <c r="AE837">
        <v>19</v>
      </c>
      <c r="AX837">
        <v>65</v>
      </c>
      <c r="AY837">
        <v>80</v>
      </c>
      <c r="AZ837">
        <v>145</v>
      </c>
      <c r="BA837">
        <v>30</v>
      </c>
      <c r="BB837">
        <v>34</v>
      </c>
      <c r="BC837">
        <v>64</v>
      </c>
      <c r="BD837">
        <v>89</v>
      </c>
      <c r="BE837">
        <v>70</v>
      </c>
      <c r="BF837">
        <v>159</v>
      </c>
      <c r="BP837">
        <v>29</v>
      </c>
      <c r="BR837">
        <v>27</v>
      </c>
      <c r="BS837">
        <v>5</v>
      </c>
      <c r="BT837">
        <v>16</v>
      </c>
      <c r="BV837">
        <v>107</v>
      </c>
      <c r="BW837">
        <v>184</v>
      </c>
      <c r="BX837">
        <f t="shared" si="91"/>
        <v>264</v>
      </c>
      <c r="BY837" s="5">
        <f t="shared" si="89"/>
        <v>-0.30303030303030304</v>
      </c>
      <c r="BZ837" s="6">
        <f t="shared" si="88"/>
        <v>-0.30303030303030304</v>
      </c>
      <c r="CA837" s="7">
        <v>42687</v>
      </c>
      <c r="CE837">
        <v>8</v>
      </c>
      <c r="CF837">
        <v>12</v>
      </c>
      <c r="CG837">
        <v>79</v>
      </c>
      <c r="CH837">
        <v>85</v>
      </c>
      <c r="CI837">
        <f t="shared" si="92"/>
        <v>2016</v>
      </c>
      <c r="CJ837" t="str">
        <f t="shared" si="93"/>
        <v>5998_2016</v>
      </c>
    </row>
    <row r="838" spans="1:88" x14ac:dyDescent="0.25">
      <c r="A838" t="s">
        <v>111</v>
      </c>
      <c r="B838" t="s">
        <v>301</v>
      </c>
      <c r="C838">
        <v>5998</v>
      </c>
      <c r="D838">
        <v>-38.102215999999999</v>
      </c>
      <c r="E838">
        <v>145.13937899999999</v>
      </c>
      <c r="F838">
        <v>3</v>
      </c>
      <c r="G838" t="s">
        <v>341</v>
      </c>
      <c r="H838">
        <v>16</v>
      </c>
      <c r="I838">
        <v>196</v>
      </c>
      <c r="J838">
        <v>76</v>
      </c>
      <c r="K838">
        <v>256</v>
      </c>
      <c r="L838">
        <v>202</v>
      </c>
      <c r="M838">
        <v>22</v>
      </c>
      <c r="T838">
        <v>70</v>
      </c>
      <c r="U838">
        <v>53</v>
      </c>
      <c r="Y838">
        <v>47</v>
      </c>
      <c r="Z838">
        <v>42</v>
      </c>
      <c r="AD838">
        <v>60</v>
      </c>
      <c r="AE838">
        <v>34</v>
      </c>
      <c r="AX838">
        <v>123</v>
      </c>
      <c r="AY838">
        <v>107</v>
      </c>
      <c r="AZ838">
        <v>230</v>
      </c>
      <c r="BA838">
        <v>89</v>
      </c>
      <c r="BB838">
        <v>104</v>
      </c>
      <c r="BC838">
        <v>193</v>
      </c>
      <c r="BD838">
        <v>94</v>
      </c>
      <c r="BE838">
        <v>95</v>
      </c>
      <c r="BF838">
        <v>189</v>
      </c>
      <c r="BP838">
        <v>220</v>
      </c>
      <c r="BR838">
        <v>56</v>
      </c>
      <c r="BS838">
        <v>12</v>
      </c>
      <c r="BT838">
        <v>13</v>
      </c>
      <c r="BV838">
        <v>5</v>
      </c>
      <c r="BW838">
        <v>306</v>
      </c>
      <c r="BX838">
        <f t="shared" si="91"/>
        <v>184</v>
      </c>
      <c r="BY838" s="5">
        <f t="shared" si="89"/>
        <v>0.66304347826086951</v>
      </c>
      <c r="BZ838" s="6">
        <f t="shared" ref="BZ838:BZ901" si="94">BY838</f>
        <v>0.66304347826086951</v>
      </c>
      <c r="CA838" s="7">
        <v>43051</v>
      </c>
      <c r="CE838">
        <v>96</v>
      </c>
      <c r="CF838">
        <v>70</v>
      </c>
      <c r="CG838">
        <v>77</v>
      </c>
      <c r="CH838">
        <v>63</v>
      </c>
      <c r="CI838">
        <f t="shared" si="92"/>
        <v>2017</v>
      </c>
      <c r="CJ838" t="str">
        <f t="shared" si="93"/>
        <v>5998_2017</v>
      </c>
    </row>
    <row r="839" spans="1:88" x14ac:dyDescent="0.25">
      <c r="A839" t="s">
        <v>111</v>
      </c>
      <c r="B839" t="s">
        <v>301</v>
      </c>
      <c r="C839">
        <v>5998</v>
      </c>
      <c r="D839">
        <v>-38.102215999999999</v>
      </c>
      <c r="E839">
        <v>145.13937899999999</v>
      </c>
      <c r="F839">
        <v>3</v>
      </c>
      <c r="G839" t="s">
        <v>341</v>
      </c>
      <c r="H839">
        <v>16</v>
      </c>
      <c r="I839">
        <v>196</v>
      </c>
      <c r="J839">
        <v>76</v>
      </c>
      <c r="K839">
        <v>256</v>
      </c>
      <c r="L839">
        <v>202</v>
      </c>
      <c r="M839">
        <v>22</v>
      </c>
      <c r="T839">
        <v>37</v>
      </c>
      <c r="U839">
        <v>75</v>
      </c>
      <c r="Y839">
        <v>40</v>
      </c>
      <c r="Z839">
        <v>14</v>
      </c>
      <c r="AD839">
        <v>60</v>
      </c>
      <c r="AE839">
        <v>14</v>
      </c>
      <c r="AX839">
        <v>112</v>
      </c>
      <c r="AY839">
        <v>100</v>
      </c>
      <c r="AZ839">
        <v>212</v>
      </c>
      <c r="BA839">
        <v>54</v>
      </c>
      <c r="BB839">
        <v>51</v>
      </c>
      <c r="BC839">
        <v>105</v>
      </c>
      <c r="BD839">
        <v>74</v>
      </c>
      <c r="BE839">
        <v>89</v>
      </c>
      <c r="BF839">
        <v>163</v>
      </c>
      <c r="BP839">
        <v>145</v>
      </c>
      <c r="BR839">
        <v>56</v>
      </c>
      <c r="BS839">
        <v>11</v>
      </c>
      <c r="BT839">
        <v>24</v>
      </c>
      <c r="BV839">
        <v>4</v>
      </c>
      <c r="BW839">
        <v>240</v>
      </c>
      <c r="BX839">
        <f t="shared" si="91"/>
        <v>306</v>
      </c>
      <c r="BY839" s="5">
        <f t="shared" si="89"/>
        <v>-0.21568627450980393</v>
      </c>
      <c r="BZ839" s="6">
        <f t="shared" si="94"/>
        <v>-0.21568627450980393</v>
      </c>
      <c r="CA839" s="7">
        <v>43415</v>
      </c>
      <c r="CE839">
        <v>62</v>
      </c>
      <c r="CF839">
        <v>51</v>
      </c>
      <c r="CG839">
        <v>76</v>
      </c>
      <c r="CH839">
        <v>51</v>
      </c>
      <c r="CI839">
        <f t="shared" si="92"/>
        <v>2018</v>
      </c>
      <c r="CJ839" t="str">
        <f t="shared" si="93"/>
        <v>5998_2018</v>
      </c>
    </row>
    <row r="840" spans="1:88" x14ac:dyDescent="0.25">
      <c r="A840" t="s">
        <v>111</v>
      </c>
      <c r="B840" t="s">
        <v>301</v>
      </c>
      <c r="C840">
        <v>5998</v>
      </c>
      <c r="D840">
        <v>-38.102200000000003</v>
      </c>
      <c r="E840">
        <v>145.13939999999999</v>
      </c>
      <c r="F840">
        <v>3</v>
      </c>
      <c r="G840" t="s">
        <v>341</v>
      </c>
      <c r="H840">
        <v>16</v>
      </c>
      <c r="I840">
        <v>196</v>
      </c>
      <c r="J840">
        <v>76</v>
      </c>
      <c r="K840">
        <v>256</v>
      </c>
      <c r="L840">
        <v>202</v>
      </c>
      <c r="M840">
        <v>22</v>
      </c>
      <c r="T840">
        <v>9</v>
      </c>
      <c r="U840">
        <v>27</v>
      </c>
      <c r="Y840">
        <v>3</v>
      </c>
      <c r="Z840">
        <v>8</v>
      </c>
      <c r="AD840">
        <v>17</v>
      </c>
      <c r="AE840">
        <v>5</v>
      </c>
      <c r="AX840">
        <v>36</v>
      </c>
      <c r="AY840">
        <v>20</v>
      </c>
      <c r="AZ840">
        <v>56</v>
      </c>
      <c r="BA840">
        <v>11</v>
      </c>
      <c r="BB840">
        <v>14</v>
      </c>
      <c r="BC840">
        <v>25</v>
      </c>
      <c r="BD840">
        <v>22</v>
      </c>
      <c r="BE840">
        <v>35</v>
      </c>
      <c r="BF840">
        <v>57</v>
      </c>
      <c r="BP840">
        <v>34</v>
      </c>
      <c r="BR840">
        <v>17</v>
      </c>
      <c r="BS840">
        <v>9</v>
      </c>
      <c r="BT840">
        <v>7</v>
      </c>
      <c r="BV840">
        <v>2</v>
      </c>
      <c r="BW840">
        <v>69</v>
      </c>
      <c r="BX840">
        <f t="shared" si="91"/>
        <v>240</v>
      </c>
      <c r="BY840" s="5">
        <f t="shared" si="89"/>
        <v>-0.71250000000000002</v>
      </c>
      <c r="BZ840" s="6">
        <f t="shared" si="94"/>
        <v>-0.71250000000000002</v>
      </c>
      <c r="CA840" s="7">
        <v>43779</v>
      </c>
      <c r="CE840">
        <v>12</v>
      </c>
      <c r="CF840">
        <v>17</v>
      </c>
      <c r="CG840">
        <v>30</v>
      </c>
      <c r="CH840">
        <v>10</v>
      </c>
      <c r="CI840">
        <f t="shared" si="92"/>
        <v>2019</v>
      </c>
      <c r="CJ840" t="str">
        <f t="shared" si="93"/>
        <v>5998_2019</v>
      </c>
    </row>
    <row r="841" spans="1:88" x14ac:dyDescent="0.25">
      <c r="A841" t="s">
        <v>111</v>
      </c>
      <c r="B841" t="s">
        <v>301</v>
      </c>
      <c r="C841">
        <v>5998</v>
      </c>
      <c r="D841">
        <v>-38.102200000000003</v>
      </c>
      <c r="E841">
        <v>145.13939999999999</v>
      </c>
      <c r="F841">
        <v>3</v>
      </c>
      <c r="G841" t="s">
        <v>341</v>
      </c>
      <c r="H841">
        <v>16</v>
      </c>
      <c r="I841">
        <v>196</v>
      </c>
      <c r="J841">
        <v>76</v>
      </c>
      <c r="K841">
        <v>256</v>
      </c>
      <c r="L841">
        <v>202</v>
      </c>
      <c r="M841">
        <v>22</v>
      </c>
      <c r="T841">
        <v>57</v>
      </c>
      <c r="U841">
        <v>139</v>
      </c>
      <c r="Y841">
        <v>70</v>
      </c>
      <c r="Z841">
        <v>89</v>
      </c>
      <c r="AD841">
        <v>126</v>
      </c>
      <c r="AE841">
        <v>57</v>
      </c>
      <c r="AX841">
        <v>196</v>
      </c>
      <c r="AY841">
        <v>196</v>
      </c>
      <c r="AZ841">
        <v>392</v>
      </c>
      <c r="BA841">
        <v>159</v>
      </c>
      <c r="BB841">
        <v>114</v>
      </c>
      <c r="BC841">
        <v>273</v>
      </c>
      <c r="BD841">
        <v>183</v>
      </c>
      <c r="BE841">
        <v>228</v>
      </c>
      <c r="BF841">
        <v>411</v>
      </c>
      <c r="BP841">
        <v>316</v>
      </c>
      <c r="BR841">
        <v>122</v>
      </c>
      <c r="BS841">
        <v>35</v>
      </c>
      <c r="BT841">
        <v>32</v>
      </c>
      <c r="BV841">
        <v>33</v>
      </c>
      <c r="BW841">
        <v>538</v>
      </c>
      <c r="BX841">
        <f t="shared" si="91"/>
        <v>69</v>
      </c>
      <c r="BY841" s="5">
        <f t="shared" si="89"/>
        <v>6.7971014492753623</v>
      </c>
      <c r="BZ841" s="6">
        <f t="shared" si="94"/>
        <v>6.7971014492753623</v>
      </c>
      <c r="CA841" s="7">
        <v>44143</v>
      </c>
      <c r="CE841">
        <v>109</v>
      </c>
      <c r="CF841">
        <v>128</v>
      </c>
      <c r="CG841">
        <v>174</v>
      </c>
      <c r="CH841">
        <v>127</v>
      </c>
      <c r="CI841">
        <f t="shared" si="92"/>
        <v>2020</v>
      </c>
      <c r="CJ841" t="str">
        <f t="shared" si="93"/>
        <v>5998_2020</v>
      </c>
    </row>
    <row r="842" spans="1:88" x14ac:dyDescent="0.25">
      <c r="A842" t="s">
        <v>111</v>
      </c>
      <c r="B842" t="s">
        <v>301</v>
      </c>
      <c r="C842">
        <v>5998</v>
      </c>
      <c r="D842">
        <v>-38.102215999999999</v>
      </c>
      <c r="E842">
        <v>145.13937899999999</v>
      </c>
      <c r="F842">
        <v>3</v>
      </c>
      <c r="G842" t="s">
        <v>341</v>
      </c>
      <c r="H842">
        <v>16</v>
      </c>
      <c r="I842">
        <v>196</v>
      </c>
      <c r="J842">
        <v>76</v>
      </c>
      <c r="K842">
        <v>256</v>
      </c>
      <c r="L842">
        <v>202</v>
      </c>
      <c r="M842">
        <v>22</v>
      </c>
      <c r="T842">
        <v>24</v>
      </c>
      <c r="U842">
        <v>56</v>
      </c>
      <c r="Y842">
        <v>30</v>
      </c>
      <c r="Z842">
        <v>24</v>
      </c>
      <c r="AD842">
        <v>57</v>
      </c>
      <c r="AE842">
        <v>30</v>
      </c>
      <c r="AX842">
        <v>80</v>
      </c>
      <c r="AY842">
        <v>87</v>
      </c>
      <c r="AZ842">
        <v>167</v>
      </c>
      <c r="BA842">
        <v>54</v>
      </c>
      <c r="BB842">
        <v>54</v>
      </c>
      <c r="BC842">
        <v>108</v>
      </c>
      <c r="BD842">
        <v>87</v>
      </c>
      <c r="BE842">
        <v>80</v>
      </c>
      <c r="BF842">
        <v>167</v>
      </c>
      <c r="BP842">
        <v>135</v>
      </c>
      <c r="BR842">
        <v>37</v>
      </c>
      <c r="BS842">
        <v>26</v>
      </c>
      <c r="BT842">
        <v>18</v>
      </c>
      <c r="BV842">
        <v>5</v>
      </c>
      <c r="BW842">
        <v>221</v>
      </c>
      <c r="BX842">
        <f t="shared" si="91"/>
        <v>538</v>
      </c>
      <c r="BY842" s="5">
        <f t="shared" si="89"/>
        <v>-0.58921933085501854</v>
      </c>
      <c r="BZ842" s="6">
        <f t="shared" si="94"/>
        <v>-0.58921933085501854</v>
      </c>
      <c r="CA842" s="7">
        <v>44528</v>
      </c>
      <c r="CE842">
        <v>81</v>
      </c>
      <c r="CF842">
        <v>60</v>
      </c>
      <c r="CG842">
        <v>80</v>
      </c>
      <c r="CI842">
        <f t="shared" si="92"/>
        <v>2021</v>
      </c>
      <c r="CJ842" t="str">
        <f t="shared" si="93"/>
        <v>5998_2021</v>
      </c>
    </row>
    <row r="843" spans="1:88" x14ac:dyDescent="0.25">
      <c r="A843" t="s">
        <v>111</v>
      </c>
      <c r="B843" t="s">
        <v>129</v>
      </c>
      <c r="C843">
        <v>6001</v>
      </c>
      <c r="D843">
        <v>-37.871200000000002</v>
      </c>
      <c r="E843">
        <v>144.8381</v>
      </c>
      <c r="F843">
        <v>3</v>
      </c>
      <c r="G843" t="s">
        <v>342</v>
      </c>
      <c r="H843">
        <v>8</v>
      </c>
      <c r="I843">
        <v>188</v>
      </c>
      <c r="J843">
        <v>96</v>
      </c>
      <c r="K843">
        <v>276</v>
      </c>
      <c r="L843">
        <v>266</v>
      </c>
      <c r="M843">
        <v>86</v>
      </c>
      <c r="T843">
        <v>22</v>
      </c>
      <c r="U843">
        <v>73</v>
      </c>
      <c r="Y843">
        <v>17</v>
      </c>
      <c r="Z843">
        <v>265</v>
      </c>
      <c r="AD843">
        <v>66</v>
      </c>
      <c r="AE843">
        <v>318</v>
      </c>
      <c r="AX843">
        <v>95</v>
      </c>
      <c r="AY843">
        <v>83</v>
      </c>
      <c r="AZ843">
        <v>178</v>
      </c>
      <c r="BA843">
        <v>282</v>
      </c>
      <c r="BB843">
        <v>340</v>
      </c>
      <c r="BC843">
        <v>622</v>
      </c>
      <c r="BD843">
        <v>384</v>
      </c>
      <c r="BE843">
        <v>338</v>
      </c>
      <c r="BF843">
        <v>722</v>
      </c>
      <c r="BP843">
        <v>404</v>
      </c>
      <c r="BR843">
        <v>260</v>
      </c>
      <c r="BS843">
        <v>47</v>
      </c>
      <c r="BT843">
        <v>46</v>
      </c>
      <c r="BV843">
        <v>4</v>
      </c>
      <c r="BW843">
        <v>761</v>
      </c>
      <c r="BX843" t="s">
        <v>82</v>
      </c>
      <c r="BY843" s="5"/>
      <c r="BZ843" s="6"/>
      <c r="CA843" s="7">
        <v>41224</v>
      </c>
      <c r="CI843">
        <f t="shared" si="92"/>
        <v>2012</v>
      </c>
      <c r="CJ843" t="str">
        <f t="shared" si="93"/>
        <v>6001_2012</v>
      </c>
    </row>
    <row r="844" spans="1:88" x14ac:dyDescent="0.25">
      <c r="A844" t="s">
        <v>111</v>
      </c>
      <c r="B844" t="s">
        <v>129</v>
      </c>
      <c r="C844">
        <v>6001</v>
      </c>
      <c r="D844">
        <v>-37.871200000000002</v>
      </c>
      <c r="E844">
        <v>144.8381</v>
      </c>
      <c r="F844">
        <v>3</v>
      </c>
      <c r="G844" t="s">
        <v>342</v>
      </c>
      <c r="H844">
        <v>8</v>
      </c>
      <c r="I844">
        <v>188</v>
      </c>
      <c r="J844">
        <v>96</v>
      </c>
      <c r="K844">
        <v>276</v>
      </c>
      <c r="L844">
        <v>266</v>
      </c>
      <c r="M844">
        <v>86</v>
      </c>
      <c r="T844">
        <v>15</v>
      </c>
      <c r="U844">
        <v>26</v>
      </c>
      <c r="Y844">
        <v>12</v>
      </c>
      <c r="Z844">
        <v>101</v>
      </c>
      <c r="AD844">
        <v>26</v>
      </c>
      <c r="AE844">
        <v>126</v>
      </c>
      <c r="AX844">
        <v>41</v>
      </c>
      <c r="AY844">
        <v>38</v>
      </c>
      <c r="AZ844">
        <v>79</v>
      </c>
      <c r="BA844">
        <v>113</v>
      </c>
      <c r="BB844">
        <v>141</v>
      </c>
      <c r="BC844">
        <v>254</v>
      </c>
      <c r="BD844">
        <v>152</v>
      </c>
      <c r="BE844">
        <v>127</v>
      </c>
      <c r="BF844">
        <v>279</v>
      </c>
      <c r="BP844">
        <v>51</v>
      </c>
      <c r="BR844">
        <v>161</v>
      </c>
      <c r="BS844">
        <v>59</v>
      </c>
      <c r="BT844">
        <v>33</v>
      </c>
      <c r="BV844">
        <v>2</v>
      </c>
      <c r="BW844">
        <v>306</v>
      </c>
      <c r="BX844">
        <f t="shared" ref="BX844:BX852" si="95">IF(C844=C843,IF((CI844-1)=CI843,BW843,"no data"))</f>
        <v>761</v>
      </c>
      <c r="BY844" s="5">
        <f t="shared" si="89"/>
        <v>-0.59789750328515112</v>
      </c>
      <c r="BZ844" s="6">
        <f t="shared" si="94"/>
        <v>-0.59789750328515112</v>
      </c>
      <c r="CA844" s="7">
        <v>41588</v>
      </c>
      <c r="CI844">
        <f t="shared" si="92"/>
        <v>2013</v>
      </c>
      <c r="CJ844" t="str">
        <f t="shared" si="93"/>
        <v>6001_2013</v>
      </c>
    </row>
    <row r="845" spans="1:88" x14ac:dyDescent="0.25">
      <c r="A845" t="s">
        <v>111</v>
      </c>
      <c r="B845" t="s">
        <v>129</v>
      </c>
      <c r="C845">
        <v>6001</v>
      </c>
      <c r="D845">
        <v>-37.871200000000002</v>
      </c>
      <c r="E845">
        <v>144.8381</v>
      </c>
      <c r="F845">
        <v>3</v>
      </c>
      <c r="G845" t="s">
        <v>342</v>
      </c>
      <c r="H845">
        <v>8</v>
      </c>
      <c r="I845">
        <v>188</v>
      </c>
      <c r="J845">
        <v>96</v>
      </c>
      <c r="K845">
        <v>276</v>
      </c>
      <c r="L845">
        <v>266</v>
      </c>
      <c r="M845">
        <v>86</v>
      </c>
      <c r="T845">
        <v>17</v>
      </c>
      <c r="U845">
        <v>48</v>
      </c>
      <c r="Y845">
        <v>4</v>
      </c>
      <c r="Z845">
        <v>305</v>
      </c>
      <c r="AD845">
        <v>67</v>
      </c>
      <c r="AE845">
        <v>318</v>
      </c>
      <c r="AX845">
        <v>65</v>
      </c>
      <c r="AY845">
        <v>71</v>
      </c>
      <c r="AZ845">
        <v>136</v>
      </c>
      <c r="BA845">
        <v>309</v>
      </c>
      <c r="BB845">
        <v>335</v>
      </c>
      <c r="BC845">
        <v>644</v>
      </c>
      <c r="BD845">
        <v>385</v>
      </c>
      <c r="BE845">
        <v>353</v>
      </c>
      <c r="BF845">
        <v>738</v>
      </c>
      <c r="BP845">
        <v>404</v>
      </c>
      <c r="BR845">
        <v>239</v>
      </c>
      <c r="BS845">
        <v>54</v>
      </c>
      <c r="BT845">
        <v>50</v>
      </c>
      <c r="BV845">
        <v>12</v>
      </c>
      <c r="BW845">
        <v>759</v>
      </c>
      <c r="BX845">
        <f t="shared" si="95"/>
        <v>306</v>
      </c>
      <c r="BY845" s="5">
        <f t="shared" si="89"/>
        <v>1.4803921568627452</v>
      </c>
      <c r="BZ845" s="6">
        <f t="shared" si="94"/>
        <v>1.4803921568627452</v>
      </c>
      <c r="CA845" s="7">
        <v>41952</v>
      </c>
      <c r="CI845">
        <f t="shared" si="92"/>
        <v>2014</v>
      </c>
      <c r="CJ845" t="str">
        <f t="shared" si="93"/>
        <v>6001_2014</v>
      </c>
    </row>
    <row r="846" spans="1:88" x14ac:dyDescent="0.25">
      <c r="A846" t="s">
        <v>111</v>
      </c>
      <c r="B846" t="s">
        <v>129</v>
      </c>
      <c r="C846">
        <v>6001</v>
      </c>
      <c r="D846">
        <v>-37.871200000000002</v>
      </c>
      <c r="E846">
        <v>144.8381</v>
      </c>
      <c r="F846">
        <v>3</v>
      </c>
      <c r="G846" t="s">
        <v>342</v>
      </c>
      <c r="H846">
        <v>8</v>
      </c>
      <c r="I846">
        <v>188</v>
      </c>
      <c r="J846">
        <v>96</v>
      </c>
      <c r="K846">
        <v>276</v>
      </c>
      <c r="L846">
        <v>266</v>
      </c>
      <c r="M846">
        <v>86</v>
      </c>
      <c r="T846">
        <v>46</v>
      </c>
      <c r="U846">
        <v>116</v>
      </c>
      <c r="Y846">
        <v>38</v>
      </c>
      <c r="Z846">
        <v>389</v>
      </c>
      <c r="AD846">
        <v>86</v>
      </c>
      <c r="AE846">
        <v>428</v>
      </c>
      <c r="AX846">
        <v>162</v>
      </c>
      <c r="AY846">
        <v>124</v>
      </c>
      <c r="AZ846">
        <v>286</v>
      </c>
      <c r="BA846">
        <v>427</v>
      </c>
      <c r="BB846">
        <v>474</v>
      </c>
      <c r="BC846">
        <v>901</v>
      </c>
      <c r="BD846">
        <v>514</v>
      </c>
      <c r="BE846">
        <v>505</v>
      </c>
      <c r="BF846">
        <v>1019</v>
      </c>
      <c r="BP846">
        <v>554</v>
      </c>
      <c r="BR846">
        <v>423</v>
      </c>
      <c r="BS846">
        <v>38</v>
      </c>
      <c r="BT846">
        <v>74</v>
      </c>
      <c r="BV846">
        <v>14</v>
      </c>
      <c r="BW846">
        <v>1103</v>
      </c>
      <c r="BX846">
        <f t="shared" si="95"/>
        <v>759</v>
      </c>
      <c r="BY846" s="5">
        <f t="shared" ref="BY846:BY907" si="96">(BW846-BX846)/BX846</f>
        <v>0.45322793148880103</v>
      </c>
      <c r="BZ846" s="6">
        <f t="shared" si="94"/>
        <v>0.45322793148880103</v>
      </c>
      <c r="CA846" s="7">
        <v>42316</v>
      </c>
      <c r="CE846">
        <v>297</v>
      </c>
      <c r="CF846">
        <v>305</v>
      </c>
      <c r="CG846">
        <v>252</v>
      </c>
      <c r="CH846">
        <v>249</v>
      </c>
      <c r="CI846">
        <f t="shared" si="92"/>
        <v>2015</v>
      </c>
      <c r="CJ846" t="str">
        <f t="shared" si="93"/>
        <v>6001_2015</v>
      </c>
    </row>
    <row r="847" spans="1:88" x14ac:dyDescent="0.25">
      <c r="A847" t="s">
        <v>111</v>
      </c>
      <c r="B847" t="s">
        <v>129</v>
      </c>
      <c r="C847">
        <v>6001</v>
      </c>
      <c r="D847">
        <v>-37.871236000000003</v>
      </c>
      <c r="E847">
        <v>144.83808500000001</v>
      </c>
      <c r="F847">
        <v>3</v>
      </c>
      <c r="G847" t="s">
        <v>342</v>
      </c>
      <c r="H847">
        <v>8</v>
      </c>
      <c r="I847">
        <v>188</v>
      </c>
      <c r="J847">
        <v>96</v>
      </c>
      <c r="K847">
        <v>276</v>
      </c>
      <c r="L847">
        <v>266</v>
      </c>
      <c r="M847">
        <v>86</v>
      </c>
      <c r="T847">
        <v>55</v>
      </c>
      <c r="U847">
        <v>39</v>
      </c>
      <c r="Y847">
        <v>42</v>
      </c>
      <c r="Z847">
        <v>126</v>
      </c>
      <c r="AD847">
        <v>32</v>
      </c>
      <c r="AE847">
        <v>166</v>
      </c>
      <c r="AX847">
        <v>94</v>
      </c>
      <c r="AY847">
        <v>74</v>
      </c>
      <c r="AZ847">
        <v>168</v>
      </c>
      <c r="BA847">
        <v>168</v>
      </c>
      <c r="BB847">
        <v>221</v>
      </c>
      <c r="BC847">
        <v>389</v>
      </c>
      <c r="BD847">
        <v>198</v>
      </c>
      <c r="BE847">
        <v>165</v>
      </c>
      <c r="BF847">
        <v>363</v>
      </c>
      <c r="BP847">
        <v>103</v>
      </c>
      <c r="BR847">
        <v>239</v>
      </c>
      <c r="BS847">
        <v>67</v>
      </c>
      <c r="BT847">
        <v>44</v>
      </c>
      <c r="BV847">
        <v>7</v>
      </c>
      <c r="BW847">
        <v>460</v>
      </c>
      <c r="BX847">
        <f t="shared" si="95"/>
        <v>1103</v>
      </c>
      <c r="BY847" s="5">
        <f t="shared" si="96"/>
        <v>-0.58295557570262924</v>
      </c>
      <c r="BZ847" s="6">
        <f t="shared" si="94"/>
        <v>-0.58295557570262924</v>
      </c>
      <c r="CA847" s="7">
        <v>42687</v>
      </c>
      <c r="CE847">
        <v>138</v>
      </c>
      <c r="CF847">
        <v>190</v>
      </c>
      <c r="CG847">
        <v>62</v>
      </c>
      <c r="CH847">
        <v>70</v>
      </c>
      <c r="CI847">
        <f t="shared" si="92"/>
        <v>2016</v>
      </c>
      <c r="CJ847" t="str">
        <f t="shared" si="93"/>
        <v>6001_2016</v>
      </c>
    </row>
    <row r="848" spans="1:88" x14ac:dyDescent="0.25">
      <c r="A848" t="s">
        <v>111</v>
      </c>
      <c r="B848" t="s">
        <v>129</v>
      </c>
      <c r="C848">
        <v>6001</v>
      </c>
      <c r="D848">
        <v>-37.871236000000003</v>
      </c>
      <c r="E848">
        <v>144.83808500000001</v>
      </c>
      <c r="F848">
        <v>3</v>
      </c>
      <c r="G848" t="s">
        <v>342</v>
      </c>
      <c r="H848">
        <v>8</v>
      </c>
      <c r="I848">
        <v>188</v>
      </c>
      <c r="J848">
        <v>96</v>
      </c>
      <c r="K848">
        <v>276</v>
      </c>
      <c r="L848">
        <v>266</v>
      </c>
      <c r="M848">
        <v>86</v>
      </c>
      <c r="T848">
        <v>21</v>
      </c>
      <c r="U848">
        <v>63</v>
      </c>
      <c r="Y848">
        <v>22</v>
      </c>
      <c r="Z848">
        <v>155</v>
      </c>
      <c r="AD848">
        <v>45</v>
      </c>
      <c r="AE848">
        <v>138</v>
      </c>
      <c r="AX848">
        <v>84</v>
      </c>
      <c r="AY848">
        <v>67</v>
      </c>
      <c r="AZ848">
        <v>151</v>
      </c>
      <c r="BA848">
        <v>177</v>
      </c>
      <c r="BB848">
        <v>159</v>
      </c>
      <c r="BC848">
        <v>336</v>
      </c>
      <c r="BD848">
        <v>183</v>
      </c>
      <c r="BE848">
        <v>218</v>
      </c>
      <c r="BF848">
        <v>401</v>
      </c>
      <c r="BP848">
        <v>140</v>
      </c>
      <c r="BR848">
        <v>243</v>
      </c>
      <c r="BS848">
        <v>13</v>
      </c>
      <c r="BT848">
        <v>48</v>
      </c>
      <c r="BV848">
        <v>0</v>
      </c>
      <c r="BW848">
        <v>444</v>
      </c>
      <c r="BX848">
        <f t="shared" si="95"/>
        <v>460</v>
      </c>
      <c r="BY848" s="5">
        <f t="shared" si="96"/>
        <v>-3.4782608695652174E-2</v>
      </c>
      <c r="BZ848" s="6">
        <f t="shared" si="94"/>
        <v>-3.4782608695652174E-2</v>
      </c>
      <c r="CA848" s="7">
        <v>43051</v>
      </c>
      <c r="CE848">
        <v>0</v>
      </c>
      <c r="CF848">
        <v>0</v>
      </c>
      <c r="CG848">
        <v>236</v>
      </c>
      <c r="CH848">
        <v>208</v>
      </c>
      <c r="CI848">
        <f t="shared" si="92"/>
        <v>2017</v>
      </c>
      <c r="CJ848" t="str">
        <f t="shared" si="93"/>
        <v>6001_2017</v>
      </c>
    </row>
    <row r="849" spans="1:88" x14ac:dyDescent="0.25">
      <c r="A849" t="s">
        <v>111</v>
      </c>
      <c r="B849" t="s">
        <v>129</v>
      </c>
      <c r="C849">
        <v>6001</v>
      </c>
      <c r="D849">
        <v>-37.871236000000003</v>
      </c>
      <c r="E849">
        <v>144.83808500000001</v>
      </c>
      <c r="F849">
        <v>3</v>
      </c>
      <c r="G849" t="s">
        <v>342</v>
      </c>
      <c r="H849">
        <v>8</v>
      </c>
      <c r="I849">
        <v>188</v>
      </c>
      <c r="J849">
        <v>96</v>
      </c>
      <c r="K849">
        <v>276</v>
      </c>
      <c r="L849">
        <v>266</v>
      </c>
      <c r="M849">
        <v>86</v>
      </c>
      <c r="T849">
        <v>68</v>
      </c>
      <c r="U849">
        <v>70</v>
      </c>
      <c r="Y849">
        <v>81</v>
      </c>
      <c r="Z849">
        <v>435</v>
      </c>
      <c r="AD849">
        <v>69</v>
      </c>
      <c r="AE849">
        <v>524</v>
      </c>
      <c r="AX849">
        <v>138</v>
      </c>
      <c r="AY849">
        <v>150</v>
      </c>
      <c r="AZ849">
        <v>288</v>
      </c>
      <c r="BA849">
        <v>516</v>
      </c>
      <c r="BB849">
        <v>592</v>
      </c>
      <c r="BC849">
        <v>1108</v>
      </c>
      <c r="BD849">
        <v>593</v>
      </c>
      <c r="BE849">
        <v>505</v>
      </c>
      <c r="BF849">
        <v>1098</v>
      </c>
      <c r="BP849">
        <v>475</v>
      </c>
      <c r="BR849">
        <v>589</v>
      </c>
      <c r="BS849">
        <v>47</v>
      </c>
      <c r="BT849">
        <v>73</v>
      </c>
      <c r="BV849">
        <v>63</v>
      </c>
      <c r="BW849">
        <v>1247</v>
      </c>
      <c r="BX849">
        <f t="shared" si="95"/>
        <v>444</v>
      </c>
      <c r="BY849" s="5">
        <f t="shared" si="96"/>
        <v>1.8085585585585586</v>
      </c>
      <c r="BZ849" s="6">
        <f t="shared" si="94"/>
        <v>1.8085585585585586</v>
      </c>
      <c r="CA849" s="7">
        <v>43415</v>
      </c>
      <c r="CE849">
        <v>366</v>
      </c>
      <c r="CF849">
        <v>334</v>
      </c>
      <c r="CG849">
        <v>293</v>
      </c>
      <c r="CH849">
        <v>254</v>
      </c>
      <c r="CI849">
        <f t="shared" si="92"/>
        <v>2018</v>
      </c>
      <c r="CJ849" t="str">
        <f t="shared" si="93"/>
        <v>6001_2018</v>
      </c>
    </row>
    <row r="850" spans="1:88" x14ac:dyDescent="0.25">
      <c r="A850" t="s">
        <v>111</v>
      </c>
      <c r="B850" t="s">
        <v>129</v>
      </c>
      <c r="C850">
        <v>6001</v>
      </c>
      <c r="D850">
        <v>-37.871200000000002</v>
      </c>
      <c r="E850">
        <v>144.8381</v>
      </c>
      <c r="F850">
        <v>3</v>
      </c>
      <c r="G850" t="s">
        <v>342</v>
      </c>
      <c r="H850">
        <v>8</v>
      </c>
      <c r="I850">
        <v>188</v>
      </c>
      <c r="J850">
        <v>96</v>
      </c>
      <c r="K850">
        <v>276</v>
      </c>
      <c r="L850">
        <v>266</v>
      </c>
      <c r="M850">
        <v>86</v>
      </c>
      <c r="T850">
        <v>70</v>
      </c>
      <c r="U850">
        <v>66</v>
      </c>
      <c r="Y850">
        <v>71</v>
      </c>
      <c r="Z850">
        <v>223</v>
      </c>
      <c r="AD850">
        <v>69</v>
      </c>
      <c r="AE850">
        <v>271</v>
      </c>
      <c r="AX850">
        <v>136</v>
      </c>
      <c r="AY850">
        <v>140</v>
      </c>
      <c r="AZ850">
        <v>276</v>
      </c>
      <c r="BA850">
        <v>294</v>
      </c>
      <c r="BB850">
        <v>341</v>
      </c>
      <c r="BC850">
        <v>635</v>
      </c>
      <c r="BD850">
        <v>340</v>
      </c>
      <c r="BE850">
        <v>289</v>
      </c>
      <c r="BF850">
        <v>629</v>
      </c>
      <c r="BP850">
        <v>236</v>
      </c>
      <c r="BR850">
        <v>423</v>
      </c>
      <c r="BS850">
        <v>51</v>
      </c>
      <c r="BT850">
        <v>58</v>
      </c>
      <c r="BV850">
        <v>2</v>
      </c>
      <c r="BW850">
        <v>770</v>
      </c>
      <c r="BX850">
        <f t="shared" si="95"/>
        <v>1247</v>
      </c>
      <c r="BY850" s="5">
        <f t="shared" si="96"/>
        <v>-0.38251804330392941</v>
      </c>
      <c r="BZ850" s="6">
        <f t="shared" si="94"/>
        <v>-0.38251804330392941</v>
      </c>
      <c r="CA850" s="7">
        <v>43779</v>
      </c>
      <c r="CE850">
        <v>213</v>
      </c>
      <c r="CF850">
        <v>227</v>
      </c>
      <c r="CG850">
        <v>192</v>
      </c>
      <c r="CH850">
        <v>138</v>
      </c>
      <c r="CI850">
        <f t="shared" si="92"/>
        <v>2019</v>
      </c>
      <c r="CJ850" t="str">
        <f t="shared" si="93"/>
        <v>6001_2019</v>
      </c>
    </row>
    <row r="851" spans="1:88" x14ac:dyDescent="0.25">
      <c r="A851" t="s">
        <v>111</v>
      </c>
      <c r="B851" t="s">
        <v>129</v>
      </c>
      <c r="C851">
        <v>6001</v>
      </c>
      <c r="D851">
        <v>-37.871200000000002</v>
      </c>
      <c r="E851">
        <v>144.8381</v>
      </c>
      <c r="F851">
        <v>3</v>
      </c>
      <c r="G851" t="s">
        <v>342</v>
      </c>
      <c r="H851">
        <v>8</v>
      </c>
      <c r="I851">
        <v>188</v>
      </c>
      <c r="J851">
        <v>96</v>
      </c>
      <c r="K851">
        <v>276</v>
      </c>
      <c r="L851">
        <v>266</v>
      </c>
      <c r="M851">
        <v>86</v>
      </c>
      <c r="T851">
        <v>168</v>
      </c>
      <c r="U851">
        <v>178</v>
      </c>
      <c r="Y851">
        <v>116</v>
      </c>
      <c r="Z851">
        <v>875</v>
      </c>
      <c r="AD851">
        <v>165</v>
      </c>
      <c r="AE851">
        <v>822</v>
      </c>
      <c r="AX851">
        <v>346</v>
      </c>
      <c r="AY851">
        <v>281</v>
      </c>
      <c r="AZ851">
        <v>627</v>
      </c>
      <c r="BA851">
        <v>991</v>
      </c>
      <c r="BB851">
        <v>990</v>
      </c>
      <c r="BC851">
        <v>1981</v>
      </c>
      <c r="BD851">
        <v>987</v>
      </c>
      <c r="BE851">
        <v>1053</v>
      </c>
      <c r="BF851">
        <v>2040</v>
      </c>
      <c r="BP851">
        <v>941</v>
      </c>
      <c r="BR851">
        <v>1117</v>
      </c>
      <c r="BS851">
        <v>96</v>
      </c>
      <c r="BT851">
        <v>157</v>
      </c>
      <c r="BV851">
        <v>13</v>
      </c>
      <c r="BW851">
        <v>2324</v>
      </c>
      <c r="BX851">
        <f t="shared" si="95"/>
        <v>770</v>
      </c>
      <c r="BY851" s="5">
        <f t="shared" si="96"/>
        <v>2.0181818181818181</v>
      </c>
      <c r="BZ851" s="6">
        <f t="shared" si="94"/>
        <v>2.0181818181818181</v>
      </c>
      <c r="CA851" s="7">
        <v>44143</v>
      </c>
      <c r="CE851">
        <v>544</v>
      </c>
      <c r="CF851">
        <v>556</v>
      </c>
      <c r="CG851">
        <v>671</v>
      </c>
      <c r="CH851">
        <v>553</v>
      </c>
      <c r="CI851">
        <f t="shared" si="92"/>
        <v>2020</v>
      </c>
      <c r="CJ851" t="str">
        <f t="shared" si="93"/>
        <v>6001_2020</v>
      </c>
    </row>
    <row r="852" spans="1:88" x14ac:dyDescent="0.25">
      <c r="A852" t="s">
        <v>111</v>
      </c>
      <c r="B852" t="s">
        <v>129</v>
      </c>
      <c r="C852">
        <v>6001</v>
      </c>
      <c r="D852">
        <v>-37.871236000000003</v>
      </c>
      <c r="E852">
        <v>144.83808500000001</v>
      </c>
      <c r="F852">
        <v>3</v>
      </c>
      <c r="G852" t="s">
        <v>342</v>
      </c>
      <c r="H852">
        <v>8</v>
      </c>
      <c r="I852">
        <v>188</v>
      </c>
      <c r="J852">
        <v>96</v>
      </c>
      <c r="K852">
        <v>276</v>
      </c>
      <c r="L852">
        <v>266</v>
      </c>
      <c r="M852">
        <v>86</v>
      </c>
      <c r="T852">
        <v>85</v>
      </c>
      <c r="U852">
        <v>127</v>
      </c>
      <c r="Y852">
        <v>58</v>
      </c>
      <c r="Z852">
        <v>483</v>
      </c>
      <c r="AD852">
        <v>110</v>
      </c>
      <c r="AE852">
        <v>529</v>
      </c>
      <c r="AX852">
        <v>212</v>
      </c>
      <c r="AY852">
        <v>168</v>
      </c>
      <c r="AZ852">
        <v>380</v>
      </c>
      <c r="BA852">
        <v>541</v>
      </c>
      <c r="BB852">
        <v>614</v>
      </c>
      <c r="BC852">
        <v>1155</v>
      </c>
      <c r="BD852">
        <v>639</v>
      </c>
      <c r="BE852">
        <v>610</v>
      </c>
      <c r="BF852">
        <v>1249</v>
      </c>
      <c r="BP852">
        <v>508</v>
      </c>
      <c r="BR852">
        <v>639</v>
      </c>
      <c r="BS852">
        <v>59</v>
      </c>
      <c r="BT852">
        <v>129</v>
      </c>
      <c r="BV852">
        <v>57</v>
      </c>
      <c r="BW852">
        <v>1392</v>
      </c>
      <c r="BX852">
        <f t="shared" si="95"/>
        <v>2324</v>
      </c>
      <c r="BY852" s="5">
        <f t="shared" si="96"/>
        <v>-0.40103270223752152</v>
      </c>
      <c r="BZ852" s="6">
        <f t="shared" si="94"/>
        <v>-0.40103270223752152</v>
      </c>
      <c r="CA852" s="7">
        <v>44528</v>
      </c>
      <c r="CE852">
        <v>484</v>
      </c>
      <c r="CF852">
        <v>450</v>
      </c>
      <c r="CG852">
        <v>458</v>
      </c>
      <c r="CI852">
        <f t="shared" si="92"/>
        <v>2021</v>
      </c>
      <c r="CJ852" t="str">
        <f t="shared" si="93"/>
        <v>6001_2021</v>
      </c>
    </row>
    <row r="853" spans="1:88" x14ac:dyDescent="0.25">
      <c r="A853" t="s">
        <v>111</v>
      </c>
      <c r="B853" t="s">
        <v>129</v>
      </c>
      <c r="C853">
        <v>6002</v>
      </c>
      <c r="D853">
        <v>-37.880000000000003</v>
      </c>
      <c r="E853">
        <v>144.80099999999999</v>
      </c>
      <c r="F853">
        <v>3</v>
      </c>
      <c r="G853" t="s">
        <v>343</v>
      </c>
      <c r="H853">
        <v>98</v>
      </c>
      <c r="I853">
        <v>278</v>
      </c>
      <c r="J853">
        <v>236</v>
      </c>
      <c r="K853">
        <v>56</v>
      </c>
      <c r="L853">
        <v>288</v>
      </c>
      <c r="M853">
        <v>108</v>
      </c>
      <c r="T853">
        <v>165</v>
      </c>
      <c r="U853">
        <v>16</v>
      </c>
      <c r="Y853">
        <v>173</v>
      </c>
      <c r="Z853">
        <v>8</v>
      </c>
      <c r="AD853">
        <v>15</v>
      </c>
      <c r="AE853">
        <v>5</v>
      </c>
      <c r="AX853">
        <v>181</v>
      </c>
      <c r="AY853">
        <v>188</v>
      </c>
      <c r="AZ853">
        <v>369</v>
      </c>
      <c r="BA853">
        <v>181</v>
      </c>
      <c r="BB853">
        <v>170</v>
      </c>
      <c r="BC853">
        <v>351</v>
      </c>
      <c r="BD853">
        <v>20</v>
      </c>
      <c r="BE853">
        <v>24</v>
      </c>
      <c r="BF853">
        <v>44</v>
      </c>
      <c r="BP853">
        <v>223</v>
      </c>
      <c r="BR853">
        <v>85</v>
      </c>
      <c r="BS853">
        <v>35</v>
      </c>
      <c r="BT853">
        <v>35</v>
      </c>
      <c r="BV853">
        <v>4</v>
      </c>
      <c r="BW853">
        <v>382</v>
      </c>
      <c r="BX853" t="s">
        <v>82</v>
      </c>
      <c r="BY853" s="5"/>
      <c r="BZ853" s="6"/>
      <c r="CA853" s="7">
        <v>41224</v>
      </c>
      <c r="CI853">
        <f t="shared" si="92"/>
        <v>2012</v>
      </c>
      <c r="CJ853" t="str">
        <f t="shared" si="93"/>
        <v>6002_2012</v>
      </c>
    </row>
    <row r="854" spans="1:88" x14ac:dyDescent="0.25">
      <c r="A854" t="s">
        <v>111</v>
      </c>
      <c r="B854" t="s">
        <v>129</v>
      </c>
      <c r="C854">
        <v>6002</v>
      </c>
      <c r="D854">
        <v>-37.880000000000003</v>
      </c>
      <c r="E854">
        <v>144.80099999999999</v>
      </c>
      <c r="F854">
        <v>3</v>
      </c>
      <c r="G854" t="s">
        <v>343</v>
      </c>
      <c r="H854">
        <v>98</v>
      </c>
      <c r="I854">
        <v>278</v>
      </c>
      <c r="J854">
        <v>236</v>
      </c>
      <c r="K854">
        <v>56</v>
      </c>
      <c r="L854">
        <v>288</v>
      </c>
      <c r="M854">
        <v>108</v>
      </c>
      <c r="T854">
        <v>98</v>
      </c>
      <c r="U854">
        <v>13</v>
      </c>
      <c r="Y854">
        <v>99</v>
      </c>
      <c r="Z854">
        <v>5</v>
      </c>
      <c r="AD854">
        <v>14</v>
      </c>
      <c r="AE854">
        <v>1</v>
      </c>
      <c r="AX854">
        <v>111</v>
      </c>
      <c r="AY854">
        <v>113</v>
      </c>
      <c r="AZ854">
        <v>224</v>
      </c>
      <c r="BA854">
        <v>104</v>
      </c>
      <c r="BB854">
        <v>99</v>
      </c>
      <c r="BC854">
        <v>203</v>
      </c>
      <c r="BD854">
        <v>15</v>
      </c>
      <c r="BE854">
        <v>18</v>
      </c>
      <c r="BF854">
        <v>33</v>
      </c>
      <c r="BP854">
        <v>117</v>
      </c>
      <c r="BR854">
        <v>45</v>
      </c>
      <c r="BS854">
        <v>22</v>
      </c>
      <c r="BT854">
        <v>45</v>
      </c>
      <c r="BV854">
        <v>1</v>
      </c>
      <c r="BW854">
        <v>230</v>
      </c>
      <c r="BX854">
        <f t="shared" ref="BX854:BX862" si="97">IF(C854=C853,IF((CI854-1)=CI853,BW853,"no data"))</f>
        <v>382</v>
      </c>
      <c r="BY854" s="5">
        <f t="shared" si="96"/>
        <v>-0.39790575916230364</v>
      </c>
      <c r="BZ854" s="6">
        <f t="shared" si="94"/>
        <v>-0.39790575916230364</v>
      </c>
      <c r="CA854" s="7">
        <v>41588</v>
      </c>
      <c r="CI854">
        <f t="shared" si="92"/>
        <v>2013</v>
      </c>
      <c r="CJ854" t="str">
        <f t="shared" si="93"/>
        <v>6002_2013</v>
      </c>
    </row>
    <row r="855" spans="1:88" x14ac:dyDescent="0.25">
      <c r="A855" t="s">
        <v>111</v>
      </c>
      <c r="B855" t="s">
        <v>129</v>
      </c>
      <c r="C855">
        <v>6002</v>
      </c>
      <c r="D855">
        <v>-37.880000000000003</v>
      </c>
      <c r="E855">
        <v>144.80099999999999</v>
      </c>
      <c r="F855">
        <v>3</v>
      </c>
      <c r="G855" t="s">
        <v>343</v>
      </c>
      <c r="H855">
        <v>98</v>
      </c>
      <c r="I855">
        <v>278</v>
      </c>
      <c r="J855">
        <v>236</v>
      </c>
      <c r="K855">
        <v>56</v>
      </c>
      <c r="L855">
        <v>288</v>
      </c>
      <c r="M855">
        <v>108</v>
      </c>
      <c r="T855">
        <v>221</v>
      </c>
      <c r="U855">
        <v>25</v>
      </c>
      <c r="Y855">
        <v>211</v>
      </c>
      <c r="Z855">
        <v>9</v>
      </c>
      <c r="AD855">
        <v>17</v>
      </c>
      <c r="AE855">
        <v>4</v>
      </c>
      <c r="AX855">
        <v>246</v>
      </c>
      <c r="AY855">
        <v>228</v>
      </c>
      <c r="AZ855">
        <v>474</v>
      </c>
      <c r="BA855">
        <v>220</v>
      </c>
      <c r="BB855">
        <v>225</v>
      </c>
      <c r="BC855">
        <v>445</v>
      </c>
      <c r="BD855">
        <v>21</v>
      </c>
      <c r="BE855">
        <v>34</v>
      </c>
      <c r="BF855">
        <v>55</v>
      </c>
      <c r="BP855">
        <v>262</v>
      </c>
      <c r="BR855">
        <v>103</v>
      </c>
      <c r="BS855">
        <v>45</v>
      </c>
      <c r="BT855">
        <v>66</v>
      </c>
      <c r="BV855">
        <v>11</v>
      </c>
      <c r="BW855">
        <v>487</v>
      </c>
      <c r="BX855">
        <f t="shared" si="97"/>
        <v>230</v>
      </c>
      <c r="BY855" s="5">
        <f t="shared" si="96"/>
        <v>1.1173913043478261</v>
      </c>
      <c r="BZ855" s="6">
        <f t="shared" si="94"/>
        <v>1.1173913043478261</v>
      </c>
      <c r="CA855" s="7">
        <v>41952</v>
      </c>
      <c r="CI855">
        <f t="shared" si="92"/>
        <v>2014</v>
      </c>
      <c r="CJ855" t="str">
        <f t="shared" si="93"/>
        <v>6002_2014</v>
      </c>
    </row>
    <row r="856" spans="1:88" x14ac:dyDescent="0.25">
      <c r="A856" t="s">
        <v>111</v>
      </c>
      <c r="B856" t="s">
        <v>129</v>
      </c>
      <c r="C856">
        <v>6002</v>
      </c>
      <c r="D856">
        <v>-37.880000000000003</v>
      </c>
      <c r="E856">
        <v>144.80099999999999</v>
      </c>
      <c r="F856">
        <v>3</v>
      </c>
      <c r="G856" t="s">
        <v>343</v>
      </c>
      <c r="H856">
        <v>98</v>
      </c>
      <c r="I856">
        <v>278</v>
      </c>
      <c r="J856">
        <v>236</v>
      </c>
      <c r="K856">
        <v>56</v>
      </c>
      <c r="L856">
        <v>288</v>
      </c>
      <c r="M856">
        <v>108</v>
      </c>
      <c r="T856">
        <v>234</v>
      </c>
      <c r="U856">
        <v>20</v>
      </c>
      <c r="Y856">
        <v>268</v>
      </c>
      <c r="Z856">
        <v>10</v>
      </c>
      <c r="AD856">
        <v>27</v>
      </c>
      <c r="AE856">
        <v>3</v>
      </c>
      <c r="AX856">
        <v>254</v>
      </c>
      <c r="AY856">
        <v>295</v>
      </c>
      <c r="AZ856">
        <v>549</v>
      </c>
      <c r="BA856">
        <v>278</v>
      </c>
      <c r="BB856">
        <v>237</v>
      </c>
      <c r="BC856">
        <v>515</v>
      </c>
      <c r="BD856">
        <v>30</v>
      </c>
      <c r="BE856">
        <v>30</v>
      </c>
      <c r="BF856">
        <v>60</v>
      </c>
      <c r="BP856">
        <v>356</v>
      </c>
      <c r="BR856">
        <v>124</v>
      </c>
      <c r="BS856">
        <v>22</v>
      </c>
      <c r="BT856">
        <v>57</v>
      </c>
      <c r="BV856">
        <v>3</v>
      </c>
      <c r="BW856">
        <v>562</v>
      </c>
      <c r="BX856">
        <f t="shared" si="97"/>
        <v>487</v>
      </c>
      <c r="BY856" s="5">
        <f t="shared" si="96"/>
        <v>0.1540041067761807</v>
      </c>
      <c r="BZ856" s="6">
        <f t="shared" si="94"/>
        <v>0.1540041067761807</v>
      </c>
      <c r="CA856" s="7">
        <v>42316</v>
      </c>
      <c r="CE856">
        <v>148</v>
      </c>
      <c r="CF856">
        <v>134</v>
      </c>
      <c r="CG856">
        <v>146</v>
      </c>
      <c r="CH856">
        <v>134</v>
      </c>
      <c r="CI856">
        <f t="shared" si="92"/>
        <v>2015</v>
      </c>
      <c r="CJ856" t="str">
        <f t="shared" si="93"/>
        <v>6002_2015</v>
      </c>
    </row>
    <row r="857" spans="1:88" x14ac:dyDescent="0.25">
      <c r="A857" t="s">
        <v>111</v>
      </c>
      <c r="B857" t="s">
        <v>129</v>
      </c>
      <c r="C857">
        <v>6002</v>
      </c>
      <c r="D857">
        <v>-37.879969000000003</v>
      </c>
      <c r="E857">
        <v>144.801006</v>
      </c>
      <c r="F857">
        <v>3</v>
      </c>
      <c r="G857" t="s">
        <v>343</v>
      </c>
      <c r="H857">
        <v>98</v>
      </c>
      <c r="I857">
        <v>278</v>
      </c>
      <c r="J857">
        <v>236</v>
      </c>
      <c r="K857">
        <v>56</v>
      </c>
      <c r="L857">
        <v>288</v>
      </c>
      <c r="M857">
        <v>108</v>
      </c>
      <c r="T857">
        <v>55</v>
      </c>
      <c r="U857">
        <v>7</v>
      </c>
      <c r="Y857">
        <v>73</v>
      </c>
      <c r="Z857">
        <v>19</v>
      </c>
      <c r="AD857">
        <v>11</v>
      </c>
      <c r="AE857">
        <v>0</v>
      </c>
      <c r="AX857">
        <v>62</v>
      </c>
      <c r="AY857">
        <v>84</v>
      </c>
      <c r="AZ857">
        <v>146</v>
      </c>
      <c r="BA857">
        <v>92</v>
      </c>
      <c r="BB857">
        <v>55</v>
      </c>
      <c r="BC857">
        <v>147</v>
      </c>
      <c r="BD857">
        <v>11</v>
      </c>
      <c r="BE857">
        <v>26</v>
      </c>
      <c r="BF857">
        <v>37</v>
      </c>
      <c r="BP857">
        <v>54</v>
      </c>
      <c r="BR857">
        <v>54</v>
      </c>
      <c r="BS857">
        <v>29</v>
      </c>
      <c r="BT857">
        <v>24</v>
      </c>
      <c r="BV857">
        <v>4</v>
      </c>
      <c r="BW857">
        <v>165</v>
      </c>
      <c r="BX857">
        <f t="shared" si="97"/>
        <v>562</v>
      </c>
      <c r="BY857" s="5">
        <f t="shared" si="96"/>
        <v>-0.70640569395017794</v>
      </c>
      <c r="BZ857" s="6">
        <f t="shared" si="94"/>
        <v>-0.70640569395017794</v>
      </c>
      <c r="CA857" s="7">
        <v>42687</v>
      </c>
      <c r="CE857">
        <v>66</v>
      </c>
      <c r="CF857">
        <v>39</v>
      </c>
      <c r="CG857">
        <v>22</v>
      </c>
      <c r="CH857">
        <v>38</v>
      </c>
      <c r="CI857">
        <f t="shared" si="92"/>
        <v>2016</v>
      </c>
      <c r="CJ857" t="str">
        <f t="shared" si="93"/>
        <v>6002_2016</v>
      </c>
    </row>
    <row r="858" spans="1:88" x14ac:dyDescent="0.25">
      <c r="A858" t="s">
        <v>111</v>
      </c>
      <c r="B858" t="s">
        <v>129</v>
      </c>
      <c r="C858">
        <v>6002</v>
      </c>
      <c r="D858">
        <v>-37.879969000000003</v>
      </c>
      <c r="E858">
        <v>144.801006</v>
      </c>
      <c r="F858">
        <v>3</v>
      </c>
      <c r="G858" t="s">
        <v>343</v>
      </c>
      <c r="H858">
        <v>98</v>
      </c>
      <c r="I858">
        <v>278</v>
      </c>
      <c r="J858">
        <v>236</v>
      </c>
      <c r="K858">
        <v>56</v>
      </c>
      <c r="L858">
        <v>288</v>
      </c>
      <c r="M858">
        <v>108</v>
      </c>
      <c r="T858">
        <v>176</v>
      </c>
      <c r="U858">
        <v>46</v>
      </c>
      <c r="Y858">
        <v>209</v>
      </c>
      <c r="Z858">
        <v>20</v>
      </c>
      <c r="AD858">
        <v>34</v>
      </c>
      <c r="AE858">
        <v>12</v>
      </c>
      <c r="AX858">
        <v>222</v>
      </c>
      <c r="AY858">
        <v>243</v>
      </c>
      <c r="AZ858">
        <v>465</v>
      </c>
      <c r="BA858">
        <v>229</v>
      </c>
      <c r="BB858">
        <v>188</v>
      </c>
      <c r="BC858">
        <v>417</v>
      </c>
      <c r="BD858">
        <v>46</v>
      </c>
      <c r="BE858">
        <v>66</v>
      </c>
      <c r="BF858">
        <v>112</v>
      </c>
      <c r="BP858">
        <v>280</v>
      </c>
      <c r="BR858">
        <v>123</v>
      </c>
      <c r="BS858">
        <v>32</v>
      </c>
      <c r="BT858">
        <v>54</v>
      </c>
      <c r="BV858">
        <v>8</v>
      </c>
      <c r="BW858">
        <v>497</v>
      </c>
      <c r="BX858">
        <f t="shared" si="97"/>
        <v>165</v>
      </c>
      <c r="BY858" s="5">
        <f t="shared" si="96"/>
        <v>2.0121212121212122</v>
      </c>
      <c r="BZ858" s="6">
        <f t="shared" si="94"/>
        <v>2.0121212121212122</v>
      </c>
      <c r="CA858" s="7">
        <v>43051</v>
      </c>
      <c r="CE858">
        <v>145</v>
      </c>
      <c r="CF858">
        <v>111</v>
      </c>
      <c r="CG858">
        <v>127</v>
      </c>
      <c r="CH858">
        <v>114</v>
      </c>
      <c r="CI858">
        <f t="shared" si="92"/>
        <v>2017</v>
      </c>
      <c r="CJ858" t="str">
        <f t="shared" si="93"/>
        <v>6002_2017</v>
      </c>
    </row>
    <row r="859" spans="1:88" x14ac:dyDescent="0.25">
      <c r="A859" t="s">
        <v>111</v>
      </c>
      <c r="B859" t="s">
        <v>129</v>
      </c>
      <c r="C859">
        <v>6002</v>
      </c>
      <c r="D859">
        <v>-37.879969000000003</v>
      </c>
      <c r="E859">
        <v>144.801006</v>
      </c>
      <c r="F859">
        <v>3</v>
      </c>
      <c r="G859" t="s">
        <v>343</v>
      </c>
      <c r="H859">
        <v>98</v>
      </c>
      <c r="I859">
        <v>278</v>
      </c>
      <c r="J859">
        <v>236</v>
      </c>
      <c r="K859">
        <v>56</v>
      </c>
      <c r="L859">
        <v>288</v>
      </c>
      <c r="M859">
        <v>108</v>
      </c>
      <c r="T859">
        <v>219</v>
      </c>
      <c r="U859">
        <v>31</v>
      </c>
      <c r="Y859">
        <v>225</v>
      </c>
      <c r="Z859">
        <v>14</v>
      </c>
      <c r="AD859">
        <v>34</v>
      </c>
      <c r="AE859">
        <v>9</v>
      </c>
      <c r="AX859">
        <v>250</v>
      </c>
      <c r="AY859">
        <v>259</v>
      </c>
      <c r="AZ859">
        <v>509</v>
      </c>
      <c r="BA859">
        <v>239</v>
      </c>
      <c r="BB859">
        <v>228</v>
      </c>
      <c r="BC859">
        <v>467</v>
      </c>
      <c r="BD859">
        <v>43</v>
      </c>
      <c r="BE859">
        <v>45</v>
      </c>
      <c r="BF859">
        <v>88</v>
      </c>
      <c r="BP859">
        <v>288</v>
      </c>
      <c r="BR859">
        <v>132</v>
      </c>
      <c r="BS859">
        <v>41</v>
      </c>
      <c r="BT859">
        <v>45</v>
      </c>
      <c r="BV859">
        <v>26</v>
      </c>
      <c r="BW859">
        <v>532</v>
      </c>
      <c r="BX859">
        <f t="shared" si="97"/>
        <v>497</v>
      </c>
      <c r="BY859" s="5">
        <f t="shared" si="96"/>
        <v>7.0422535211267609E-2</v>
      </c>
      <c r="BZ859" s="6">
        <f t="shared" si="94"/>
        <v>7.0422535211267609E-2</v>
      </c>
      <c r="CA859" s="7">
        <v>43415</v>
      </c>
      <c r="CE859">
        <v>113</v>
      </c>
      <c r="CF859">
        <v>131</v>
      </c>
      <c r="CG859">
        <v>175</v>
      </c>
      <c r="CH859">
        <v>113</v>
      </c>
      <c r="CI859">
        <f t="shared" si="92"/>
        <v>2018</v>
      </c>
      <c r="CJ859" t="str">
        <f t="shared" si="93"/>
        <v>6002_2018</v>
      </c>
    </row>
    <row r="860" spans="1:88" x14ac:dyDescent="0.25">
      <c r="A860" t="s">
        <v>111</v>
      </c>
      <c r="B860" t="s">
        <v>129</v>
      </c>
      <c r="C860">
        <v>6002</v>
      </c>
      <c r="D860">
        <v>-37.880000000000003</v>
      </c>
      <c r="E860">
        <v>144.80099999999999</v>
      </c>
      <c r="F860">
        <v>3</v>
      </c>
      <c r="G860" t="s">
        <v>343</v>
      </c>
      <c r="H860">
        <v>98</v>
      </c>
      <c r="I860">
        <v>278</v>
      </c>
      <c r="J860">
        <v>236</v>
      </c>
      <c r="K860">
        <v>56</v>
      </c>
      <c r="L860">
        <v>288</v>
      </c>
      <c r="M860">
        <v>108</v>
      </c>
      <c r="T860">
        <v>122</v>
      </c>
      <c r="U860">
        <v>26</v>
      </c>
      <c r="Y860">
        <v>123</v>
      </c>
      <c r="Z860">
        <v>8</v>
      </c>
      <c r="AD860">
        <v>25</v>
      </c>
      <c r="AE860">
        <v>6</v>
      </c>
      <c r="AX860">
        <v>148</v>
      </c>
      <c r="AY860">
        <v>148</v>
      </c>
      <c r="AZ860">
        <v>296</v>
      </c>
      <c r="BA860">
        <v>131</v>
      </c>
      <c r="BB860">
        <v>128</v>
      </c>
      <c r="BC860">
        <v>259</v>
      </c>
      <c r="BD860">
        <v>31</v>
      </c>
      <c r="BE860">
        <v>34</v>
      </c>
      <c r="BF860">
        <v>65</v>
      </c>
      <c r="BP860">
        <v>148</v>
      </c>
      <c r="BR860">
        <v>88</v>
      </c>
      <c r="BS860">
        <v>37</v>
      </c>
      <c r="BT860">
        <v>29</v>
      </c>
      <c r="BV860">
        <v>8</v>
      </c>
      <c r="BW860">
        <v>310</v>
      </c>
      <c r="BX860">
        <f t="shared" si="97"/>
        <v>532</v>
      </c>
      <c r="BY860" s="5">
        <f t="shared" si="96"/>
        <v>-0.41729323308270677</v>
      </c>
      <c r="BZ860" s="6">
        <f t="shared" si="94"/>
        <v>-0.41729323308270677</v>
      </c>
      <c r="CA860" s="7">
        <v>43779</v>
      </c>
      <c r="CE860">
        <v>91</v>
      </c>
      <c r="CF860">
        <v>80</v>
      </c>
      <c r="CG860">
        <v>86</v>
      </c>
      <c r="CH860">
        <v>53</v>
      </c>
      <c r="CI860">
        <f t="shared" si="92"/>
        <v>2019</v>
      </c>
      <c r="CJ860" t="str">
        <f t="shared" si="93"/>
        <v>6002_2019</v>
      </c>
    </row>
    <row r="861" spans="1:88" x14ac:dyDescent="0.25">
      <c r="A861" t="s">
        <v>111</v>
      </c>
      <c r="B861" t="s">
        <v>129</v>
      </c>
      <c r="C861">
        <v>6002</v>
      </c>
      <c r="D861">
        <v>-37.880000000000003</v>
      </c>
      <c r="E861">
        <v>144.80099999999999</v>
      </c>
      <c r="F861">
        <v>3</v>
      </c>
      <c r="G861" t="s">
        <v>343</v>
      </c>
      <c r="H861">
        <v>98</v>
      </c>
      <c r="I861">
        <v>278</v>
      </c>
      <c r="J861">
        <v>236</v>
      </c>
      <c r="K861">
        <v>56</v>
      </c>
      <c r="L861">
        <v>288</v>
      </c>
      <c r="M861">
        <v>108</v>
      </c>
      <c r="T861">
        <v>384</v>
      </c>
      <c r="U861">
        <v>81</v>
      </c>
      <c r="Y861">
        <v>413</v>
      </c>
      <c r="Z861">
        <v>29</v>
      </c>
      <c r="AD861">
        <v>99</v>
      </c>
      <c r="AE861">
        <v>17</v>
      </c>
      <c r="AX861">
        <v>465</v>
      </c>
      <c r="AY861">
        <v>512</v>
      </c>
      <c r="AZ861">
        <v>977</v>
      </c>
      <c r="BA861">
        <v>442</v>
      </c>
      <c r="BB861">
        <v>401</v>
      </c>
      <c r="BC861">
        <v>843</v>
      </c>
      <c r="BD861">
        <v>116</v>
      </c>
      <c r="BE861">
        <v>110</v>
      </c>
      <c r="BF861">
        <v>226</v>
      </c>
      <c r="BP861">
        <v>635</v>
      </c>
      <c r="BR861">
        <v>259</v>
      </c>
      <c r="BS861">
        <v>68</v>
      </c>
      <c r="BT861">
        <v>50</v>
      </c>
      <c r="BV861">
        <v>11</v>
      </c>
      <c r="BW861">
        <v>1023</v>
      </c>
      <c r="BX861">
        <f t="shared" si="97"/>
        <v>310</v>
      </c>
      <c r="BY861" s="5">
        <f t="shared" si="96"/>
        <v>2.2999999999999998</v>
      </c>
      <c r="BZ861" s="6">
        <f t="shared" si="94"/>
        <v>2.2999999999999998</v>
      </c>
      <c r="CA861" s="7">
        <v>44143</v>
      </c>
      <c r="CE861">
        <v>326</v>
      </c>
      <c r="CF861">
        <v>226</v>
      </c>
      <c r="CG861">
        <v>228</v>
      </c>
      <c r="CH861">
        <v>243</v>
      </c>
      <c r="CI861">
        <f t="shared" si="92"/>
        <v>2020</v>
      </c>
      <c r="CJ861" t="str">
        <f t="shared" si="93"/>
        <v>6002_2020</v>
      </c>
    </row>
    <row r="862" spans="1:88" x14ac:dyDescent="0.25">
      <c r="A862" t="s">
        <v>111</v>
      </c>
      <c r="B862" t="s">
        <v>129</v>
      </c>
      <c r="C862">
        <v>6002</v>
      </c>
      <c r="D862">
        <v>-37.879969000000003</v>
      </c>
      <c r="E862">
        <v>144.801006</v>
      </c>
      <c r="F862">
        <v>3</v>
      </c>
      <c r="G862" t="s">
        <v>343</v>
      </c>
      <c r="H862">
        <v>98</v>
      </c>
      <c r="I862">
        <v>278</v>
      </c>
      <c r="J862">
        <v>236</v>
      </c>
      <c r="K862">
        <v>56</v>
      </c>
      <c r="L862">
        <v>288</v>
      </c>
      <c r="M862">
        <v>108</v>
      </c>
      <c r="T862">
        <v>231</v>
      </c>
      <c r="U862">
        <v>21</v>
      </c>
      <c r="Y862">
        <v>231</v>
      </c>
      <c r="Z862">
        <v>12</v>
      </c>
      <c r="AD862">
        <v>48</v>
      </c>
      <c r="AE862">
        <v>5</v>
      </c>
      <c r="AX862">
        <v>252</v>
      </c>
      <c r="AY862">
        <v>279</v>
      </c>
      <c r="AZ862">
        <v>531</v>
      </c>
      <c r="BA862">
        <v>243</v>
      </c>
      <c r="BB862">
        <v>236</v>
      </c>
      <c r="BC862">
        <v>479</v>
      </c>
      <c r="BD862">
        <v>53</v>
      </c>
      <c r="BE862">
        <v>33</v>
      </c>
      <c r="BF862">
        <v>86</v>
      </c>
      <c r="BP862">
        <v>355</v>
      </c>
      <c r="BR862">
        <v>126</v>
      </c>
      <c r="BS862">
        <v>40</v>
      </c>
      <c r="BT862">
        <v>24</v>
      </c>
      <c r="BV862">
        <v>3</v>
      </c>
      <c r="BW862">
        <v>548</v>
      </c>
      <c r="BX862">
        <f t="shared" si="97"/>
        <v>1023</v>
      </c>
      <c r="BY862" s="5">
        <f t="shared" si="96"/>
        <v>-0.46432062561094817</v>
      </c>
      <c r="BZ862" s="6">
        <f t="shared" si="94"/>
        <v>-0.46432062561094817</v>
      </c>
      <c r="CA862" s="7">
        <v>44528</v>
      </c>
      <c r="CE862">
        <v>191</v>
      </c>
      <c r="CF862">
        <v>189</v>
      </c>
      <c r="CG862">
        <v>168</v>
      </c>
      <c r="CI862">
        <f t="shared" si="92"/>
        <v>2021</v>
      </c>
      <c r="CJ862" t="str">
        <f t="shared" si="93"/>
        <v>6002_2021</v>
      </c>
    </row>
    <row r="863" spans="1:88" x14ac:dyDescent="0.25">
      <c r="A863" t="s">
        <v>111</v>
      </c>
      <c r="B863" t="s">
        <v>129</v>
      </c>
      <c r="C863">
        <v>6003</v>
      </c>
      <c r="D863">
        <v>-37.894399999999997</v>
      </c>
      <c r="E863">
        <v>144.78229999999999</v>
      </c>
      <c r="F863">
        <v>3</v>
      </c>
      <c r="G863" t="s">
        <v>344</v>
      </c>
      <c r="H863">
        <v>76</v>
      </c>
      <c r="I863">
        <v>256</v>
      </c>
      <c r="J863">
        <v>203</v>
      </c>
      <c r="K863">
        <v>23</v>
      </c>
      <c r="L863">
        <v>339</v>
      </c>
      <c r="M863">
        <v>159</v>
      </c>
      <c r="T863">
        <v>75</v>
      </c>
      <c r="U863">
        <v>46</v>
      </c>
      <c r="Y863">
        <v>66</v>
      </c>
      <c r="Z863">
        <v>35</v>
      </c>
      <c r="AD863">
        <v>85</v>
      </c>
      <c r="AE863">
        <v>39</v>
      </c>
      <c r="AX863">
        <v>121</v>
      </c>
      <c r="AY863">
        <v>151</v>
      </c>
      <c r="AZ863">
        <v>272</v>
      </c>
      <c r="BA863">
        <v>101</v>
      </c>
      <c r="BB863">
        <v>114</v>
      </c>
      <c r="BC863">
        <v>215</v>
      </c>
      <c r="BD863">
        <v>124</v>
      </c>
      <c r="BE863">
        <v>81</v>
      </c>
      <c r="BF863">
        <v>205</v>
      </c>
      <c r="BP863">
        <v>225</v>
      </c>
      <c r="BR863">
        <v>58</v>
      </c>
      <c r="BS863">
        <v>32</v>
      </c>
      <c r="BT863">
        <v>21</v>
      </c>
      <c r="BV863">
        <v>10</v>
      </c>
      <c r="BW863">
        <v>346</v>
      </c>
      <c r="BX863" t="s">
        <v>82</v>
      </c>
      <c r="BY863" s="5"/>
      <c r="BZ863" s="6"/>
      <c r="CA863" s="7">
        <v>41224</v>
      </c>
      <c r="CI863">
        <f t="shared" si="92"/>
        <v>2012</v>
      </c>
      <c r="CJ863" t="str">
        <f t="shared" si="93"/>
        <v>6003_2012</v>
      </c>
    </row>
    <row r="864" spans="1:88" x14ac:dyDescent="0.25">
      <c r="A864" t="s">
        <v>111</v>
      </c>
      <c r="B864" t="s">
        <v>129</v>
      </c>
      <c r="C864">
        <v>6003</v>
      </c>
      <c r="D864">
        <v>-37.894399999999997</v>
      </c>
      <c r="E864">
        <v>144.78229999999999</v>
      </c>
      <c r="F864">
        <v>3</v>
      </c>
      <c r="G864" t="s">
        <v>344</v>
      </c>
      <c r="H864">
        <v>76</v>
      </c>
      <c r="I864">
        <v>256</v>
      </c>
      <c r="J864">
        <v>203</v>
      </c>
      <c r="K864">
        <v>23</v>
      </c>
      <c r="L864">
        <v>339</v>
      </c>
      <c r="M864">
        <v>159</v>
      </c>
      <c r="T864">
        <v>43</v>
      </c>
      <c r="U864">
        <v>24</v>
      </c>
      <c r="Y864">
        <v>52</v>
      </c>
      <c r="Z864">
        <v>21</v>
      </c>
      <c r="AD864">
        <v>36</v>
      </c>
      <c r="AE864">
        <v>15</v>
      </c>
      <c r="AX864">
        <v>67</v>
      </c>
      <c r="AY864">
        <v>88</v>
      </c>
      <c r="AZ864">
        <v>155</v>
      </c>
      <c r="BA864">
        <v>73</v>
      </c>
      <c r="BB864">
        <v>58</v>
      </c>
      <c r="BC864">
        <v>131</v>
      </c>
      <c r="BD864">
        <v>51</v>
      </c>
      <c r="BE864">
        <v>45</v>
      </c>
      <c r="BF864">
        <v>96</v>
      </c>
      <c r="BP864">
        <v>96</v>
      </c>
      <c r="BR864">
        <v>39</v>
      </c>
      <c r="BS864">
        <v>28</v>
      </c>
      <c r="BT864">
        <v>26</v>
      </c>
      <c r="BV864">
        <v>2</v>
      </c>
      <c r="BW864">
        <v>191</v>
      </c>
      <c r="BX864">
        <f t="shared" ref="BX864:BX872" si="98">IF(C864=C863,IF((CI864-1)=CI863,BW863,"no data"))</f>
        <v>346</v>
      </c>
      <c r="BY864" s="5">
        <f t="shared" si="96"/>
        <v>-0.44797687861271679</v>
      </c>
      <c r="BZ864" s="6">
        <f t="shared" si="94"/>
        <v>-0.44797687861271679</v>
      </c>
      <c r="CA864" s="7">
        <v>41588</v>
      </c>
      <c r="CI864">
        <f t="shared" si="92"/>
        <v>2013</v>
      </c>
      <c r="CJ864" t="str">
        <f t="shared" si="93"/>
        <v>6003_2013</v>
      </c>
    </row>
    <row r="865" spans="1:88" x14ac:dyDescent="0.25">
      <c r="A865" t="s">
        <v>111</v>
      </c>
      <c r="B865" t="s">
        <v>129</v>
      </c>
      <c r="C865">
        <v>6003</v>
      </c>
      <c r="D865">
        <v>-37.894399999999997</v>
      </c>
      <c r="E865">
        <v>144.78229999999999</v>
      </c>
      <c r="F865">
        <v>3</v>
      </c>
      <c r="G865" t="s">
        <v>344</v>
      </c>
      <c r="H865">
        <v>76</v>
      </c>
      <c r="I865">
        <v>256</v>
      </c>
      <c r="J865">
        <v>203</v>
      </c>
      <c r="K865">
        <v>23</v>
      </c>
      <c r="L865">
        <v>339</v>
      </c>
      <c r="M865">
        <v>159</v>
      </c>
      <c r="T865">
        <v>93</v>
      </c>
      <c r="U865">
        <v>41</v>
      </c>
      <c r="Y865">
        <v>115</v>
      </c>
      <c r="Z865">
        <v>19</v>
      </c>
      <c r="AD865">
        <v>77</v>
      </c>
      <c r="AE865">
        <v>21</v>
      </c>
      <c r="AX865">
        <v>134</v>
      </c>
      <c r="AY865">
        <v>192</v>
      </c>
      <c r="AZ865">
        <v>326</v>
      </c>
      <c r="BA865">
        <v>134</v>
      </c>
      <c r="BB865">
        <v>114</v>
      </c>
      <c r="BC865">
        <v>248</v>
      </c>
      <c r="BD865">
        <v>98</v>
      </c>
      <c r="BE865">
        <v>60</v>
      </c>
      <c r="BF865">
        <v>158</v>
      </c>
      <c r="BP865">
        <v>232</v>
      </c>
      <c r="BR865">
        <v>60</v>
      </c>
      <c r="BS865">
        <v>34</v>
      </c>
      <c r="BT865">
        <v>29</v>
      </c>
      <c r="BV865">
        <v>11</v>
      </c>
      <c r="BW865">
        <v>366</v>
      </c>
      <c r="BX865">
        <f t="shared" si="98"/>
        <v>191</v>
      </c>
      <c r="BY865" s="5">
        <f t="shared" si="96"/>
        <v>0.91623036649214662</v>
      </c>
      <c r="BZ865" s="6">
        <f t="shared" si="94"/>
        <v>0.91623036649214662</v>
      </c>
      <c r="CA865" s="7">
        <v>41952</v>
      </c>
      <c r="CI865">
        <f t="shared" si="92"/>
        <v>2014</v>
      </c>
      <c r="CJ865" t="str">
        <f t="shared" si="93"/>
        <v>6003_2014</v>
      </c>
    </row>
    <row r="866" spans="1:88" x14ac:dyDescent="0.25">
      <c r="A866" t="s">
        <v>111</v>
      </c>
      <c r="B866" t="s">
        <v>129</v>
      </c>
      <c r="C866">
        <v>6003</v>
      </c>
      <c r="D866">
        <v>-37.894399999999997</v>
      </c>
      <c r="E866">
        <v>144.78229999999999</v>
      </c>
      <c r="F866">
        <v>3</v>
      </c>
      <c r="G866" t="s">
        <v>344</v>
      </c>
      <c r="H866">
        <v>76</v>
      </c>
      <c r="I866">
        <v>256</v>
      </c>
      <c r="J866">
        <v>203</v>
      </c>
      <c r="K866">
        <v>23</v>
      </c>
      <c r="L866">
        <v>339</v>
      </c>
      <c r="M866">
        <v>159</v>
      </c>
      <c r="T866">
        <v>103</v>
      </c>
      <c r="U866">
        <v>66</v>
      </c>
      <c r="Y866">
        <v>130</v>
      </c>
      <c r="Z866">
        <v>45</v>
      </c>
      <c r="AD866">
        <v>94</v>
      </c>
      <c r="AE866">
        <v>44</v>
      </c>
      <c r="AX866">
        <v>169</v>
      </c>
      <c r="AY866">
        <v>224</v>
      </c>
      <c r="AZ866">
        <v>393</v>
      </c>
      <c r="BA866">
        <v>175</v>
      </c>
      <c r="BB866">
        <v>147</v>
      </c>
      <c r="BC866">
        <v>322</v>
      </c>
      <c r="BD866">
        <v>138</v>
      </c>
      <c r="BE866">
        <v>111</v>
      </c>
      <c r="BF866">
        <v>249</v>
      </c>
      <c r="BP866">
        <v>327</v>
      </c>
      <c r="BR866">
        <v>80</v>
      </c>
      <c r="BS866">
        <v>23</v>
      </c>
      <c r="BT866">
        <v>36</v>
      </c>
      <c r="BV866">
        <v>16</v>
      </c>
      <c r="BW866">
        <v>482</v>
      </c>
      <c r="BX866">
        <f t="shared" si="98"/>
        <v>366</v>
      </c>
      <c r="BY866" s="5">
        <f t="shared" si="96"/>
        <v>0.31693989071038253</v>
      </c>
      <c r="BZ866" s="6">
        <f t="shared" si="94"/>
        <v>0.31693989071038253</v>
      </c>
      <c r="CA866" s="7">
        <v>42316</v>
      </c>
      <c r="CE866">
        <v>146</v>
      </c>
      <c r="CF866">
        <v>117</v>
      </c>
      <c r="CG866">
        <v>106</v>
      </c>
      <c r="CH866">
        <v>113</v>
      </c>
      <c r="CI866">
        <f t="shared" si="92"/>
        <v>2015</v>
      </c>
      <c r="CJ866" t="str">
        <f t="shared" si="93"/>
        <v>6003_2015</v>
      </c>
    </row>
    <row r="867" spans="1:88" x14ac:dyDescent="0.25">
      <c r="A867" t="s">
        <v>111</v>
      </c>
      <c r="B867" t="s">
        <v>129</v>
      </c>
      <c r="C867">
        <v>6003</v>
      </c>
      <c r="D867">
        <v>-37.89443</v>
      </c>
      <c r="E867">
        <v>144.78228899999999</v>
      </c>
      <c r="F867">
        <v>3</v>
      </c>
      <c r="G867" t="s">
        <v>344</v>
      </c>
      <c r="H867">
        <v>76</v>
      </c>
      <c r="I867">
        <v>256</v>
      </c>
      <c r="J867">
        <v>203</v>
      </c>
      <c r="K867">
        <v>23</v>
      </c>
      <c r="L867">
        <v>339</v>
      </c>
      <c r="M867">
        <v>159</v>
      </c>
      <c r="T867">
        <v>27</v>
      </c>
      <c r="U867">
        <v>24</v>
      </c>
      <c r="Y867">
        <v>12</v>
      </c>
      <c r="Z867">
        <v>10</v>
      </c>
      <c r="AD867">
        <v>28</v>
      </c>
      <c r="AE867">
        <v>20</v>
      </c>
      <c r="AX867">
        <v>51</v>
      </c>
      <c r="AY867">
        <v>40</v>
      </c>
      <c r="AZ867">
        <v>91</v>
      </c>
      <c r="BA867">
        <v>22</v>
      </c>
      <c r="BB867">
        <v>47</v>
      </c>
      <c r="BC867">
        <v>69</v>
      </c>
      <c r="BD867">
        <v>48</v>
      </c>
      <c r="BE867">
        <v>34</v>
      </c>
      <c r="BF867">
        <v>82</v>
      </c>
      <c r="BP867">
        <v>46</v>
      </c>
      <c r="BR867">
        <v>37</v>
      </c>
      <c r="BS867">
        <v>21</v>
      </c>
      <c r="BT867">
        <v>17</v>
      </c>
      <c r="BV867">
        <v>0</v>
      </c>
      <c r="BW867">
        <v>121</v>
      </c>
      <c r="BX867">
        <f t="shared" si="98"/>
        <v>482</v>
      </c>
      <c r="BY867" s="5">
        <f t="shared" si="96"/>
        <v>-0.74896265560165975</v>
      </c>
      <c r="BZ867" s="6">
        <f t="shared" si="94"/>
        <v>-0.74896265560165975</v>
      </c>
      <c r="CA867" s="7">
        <v>42687</v>
      </c>
      <c r="CE867">
        <v>44</v>
      </c>
      <c r="CF867">
        <v>41</v>
      </c>
      <c r="CG867">
        <v>22</v>
      </c>
      <c r="CH867">
        <v>14</v>
      </c>
      <c r="CI867">
        <f t="shared" si="92"/>
        <v>2016</v>
      </c>
      <c r="CJ867" t="str">
        <f t="shared" si="93"/>
        <v>6003_2016</v>
      </c>
    </row>
    <row r="868" spans="1:88" x14ac:dyDescent="0.25">
      <c r="A868" t="s">
        <v>111</v>
      </c>
      <c r="B868" t="s">
        <v>129</v>
      </c>
      <c r="C868">
        <v>6003</v>
      </c>
      <c r="D868">
        <v>-37.89443</v>
      </c>
      <c r="E868">
        <v>144.78228899999999</v>
      </c>
      <c r="F868">
        <v>3</v>
      </c>
      <c r="G868" t="s">
        <v>344</v>
      </c>
      <c r="H868">
        <v>76</v>
      </c>
      <c r="I868">
        <v>256</v>
      </c>
      <c r="J868">
        <v>203</v>
      </c>
      <c r="K868">
        <v>23</v>
      </c>
      <c r="L868">
        <v>339</v>
      </c>
      <c r="M868">
        <v>159</v>
      </c>
      <c r="T868">
        <v>65</v>
      </c>
      <c r="U868">
        <v>61</v>
      </c>
      <c r="Y868">
        <v>65</v>
      </c>
      <c r="Z868">
        <v>30</v>
      </c>
      <c r="AD868">
        <v>87</v>
      </c>
      <c r="AE868">
        <v>34</v>
      </c>
      <c r="AX868">
        <v>126</v>
      </c>
      <c r="AY868">
        <v>152</v>
      </c>
      <c r="AZ868">
        <v>278</v>
      </c>
      <c r="BA868">
        <v>95</v>
      </c>
      <c r="BB868">
        <v>99</v>
      </c>
      <c r="BC868">
        <v>194</v>
      </c>
      <c r="BD868">
        <v>121</v>
      </c>
      <c r="BE868">
        <v>91</v>
      </c>
      <c r="BF868">
        <v>212</v>
      </c>
      <c r="BP868">
        <v>251</v>
      </c>
      <c r="BR868">
        <v>51</v>
      </c>
      <c r="BS868">
        <v>18</v>
      </c>
      <c r="BT868">
        <v>16</v>
      </c>
      <c r="BV868">
        <v>6</v>
      </c>
      <c r="BW868">
        <v>342</v>
      </c>
      <c r="BX868">
        <f t="shared" si="98"/>
        <v>121</v>
      </c>
      <c r="BY868" s="5">
        <f t="shared" si="96"/>
        <v>1.8264462809917354</v>
      </c>
      <c r="BZ868" s="6">
        <f t="shared" si="94"/>
        <v>1.8264462809917354</v>
      </c>
      <c r="CA868" s="7">
        <v>43051</v>
      </c>
      <c r="CE868">
        <v>108</v>
      </c>
      <c r="CF868">
        <v>81</v>
      </c>
      <c r="CG868">
        <v>80</v>
      </c>
      <c r="CH868">
        <v>73</v>
      </c>
      <c r="CI868">
        <f t="shared" si="92"/>
        <v>2017</v>
      </c>
      <c r="CJ868" t="str">
        <f t="shared" si="93"/>
        <v>6003_2017</v>
      </c>
    </row>
    <row r="869" spans="1:88" x14ac:dyDescent="0.25">
      <c r="A869" t="s">
        <v>111</v>
      </c>
      <c r="B869" t="s">
        <v>129</v>
      </c>
      <c r="C869">
        <v>6003</v>
      </c>
      <c r="D869">
        <v>-37.89443</v>
      </c>
      <c r="E869">
        <v>144.78228899999999</v>
      </c>
      <c r="F869">
        <v>3</v>
      </c>
      <c r="G869" t="s">
        <v>344</v>
      </c>
      <c r="H869">
        <v>76</v>
      </c>
      <c r="I869">
        <v>256</v>
      </c>
      <c r="J869">
        <v>203</v>
      </c>
      <c r="K869">
        <v>23</v>
      </c>
      <c r="L869">
        <v>339</v>
      </c>
      <c r="M869">
        <v>159</v>
      </c>
      <c r="T869">
        <v>98</v>
      </c>
      <c r="U869">
        <v>46</v>
      </c>
      <c r="Y869">
        <v>95</v>
      </c>
      <c r="Z869">
        <v>45</v>
      </c>
      <c r="AD869">
        <v>61</v>
      </c>
      <c r="AE869">
        <v>52</v>
      </c>
      <c r="AX869">
        <v>144</v>
      </c>
      <c r="AY869">
        <v>156</v>
      </c>
      <c r="AZ869">
        <v>300</v>
      </c>
      <c r="BA869">
        <v>140</v>
      </c>
      <c r="BB869">
        <v>150</v>
      </c>
      <c r="BC869">
        <v>290</v>
      </c>
      <c r="BD869">
        <v>113</v>
      </c>
      <c r="BE869">
        <v>91</v>
      </c>
      <c r="BF869">
        <v>204</v>
      </c>
      <c r="BP869">
        <v>258</v>
      </c>
      <c r="BR869">
        <v>91</v>
      </c>
      <c r="BS869">
        <v>24</v>
      </c>
      <c r="BT869">
        <v>18</v>
      </c>
      <c r="BV869">
        <v>6</v>
      </c>
      <c r="BW869">
        <v>397</v>
      </c>
      <c r="BX869">
        <f t="shared" si="98"/>
        <v>342</v>
      </c>
      <c r="BY869" s="5">
        <f t="shared" si="96"/>
        <v>0.16081871345029239</v>
      </c>
      <c r="BZ869" s="6">
        <f t="shared" si="94"/>
        <v>0.16081871345029239</v>
      </c>
      <c r="CA869" s="7">
        <v>43415</v>
      </c>
      <c r="CE869">
        <v>117</v>
      </c>
      <c r="CF869">
        <v>99</v>
      </c>
      <c r="CG869">
        <v>91</v>
      </c>
      <c r="CH869">
        <v>90</v>
      </c>
      <c r="CI869">
        <f t="shared" si="92"/>
        <v>2018</v>
      </c>
      <c r="CJ869" t="str">
        <f t="shared" si="93"/>
        <v>6003_2018</v>
      </c>
    </row>
    <row r="870" spans="1:88" x14ac:dyDescent="0.25">
      <c r="A870" t="s">
        <v>111</v>
      </c>
      <c r="B870" t="s">
        <v>129</v>
      </c>
      <c r="C870">
        <v>6003</v>
      </c>
      <c r="D870">
        <v>-37.894399999999997</v>
      </c>
      <c r="E870">
        <v>144.78229999999999</v>
      </c>
      <c r="F870">
        <v>3</v>
      </c>
      <c r="G870" t="s">
        <v>344</v>
      </c>
      <c r="H870">
        <v>76</v>
      </c>
      <c r="I870">
        <v>256</v>
      </c>
      <c r="J870">
        <v>203</v>
      </c>
      <c r="K870">
        <v>23</v>
      </c>
      <c r="L870">
        <v>339</v>
      </c>
      <c r="M870">
        <v>159</v>
      </c>
      <c r="T870">
        <v>59</v>
      </c>
      <c r="U870">
        <v>27</v>
      </c>
      <c r="Y870">
        <v>56</v>
      </c>
      <c r="Z870">
        <v>23</v>
      </c>
      <c r="AD870">
        <v>31</v>
      </c>
      <c r="AE870">
        <v>22</v>
      </c>
      <c r="AX870">
        <v>86</v>
      </c>
      <c r="AY870">
        <v>87</v>
      </c>
      <c r="AZ870">
        <v>173</v>
      </c>
      <c r="BA870">
        <v>79</v>
      </c>
      <c r="BB870">
        <v>81</v>
      </c>
      <c r="BC870">
        <v>160</v>
      </c>
      <c r="BD870">
        <v>53</v>
      </c>
      <c r="BE870">
        <v>50</v>
      </c>
      <c r="BF870">
        <v>103</v>
      </c>
      <c r="BP870">
        <v>150</v>
      </c>
      <c r="BR870">
        <v>29</v>
      </c>
      <c r="BS870">
        <v>10</v>
      </c>
      <c r="BT870">
        <v>26</v>
      </c>
      <c r="BV870">
        <v>3</v>
      </c>
      <c r="BW870">
        <v>218</v>
      </c>
      <c r="BX870">
        <f t="shared" si="98"/>
        <v>397</v>
      </c>
      <c r="BY870" s="5">
        <f t="shared" si="96"/>
        <v>-0.45088161209068012</v>
      </c>
      <c r="BZ870" s="6">
        <f t="shared" si="94"/>
        <v>-0.45088161209068012</v>
      </c>
      <c r="CA870" s="7">
        <v>43779</v>
      </c>
      <c r="CE870">
        <v>43</v>
      </c>
      <c r="CF870">
        <v>60</v>
      </c>
      <c r="CG870">
        <v>71</v>
      </c>
      <c r="CH870">
        <v>44</v>
      </c>
      <c r="CI870">
        <f t="shared" si="92"/>
        <v>2019</v>
      </c>
      <c r="CJ870" t="str">
        <f t="shared" si="93"/>
        <v>6003_2019</v>
      </c>
    </row>
    <row r="871" spans="1:88" x14ac:dyDescent="0.25">
      <c r="A871" t="s">
        <v>111</v>
      </c>
      <c r="B871" t="s">
        <v>129</v>
      </c>
      <c r="C871">
        <v>6003</v>
      </c>
      <c r="D871">
        <v>-37.894399999999997</v>
      </c>
      <c r="E871">
        <v>144.78229999999999</v>
      </c>
      <c r="F871">
        <v>3</v>
      </c>
      <c r="G871" t="s">
        <v>344</v>
      </c>
      <c r="H871">
        <v>76</v>
      </c>
      <c r="I871">
        <v>256</v>
      </c>
      <c r="J871">
        <v>203</v>
      </c>
      <c r="K871">
        <v>23</v>
      </c>
      <c r="L871">
        <v>339</v>
      </c>
      <c r="M871">
        <v>159</v>
      </c>
      <c r="T871">
        <v>209</v>
      </c>
      <c r="U871">
        <v>136</v>
      </c>
      <c r="Y871">
        <v>221</v>
      </c>
      <c r="Z871">
        <v>95</v>
      </c>
      <c r="AD871">
        <v>145</v>
      </c>
      <c r="AE871">
        <v>94</v>
      </c>
      <c r="AX871">
        <v>345</v>
      </c>
      <c r="AY871">
        <v>366</v>
      </c>
      <c r="AZ871">
        <v>711</v>
      </c>
      <c r="BA871">
        <v>316</v>
      </c>
      <c r="BB871">
        <v>303</v>
      </c>
      <c r="BC871">
        <v>619</v>
      </c>
      <c r="BD871">
        <v>239</v>
      </c>
      <c r="BE871">
        <v>231</v>
      </c>
      <c r="BF871">
        <v>470</v>
      </c>
      <c r="BP871">
        <v>658</v>
      </c>
      <c r="BR871">
        <v>156</v>
      </c>
      <c r="BS871">
        <v>50</v>
      </c>
      <c r="BT871">
        <v>24</v>
      </c>
      <c r="BV871">
        <v>12</v>
      </c>
      <c r="BW871">
        <v>900</v>
      </c>
      <c r="BX871">
        <f t="shared" si="98"/>
        <v>218</v>
      </c>
      <c r="BY871" s="5">
        <f t="shared" si="96"/>
        <v>3.1284403669724772</v>
      </c>
      <c r="BZ871" s="6">
        <f t="shared" si="94"/>
        <v>3.1284403669724772</v>
      </c>
      <c r="CA871" s="7">
        <v>44143</v>
      </c>
      <c r="CE871">
        <v>272</v>
      </c>
      <c r="CF871">
        <v>223</v>
      </c>
      <c r="CG871">
        <v>212</v>
      </c>
      <c r="CH871">
        <v>193</v>
      </c>
      <c r="CI871">
        <f t="shared" si="92"/>
        <v>2020</v>
      </c>
      <c r="CJ871" t="str">
        <f t="shared" si="93"/>
        <v>6003_2020</v>
      </c>
    </row>
    <row r="872" spans="1:88" x14ac:dyDescent="0.25">
      <c r="A872" t="s">
        <v>111</v>
      </c>
      <c r="B872" t="s">
        <v>129</v>
      </c>
      <c r="C872">
        <v>6003</v>
      </c>
      <c r="D872">
        <v>-37.89443</v>
      </c>
      <c r="E872">
        <v>144.78228899999999</v>
      </c>
      <c r="F872">
        <v>3</v>
      </c>
      <c r="G872" t="s">
        <v>344</v>
      </c>
      <c r="H872">
        <v>76</v>
      </c>
      <c r="I872">
        <v>256</v>
      </c>
      <c r="J872">
        <v>203</v>
      </c>
      <c r="K872">
        <v>23</v>
      </c>
      <c r="L872">
        <v>339</v>
      </c>
      <c r="M872">
        <v>159</v>
      </c>
      <c r="T872">
        <v>110</v>
      </c>
      <c r="U872">
        <v>67</v>
      </c>
      <c r="Y872">
        <v>109</v>
      </c>
      <c r="Z872">
        <v>64</v>
      </c>
      <c r="AD872">
        <v>50</v>
      </c>
      <c r="AE872">
        <v>61</v>
      </c>
      <c r="AX872">
        <v>177</v>
      </c>
      <c r="AY872">
        <v>159</v>
      </c>
      <c r="AZ872">
        <v>336</v>
      </c>
      <c r="BA872">
        <v>173</v>
      </c>
      <c r="BB872">
        <v>171</v>
      </c>
      <c r="BC872">
        <v>344</v>
      </c>
      <c r="BD872">
        <v>111</v>
      </c>
      <c r="BE872">
        <v>131</v>
      </c>
      <c r="BF872">
        <v>242</v>
      </c>
      <c r="BP872">
        <v>362</v>
      </c>
      <c r="BR872">
        <v>49</v>
      </c>
      <c r="BS872">
        <v>36</v>
      </c>
      <c r="BT872">
        <v>6</v>
      </c>
      <c r="BV872">
        <v>8</v>
      </c>
      <c r="BW872">
        <v>461</v>
      </c>
      <c r="BX872">
        <f t="shared" si="98"/>
        <v>900</v>
      </c>
      <c r="BY872" s="5">
        <f t="shared" si="96"/>
        <v>-0.48777777777777775</v>
      </c>
      <c r="BZ872" s="6">
        <f t="shared" si="94"/>
        <v>-0.48777777777777775</v>
      </c>
      <c r="CA872" s="7">
        <v>44528</v>
      </c>
      <c r="CE872">
        <v>169</v>
      </c>
      <c r="CF872">
        <v>179</v>
      </c>
      <c r="CG872">
        <v>113</v>
      </c>
      <c r="CI872">
        <f t="shared" si="92"/>
        <v>2021</v>
      </c>
      <c r="CJ872" t="str">
        <f t="shared" si="93"/>
        <v>6003_2021</v>
      </c>
    </row>
    <row r="873" spans="1:88" x14ac:dyDescent="0.25">
      <c r="A873" t="s">
        <v>111</v>
      </c>
      <c r="B873" t="s">
        <v>129</v>
      </c>
      <c r="C873">
        <v>6004</v>
      </c>
      <c r="D873">
        <v>-37.875799999999998</v>
      </c>
      <c r="E873">
        <v>144.76570000000001</v>
      </c>
      <c r="F873">
        <v>4</v>
      </c>
      <c r="G873" t="s">
        <v>345</v>
      </c>
      <c r="H873">
        <v>105</v>
      </c>
      <c r="I873">
        <v>285</v>
      </c>
      <c r="J873">
        <v>149</v>
      </c>
      <c r="K873">
        <v>329</v>
      </c>
      <c r="L873">
        <v>257</v>
      </c>
      <c r="M873">
        <v>77</v>
      </c>
      <c r="N873">
        <v>340</v>
      </c>
      <c r="O873">
        <v>160</v>
      </c>
      <c r="T873">
        <v>1</v>
      </c>
      <c r="U873">
        <v>15</v>
      </c>
      <c r="V873">
        <v>11</v>
      </c>
      <c r="Y873">
        <v>0</v>
      </c>
      <c r="Z873">
        <v>18</v>
      </c>
      <c r="AA873">
        <v>8</v>
      </c>
      <c r="AD873">
        <v>11</v>
      </c>
      <c r="AE873">
        <v>11</v>
      </c>
      <c r="AF873">
        <v>6</v>
      </c>
      <c r="AI873">
        <v>6</v>
      </c>
      <c r="AJ873">
        <v>15</v>
      </c>
      <c r="AK873">
        <v>7</v>
      </c>
      <c r="AX873">
        <v>27</v>
      </c>
      <c r="AY873">
        <v>17</v>
      </c>
      <c r="AZ873">
        <v>44</v>
      </c>
      <c r="BA873">
        <v>26</v>
      </c>
      <c r="BB873">
        <v>27</v>
      </c>
      <c r="BC873">
        <v>53</v>
      </c>
      <c r="BD873">
        <v>28</v>
      </c>
      <c r="BE873">
        <v>40</v>
      </c>
      <c r="BF873">
        <v>68</v>
      </c>
      <c r="BG873">
        <v>28</v>
      </c>
      <c r="BH873">
        <v>25</v>
      </c>
      <c r="BI873">
        <v>53</v>
      </c>
      <c r="BP873">
        <v>26</v>
      </c>
      <c r="BR873">
        <v>56</v>
      </c>
      <c r="BS873">
        <v>7</v>
      </c>
      <c r="BT873">
        <v>20</v>
      </c>
      <c r="BV873">
        <v>0</v>
      </c>
      <c r="BW873">
        <v>109</v>
      </c>
      <c r="BX873" t="s">
        <v>82</v>
      </c>
      <c r="BY873" s="5"/>
      <c r="BZ873" s="6"/>
      <c r="CA873" s="7">
        <v>41588</v>
      </c>
      <c r="CI873">
        <f t="shared" si="92"/>
        <v>2013</v>
      </c>
      <c r="CJ873" t="str">
        <f t="shared" si="93"/>
        <v>6004_2013</v>
      </c>
    </row>
    <row r="874" spans="1:88" x14ac:dyDescent="0.25">
      <c r="A874" t="s">
        <v>111</v>
      </c>
      <c r="B874" t="s">
        <v>129</v>
      </c>
      <c r="C874">
        <v>6004</v>
      </c>
      <c r="D874">
        <v>-37.875799999999998</v>
      </c>
      <c r="E874">
        <v>144.76570000000001</v>
      </c>
      <c r="F874">
        <v>4</v>
      </c>
      <c r="G874" t="s">
        <v>345</v>
      </c>
      <c r="H874">
        <v>105</v>
      </c>
      <c r="I874">
        <v>285</v>
      </c>
      <c r="J874">
        <v>149</v>
      </c>
      <c r="K874">
        <v>329</v>
      </c>
      <c r="L874">
        <v>257</v>
      </c>
      <c r="M874">
        <v>77</v>
      </c>
      <c r="N874">
        <v>340</v>
      </c>
      <c r="O874">
        <v>160</v>
      </c>
      <c r="T874">
        <v>0</v>
      </c>
      <c r="U874">
        <v>24</v>
      </c>
      <c r="V874">
        <v>18</v>
      </c>
      <c r="Y874">
        <v>0</v>
      </c>
      <c r="Z874">
        <v>27</v>
      </c>
      <c r="AA874">
        <v>26</v>
      </c>
      <c r="AD874">
        <v>19</v>
      </c>
      <c r="AE874">
        <v>37</v>
      </c>
      <c r="AF874">
        <v>21</v>
      </c>
      <c r="AI874">
        <v>9</v>
      </c>
      <c r="AJ874">
        <v>35</v>
      </c>
      <c r="AK874">
        <v>13</v>
      </c>
      <c r="AX874">
        <v>42</v>
      </c>
      <c r="AY874">
        <v>28</v>
      </c>
      <c r="AZ874">
        <v>70</v>
      </c>
      <c r="BA874">
        <v>53</v>
      </c>
      <c r="BB874">
        <v>72</v>
      </c>
      <c r="BC874">
        <v>125</v>
      </c>
      <c r="BD874">
        <v>77</v>
      </c>
      <c r="BE874">
        <v>64</v>
      </c>
      <c r="BF874">
        <v>141</v>
      </c>
      <c r="BG874">
        <v>57</v>
      </c>
      <c r="BH874">
        <v>65</v>
      </c>
      <c r="BI874">
        <v>122</v>
      </c>
      <c r="BP874">
        <v>106</v>
      </c>
      <c r="BR874">
        <v>79</v>
      </c>
      <c r="BS874">
        <v>6</v>
      </c>
      <c r="BT874">
        <v>28</v>
      </c>
      <c r="BV874">
        <v>10</v>
      </c>
      <c r="BW874">
        <v>229</v>
      </c>
      <c r="BX874">
        <f t="shared" ref="BX874:BX881" si="99">IF(C874=C873,IF((CI874-1)=CI873,BW873,"no data"))</f>
        <v>109</v>
      </c>
      <c r="BY874" s="5">
        <f t="shared" si="96"/>
        <v>1.1009174311926606</v>
      </c>
      <c r="BZ874" s="6">
        <f t="shared" si="94"/>
        <v>1.1009174311926606</v>
      </c>
      <c r="CA874" s="7">
        <v>41952</v>
      </c>
      <c r="CI874">
        <f t="shared" si="92"/>
        <v>2014</v>
      </c>
      <c r="CJ874" t="str">
        <f t="shared" si="93"/>
        <v>6004_2014</v>
      </c>
    </row>
    <row r="875" spans="1:88" x14ac:dyDescent="0.25">
      <c r="A875" t="s">
        <v>111</v>
      </c>
      <c r="B875" t="s">
        <v>129</v>
      </c>
      <c r="C875">
        <v>6004</v>
      </c>
      <c r="D875">
        <v>-37.875799999999998</v>
      </c>
      <c r="E875">
        <v>144.76570000000001</v>
      </c>
      <c r="F875">
        <v>4</v>
      </c>
      <c r="G875" t="s">
        <v>345</v>
      </c>
      <c r="H875">
        <v>105</v>
      </c>
      <c r="I875">
        <v>285</v>
      </c>
      <c r="J875">
        <v>149</v>
      </c>
      <c r="K875">
        <v>329</v>
      </c>
      <c r="L875">
        <v>257</v>
      </c>
      <c r="M875">
        <v>77</v>
      </c>
      <c r="N875">
        <v>340</v>
      </c>
      <c r="O875">
        <v>160</v>
      </c>
      <c r="T875">
        <v>0</v>
      </c>
      <c r="U875">
        <v>14</v>
      </c>
      <c r="V875">
        <v>6</v>
      </c>
      <c r="Y875">
        <v>3</v>
      </c>
      <c r="Z875">
        <v>30</v>
      </c>
      <c r="AA875">
        <v>38</v>
      </c>
      <c r="AD875">
        <v>11</v>
      </c>
      <c r="AE875">
        <v>40</v>
      </c>
      <c r="AF875">
        <v>19</v>
      </c>
      <c r="AI875">
        <v>8</v>
      </c>
      <c r="AJ875">
        <v>34</v>
      </c>
      <c r="AK875">
        <v>20</v>
      </c>
      <c r="AX875">
        <v>20</v>
      </c>
      <c r="AY875">
        <v>22</v>
      </c>
      <c r="AZ875">
        <v>42</v>
      </c>
      <c r="BA875">
        <v>71</v>
      </c>
      <c r="BB875">
        <v>74</v>
      </c>
      <c r="BC875">
        <v>145</v>
      </c>
      <c r="BD875">
        <v>70</v>
      </c>
      <c r="BE875">
        <v>64</v>
      </c>
      <c r="BF875">
        <v>134</v>
      </c>
      <c r="BG875">
        <v>62</v>
      </c>
      <c r="BH875">
        <v>63</v>
      </c>
      <c r="BI875">
        <v>125</v>
      </c>
      <c r="BP875">
        <v>117</v>
      </c>
      <c r="BR875">
        <v>65</v>
      </c>
      <c r="BS875">
        <v>12</v>
      </c>
      <c r="BT875">
        <v>27</v>
      </c>
      <c r="BV875">
        <v>2</v>
      </c>
      <c r="BW875">
        <v>223</v>
      </c>
      <c r="BX875">
        <f t="shared" si="99"/>
        <v>229</v>
      </c>
      <c r="BY875" s="5">
        <f t="shared" si="96"/>
        <v>-2.6200873362445413E-2</v>
      </c>
      <c r="BZ875" s="6">
        <f t="shared" si="94"/>
        <v>-2.6200873362445413E-2</v>
      </c>
      <c r="CA875" s="7">
        <v>42316</v>
      </c>
      <c r="CE875">
        <v>57</v>
      </c>
      <c r="CF875">
        <v>58</v>
      </c>
      <c r="CG875">
        <v>61</v>
      </c>
      <c r="CH875">
        <v>47</v>
      </c>
      <c r="CI875">
        <f t="shared" si="92"/>
        <v>2015</v>
      </c>
      <c r="CJ875" t="str">
        <f t="shared" si="93"/>
        <v>6004_2015</v>
      </c>
    </row>
    <row r="876" spans="1:88" x14ac:dyDescent="0.25">
      <c r="A876" t="s">
        <v>111</v>
      </c>
      <c r="B876" t="s">
        <v>129</v>
      </c>
      <c r="C876">
        <v>6004</v>
      </c>
      <c r="D876">
        <v>-37.875844999999998</v>
      </c>
      <c r="E876">
        <v>144.76567600000001</v>
      </c>
      <c r="F876">
        <v>4</v>
      </c>
      <c r="G876" t="s">
        <v>345</v>
      </c>
      <c r="H876">
        <v>105</v>
      </c>
      <c r="I876">
        <v>285</v>
      </c>
      <c r="J876">
        <v>149</v>
      </c>
      <c r="K876">
        <v>329</v>
      </c>
      <c r="L876">
        <v>257</v>
      </c>
      <c r="M876">
        <v>77</v>
      </c>
      <c r="N876">
        <v>340</v>
      </c>
      <c r="O876">
        <v>160</v>
      </c>
      <c r="T876">
        <v>0</v>
      </c>
      <c r="U876">
        <v>11</v>
      </c>
      <c r="V876">
        <v>4</v>
      </c>
      <c r="Y876">
        <v>1</v>
      </c>
      <c r="Z876">
        <v>2</v>
      </c>
      <c r="AA876">
        <v>4</v>
      </c>
      <c r="AD876">
        <v>12</v>
      </c>
      <c r="AE876">
        <v>6</v>
      </c>
      <c r="AF876">
        <v>5</v>
      </c>
      <c r="AI876">
        <v>6</v>
      </c>
      <c r="AJ876">
        <v>8</v>
      </c>
      <c r="AK876">
        <v>1</v>
      </c>
      <c r="AX876">
        <v>15</v>
      </c>
      <c r="AY876">
        <v>19</v>
      </c>
      <c r="AZ876">
        <v>34</v>
      </c>
      <c r="BA876">
        <v>7</v>
      </c>
      <c r="BB876">
        <v>14</v>
      </c>
      <c r="BC876">
        <v>21</v>
      </c>
      <c r="BD876">
        <v>23</v>
      </c>
      <c r="BE876">
        <v>14</v>
      </c>
      <c r="BF876">
        <v>37</v>
      </c>
      <c r="BG876">
        <v>15</v>
      </c>
      <c r="BH876">
        <v>13</v>
      </c>
      <c r="BI876">
        <v>28</v>
      </c>
      <c r="BP876">
        <v>18</v>
      </c>
      <c r="BR876">
        <v>23</v>
      </c>
      <c r="BS876">
        <v>11</v>
      </c>
      <c r="BT876">
        <v>5</v>
      </c>
      <c r="BV876">
        <v>3</v>
      </c>
      <c r="BW876">
        <v>60</v>
      </c>
      <c r="BX876">
        <f t="shared" si="99"/>
        <v>223</v>
      </c>
      <c r="BY876" s="5">
        <f t="shared" si="96"/>
        <v>-0.73094170403587444</v>
      </c>
      <c r="BZ876" s="6">
        <f t="shared" si="94"/>
        <v>-0.73094170403587444</v>
      </c>
      <c r="CA876" s="7">
        <v>42687</v>
      </c>
      <c r="CE876">
        <v>8</v>
      </c>
      <c r="CF876">
        <v>20</v>
      </c>
      <c r="CG876">
        <v>8</v>
      </c>
      <c r="CH876">
        <v>24</v>
      </c>
      <c r="CI876">
        <f t="shared" si="92"/>
        <v>2016</v>
      </c>
      <c r="CJ876" t="str">
        <f t="shared" si="93"/>
        <v>6004_2016</v>
      </c>
    </row>
    <row r="877" spans="1:88" x14ac:dyDescent="0.25">
      <c r="A877" t="s">
        <v>111</v>
      </c>
      <c r="B877" t="s">
        <v>129</v>
      </c>
      <c r="C877">
        <v>6004</v>
      </c>
      <c r="D877">
        <v>-37.875844999999998</v>
      </c>
      <c r="E877">
        <v>144.76567600000001</v>
      </c>
      <c r="F877">
        <v>4</v>
      </c>
      <c r="G877" t="s">
        <v>345</v>
      </c>
      <c r="H877">
        <v>105</v>
      </c>
      <c r="I877">
        <v>285</v>
      </c>
      <c r="J877">
        <v>149</v>
      </c>
      <c r="K877">
        <v>329</v>
      </c>
      <c r="L877">
        <v>257</v>
      </c>
      <c r="M877">
        <v>77</v>
      </c>
      <c r="N877">
        <v>340</v>
      </c>
      <c r="O877">
        <v>160</v>
      </c>
      <c r="T877">
        <v>0</v>
      </c>
      <c r="U877">
        <v>41</v>
      </c>
      <c r="V877">
        <v>20</v>
      </c>
      <c r="Y877">
        <v>1</v>
      </c>
      <c r="Z877">
        <v>26</v>
      </c>
      <c r="AA877">
        <v>37</v>
      </c>
      <c r="AD877">
        <v>47</v>
      </c>
      <c r="AE877">
        <v>41</v>
      </c>
      <c r="AF877">
        <v>31</v>
      </c>
      <c r="AI877">
        <v>21</v>
      </c>
      <c r="AJ877">
        <v>17</v>
      </c>
      <c r="AK877">
        <v>21</v>
      </c>
      <c r="AX877">
        <v>61</v>
      </c>
      <c r="AY877">
        <v>69</v>
      </c>
      <c r="AZ877">
        <v>130</v>
      </c>
      <c r="BA877">
        <v>64</v>
      </c>
      <c r="BB877">
        <v>58</v>
      </c>
      <c r="BC877">
        <v>122</v>
      </c>
      <c r="BD877">
        <v>119</v>
      </c>
      <c r="BE877">
        <v>88</v>
      </c>
      <c r="BF877">
        <v>207</v>
      </c>
      <c r="BG877">
        <v>59</v>
      </c>
      <c r="BH877">
        <v>88</v>
      </c>
      <c r="BI877">
        <v>147</v>
      </c>
      <c r="BP877">
        <v>107</v>
      </c>
      <c r="BR877">
        <v>135</v>
      </c>
      <c r="BS877">
        <v>17</v>
      </c>
      <c r="BT877">
        <v>41</v>
      </c>
      <c r="BV877">
        <v>3</v>
      </c>
      <c r="BW877">
        <v>303</v>
      </c>
      <c r="BX877">
        <f t="shared" si="99"/>
        <v>60</v>
      </c>
      <c r="BY877" s="5">
        <f t="shared" si="96"/>
        <v>4.05</v>
      </c>
      <c r="BZ877" s="6">
        <f t="shared" si="94"/>
        <v>4.05</v>
      </c>
      <c r="CA877" s="7">
        <v>43051</v>
      </c>
      <c r="CE877">
        <v>76</v>
      </c>
      <c r="CF877">
        <v>89</v>
      </c>
      <c r="CG877">
        <v>85</v>
      </c>
      <c r="CH877">
        <v>53</v>
      </c>
      <c r="CI877">
        <f t="shared" si="92"/>
        <v>2017</v>
      </c>
      <c r="CJ877" t="str">
        <f t="shared" si="93"/>
        <v>6004_2017</v>
      </c>
    </row>
    <row r="878" spans="1:88" x14ac:dyDescent="0.25">
      <c r="A878" t="s">
        <v>111</v>
      </c>
      <c r="B878" t="s">
        <v>129</v>
      </c>
      <c r="C878">
        <v>6004</v>
      </c>
      <c r="D878">
        <v>-37.875844999999998</v>
      </c>
      <c r="E878">
        <v>144.76567600000001</v>
      </c>
      <c r="F878">
        <v>4</v>
      </c>
      <c r="G878" t="s">
        <v>345</v>
      </c>
      <c r="H878">
        <v>105</v>
      </c>
      <c r="I878">
        <v>285</v>
      </c>
      <c r="J878">
        <v>149</v>
      </c>
      <c r="K878">
        <v>329</v>
      </c>
      <c r="L878">
        <v>257</v>
      </c>
      <c r="M878">
        <v>77</v>
      </c>
      <c r="N878">
        <v>340</v>
      </c>
      <c r="O878">
        <v>160</v>
      </c>
      <c r="T878">
        <v>0</v>
      </c>
      <c r="U878">
        <v>29</v>
      </c>
      <c r="V878">
        <v>16</v>
      </c>
      <c r="Y878">
        <v>0</v>
      </c>
      <c r="Z878">
        <v>30</v>
      </c>
      <c r="AA878">
        <v>19</v>
      </c>
      <c r="AD878">
        <v>34</v>
      </c>
      <c r="AE878">
        <v>42</v>
      </c>
      <c r="AF878">
        <v>30</v>
      </c>
      <c r="AI878">
        <v>23</v>
      </c>
      <c r="AJ878">
        <v>29</v>
      </c>
      <c r="AK878">
        <v>21</v>
      </c>
      <c r="AX878">
        <v>45</v>
      </c>
      <c r="AY878">
        <v>57</v>
      </c>
      <c r="AZ878">
        <v>102</v>
      </c>
      <c r="BA878">
        <v>49</v>
      </c>
      <c r="BB878">
        <v>71</v>
      </c>
      <c r="BC878">
        <v>120</v>
      </c>
      <c r="BD878">
        <v>106</v>
      </c>
      <c r="BE878">
        <v>80</v>
      </c>
      <c r="BF878">
        <v>186</v>
      </c>
      <c r="BG878">
        <v>73</v>
      </c>
      <c r="BH878">
        <v>65</v>
      </c>
      <c r="BI878">
        <v>138</v>
      </c>
      <c r="BP878">
        <v>94</v>
      </c>
      <c r="BR878">
        <v>113</v>
      </c>
      <c r="BS878">
        <v>11</v>
      </c>
      <c r="BT878">
        <v>37</v>
      </c>
      <c r="BV878">
        <v>18</v>
      </c>
      <c r="BW878">
        <v>273</v>
      </c>
      <c r="BX878">
        <f t="shared" si="99"/>
        <v>303</v>
      </c>
      <c r="BY878" s="5">
        <f t="shared" si="96"/>
        <v>-9.9009900990099015E-2</v>
      </c>
      <c r="BZ878" s="6">
        <f t="shared" si="94"/>
        <v>-9.9009900990099015E-2</v>
      </c>
      <c r="CA878" s="7">
        <v>43415</v>
      </c>
      <c r="CE878">
        <v>66</v>
      </c>
      <c r="CF878">
        <v>79</v>
      </c>
      <c r="CG878">
        <v>66</v>
      </c>
      <c r="CH878">
        <v>62</v>
      </c>
      <c r="CI878">
        <f t="shared" si="92"/>
        <v>2018</v>
      </c>
      <c r="CJ878" t="str">
        <f t="shared" si="93"/>
        <v>6004_2018</v>
      </c>
    </row>
    <row r="879" spans="1:88" x14ac:dyDescent="0.25">
      <c r="A879" t="s">
        <v>111</v>
      </c>
      <c r="B879" t="s">
        <v>129</v>
      </c>
      <c r="C879">
        <v>6004</v>
      </c>
      <c r="D879">
        <v>-37.875799999999998</v>
      </c>
      <c r="E879">
        <v>144.76570000000001</v>
      </c>
      <c r="F879">
        <v>4</v>
      </c>
      <c r="G879" t="s">
        <v>345</v>
      </c>
      <c r="H879">
        <v>105</v>
      </c>
      <c r="I879">
        <v>285</v>
      </c>
      <c r="J879">
        <v>149</v>
      </c>
      <c r="K879">
        <v>329</v>
      </c>
      <c r="L879">
        <v>257</v>
      </c>
      <c r="M879">
        <v>77</v>
      </c>
      <c r="N879">
        <v>340</v>
      </c>
      <c r="O879">
        <v>160</v>
      </c>
      <c r="T879">
        <v>0</v>
      </c>
      <c r="U879">
        <v>34</v>
      </c>
      <c r="V879">
        <v>24</v>
      </c>
      <c r="Y879">
        <v>1</v>
      </c>
      <c r="Z879">
        <v>17</v>
      </c>
      <c r="AA879">
        <v>14</v>
      </c>
      <c r="AD879">
        <v>34</v>
      </c>
      <c r="AE879">
        <v>16</v>
      </c>
      <c r="AF879">
        <v>40</v>
      </c>
      <c r="AI879">
        <v>10</v>
      </c>
      <c r="AJ879">
        <v>15</v>
      </c>
      <c r="AK879">
        <v>24</v>
      </c>
      <c r="AX879">
        <v>58</v>
      </c>
      <c r="AY879">
        <v>45</v>
      </c>
      <c r="AZ879">
        <v>103</v>
      </c>
      <c r="BA879">
        <v>32</v>
      </c>
      <c r="BB879">
        <v>31</v>
      </c>
      <c r="BC879">
        <v>63</v>
      </c>
      <c r="BD879">
        <v>90</v>
      </c>
      <c r="BE879">
        <v>75</v>
      </c>
      <c r="BF879">
        <v>165</v>
      </c>
      <c r="BG879">
        <v>49</v>
      </c>
      <c r="BH879">
        <v>78</v>
      </c>
      <c r="BI879">
        <v>127</v>
      </c>
      <c r="BP879">
        <v>75</v>
      </c>
      <c r="BR879">
        <v>96</v>
      </c>
      <c r="BS879">
        <v>5</v>
      </c>
      <c r="BT879">
        <v>41</v>
      </c>
      <c r="BV879">
        <v>12</v>
      </c>
      <c r="BW879">
        <v>229</v>
      </c>
      <c r="BX879">
        <f t="shared" si="99"/>
        <v>273</v>
      </c>
      <c r="BY879" s="5">
        <f t="shared" si="96"/>
        <v>-0.16117216117216118</v>
      </c>
      <c r="BZ879" s="6">
        <f t="shared" si="94"/>
        <v>-0.16117216117216118</v>
      </c>
      <c r="CA879" s="7">
        <v>43779</v>
      </c>
      <c r="CE879">
        <v>61</v>
      </c>
      <c r="CF879">
        <v>65</v>
      </c>
      <c r="CG879">
        <v>53</v>
      </c>
      <c r="CH879">
        <v>50</v>
      </c>
      <c r="CI879">
        <f t="shared" si="92"/>
        <v>2019</v>
      </c>
      <c r="CJ879" t="str">
        <f t="shared" si="93"/>
        <v>6004_2019</v>
      </c>
    </row>
    <row r="880" spans="1:88" x14ac:dyDescent="0.25">
      <c r="A880" t="s">
        <v>111</v>
      </c>
      <c r="B880" t="s">
        <v>129</v>
      </c>
      <c r="C880">
        <v>6004</v>
      </c>
      <c r="D880">
        <v>-37.875799999999998</v>
      </c>
      <c r="E880">
        <v>144.76570000000001</v>
      </c>
      <c r="F880">
        <v>4</v>
      </c>
      <c r="G880" t="s">
        <v>345</v>
      </c>
      <c r="H880">
        <v>105</v>
      </c>
      <c r="I880">
        <v>285</v>
      </c>
      <c r="J880">
        <v>149</v>
      </c>
      <c r="K880">
        <v>329</v>
      </c>
      <c r="L880">
        <v>257</v>
      </c>
      <c r="M880">
        <v>77</v>
      </c>
      <c r="N880">
        <v>340</v>
      </c>
      <c r="O880">
        <v>160</v>
      </c>
      <c r="T880">
        <v>3</v>
      </c>
      <c r="U880">
        <v>61</v>
      </c>
      <c r="V880">
        <v>26</v>
      </c>
      <c r="Y880">
        <v>1</v>
      </c>
      <c r="Z880">
        <v>71</v>
      </c>
      <c r="AA880">
        <v>47</v>
      </c>
      <c r="AD880">
        <v>62</v>
      </c>
      <c r="AE880">
        <v>56</v>
      </c>
      <c r="AF880">
        <v>37</v>
      </c>
      <c r="AI880">
        <v>37</v>
      </c>
      <c r="AJ880">
        <v>59</v>
      </c>
      <c r="AK880">
        <v>28</v>
      </c>
      <c r="AX880">
        <v>90</v>
      </c>
      <c r="AY880">
        <v>100</v>
      </c>
      <c r="AZ880">
        <v>190</v>
      </c>
      <c r="BA880">
        <v>119</v>
      </c>
      <c r="BB880">
        <v>118</v>
      </c>
      <c r="BC880">
        <v>237</v>
      </c>
      <c r="BD880">
        <v>155</v>
      </c>
      <c r="BE880">
        <v>160</v>
      </c>
      <c r="BF880">
        <v>315</v>
      </c>
      <c r="BG880">
        <v>124</v>
      </c>
      <c r="BH880">
        <v>110</v>
      </c>
      <c r="BI880">
        <v>234</v>
      </c>
      <c r="BP880">
        <v>193</v>
      </c>
      <c r="BR880">
        <v>192</v>
      </c>
      <c r="BS880">
        <v>17</v>
      </c>
      <c r="BT880">
        <v>66</v>
      </c>
      <c r="BV880">
        <v>20</v>
      </c>
      <c r="BW880">
        <v>488</v>
      </c>
      <c r="BX880">
        <f t="shared" si="99"/>
        <v>229</v>
      </c>
      <c r="BY880" s="5">
        <f t="shared" si="96"/>
        <v>1.1310043668122272</v>
      </c>
      <c r="BZ880" s="6">
        <f t="shared" si="94"/>
        <v>1.1310043668122272</v>
      </c>
      <c r="CA880" s="7">
        <v>44143</v>
      </c>
      <c r="CE880">
        <v>114</v>
      </c>
      <c r="CF880">
        <v>163</v>
      </c>
      <c r="CG880">
        <v>136</v>
      </c>
      <c r="CH880">
        <v>75</v>
      </c>
      <c r="CI880">
        <f t="shared" si="92"/>
        <v>2020</v>
      </c>
      <c r="CJ880" t="str">
        <f t="shared" si="93"/>
        <v>6004_2020</v>
      </c>
    </row>
    <row r="881" spans="1:88" x14ac:dyDescent="0.25">
      <c r="A881" t="s">
        <v>111</v>
      </c>
      <c r="B881" t="s">
        <v>129</v>
      </c>
      <c r="C881">
        <v>6004</v>
      </c>
      <c r="D881">
        <v>-37.875844999999998</v>
      </c>
      <c r="E881">
        <v>144.76567600000001</v>
      </c>
      <c r="F881">
        <v>4</v>
      </c>
      <c r="G881" t="s">
        <v>345</v>
      </c>
      <c r="H881">
        <v>105</v>
      </c>
      <c r="I881">
        <v>285</v>
      </c>
      <c r="J881">
        <v>149</v>
      </c>
      <c r="K881">
        <v>329</v>
      </c>
      <c r="L881">
        <v>257</v>
      </c>
      <c r="M881">
        <v>77</v>
      </c>
      <c r="N881">
        <v>340</v>
      </c>
      <c r="O881">
        <v>160</v>
      </c>
      <c r="T881">
        <v>2</v>
      </c>
      <c r="U881">
        <v>17</v>
      </c>
      <c r="V881">
        <v>9</v>
      </c>
      <c r="Y881">
        <v>2</v>
      </c>
      <c r="Z881">
        <v>51</v>
      </c>
      <c r="AA881">
        <v>36</v>
      </c>
      <c r="AD881">
        <v>25</v>
      </c>
      <c r="AE881">
        <v>24</v>
      </c>
      <c r="AF881">
        <v>28</v>
      </c>
      <c r="AI881">
        <v>14</v>
      </c>
      <c r="AJ881">
        <v>37</v>
      </c>
      <c r="AK881">
        <v>28</v>
      </c>
      <c r="AX881">
        <v>28</v>
      </c>
      <c r="AY881">
        <v>41</v>
      </c>
      <c r="AZ881">
        <v>69</v>
      </c>
      <c r="BA881">
        <v>89</v>
      </c>
      <c r="BB881">
        <v>63</v>
      </c>
      <c r="BC881">
        <v>152</v>
      </c>
      <c r="BD881">
        <v>77</v>
      </c>
      <c r="BE881">
        <v>96</v>
      </c>
      <c r="BF881">
        <v>173</v>
      </c>
      <c r="BG881">
        <v>79</v>
      </c>
      <c r="BH881">
        <v>73</v>
      </c>
      <c r="BI881">
        <v>152</v>
      </c>
      <c r="BP881">
        <v>133</v>
      </c>
      <c r="BR881">
        <v>87</v>
      </c>
      <c r="BS881">
        <v>16</v>
      </c>
      <c r="BT881">
        <v>29</v>
      </c>
      <c r="BV881">
        <v>8</v>
      </c>
      <c r="BW881">
        <v>273</v>
      </c>
      <c r="BX881">
        <f t="shared" si="99"/>
        <v>488</v>
      </c>
      <c r="BY881" s="5">
        <f t="shared" si="96"/>
        <v>-0.4405737704918033</v>
      </c>
      <c r="BZ881" s="6">
        <f t="shared" si="94"/>
        <v>-0.4405737704918033</v>
      </c>
      <c r="CA881" s="7">
        <v>44528</v>
      </c>
      <c r="CE881">
        <v>97</v>
      </c>
      <c r="CF881">
        <v>87</v>
      </c>
      <c r="CG881">
        <v>89</v>
      </c>
      <c r="CI881">
        <f t="shared" si="92"/>
        <v>2021</v>
      </c>
      <c r="CJ881" t="str">
        <f t="shared" si="93"/>
        <v>6004_2021</v>
      </c>
    </row>
    <row r="882" spans="1:88" x14ac:dyDescent="0.25">
      <c r="A882" t="s">
        <v>111</v>
      </c>
      <c r="B882" t="s">
        <v>129</v>
      </c>
      <c r="C882">
        <v>6006</v>
      </c>
      <c r="D882">
        <v>-37.823599999999999</v>
      </c>
      <c r="E882">
        <v>144.8485</v>
      </c>
      <c r="F882">
        <v>4</v>
      </c>
      <c r="G882" t="s">
        <v>130</v>
      </c>
      <c r="H882">
        <v>15</v>
      </c>
      <c r="I882">
        <v>195</v>
      </c>
      <c r="J882">
        <v>108</v>
      </c>
      <c r="K882">
        <v>288</v>
      </c>
      <c r="L882">
        <v>179</v>
      </c>
      <c r="M882">
        <v>359</v>
      </c>
      <c r="N882">
        <v>276</v>
      </c>
      <c r="O882">
        <v>96</v>
      </c>
      <c r="T882">
        <v>0</v>
      </c>
      <c r="U882">
        <v>43</v>
      </c>
      <c r="V882">
        <v>26</v>
      </c>
      <c r="Y882">
        <v>1</v>
      </c>
      <c r="Z882">
        <v>3</v>
      </c>
      <c r="AA882">
        <v>1</v>
      </c>
      <c r="AD882">
        <v>37</v>
      </c>
      <c r="AE882">
        <v>0</v>
      </c>
      <c r="AF882">
        <v>28</v>
      </c>
      <c r="AI882">
        <v>10</v>
      </c>
      <c r="AJ882">
        <v>5</v>
      </c>
      <c r="AK882">
        <v>20</v>
      </c>
      <c r="AX882">
        <v>69</v>
      </c>
      <c r="AY882">
        <v>48</v>
      </c>
      <c r="AZ882">
        <v>117</v>
      </c>
      <c r="BA882">
        <v>5</v>
      </c>
      <c r="BB882">
        <v>5</v>
      </c>
      <c r="BC882">
        <v>10</v>
      </c>
      <c r="BD882">
        <v>65</v>
      </c>
      <c r="BE882">
        <v>66</v>
      </c>
      <c r="BF882">
        <v>131</v>
      </c>
      <c r="BG882">
        <v>35</v>
      </c>
      <c r="BH882">
        <v>55</v>
      </c>
      <c r="BI882">
        <v>90</v>
      </c>
      <c r="BP882">
        <v>100</v>
      </c>
      <c r="BR882">
        <v>67</v>
      </c>
      <c r="BS882">
        <v>2</v>
      </c>
      <c r="BT882">
        <v>5</v>
      </c>
      <c r="BV882">
        <v>0</v>
      </c>
      <c r="BW882">
        <v>174</v>
      </c>
      <c r="BX882" t="s">
        <v>82</v>
      </c>
      <c r="BY882" s="5"/>
      <c r="BZ882" s="6"/>
      <c r="CA882" s="7">
        <v>41224</v>
      </c>
      <c r="CI882">
        <f t="shared" si="92"/>
        <v>2012</v>
      </c>
      <c r="CJ882" t="str">
        <f t="shared" si="93"/>
        <v>6006_2012</v>
      </c>
    </row>
    <row r="883" spans="1:88" x14ac:dyDescent="0.25">
      <c r="A883" t="s">
        <v>111</v>
      </c>
      <c r="B883" t="s">
        <v>133</v>
      </c>
      <c r="C883">
        <v>6007</v>
      </c>
      <c r="D883">
        <v>-37.812199999999997</v>
      </c>
      <c r="E883">
        <v>145.2182</v>
      </c>
      <c r="F883">
        <v>3</v>
      </c>
      <c r="G883" t="s">
        <v>346</v>
      </c>
      <c r="H883">
        <v>55</v>
      </c>
      <c r="I883">
        <v>235</v>
      </c>
      <c r="J883">
        <v>216</v>
      </c>
      <c r="K883">
        <v>36</v>
      </c>
      <c r="L883">
        <v>267</v>
      </c>
      <c r="M883">
        <v>87</v>
      </c>
      <c r="T883">
        <v>163</v>
      </c>
      <c r="U883">
        <v>41</v>
      </c>
      <c r="Y883">
        <v>117</v>
      </c>
      <c r="Z883">
        <v>53</v>
      </c>
      <c r="AD883">
        <v>35</v>
      </c>
      <c r="AE883">
        <v>91</v>
      </c>
      <c r="AX883">
        <v>204</v>
      </c>
      <c r="AY883">
        <v>152</v>
      </c>
      <c r="AZ883">
        <v>356</v>
      </c>
      <c r="BA883">
        <v>170</v>
      </c>
      <c r="BB883">
        <v>254</v>
      </c>
      <c r="BC883">
        <v>424</v>
      </c>
      <c r="BD883">
        <v>126</v>
      </c>
      <c r="BE883">
        <v>94</v>
      </c>
      <c r="BF883">
        <v>220</v>
      </c>
      <c r="BP883">
        <v>425</v>
      </c>
      <c r="BR883">
        <v>47</v>
      </c>
      <c r="BS883">
        <v>11</v>
      </c>
      <c r="BT883">
        <v>13</v>
      </c>
      <c r="BV883">
        <v>4</v>
      </c>
      <c r="BW883">
        <v>500</v>
      </c>
      <c r="BX883" t="s">
        <v>82</v>
      </c>
      <c r="BY883" s="5"/>
      <c r="BZ883" s="6"/>
      <c r="CA883" s="7">
        <v>41224</v>
      </c>
      <c r="CI883">
        <f t="shared" si="92"/>
        <v>2012</v>
      </c>
      <c r="CJ883" t="str">
        <f t="shared" si="93"/>
        <v>6007_2012</v>
      </c>
    </row>
    <row r="884" spans="1:88" x14ac:dyDescent="0.25">
      <c r="A884" t="s">
        <v>111</v>
      </c>
      <c r="B884" t="s">
        <v>133</v>
      </c>
      <c r="C884">
        <v>6007</v>
      </c>
      <c r="D884">
        <v>-37.812199999999997</v>
      </c>
      <c r="E884">
        <v>145.2182</v>
      </c>
      <c r="F884">
        <v>3</v>
      </c>
      <c r="G884" t="s">
        <v>346</v>
      </c>
      <c r="H884">
        <v>55</v>
      </c>
      <c r="I884">
        <v>235</v>
      </c>
      <c r="J884">
        <v>216</v>
      </c>
      <c r="K884">
        <v>36</v>
      </c>
      <c r="L884">
        <v>267</v>
      </c>
      <c r="M884">
        <v>87</v>
      </c>
      <c r="T884">
        <v>43</v>
      </c>
      <c r="U884">
        <v>70</v>
      </c>
      <c r="Y884">
        <v>54</v>
      </c>
      <c r="Z884">
        <v>77</v>
      </c>
      <c r="AD884">
        <v>86</v>
      </c>
      <c r="AE884">
        <v>77</v>
      </c>
      <c r="AX884">
        <v>113</v>
      </c>
      <c r="AY884">
        <v>140</v>
      </c>
      <c r="AZ884">
        <v>253</v>
      </c>
      <c r="BA884">
        <v>131</v>
      </c>
      <c r="BB884">
        <v>120</v>
      </c>
      <c r="BC884">
        <v>251</v>
      </c>
      <c r="BD884">
        <v>163</v>
      </c>
      <c r="BE884">
        <v>147</v>
      </c>
      <c r="BF884">
        <v>310</v>
      </c>
      <c r="BP884">
        <v>255</v>
      </c>
      <c r="BR884">
        <v>119</v>
      </c>
      <c r="BS884">
        <v>13</v>
      </c>
      <c r="BT884">
        <v>14</v>
      </c>
      <c r="BV884">
        <v>6</v>
      </c>
      <c r="BW884">
        <v>407</v>
      </c>
      <c r="BX884" t="str">
        <f>IF(C884=C883,IF((CI884-1)=CI883,BW883,"no data"))</f>
        <v>no data</v>
      </c>
      <c r="BY884" s="5"/>
      <c r="BZ884" s="6"/>
      <c r="CA884" s="7">
        <v>42316</v>
      </c>
      <c r="CE884">
        <v>97</v>
      </c>
      <c r="CF884">
        <v>137</v>
      </c>
      <c r="CG884">
        <v>110</v>
      </c>
      <c r="CH884">
        <v>63</v>
      </c>
      <c r="CI884">
        <f t="shared" si="92"/>
        <v>2015</v>
      </c>
      <c r="CJ884" t="str">
        <f t="shared" si="93"/>
        <v>6007_2015</v>
      </c>
    </row>
    <row r="885" spans="1:88" x14ac:dyDescent="0.25">
      <c r="A885" t="s">
        <v>111</v>
      </c>
      <c r="B885" t="s">
        <v>133</v>
      </c>
      <c r="C885">
        <v>6008</v>
      </c>
      <c r="D885">
        <v>-37.839500000000001</v>
      </c>
      <c r="E885">
        <v>145.21420000000001</v>
      </c>
      <c r="F885">
        <v>4</v>
      </c>
      <c r="G885" t="s">
        <v>347</v>
      </c>
      <c r="H885">
        <v>47</v>
      </c>
      <c r="I885">
        <v>227</v>
      </c>
      <c r="J885">
        <v>129</v>
      </c>
      <c r="K885">
        <v>309</v>
      </c>
      <c r="L885">
        <v>208</v>
      </c>
      <c r="M885">
        <v>28</v>
      </c>
      <c r="N885">
        <v>297</v>
      </c>
      <c r="O885">
        <v>117</v>
      </c>
      <c r="T885">
        <v>125</v>
      </c>
      <c r="U885">
        <v>8</v>
      </c>
      <c r="V885">
        <v>8</v>
      </c>
      <c r="Y885">
        <v>200</v>
      </c>
      <c r="Z885">
        <v>13</v>
      </c>
      <c r="AA885">
        <v>46</v>
      </c>
      <c r="AD885">
        <v>17</v>
      </c>
      <c r="AE885">
        <v>17</v>
      </c>
      <c r="AF885">
        <v>3</v>
      </c>
      <c r="AI885">
        <v>12</v>
      </c>
      <c r="AJ885">
        <v>41</v>
      </c>
      <c r="AK885">
        <v>4</v>
      </c>
      <c r="AX885">
        <v>141</v>
      </c>
      <c r="AY885">
        <v>229</v>
      </c>
      <c r="AZ885">
        <v>370</v>
      </c>
      <c r="BA885">
        <v>259</v>
      </c>
      <c r="BB885">
        <v>183</v>
      </c>
      <c r="BC885">
        <v>442</v>
      </c>
      <c r="BD885">
        <v>37</v>
      </c>
      <c r="BE885">
        <v>25</v>
      </c>
      <c r="BF885">
        <v>62</v>
      </c>
      <c r="BG885">
        <v>57</v>
      </c>
      <c r="BH885">
        <v>57</v>
      </c>
      <c r="BI885">
        <v>114</v>
      </c>
      <c r="BP885">
        <v>380</v>
      </c>
      <c r="BR885">
        <v>68</v>
      </c>
      <c r="BS885">
        <v>17</v>
      </c>
      <c r="BT885">
        <v>29</v>
      </c>
      <c r="BV885">
        <v>0</v>
      </c>
      <c r="BW885">
        <v>494</v>
      </c>
      <c r="BX885" t="s">
        <v>82</v>
      </c>
      <c r="BY885" s="5"/>
      <c r="BZ885" s="6"/>
      <c r="CA885" s="7">
        <v>41224</v>
      </c>
      <c r="CI885">
        <f t="shared" si="92"/>
        <v>2012</v>
      </c>
      <c r="CJ885" t="str">
        <f t="shared" si="93"/>
        <v>6008_2012</v>
      </c>
    </row>
    <row r="886" spans="1:88" x14ac:dyDescent="0.25">
      <c r="A886" t="s">
        <v>111</v>
      </c>
      <c r="B886" t="s">
        <v>133</v>
      </c>
      <c r="C886">
        <v>6009</v>
      </c>
      <c r="D886">
        <v>-37.836199999999998</v>
      </c>
      <c r="E886">
        <v>145.25620000000001</v>
      </c>
      <c r="F886">
        <v>4</v>
      </c>
      <c r="G886" t="s">
        <v>348</v>
      </c>
      <c r="H886">
        <v>80</v>
      </c>
      <c r="I886">
        <v>260</v>
      </c>
      <c r="J886">
        <v>171</v>
      </c>
      <c r="K886">
        <v>351</v>
      </c>
      <c r="L886">
        <v>248</v>
      </c>
      <c r="M886">
        <v>68</v>
      </c>
      <c r="N886">
        <v>334</v>
      </c>
      <c r="O886">
        <v>154</v>
      </c>
      <c r="T886">
        <v>13</v>
      </c>
      <c r="U886">
        <v>237</v>
      </c>
      <c r="V886">
        <v>39</v>
      </c>
      <c r="Y886">
        <v>6</v>
      </c>
      <c r="Z886">
        <v>12</v>
      </c>
      <c r="AA886">
        <v>23</v>
      </c>
      <c r="AD886">
        <v>214</v>
      </c>
      <c r="AE886">
        <v>12</v>
      </c>
      <c r="AF886">
        <v>41</v>
      </c>
      <c r="AI886">
        <v>43</v>
      </c>
      <c r="AJ886">
        <v>20</v>
      </c>
      <c r="AK886">
        <v>64</v>
      </c>
      <c r="AX886">
        <v>289</v>
      </c>
      <c r="AY886">
        <v>263</v>
      </c>
      <c r="AZ886">
        <v>552</v>
      </c>
      <c r="BA886">
        <v>41</v>
      </c>
      <c r="BB886">
        <v>45</v>
      </c>
      <c r="BC886">
        <v>86</v>
      </c>
      <c r="BD886">
        <v>267</v>
      </c>
      <c r="BE886">
        <v>313</v>
      </c>
      <c r="BF886">
        <v>580</v>
      </c>
      <c r="BG886">
        <v>127</v>
      </c>
      <c r="BH886">
        <v>103</v>
      </c>
      <c r="BI886">
        <v>230</v>
      </c>
      <c r="BP886">
        <v>530</v>
      </c>
      <c r="BR886">
        <v>113</v>
      </c>
      <c r="BS886">
        <v>32</v>
      </c>
      <c r="BT886">
        <v>30</v>
      </c>
      <c r="BV886">
        <v>19</v>
      </c>
      <c r="BW886">
        <v>724</v>
      </c>
      <c r="BX886" t="s">
        <v>82</v>
      </c>
      <c r="BY886" s="5"/>
      <c r="BZ886" s="6"/>
      <c r="CA886" s="7">
        <v>41224</v>
      </c>
      <c r="CI886">
        <f t="shared" si="92"/>
        <v>2012</v>
      </c>
      <c r="CJ886" t="str">
        <f t="shared" si="93"/>
        <v>6009_2012</v>
      </c>
    </row>
    <row r="887" spans="1:88" x14ac:dyDescent="0.25">
      <c r="A887" t="s">
        <v>111</v>
      </c>
      <c r="B887" t="s">
        <v>133</v>
      </c>
      <c r="C887">
        <v>6009</v>
      </c>
      <c r="D887">
        <v>-37.836199999999998</v>
      </c>
      <c r="E887">
        <v>145.25620000000001</v>
      </c>
      <c r="F887">
        <v>4</v>
      </c>
      <c r="G887" t="s">
        <v>348</v>
      </c>
      <c r="H887">
        <v>80</v>
      </c>
      <c r="I887">
        <v>260</v>
      </c>
      <c r="J887">
        <v>171</v>
      </c>
      <c r="K887">
        <v>351</v>
      </c>
      <c r="L887">
        <v>248</v>
      </c>
      <c r="M887">
        <v>68</v>
      </c>
      <c r="N887">
        <v>334</v>
      </c>
      <c r="O887">
        <v>154</v>
      </c>
      <c r="T887">
        <v>7</v>
      </c>
      <c r="U887">
        <v>274</v>
      </c>
      <c r="V887">
        <v>74</v>
      </c>
      <c r="Y887">
        <v>3</v>
      </c>
      <c r="Z887">
        <v>24</v>
      </c>
      <c r="AA887">
        <v>30</v>
      </c>
      <c r="AD887">
        <v>221</v>
      </c>
      <c r="AE887">
        <v>9</v>
      </c>
      <c r="AF887">
        <v>68</v>
      </c>
      <c r="AI887">
        <v>99</v>
      </c>
      <c r="AJ887">
        <v>36</v>
      </c>
      <c r="AK887">
        <v>51</v>
      </c>
      <c r="AX887">
        <v>355</v>
      </c>
      <c r="AY887">
        <v>323</v>
      </c>
      <c r="AZ887">
        <v>678</v>
      </c>
      <c r="BA887">
        <v>57</v>
      </c>
      <c r="BB887">
        <v>52</v>
      </c>
      <c r="BC887">
        <v>109</v>
      </c>
      <c r="BD887">
        <v>298</v>
      </c>
      <c r="BE887">
        <v>349</v>
      </c>
      <c r="BF887">
        <v>647</v>
      </c>
      <c r="BG887">
        <v>186</v>
      </c>
      <c r="BH887">
        <v>172</v>
      </c>
      <c r="BI887">
        <v>358</v>
      </c>
      <c r="BP887">
        <v>552</v>
      </c>
      <c r="BR887">
        <v>176</v>
      </c>
      <c r="BS887">
        <v>119</v>
      </c>
      <c r="BT887">
        <v>41</v>
      </c>
      <c r="BV887">
        <v>8</v>
      </c>
      <c r="BW887">
        <v>896</v>
      </c>
      <c r="BX887" t="str">
        <f>IF(C887=C886,IF((CI887-1)=CI886,BW886,"no data"))</f>
        <v>no data</v>
      </c>
      <c r="BY887" s="5"/>
      <c r="BZ887" s="6"/>
      <c r="CA887" s="7">
        <v>42316</v>
      </c>
      <c r="CE887">
        <v>293</v>
      </c>
      <c r="CF887">
        <v>243</v>
      </c>
      <c r="CG887">
        <v>193</v>
      </c>
      <c r="CH887">
        <v>167</v>
      </c>
      <c r="CI887">
        <f t="shared" si="92"/>
        <v>2015</v>
      </c>
      <c r="CJ887" t="str">
        <f t="shared" si="93"/>
        <v>6009_2015</v>
      </c>
    </row>
    <row r="888" spans="1:88" x14ac:dyDescent="0.25">
      <c r="A888" t="s">
        <v>111</v>
      </c>
      <c r="B888" t="s">
        <v>133</v>
      </c>
      <c r="C888">
        <v>6010</v>
      </c>
      <c r="D888">
        <v>-37.837299999999999</v>
      </c>
      <c r="E888">
        <v>145.3006</v>
      </c>
      <c r="F888">
        <v>2</v>
      </c>
      <c r="G888" t="s">
        <v>349</v>
      </c>
      <c r="H888">
        <v>139</v>
      </c>
      <c r="I888">
        <v>319</v>
      </c>
      <c r="J888">
        <v>302</v>
      </c>
      <c r="K888">
        <v>122</v>
      </c>
      <c r="T888">
        <v>143</v>
      </c>
      <c r="Y888">
        <v>118</v>
      </c>
      <c r="AX888">
        <v>143</v>
      </c>
      <c r="AY888">
        <v>118</v>
      </c>
      <c r="AZ888">
        <v>261</v>
      </c>
      <c r="BA888">
        <v>118</v>
      </c>
      <c r="BB888">
        <v>143</v>
      </c>
      <c r="BC888">
        <v>261</v>
      </c>
      <c r="BP888">
        <v>204</v>
      </c>
      <c r="BR888">
        <v>32</v>
      </c>
      <c r="BS888">
        <v>5</v>
      </c>
      <c r="BT888">
        <v>17</v>
      </c>
      <c r="BV888">
        <v>3</v>
      </c>
      <c r="BW888">
        <v>261</v>
      </c>
      <c r="BX888" t="s">
        <v>82</v>
      </c>
      <c r="BY888" s="5"/>
      <c r="BZ888" s="6"/>
      <c r="CA888" s="7">
        <v>41224</v>
      </c>
      <c r="CI888">
        <f t="shared" si="92"/>
        <v>2012</v>
      </c>
      <c r="CJ888" t="str">
        <f t="shared" si="93"/>
        <v>6010_2012</v>
      </c>
    </row>
    <row r="889" spans="1:88" x14ac:dyDescent="0.25">
      <c r="A889" t="s">
        <v>111</v>
      </c>
      <c r="B889" t="s">
        <v>133</v>
      </c>
      <c r="C889">
        <v>6011</v>
      </c>
      <c r="D889">
        <v>-37.812600000000003</v>
      </c>
      <c r="E889">
        <v>145.23570000000001</v>
      </c>
      <c r="F889">
        <v>3</v>
      </c>
      <c r="G889" t="s">
        <v>350</v>
      </c>
      <c r="H889">
        <v>53</v>
      </c>
      <c r="I889">
        <v>233</v>
      </c>
      <c r="J889">
        <v>232</v>
      </c>
      <c r="K889">
        <v>52</v>
      </c>
      <c r="L889">
        <v>310</v>
      </c>
      <c r="M889">
        <v>130</v>
      </c>
      <c r="T889">
        <v>36</v>
      </c>
      <c r="U889">
        <v>17</v>
      </c>
      <c r="Y889">
        <v>17</v>
      </c>
      <c r="Z889">
        <v>12</v>
      </c>
      <c r="AD889">
        <v>20</v>
      </c>
      <c r="AE889">
        <v>11</v>
      </c>
      <c r="AX889">
        <v>53</v>
      </c>
      <c r="AY889">
        <v>37</v>
      </c>
      <c r="AZ889">
        <v>90</v>
      </c>
      <c r="BA889">
        <v>29</v>
      </c>
      <c r="BB889">
        <v>47</v>
      </c>
      <c r="BC889">
        <v>76</v>
      </c>
      <c r="BD889">
        <v>31</v>
      </c>
      <c r="BE889">
        <v>29</v>
      </c>
      <c r="BF889">
        <v>60</v>
      </c>
      <c r="BP889">
        <v>38</v>
      </c>
      <c r="BR889">
        <v>59</v>
      </c>
      <c r="BS889">
        <v>0</v>
      </c>
      <c r="BT889">
        <v>10</v>
      </c>
      <c r="BV889">
        <v>6</v>
      </c>
      <c r="BW889">
        <v>113</v>
      </c>
      <c r="BX889" t="s">
        <v>82</v>
      </c>
      <c r="BY889" s="5"/>
      <c r="BZ889" s="6"/>
      <c r="CA889" s="7">
        <v>41224</v>
      </c>
      <c r="CI889">
        <f t="shared" si="92"/>
        <v>2012</v>
      </c>
      <c r="CJ889" t="str">
        <f t="shared" si="93"/>
        <v>6011_2012</v>
      </c>
    </row>
    <row r="890" spans="1:88" x14ac:dyDescent="0.25">
      <c r="A890" t="s">
        <v>111</v>
      </c>
      <c r="B890" t="s">
        <v>133</v>
      </c>
      <c r="C890">
        <v>6012</v>
      </c>
      <c r="D890">
        <v>-37.803800000000003</v>
      </c>
      <c r="E890">
        <v>145.28200000000001</v>
      </c>
      <c r="F890">
        <v>3</v>
      </c>
      <c r="G890" t="s">
        <v>351</v>
      </c>
      <c r="H890">
        <v>130</v>
      </c>
      <c r="I890">
        <v>310</v>
      </c>
      <c r="J890">
        <v>230</v>
      </c>
      <c r="K890">
        <v>50</v>
      </c>
      <c r="L890">
        <v>356</v>
      </c>
      <c r="M890">
        <v>176</v>
      </c>
      <c r="T890">
        <v>23</v>
      </c>
      <c r="U890">
        <v>99</v>
      </c>
      <c r="Y890">
        <v>14</v>
      </c>
      <c r="Z890">
        <v>336</v>
      </c>
      <c r="AD890">
        <v>86</v>
      </c>
      <c r="AE890">
        <v>149</v>
      </c>
      <c r="AX890">
        <v>122</v>
      </c>
      <c r="AY890">
        <v>100</v>
      </c>
      <c r="AZ890">
        <v>222</v>
      </c>
      <c r="BA890">
        <v>350</v>
      </c>
      <c r="BB890">
        <v>172</v>
      </c>
      <c r="BC890">
        <v>522</v>
      </c>
      <c r="BD890">
        <v>235</v>
      </c>
      <c r="BE890">
        <v>435</v>
      </c>
      <c r="BF890">
        <v>670</v>
      </c>
      <c r="BP890">
        <v>89</v>
      </c>
      <c r="BR890">
        <v>532</v>
      </c>
      <c r="BS890">
        <v>11</v>
      </c>
      <c r="BT890">
        <v>26</v>
      </c>
      <c r="BV890">
        <v>49</v>
      </c>
      <c r="BW890">
        <v>707</v>
      </c>
      <c r="BX890" t="s">
        <v>82</v>
      </c>
      <c r="BY890" s="5"/>
      <c r="BZ890" s="6"/>
      <c r="CA890" s="7">
        <v>41224</v>
      </c>
      <c r="CI890">
        <f t="shared" si="92"/>
        <v>2012</v>
      </c>
      <c r="CJ890" t="str">
        <f t="shared" si="93"/>
        <v>6012_2012</v>
      </c>
    </row>
    <row r="891" spans="1:88" x14ac:dyDescent="0.25">
      <c r="A891" t="s">
        <v>111</v>
      </c>
      <c r="B891" t="s">
        <v>133</v>
      </c>
      <c r="C891">
        <v>6012</v>
      </c>
      <c r="D891">
        <v>-37.803800000000003</v>
      </c>
      <c r="E891">
        <v>145.28200000000001</v>
      </c>
      <c r="F891">
        <v>3</v>
      </c>
      <c r="G891" t="s">
        <v>351</v>
      </c>
      <c r="H891">
        <v>130</v>
      </c>
      <c r="I891">
        <v>310</v>
      </c>
      <c r="J891">
        <v>230</v>
      </c>
      <c r="K891">
        <v>50</v>
      </c>
      <c r="L891">
        <v>356</v>
      </c>
      <c r="M891">
        <v>176</v>
      </c>
      <c r="T891">
        <v>30</v>
      </c>
      <c r="U891">
        <v>122</v>
      </c>
      <c r="Y891">
        <v>73</v>
      </c>
      <c r="Z891">
        <v>319</v>
      </c>
      <c r="AD891">
        <v>65</v>
      </c>
      <c r="AE891">
        <v>122</v>
      </c>
      <c r="AX891">
        <v>152</v>
      </c>
      <c r="AY891">
        <v>138</v>
      </c>
      <c r="AZ891">
        <v>290</v>
      </c>
      <c r="BA891">
        <v>392</v>
      </c>
      <c r="BB891">
        <v>152</v>
      </c>
      <c r="BC891">
        <v>544</v>
      </c>
      <c r="BD891">
        <v>187</v>
      </c>
      <c r="BE891">
        <v>441</v>
      </c>
      <c r="BF891">
        <v>628</v>
      </c>
      <c r="BP891">
        <v>140</v>
      </c>
      <c r="BR891">
        <v>500</v>
      </c>
      <c r="BS891">
        <v>15</v>
      </c>
      <c r="BT891">
        <v>30</v>
      </c>
      <c r="BV891">
        <v>46</v>
      </c>
      <c r="BW891">
        <v>731</v>
      </c>
      <c r="BX891" t="str">
        <f>IF(C891=C890,IF((CI891-1)=CI890,BW890,"no data"))</f>
        <v>no data</v>
      </c>
      <c r="BY891" s="5"/>
      <c r="BZ891" s="6"/>
      <c r="CA891" s="7">
        <v>42316</v>
      </c>
      <c r="CE891">
        <v>83</v>
      </c>
      <c r="CF891">
        <v>114</v>
      </c>
      <c r="CG891">
        <v>278</v>
      </c>
      <c r="CH891">
        <v>256</v>
      </c>
      <c r="CI891">
        <f t="shared" si="92"/>
        <v>2015</v>
      </c>
      <c r="CJ891" t="str">
        <f t="shared" si="93"/>
        <v>6012_2015</v>
      </c>
    </row>
    <row r="892" spans="1:88" x14ac:dyDescent="0.25">
      <c r="A892" t="s">
        <v>111</v>
      </c>
      <c r="B892" t="s">
        <v>133</v>
      </c>
      <c r="C892">
        <v>6013</v>
      </c>
      <c r="D892">
        <v>-37.795900000000003</v>
      </c>
      <c r="E892">
        <v>145.2509</v>
      </c>
      <c r="F892">
        <v>4</v>
      </c>
      <c r="G892" t="s">
        <v>352</v>
      </c>
      <c r="H892">
        <v>67</v>
      </c>
      <c r="I892">
        <v>247</v>
      </c>
      <c r="J892">
        <v>122</v>
      </c>
      <c r="K892">
        <v>302</v>
      </c>
      <c r="L892">
        <v>211</v>
      </c>
      <c r="M892">
        <v>31</v>
      </c>
      <c r="N892">
        <v>283</v>
      </c>
      <c r="O892">
        <v>103</v>
      </c>
      <c r="T892">
        <v>6</v>
      </c>
      <c r="U892">
        <v>74</v>
      </c>
      <c r="V892">
        <v>19</v>
      </c>
      <c r="Y892">
        <v>4</v>
      </c>
      <c r="Z892">
        <v>22</v>
      </c>
      <c r="AA892">
        <v>19</v>
      </c>
      <c r="AD892">
        <v>72</v>
      </c>
      <c r="AE892">
        <v>14</v>
      </c>
      <c r="AF892">
        <v>25</v>
      </c>
      <c r="AI892">
        <v>19</v>
      </c>
      <c r="AJ892">
        <v>20</v>
      </c>
      <c r="AK892">
        <v>19</v>
      </c>
      <c r="AX892">
        <v>99</v>
      </c>
      <c r="AY892">
        <v>95</v>
      </c>
      <c r="AZ892">
        <v>194</v>
      </c>
      <c r="BA892">
        <v>45</v>
      </c>
      <c r="BB892">
        <v>40</v>
      </c>
      <c r="BC892">
        <v>85</v>
      </c>
      <c r="BD892">
        <v>111</v>
      </c>
      <c r="BE892">
        <v>115</v>
      </c>
      <c r="BF892">
        <v>226</v>
      </c>
      <c r="BG892">
        <v>58</v>
      </c>
      <c r="BH892">
        <v>63</v>
      </c>
      <c r="BI892">
        <v>121</v>
      </c>
      <c r="BP892">
        <v>115</v>
      </c>
      <c r="BR892">
        <v>119</v>
      </c>
      <c r="BS892">
        <v>40</v>
      </c>
      <c r="BT892">
        <v>29</v>
      </c>
      <c r="BV892">
        <v>10</v>
      </c>
      <c r="BW892">
        <v>313</v>
      </c>
      <c r="BX892" t="s">
        <v>82</v>
      </c>
      <c r="BY892" s="5"/>
      <c r="BZ892" s="6"/>
      <c r="CA892" s="7">
        <v>41224</v>
      </c>
      <c r="CI892">
        <f t="shared" si="92"/>
        <v>2012</v>
      </c>
      <c r="CJ892" t="str">
        <f t="shared" si="93"/>
        <v>6013_2012</v>
      </c>
    </row>
    <row r="893" spans="1:88" x14ac:dyDescent="0.25">
      <c r="A893" t="s">
        <v>111</v>
      </c>
      <c r="B893" t="s">
        <v>133</v>
      </c>
      <c r="C893">
        <v>6013</v>
      </c>
      <c r="D893">
        <v>-37.795900000000003</v>
      </c>
      <c r="E893">
        <v>145.2509</v>
      </c>
      <c r="F893">
        <v>4</v>
      </c>
      <c r="G893" t="s">
        <v>352</v>
      </c>
      <c r="H893">
        <v>67</v>
      </c>
      <c r="I893">
        <v>247</v>
      </c>
      <c r="J893">
        <v>122</v>
      </c>
      <c r="K893">
        <v>302</v>
      </c>
      <c r="L893">
        <v>211</v>
      </c>
      <c r="M893">
        <v>31</v>
      </c>
      <c r="N893">
        <v>283</v>
      </c>
      <c r="O893">
        <v>103</v>
      </c>
      <c r="T893">
        <v>6</v>
      </c>
      <c r="U893">
        <v>98</v>
      </c>
      <c r="V893">
        <v>13</v>
      </c>
      <c r="Y893">
        <v>7</v>
      </c>
      <c r="Z893">
        <v>9</v>
      </c>
      <c r="AA893">
        <v>23</v>
      </c>
      <c r="AD893">
        <v>80</v>
      </c>
      <c r="AE893">
        <v>8</v>
      </c>
      <c r="AF893">
        <v>18</v>
      </c>
      <c r="AI893">
        <v>9</v>
      </c>
      <c r="AJ893">
        <v>36</v>
      </c>
      <c r="AK893">
        <v>18</v>
      </c>
      <c r="AX893">
        <v>117</v>
      </c>
      <c r="AY893">
        <v>96</v>
      </c>
      <c r="AZ893">
        <v>213</v>
      </c>
      <c r="BA893">
        <v>39</v>
      </c>
      <c r="BB893">
        <v>50</v>
      </c>
      <c r="BC893">
        <v>89</v>
      </c>
      <c r="BD893">
        <v>106</v>
      </c>
      <c r="BE893">
        <v>125</v>
      </c>
      <c r="BF893">
        <v>231</v>
      </c>
      <c r="BG893">
        <v>63</v>
      </c>
      <c r="BH893">
        <v>54</v>
      </c>
      <c r="BI893">
        <v>117</v>
      </c>
      <c r="BP893">
        <v>160</v>
      </c>
      <c r="BR893">
        <v>105</v>
      </c>
      <c r="BS893">
        <v>30</v>
      </c>
      <c r="BT893">
        <v>23</v>
      </c>
      <c r="BV893">
        <v>7</v>
      </c>
      <c r="BW893">
        <v>325</v>
      </c>
      <c r="BX893" t="str">
        <f>IF(C893=C892,IF((CI893-1)=CI892,BW892,"no data"))</f>
        <v>no data</v>
      </c>
      <c r="BY893" s="5"/>
      <c r="BZ893" s="6"/>
      <c r="CA893" s="7">
        <v>42316</v>
      </c>
      <c r="CE893">
        <v>62</v>
      </c>
      <c r="CF893">
        <v>101</v>
      </c>
      <c r="CG893">
        <v>100</v>
      </c>
      <c r="CH893">
        <v>62</v>
      </c>
      <c r="CI893">
        <f t="shared" si="92"/>
        <v>2015</v>
      </c>
      <c r="CJ893" t="str">
        <f t="shared" si="93"/>
        <v>6013_2015</v>
      </c>
    </row>
    <row r="894" spans="1:88" x14ac:dyDescent="0.25">
      <c r="A894" t="s">
        <v>111</v>
      </c>
      <c r="B894" t="s">
        <v>133</v>
      </c>
      <c r="C894">
        <v>6014</v>
      </c>
      <c r="D894">
        <v>-37.778399999999998</v>
      </c>
      <c r="E894">
        <v>145.3039</v>
      </c>
      <c r="F894">
        <v>3</v>
      </c>
      <c r="G894" t="s">
        <v>353</v>
      </c>
      <c r="H894">
        <v>105</v>
      </c>
      <c r="I894">
        <v>285</v>
      </c>
      <c r="J894">
        <v>181</v>
      </c>
      <c r="K894">
        <v>1</v>
      </c>
      <c r="L894">
        <v>313</v>
      </c>
      <c r="M894">
        <v>133</v>
      </c>
      <c r="T894">
        <v>3</v>
      </c>
      <c r="U894">
        <v>39</v>
      </c>
      <c r="Y894">
        <v>7</v>
      </c>
      <c r="Z894">
        <v>13</v>
      </c>
      <c r="AD894">
        <v>33</v>
      </c>
      <c r="AE894">
        <v>24</v>
      </c>
      <c r="AX894">
        <v>42</v>
      </c>
      <c r="AY894">
        <v>40</v>
      </c>
      <c r="AZ894">
        <v>82</v>
      </c>
      <c r="BA894">
        <v>20</v>
      </c>
      <c r="BB894">
        <v>27</v>
      </c>
      <c r="BC894">
        <v>47</v>
      </c>
      <c r="BD894">
        <v>57</v>
      </c>
      <c r="BE894">
        <v>52</v>
      </c>
      <c r="BF894">
        <v>109</v>
      </c>
      <c r="BP894">
        <v>10</v>
      </c>
      <c r="BR894">
        <v>62</v>
      </c>
      <c r="BS894">
        <v>4</v>
      </c>
      <c r="BT894">
        <v>43</v>
      </c>
      <c r="BV894">
        <v>0</v>
      </c>
      <c r="BW894">
        <v>119</v>
      </c>
      <c r="BX894" t="s">
        <v>82</v>
      </c>
      <c r="BY894" s="5"/>
      <c r="BZ894" s="6"/>
      <c r="CA894" s="7">
        <v>41224</v>
      </c>
      <c r="CI894">
        <f t="shared" si="92"/>
        <v>2012</v>
      </c>
      <c r="CJ894" t="str">
        <f t="shared" si="93"/>
        <v>6014_2012</v>
      </c>
    </row>
    <row r="895" spans="1:88" x14ac:dyDescent="0.25">
      <c r="A895" t="s">
        <v>111</v>
      </c>
      <c r="B895" t="s">
        <v>259</v>
      </c>
      <c r="C895">
        <v>6015</v>
      </c>
      <c r="D895">
        <v>-37.890599999999999</v>
      </c>
      <c r="E895">
        <v>145.09389999999999</v>
      </c>
      <c r="F895">
        <v>4</v>
      </c>
      <c r="G895" t="s">
        <v>354</v>
      </c>
      <c r="H895">
        <v>7</v>
      </c>
      <c r="I895">
        <v>187</v>
      </c>
      <c r="J895">
        <v>129</v>
      </c>
      <c r="K895">
        <v>309</v>
      </c>
      <c r="L895">
        <v>189</v>
      </c>
      <c r="M895">
        <v>9</v>
      </c>
      <c r="N895">
        <v>318</v>
      </c>
      <c r="O895">
        <v>138</v>
      </c>
      <c r="T895">
        <v>9</v>
      </c>
      <c r="U895">
        <v>35</v>
      </c>
      <c r="V895">
        <v>3</v>
      </c>
      <c r="Y895">
        <v>10</v>
      </c>
      <c r="Z895">
        <v>9</v>
      </c>
      <c r="AA895">
        <v>163</v>
      </c>
      <c r="AD895">
        <v>27</v>
      </c>
      <c r="AE895">
        <v>6</v>
      </c>
      <c r="AF895">
        <v>18</v>
      </c>
      <c r="AI895">
        <v>7</v>
      </c>
      <c r="AJ895">
        <v>189</v>
      </c>
      <c r="AK895">
        <v>19</v>
      </c>
      <c r="AX895">
        <v>47</v>
      </c>
      <c r="AY895">
        <v>44</v>
      </c>
      <c r="AZ895">
        <v>91</v>
      </c>
      <c r="BA895">
        <v>182</v>
      </c>
      <c r="BB895">
        <v>204</v>
      </c>
      <c r="BC895">
        <v>386</v>
      </c>
      <c r="BD895">
        <v>51</v>
      </c>
      <c r="BE895">
        <v>63</v>
      </c>
      <c r="BF895">
        <v>114</v>
      </c>
      <c r="BG895">
        <v>215</v>
      </c>
      <c r="BH895">
        <v>184</v>
      </c>
      <c r="BI895">
        <v>399</v>
      </c>
      <c r="BP895">
        <v>295</v>
      </c>
      <c r="BR895">
        <v>145</v>
      </c>
      <c r="BS895">
        <v>28</v>
      </c>
      <c r="BT895">
        <v>23</v>
      </c>
      <c r="BV895">
        <v>4</v>
      </c>
      <c r="BW895">
        <v>495</v>
      </c>
      <c r="BX895" t="s">
        <v>82</v>
      </c>
      <c r="BY895" s="5"/>
      <c r="BZ895" s="6"/>
      <c r="CA895" s="7">
        <v>41224</v>
      </c>
      <c r="CI895">
        <f t="shared" si="92"/>
        <v>2012</v>
      </c>
      <c r="CJ895" t="str">
        <f t="shared" si="93"/>
        <v>6015_2012</v>
      </c>
    </row>
    <row r="896" spans="1:88" x14ac:dyDescent="0.25">
      <c r="A896" t="s">
        <v>111</v>
      </c>
      <c r="B896" t="s">
        <v>259</v>
      </c>
      <c r="C896">
        <v>6015</v>
      </c>
      <c r="D896">
        <v>-37.890599999999999</v>
      </c>
      <c r="E896">
        <v>145.09389999999999</v>
      </c>
      <c r="F896">
        <v>4</v>
      </c>
      <c r="G896" t="s">
        <v>354</v>
      </c>
      <c r="H896">
        <v>7</v>
      </c>
      <c r="I896">
        <v>187</v>
      </c>
      <c r="J896">
        <v>129</v>
      </c>
      <c r="K896">
        <v>309</v>
      </c>
      <c r="L896">
        <v>189</v>
      </c>
      <c r="M896">
        <v>9</v>
      </c>
      <c r="N896">
        <v>318</v>
      </c>
      <c r="O896">
        <v>138</v>
      </c>
      <c r="T896">
        <v>6</v>
      </c>
      <c r="U896">
        <v>13</v>
      </c>
      <c r="V896">
        <v>0</v>
      </c>
      <c r="Y896">
        <v>5</v>
      </c>
      <c r="Z896">
        <v>6</v>
      </c>
      <c r="AA896">
        <v>80</v>
      </c>
      <c r="AD896">
        <v>5</v>
      </c>
      <c r="AE896">
        <v>6</v>
      </c>
      <c r="AF896">
        <v>13</v>
      </c>
      <c r="AI896">
        <v>3</v>
      </c>
      <c r="AJ896">
        <v>96</v>
      </c>
      <c r="AK896">
        <v>3</v>
      </c>
      <c r="AX896">
        <v>19</v>
      </c>
      <c r="AY896">
        <v>13</v>
      </c>
      <c r="AZ896">
        <v>32</v>
      </c>
      <c r="BA896">
        <v>91</v>
      </c>
      <c r="BB896">
        <v>108</v>
      </c>
      <c r="BC896">
        <v>199</v>
      </c>
      <c r="BD896">
        <v>24</v>
      </c>
      <c r="BE896">
        <v>22</v>
      </c>
      <c r="BF896">
        <v>46</v>
      </c>
      <c r="BG896">
        <v>102</v>
      </c>
      <c r="BH896">
        <v>93</v>
      </c>
      <c r="BI896">
        <v>195</v>
      </c>
      <c r="BP896">
        <v>119</v>
      </c>
      <c r="BR896">
        <v>88</v>
      </c>
      <c r="BS896">
        <v>14</v>
      </c>
      <c r="BT896">
        <v>13</v>
      </c>
      <c r="BV896">
        <v>2</v>
      </c>
      <c r="BW896">
        <v>236</v>
      </c>
      <c r="BX896">
        <f t="shared" ref="BX896:BX905" si="100">IF(C896=C895,IF((CI896-1)=CI895,BW895,"no data"))</f>
        <v>495</v>
      </c>
      <c r="BY896" s="5">
        <f t="shared" si="96"/>
        <v>-0.52323232323232327</v>
      </c>
      <c r="BZ896" s="6">
        <f t="shared" si="94"/>
        <v>-0.52323232323232327</v>
      </c>
      <c r="CA896" s="7">
        <v>41588</v>
      </c>
      <c r="CI896">
        <f t="shared" si="92"/>
        <v>2013</v>
      </c>
      <c r="CJ896" t="str">
        <f t="shared" si="93"/>
        <v>6015_2013</v>
      </c>
    </row>
    <row r="897" spans="1:88" x14ac:dyDescent="0.25">
      <c r="A897" t="s">
        <v>111</v>
      </c>
      <c r="B897" t="s">
        <v>259</v>
      </c>
      <c r="C897">
        <v>6015</v>
      </c>
      <c r="D897">
        <v>-37.890599999999999</v>
      </c>
      <c r="E897">
        <v>145.09389999999999</v>
      </c>
      <c r="F897">
        <v>4</v>
      </c>
      <c r="G897" t="s">
        <v>354</v>
      </c>
      <c r="H897">
        <v>7</v>
      </c>
      <c r="I897">
        <v>187</v>
      </c>
      <c r="J897">
        <v>129</v>
      </c>
      <c r="K897">
        <v>309</v>
      </c>
      <c r="L897">
        <v>189</v>
      </c>
      <c r="M897">
        <v>9</v>
      </c>
      <c r="N897">
        <v>318</v>
      </c>
      <c r="O897">
        <v>138</v>
      </c>
      <c r="T897">
        <v>18</v>
      </c>
      <c r="U897">
        <v>25</v>
      </c>
      <c r="V897">
        <v>5</v>
      </c>
      <c r="Y897">
        <v>10</v>
      </c>
      <c r="Z897">
        <v>15</v>
      </c>
      <c r="AA897">
        <v>111</v>
      </c>
      <c r="AD897">
        <v>27</v>
      </c>
      <c r="AE897">
        <v>8</v>
      </c>
      <c r="AF897">
        <v>15</v>
      </c>
      <c r="AI897">
        <v>5</v>
      </c>
      <c r="AJ897">
        <v>137</v>
      </c>
      <c r="AK897">
        <v>7</v>
      </c>
      <c r="AX897">
        <v>48</v>
      </c>
      <c r="AY897">
        <v>42</v>
      </c>
      <c r="AZ897">
        <v>90</v>
      </c>
      <c r="BA897">
        <v>136</v>
      </c>
      <c r="BB897">
        <v>163</v>
      </c>
      <c r="BC897">
        <v>299</v>
      </c>
      <c r="BD897">
        <v>50</v>
      </c>
      <c r="BE897">
        <v>47</v>
      </c>
      <c r="BF897">
        <v>97</v>
      </c>
      <c r="BG897">
        <v>149</v>
      </c>
      <c r="BH897">
        <v>131</v>
      </c>
      <c r="BI897">
        <v>280</v>
      </c>
      <c r="BP897">
        <v>203</v>
      </c>
      <c r="BR897">
        <v>114</v>
      </c>
      <c r="BS897">
        <v>26</v>
      </c>
      <c r="BT897">
        <v>36</v>
      </c>
      <c r="BV897">
        <v>4</v>
      </c>
      <c r="BW897">
        <v>383</v>
      </c>
      <c r="BX897">
        <f t="shared" si="100"/>
        <v>236</v>
      </c>
      <c r="BY897" s="5">
        <f t="shared" si="96"/>
        <v>0.6228813559322034</v>
      </c>
      <c r="BZ897" s="6">
        <f t="shared" si="94"/>
        <v>0.6228813559322034</v>
      </c>
      <c r="CA897" s="7">
        <v>41952</v>
      </c>
      <c r="CI897">
        <f t="shared" si="92"/>
        <v>2014</v>
      </c>
      <c r="CJ897" t="str">
        <f t="shared" si="93"/>
        <v>6015_2014</v>
      </c>
    </row>
    <row r="898" spans="1:88" x14ac:dyDescent="0.25">
      <c r="A898" t="s">
        <v>111</v>
      </c>
      <c r="B898" t="s">
        <v>259</v>
      </c>
      <c r="C898">
        <v>6015</v>
      </c>
      <c r="D898">
        <v>-37.890599999999999</v>
      </c>
      <c r="E898">
        <v>145.09389999999999</v>
      </c>
      <c r="F898">
        <v>4</v>
      </c>
      <c r="G898" t="s">
        <v>354</v>
      </c>
      <c r="H898">
        <v>7</v>
      </c>
      <c r="I898">
        <v>187</v>
      </c>
      <c r="J898">
        <v>129</v>
      </c>
      <c r="K898">
        <v>309</v>
      </c>
      <c r="L898">
        <v>189</v>
      </c>
      <c r="M898">
        <v>9</v>
      </c>
      <c r="N898">
        <v>318</v>
      </c>
      <c r="O898">
        <v>138</v>
      </c>
      <c r="T898">
        <v>8</v>
      </c>
      <c r="U898">
        <v>9</v>
      </c>
      <c r="V898">
        <v>6</v>
      </c>
      <c r="Y898">
        <v>20</v>
      </c>
      <c r="Z898">
        <v>0</v>
      </c>
      <c r="AA898">
        <v>52</v>
      </c>
      <c r="AD898">
        <v>9</v>
      </c>
      <c r="AE898">
        <v>5</v>
      </c>
      <c r="AF898">
        <v>3</v>
      </c>
      <c r="AI898">
        <v>3</v>
      </c>
      <c r="AJ898">
        <v>46</v>
      </c>
      <c r="AK898">
        <v>1</v>
      </c>
      <c r="AX898">
        <v>23</v>
      </c>
      <c r="AY898">
        <v>32</v>
      </c>
      <c r="AZ898">
        <v>55</v>
      </c>
      <c r="BA898">
        <v>72</v>
      </c>
      <c r="BB898">
        <v>59</v>
      </c>
      <c r="BC898">
        <v>131</v>
      </c>
      <c r="BD898">
        <v>17</v>
      </c>
      <c r="BE898">
        <v>10</v>
      </c>
      <c r="BF898">
        <v>27</v>
      </c>
      <c r="BG898">
        <v>50</v>
      </c>
      <c r="BH898">
        <v>61</v>
      </c>
      <c r="BI898">
        <v>111</v>
      </c>
      <c r="BP898">
        <v>42</v>
      </c>
      <c r="BR898">
        <v>83</v>
      </c>
      <c r="BS898">
        <v>20</v>
      </c>
      <c r="BT898">
        <v>17</v>
      </c>
      <c r="BV898">
        <v>0</v>
      </c>
      <c r="BW898">
        <v>162</v>
      </c>
      <c r="BX898">
        <f t="shared" si="100"/>
        <v>383</v>
      </c>
      <c r="BY898" s="5">
        <f t="shared" si="96"/>
        <v>-0.57702349869451697</v>
      </c>
      <c r="BZ898" s="6">
        <f t="shared" si="94"/>
        <v>-0.57702349869451697</v>
      </c>
      <c r="CA898" s="7">
        <v>42316</v>
      </c>
      <c r="CE898">
        <v>24</v>
      </c>
      <c r="CF898">
        <v>57</v>
      </c>
      <c r="CG898">
        <v>34</v>
      </c>
      <c r="CH898">
        <v>47</v>
      </c>
      <c r="CI898">
        <f t="shared" si="92"/>
        <v>2015</v>
      </c>
      <c r="CJ898" t="str">
        <f t="shared" si="93"/>
        <v>6015_2015</v>
      </c>
    </row>
    <row r="899" spans="1:88" x14ac:dyDescent="0.25">
      <c r="A899" t="s">
        <v>111</v>
      </c>
      <c r="B899" t="s">
        <v>259</v>
      </c>
      <c r="C899">
        <v>6015</v>
      </c>
      <c r="D899">
        <v>-37.890625</v>
      </c>
      <c r="E899">
        <v>145.093931</v>
      </c>
      <c r="F899">
        <v>4</v>
      </c>
      <c r="G899" t="s">
        <v>354</v>
      </c>
      <c r="H899">
        <v>7</v>
      </c>
      <c r="I899">
        <v>187</v>
      </c>
      <c r="J899">
        <v>129</v>
      </c>
      <c r="K899">
        <v>309</v>
      </c>
      <c r="L899">
        <v>189</v>
      </c>
      <c r="M899">
        <v>9</v>
      </c>
      <c r="N899">
        <v>318</v>
      </c>
      <c r="O899">
        <v>138</v>
      </c>
      <c r="T899">
        <v>8</v>
      </c>
      <c r="U899">
        <v>9</v>
      </c>
      <c r="V899">
        <v>6</v>
      </c>
      <c r="Y899">
        <v>20</v>
      </c>
      <c r="Z899">
        <v>0</v>
      </c>
      <c r="AA899">
        <v>52</v>
      </c>
      <c r="AD899">
        <v>9</v>
      </c>
      <c r="AE899">
        <v>5</v>
      </c>
      <c r="AF899">
        <v>3</v>
      </c>
      <c r="AI899">
        <v>3</v>
      </c>
      <c r="AJ899">
        <v>46</v>
      </c>
      <c r="AK899">
        <v>1</v>
      </c>
      <c r="AX899">
        <v>23</v>
      </c>
      <c r="AY899">
        <v>32</v>
      </c>
      <c r="AZ899">
        <v>55</v>
      </c>
      <c r="BA899">
        <v>72</v>
      </c>
      <c r="BB899">
        <v>59</v>
      </c>
      <c r="BC899">
        <v>131</v>
      </c>
      <c r="BD899">
        <v>17</v>
      </c>
      <c r="BE899">
        <v>10</v>
      </c>
      <c r="BF899">
        <v>27</v>
      </c>
      <c r="BG899">
        <v>50</v>
      </c>
      <c r="BH899">
        <v>61</v>
      </c>
      <c r="BI899">
        <v>111</v>
      </c>
      <c r="BP899">
        <v>42</v>
      </c>
      <c r="BR899">
        <v>83</v>
      </c>
      <c r="BS899">
        <v>20</v>
      </c>
      <c r="BT899">
        <v>17</v>
      </c>
      <c r="BV899">
        <v>0</v>
      </c>
      <c r="BW899">
        <v>162</v>
      </c>
      <c r="BX899">
        <f t="shared" si="100"/>
        <v>162</v>
      </c>
      <c r="BY899" s="5">
        <f t="shared" si="96"/>
        <v>0</v>
      </c>
      <c r="BZ899" s="6">
        <f t="shared" si="94"/>
        <v>0</v>
      </c>
      <c r="CA899" s="7">
        <v>42687</v>
      </c>
      <c r="CE899">
        <v>24</v>
      </c>
      <c r="CF899">
        <v>57</v>
      </c>
      <c r="CG899">
        <v>34</v>
      </c>
      <c r="CH899">
        <v>47</v>
      </c>
      <c r="CI899">
        <f t="shared" ref="CI899:CI962" si="101">YEAR(CA899)</f>
        <v>2016</v>
      </c>
      <c r="CJ899" t="str">
        <f t="shared" ref="CJ899:CJ962" si="102">_xlfn.CONCAT(C899,"_",CI899)</f>
        <v>6015_2016</v>
      </c>
    </row>
    <row r="900" spans="1:88" x14ac:dyDescent="0.25">
      <c r="A900" t="s">
        <v>111</v>
      </c>
      <c r="B900" t="s">
        <v>259</v>
      </c>
      <c r="C900">
        <v>6015</v>
      </c>
      <c r="D900">
        <v>-37.890625</v>
      </c>
      <c r="E900">
        <v>145.093931</v>
      </c>
      <c r="F900">
        <v>4</v>
      </c>
      <c r="G900" t="s">
        <v>354</v>
      </c>
      <c r="H900">
        <v>7</v>
      </c>
      <c r="I900">
        <v>187</v>
      </c>
      <c r="J900">
        <v>129</v>
      </c>
      <c r="K900">
        <v>309</v>
      </c>
      <c r="L900">
        <v>189</v>
      </c>
      <c r="M900">
        <v>9</v>
      </c>
      <c r="N900">
        <v>318</v>
      </c>
      <c r="O900">
        <v>138</v>
      </c>
      <c r="T900">
        <v>9</v>
      </c>
      <c r="U900">
        <v>22</v>
      </c>
      <c r="V900">
        <v>9</v>
      </c>
      <c r="Y900">
        <v>8</v>
      </c>
      <c r="Z900">
        <v>20</v>
      </c>
      <c r="AA900">
        <v>134</v>
      </c>
      <c r="AD900">
        <v>23</v>
      </c>
      <c r="AE900">
        <v>22</v>
      </c>
      <c r="AF900">
        <v>19</v>
      </c>
      <c r="AI900">
        <v>9</v>
      </c>
      <c r="AJ900">
        <v>161</v>
      </c>
      <c r="AK900">
        <v>9</v>
      </c>
      <c r="AX900">
        <v>40</v>
      </c>
      <c r="AY900">
        <v>40</v>
      </c>
      <c r="AZ900">
        <v>80</v>
      </c>
      <c r="BA900">
        <v>162</v>
      </c>
      <c r="BB900">
        <v>192</v>
      </c>
      <c r="BC900">
        <v>354</v>
      </c>
      <c r="BD900">
        <v>64</v>
      </c>
      <c r="BE900">
        <v>51</v>
      </c>
      <c r="BF900">
        <v>115</v>
      </c>
      <c r="BG900">
        <v>179</v>
      </c>
      <c r="BH900">
        <v>162</v>
      </c>
      <c r="BI900">
        <v>341</v>
      </c>
      <c r="BP900">
        <v>183</v>
      </c>
      <c r="BR900">
        <v>180</v>
      </c>
      <c r="BS900">
        <v>34</v>
      </c>
      <c r="BT900">
        <v>36</v>
      </c>
      <c r="BV900">
        <v>12</v>
      </c>
      <c r="BW900">
        <v>445</v>
      </c>
      <c r="BX900">
        <f t="shared" si="100"/>
        <v>162</v>
      </c>
      <c r="BY900" s="5">
        <f t="shared" si="96"/>
        <v>1.7469135802469136</v>
      </c>
      <c r="BZ900" s="6">
        <f t="shared" si="94"/>
        <v>1.7469135802469136</v>
      </c>
      <c r="CA900" s="7">
        <v>43051</v>
      </c>
      <c r="CE900">
        <v>112</v>
      </c>
      <c r="CF900">
        <v>85</v>
      </c>
      <c r="CG900">
        <v>139</v>
      </c>
      <c r="CH900">
        <v>109</v>
      </c>
      <c r="CI900">
        <f t="shared" si="101"/>
        <v>2017</v>
      </c>
      <c r="CJ900" t="str">
        <f t="shared" si="102"/>
        <v>6015_2017</v>
      </c>
    </row>
    <row r="901" spans="1:88" x14ac:dyDescent="0.25">
      <c r="A901" t="s">
        <v>111</v>
      </c>
      <c r="B901" t="s">
        <v>259</v>
      </c>
      <c r="C901">
        <v>6015</v>
      </c>
      <c r="D901">
        <v>-37.890599999999999</v>
      </c>
      <c r="E901">
        <v>145.09389999999999</v>
      </c>
      <c r="F901">
        <v>4</v>
      </c>
      <c r="G901" t="s">
        <v>354</v>
      </c>
      <c r="H901">
        <v>7</v>
      </c>
      <c r="I901">
        <v>187</v>
      </c>
      <c r="J901">
        <v>129</v>
      </c>
      <c r="K901">
        <v>309</v>
      </c>
      <c r="L901">
        <v>189</v>
      </c>
      <c r="M901">
        <v>9</v>
      </c>
      <c r="N901">
        <v>318</v>
      </c>
      <c r="O901">
        <v>138</v>
      </c>
      <c r="T901">
        <v>28</v>
      </c>
      <c r="U901">
        <v>26</v>
      </c>
      <c r="V901">
        <v>6</v>
      </c>
      <c r="Y901">
        <v>8</v>
      </c>
      <c r="Z901">
        <v>14</v>
      </c>
      <c r="AA901">
        <v>205</v>
      </c>
      <c r="AD901">
        <v>27</v>
      </c>
      <c r="AE901">
        <v>8</v>
      </c>
      <c r="AF901">
        <v>16</v>
      </c>
      <c r="AI901">
        <v>6</v>
      </c>
      <c r="AJ901">
        <v>172</v>
      </c>
      <c r="AK901">
        <v>16</v>
      </c>
      <c r="AX901">
        <v>60</v>
      </c>
      <c r="AY901">
        <v>41</v>
      </c>
      <c r="AZ901">
        <v>101</v>
      </c>
      <c r="BA901">
        <v>227</v>
      </c>
      <c r="BB901">
        <v>208</v>
      </c>
      <c r="BC901">
        <v>435</v>
      </c>
      <c r="BD901">
        <v>51</v>
      </c>
      <c r="BE901">
        <v>56</v>
      </c>
      <c r="BF901">
        <v>107</v>
      </c>
      <c r="BG901">
        <v>194</v>
      </c>
      <c r="BH901">
        <v>227</v>
      </c>
      <c r="BI901">
        <v>421</v>
      </c>
      <c r="BP901">
        <v>223</v>
      </c>
      <c r="BR901">
        <v>215</v>
      </c>
      <c r="BS901">
        <v>43</v>
      </c>
      <c r="BT901">
        <v>39</v>
      </c>
      <c r="BV901">
        <v>12</v>
      </c>
      <c r="BW901">
        <v>532</v>
      </c>
      <c r="BX901">
        <f t="shared" si="100"/>
        <v>445</v>
      </c>
      <c r="BY901" s="5">
        <f t="shared" si="96"/>
        <v>0.19550561797752808</v>
      </c>
      <c r="BZ901" s="6">
        <f t="shared" si="94"/>
        <v>0.19550561797752808</v>
      </c>
      <c r="CA901" s="7">
        <v>43415</v>
      </c>
      <c r="CE901">
        <v>140</v>
      </c>
      <c r="CF901">
        <v>136</v>
      </c>
      <c r="CG901">
        <v>142</v>
      </c>
      <c r="CH901">
        <v>114</v>
      </c>
      <c r="CI901">
        <f t="shared" si="101"/>
        <v>2018</v>
      </c>
      <c r="CJ901" t="str">
        <f t="shared" si="102"/>
        <v>6015_2018</v>
      </c>
    </row>
    <row r="902" spans="1:88" x14ac:dyDescent="0.25">
      <c r="A902" t="s">
        <v>111</v>
      </c>
      <c r="B902" t="s">
        <v>259</v>
      </c>
      <c r="C902">
        <v>6015</v>
      </c>
      <c r="D902">
        <v>-37.890599999999999</v>
      </c>
      <c r="E902">
        <v>145.09389999999999</v>
      </c>
      <c r="F902">
        <v>4</v>
      </c>
      <c r="G902" t="s">
        <v>354</v>
      </c>
      <c r="H902">
        <v>7</v>
      </c>
      <c r="I902">
        <v>187</v>
      </c>
      <c r="J902">
        <v>129</v>
      </c>
      <c r="K902">
        <v>309</v>
      </c>
      <c r="L902">
        <v>189</v>
      </c>
      <c r="M902">
        <v>9</v>
      </c>
      <c r="N902">
        <v>318</v>
      </c>
      <c r="O902">
        <v>138</v>
      </c>
      <c r="T902">
        <v>18</v>
      </c>
      <c r="U902">
        <v>16</v>
      </c>
      <c r="V902">
        <v>10</v>
      </c>
      <c r="Y902">
        <v>4</v>
      </c>
      <c r="Z902">
        <v>21</v>
      </c>
      <c r="AA902">
        <v>84</v>
      </c>
      <c r="AD902">
        <v>25</v>
      </c>
      <c r="AE902">
        <v>34</v>
      </c>
      <c r="AF902">
        <v>14</v>
      </c>
      <c r="AI902">
        <v>3</v>
      </c>
      <c r="AJ902">
        <v>90</v>
      </c>
      <c r="AK902">
        <v>4</v>
      </c>
      <c r="AX902">
        <v>44</v>
      </c>
      <c r="AY902">
        <v>32</v>
      </c>
      <c r="AZ902">
        <v>76</v>
      </c>
      <c r="BA902">
        <v>109</v>
      </c>
      <c r="BB902">
        <v>142</v>
      </c>
      <c r="BC902">
        <v>251</v>
      </c>
      <c r="BD902">
        <v>73</v>
      </c>
      <c r="BE902">
        <v>41</v>
      </c>
      <c r="BF902">
        <v>114</v>
      </c>
      <c r="BG902">
        <v>97</v>
      </c>
      <c r="BH902">
        <v>108</v>
      </c>
      <c r="BI902">
        <v>205</v>
      </c>
      <c r="BP902">
        <v>145</v>
      </c>
      <c r="BR902">
        <v>124</v>
      </c>
      <c r="BS902">
        <v>23</v>
      </c>
      <c r="BT902">
        <v>31</v>
      </c>
      <c r="BV902">
        <v>0</v>
      </c>
      <c r="BW902">
        <v>323</v>
      </c>
      <c r="BX902">
        <f t="shared" si="100"/>
        <v>532</v>
      </c>
      <c r="BY902" s="5">
        <f t="shared" si="96"/>
        <v>-0.39285714285714285</v>
      </c>
      <c r="BZ902" s="6">
        <f t="shared" ref="BZ902:BZ962" si="103">BY902</f>
        <v>-0.39285714285714285</v>
      </c>
      <c r="CA902" s="7">
        <v>43779</v>
      </c>
      <c r="CE902">
        <v>89</v>
      </c>
      <c r="CF902">
        <v>120</v>
      </c>
      <c r="CG902">
        <v>85</v>
      </c>
      <c r="CH902">
        <v>29</v>
      </c>
      <c r="CI902">
        <f t="shared" si="101"/>
        <v>2019</v>
      </c>
      <c r="CJ902" t="str">
        <f t="shared" si="102"/>
        <v>6015_2019</v>
      </c>
    </row>
    <row r="903" spans="1:88" x14ac:dyDescent="0.25">
      <c r="A903" t="s">
        <v>111</v>
      </c>
      <c r="B903" t="s">
        <v>259</v>
      </c>
      <c r="C903">
        <v>6015</v>
      </c>
      <c r="D903">
        <v>-37.890599999999999</v>
      </c>
      <c r="E903">
        <v>145.09389999999999</v>
      </c>
      <c r="F903">
        <v>4</v>
      </c>
      <c r="G903" t="s">
        <v>354</v>
      </c>
      <c r="H903">
        <v>7</v>
      </c>
      <c r="I903">
        <v>187</v>
      </c>
      <c r="J903">
        <v>129</v>
      </c>
      <c r="K903">
        <v>309</v>
      </c>
      <c r="L903">
        <v>189</v>
      </c>
      <c r="M903">
        <v>9</v>
      </c>
      <c r="N903">
        <v>318</v>
      </c>
      <c r="O903">
        <v>138</v>
      </c>
      <c r="T903">
        <v>37</v>
      </c>
      <c r="U903">
        <v>68</v>
      </c>
      <c r="V903">
        <v>19</v>
      </c>
      <c r="Y903">
        <v>11</v>
      </c>
      <c r="Z903">
        <v>10</v>
      </c>
      <c r="AA903">
        <v>395</v>
      </c>
      <c r="AD903">
        <v>50</v>
      </c>
      <c r="AE903">
        <v>29</v>
      </c>
      <c r="AF903">
        <v>57</v>
      </c>
      <c r="AI903">
        <v>17</v>
      </c>
      <c r="AJ903">
        <v>356</v>
      </c>
      <c r="AK903">
        <v>38</v>
      </c>
      <c r="AX903">
        <v>124</v>
      </c>
      <c r="AY903">
        <v>78</v>
      </c>
      <c r="AZ903">
        <v>202</v>
      </c>
      <c r="BA903">
        <v>416</v>
      </c>
      <c r="BB903">
        <v>422</v>
      </c>
      <c r="BC903">
        <v>838</v>
      </c>
      <c r="BD903">
        <v>136</v>
      </c>
      <c r="BE903">
        <v>116</v>
      </c>
      <c r="BF903">
        <v>252</v>
      </c>
      <c r="BG903">
        <v>411</v>
      </c>
      <c r="BH903">
        <v>471</v>
      </c>
      <c r="BI903">
        <v>882</v>
      </c>
      <c r="BP903">
        <v>483</v>
      </c>
      <c r="BR903">
        <v>477</v>
      </c>
      <c r="BS903">
        <v>59</v>
      </c>
      <c r="BT903">
        <v>50</v>
      </c>
      <c r="BV903">
        <v>18</v>
      </c>
      <c r="BW903">
        <v>1087</v>
      </c>
      <c r="BX903">
        <f t="shared" si="100"/>
        <v>323</v>
      </c>
      <c r="BY903" s="5">
        <f t="shared" si="96"/>
        <v>2.365325077399381</v>
      </c>
      <c r="BZ903" s="6">
        <f t="shared" si="103"/>
        <v>2.365325077399381</v>
      </c>
      <c r="CA903" s="7">
        <v>44143</v>
      </c>
      <c r="CE903">
        <v>266</v>
      </c>
      <c r="CF903">
        <v>261</v>
      </c>
      <c r="CG903">
        <v>300</v>
      </c>
      <c r="CH903">
        <v>260</v>
      </c>
      <c r="CI903">
        <f t="shared" si="101"/>
        <v>2020</v>
      </c>
      <c r="CJ903" t="str">
        <f t="shared" si="102"/>
        <v>6015_2020</v>
      </c>
    </row>
    <row r="904" spans="1:88" x14ac:dyDescent="0.25">
      <c r="A904" t="s">
        <v>111</v>
      </c>
      <c r="B904" t="s">
        <v>259</v>
      </c>
      <c r="C904">
        <v>6015</v>
      </c>
      <c r="D904">
        <v>-37.890625</v>
      </c>
      <c r="E904">
        <v>145.093931</v>
      </c>
      <c r="F904">
        <v>4</v>
      </c>
      <c r="G904" t="s">
        <v>354</v>
      </c>
      <c r="H904">
        <v>7</v>
      </c>
      <c r="I904">
        <v>187</v>
      </c>
      <c r="J904">
        <v>129</v>
      </c>
      <c r="K904">
        <v>309</v>
      </c>
      <c r="L904">
        <v>189</v>
      </c>
      <c r="M904">
        <v>9</v>
      </c>
      <c r="N904">
        <v>318</v>
      </c>
      <c r="O904">
        <v>138</v>
      </c>
      <c r="T904">
        <v>11</v>
      </c>
      <c r="U904">
        <v>8</v>
      </c>
      <c r="V904">
        <v>0</v>
      </c>
      <c r="Y904">
        <v>2</v>
      </c>
      <c r="Z904">
        <v>2</v>
      </c>
      <c r="AA904">
        <v>160</v>
      </c>
      <c r="AD904">
        <v>13</v>
      </c>
      <c r="AE904">
        <v>3</v>
      </c>
      <c r="AF904">
        <v>13</v>
      </c>
      <c r="AI904">
        <v>1</v>
      </c>
      <c r="AJ904">
        <v>171</v>
      </c>
      <c r="AK904">
        <v>7</v>
      </c>
      <c r="AX904">
        <v>19</v>
      </c>
      <c r="AY904">
        <v>16</v>
      </c>
      <c r="AZ904">
        <v>35</v>
      </c>
      <c r="BA904">
        <v>164</v>
      </c>
      <c r="BB904">
        <v>185</v>
      </c>
      <c r="BC904">
        <v>349</v>
      </c>
      <c r="BD904">
        <v>29</v>
      </c>
      <c r="BE904">
        <v>17</v>
      </c>
      <c r="BF904">
        <v>46</v>
      </c>
      <c r="BG904">
        <v>179</v>
      </c>
      <c r="BH904">
        <v>173</v>
      </c>
      <c r="BI904">
        <v>352</v>
      </c>
      <c r="BP904">
        <v>168</v>
      </c>
      <c r="BR904">
        <v>153</v>
      </c>
      <c r="BS904">
        <v>42</v>
      </c>
      <c r="BT904">
        <v>23</v>
      </c>
      <c r="BV904">
        <v>5</v>
      </c>
      <c r="BW904">
        <v>391</v>
      </c>
      <c r="BX904">
        <f t="shared" si="100"/>
        <v>1087</v>
      </c>
      <c r="BY904" s="5">
        <f t="shared" si="96"/>
        <v>-0.64029438822447104</v>
      </c>
      <c r="BZ904" s="6">
        <f t="shared" si="103"/>
        <v>-0.64029438822447104</v>
      </c>
      <c r="CA904" s="7">
        <v>44528</v>
      </c>
      <c r="CE904">
        <v>123</v>
      </c>
      <c r="CF904">
        <v>144</v>
      </c>
      <c r="CG904">
        <v>124</v>
      </c>
      <c r="CI904">
        <f t="shared" si="101"/>
        <v>2021</v>
      </c>
      <c r="CJ904" t="str">
        <f t="shared" si="102"/>
        <v>6015_2021</v>
      </c>
    </row>
    <row r="905" spans="1:88" x14ac:dyDescent="0.25">
      <c r="A905" t="s">
        <v>111</v>
      </c>
      <c r="B905" t="s">
        <v>259</v>
      </c>
      <c r="C905">
        <v>6015</v>
      </c>
      <c r="D905">
        <v>-37.890625</v>
      </c>
      <c r="E905">
        <v>145.093931</v>
      </c>
      <c r="F905">
        <v>4</v>
      </c>
      <c r="G905" t="s">
        <v>354</v>
      </c>
      <c r="H905">
        <v>7</v>
      </c>
      <c r="I905">
        <v>187</v>
      </c>
      <c r="J905">
        <v>129</v>
      </c>
      <c r="K905">
        <v>309</v>
      </c>
      <c r="L905">
        <v>189</v>
      </c>
      <c r="M905">
        <v>9</v>
      </c>
      <c r="N905">
        <v>318</v>
      </c>
      <c r="O905">
        <v>138</v>
      </c>
      <c r="T905">
        <v>13</v>
      </c>
      <c r="U905">
        <v>28</v>
      </c>
      <c r="V905">
        <v>4</v>
      </c>
      <c r="Y905">
        <v>12</v>
      </c>
      <c r="Z905">
        <v>21</v>
      </c>
      <c r="AA905">
        <v>156</v>
      </c>
      <c r="AD905">
        <v>14</v>
      </c>
      <c r="AE905">
        <v>32</v>
      </c>
      <c r="AF905">
        <v>24</v>
      </c>
      <c r="AI905">
        <v>12</v>
      </c>
      <c r="AJ905">
        <v>152</v>
      </c>
      <c r="AK905">
        <v>24</v>
      </c>
      <c r="AX905">
        <v>45</v>
      </c>
      <c r="AY905">
        <v>38</v>
      </c>
      <c r="AZ905">
        <v>83</v>
      </c>
      <c r="BA905">
        <v>189</v>
      </c>
      <c r="BB905">
        <v>197</v>
      </c>
      <c r="BC905">
        <v>386</v>
      </c>
      <c r="BD905">
        <v>70</v>
      </c>
      <c r="BE905">
        <v>73</v>
      </c>
      <c r="BF905">
        <v>143</v>
      </c>
      <c r="BG905">
        <v>188</v>
      </c>
      <c r="BH905">
        <v>184</v>
      </c>
      <c r="BI905">
        <v>372</v>
      </c>
      <c r="BP905">
        <v>184</v>
      </c>
      <c r="BR905">
        <v>201</v>
      </c>
      <c r="BS905">
        <v>59</v>
      </c>
      <c r="BT905">
        <v>48</v>
      </c>
      <c r="BU905">
        <v>0</v>
      </c>
      <c r="BV905">
        <v>0</v>
      </c>
      <c r="BW905">
        <v>492</v>
      </c>
      <c r="BX905">
        <f t="shared" si="100"/>
        <v>391</v>
      </c>
      <c r="BY905" s="5">
        <f t="shared" si="96"/>
        <v>0.25831202046035806</v>
      </c>
      <c r="BZ905" s="6">
        <f t="shared" si="103"/>
        <v>0.25831202046035806</v>
      </c>
      <c r="CA905" s="7">
        <v>44878</v>
      </c>
      <c r="CE905">
        <v>141</v>
      </c>
      <c r="CF905">
        <v>209</v>
      </c>
      <c r="CG905">
        <v>142</v>
      </c>
      <c r="CI905">
        <f t="shared" si="101"/>
        <v>2022</v>
      </c>
      <c r="CJ905" t="str">
        <f t="shared" si="102"/>
        <v>6015_2022</v>
      </c>
    </row>
    <row r="906" spans="1:88" x14ac:dyDescent="0.25">
      <c r="A906" t="s">
        <v>111</v>
      </c>
      <c r="B906" t="s">
        <v>259</v>
      </c>
      <c r="C906">
        <v>6016</v>
      </c>
      <c r="D906">
        <v>-37.891599999999997</v>
      </c>
      <c r="E906">
        <v>145.101</v>
      </c>
      <c r="F906">
        <v>3</v>
      </c>
      <c r="G906" t="s">
        <v>355</v>
      </c>
      <c r="H906">
        <v>63</v>
      </c>
      <c r="I906">
        <v>243</v>
      </c>
      <c r="J906">
        <v>205</v>
      </c>
      <c r="K906">
        <v>25</v>
      </c>
      <c r="L906">
        <v>260</v>
      </c>
      <c r="M906">
        <v>80</v>
      </c>
      <c r="T906">
        <v>10</v>
      </c>
      <c r="U906">
        <v>212</v>
      </c>
      <c r="Y906">
        <v>15</v>
      </c>
      <c r="Z906">
        <v>18</v>
      </c>
      <c r="AD906">
        <v>172</v>
      </c>
      <c r="AE906">
        <v>13</v>
      </c>
      <c r="AX906">
        <v>222</v>
      </c>
      <c r="AY906">
        <v>187</v>
      </c>
      <c r="AZ906">
        <v>409</v>
      </c>
      <c r="BA906">
        <v>33</v>
      </c>
      <c r="BB906">
        <v>23</v>
      </c>
      <c r="BC906">
        <v>56</v>
      </c>
      <c r="BD906">
        <v>185</v>
      </c>
      <c r="BE906">
        <v>230</v>
      </c>
      <c r="BF906">
        <v>415</v>
      </c>
      <c r="BP906">
        <v>277</v>
      </c>
      <c r="BR906">
        <v>97</v>
      </c>
      <c r="BS906">
        <v>34</v>
      </c>
      <c r="BT906">
        <v>21</v>
      </c>
      <c r="BV906">
        <v>11</v>
      </c>
      <c r="BW906">
        <v>440</v>
      </c>
      <c r="BX906" t="s">
        <v>82</v>
      </c>
      <c r="BY906" s="5"/>
      <c r="BZ906" s="6"/>
      <c r="CA906" s="7">
        <v>41224</v>
      </c>
      <c r="CI906">
        <f t="shared" si="101"/>
        <v>2012</v>
      </c>
      <c r="CJ906" t="str">
        <f t="shared" si="102"/>
        <v>6016_2012</v>
      </c>
    </row>
    <row r="907" spans="1:88" x14ac:dyDescent="0.25">
      <c r="A907" t="s">
        <v>111</v>
      </c>
      <c r="B907" t="s">
        <v>259</v>
      </c>
      <c r="C907">
        <v>6016</v>
      </c>
      <c r="D907">
        <v>-37.891599999999997</v>
      </c>
      <c r="E907">
        <v>145.101</v>
      </c>
      <c r="F907">
        <v>3</v>
      </c>
      <c r="G907" t="s">
        <v>355</v>
      </c>
      <c r="H907">
        <v>63</v>
      </c>
      <c r="I907">
        <v>243</v>
      </c>
      <c r="J907">
        <v>205</v>
      </c>
      <c r="K907">
        <v>25</v>
      </c>
      <c r="L907">
        <v>260</v>
      </c>
      <c r="M907">
        <v>80</v>
      </c>
      <c r="T907">
        <v>9</v>
      </c>
      <c r="U907">
        <v>76</v>
      </c>
      <c r="Y907">
        <v>7</v>
      </c>
      <c r="Z907">
        <v>9</v>
      </c>
      <c r="AD907">
        <v>77</v>
      </c>
      <c r="AE907">
        <v>18</v>
      </c>
      <c r="AX907">
        <v>85</v>
      </c>
      <c r="AY907">
        <v>84</v>
      </c>
      <c r="AZ907">
        <v>169</v>
      </c>
      <c r="BA907">
        <v>16</v>
      </c>
      <c r="BB907">
        <v>27</v>
      </c>
      <c r="BC907">
        <v>43</v>
      </c>
      <c r="BD907">
        <v>95</v>
      </c>
      <c r="BE907">
        <v>85</v>
      </c>
      <c r="BF907">
        <v>180</v>
      </c>
      <c r="BP907">
        <v>97</v>
      </c>
      <c r="BR907">
        <v>61</v>
      </c>
      <c r="BS907">
        <v>19</v>
      </c>
      <c r="BT907">
        <v>18</v>
      </c>
      <c r="BV907">
        <v>1</v>
      </c>
      <c r="BW907">
        <v>196</v>
      </c>
      <c r="BX907">
        <f>IF(C907=C906,IF((CI907-1)=CI906,BW906,"no data"))</f>
        <v>440</v>
      </c>
      <c r="BY907" s="5">
        <f t="shared" si="96"/>
        <v>-0.55454545454545456</v>
      </c>
      <c r="BZ907" s="6">
        <f t="shared" si="103"/>
        <v>-0.55454545454545456</v>
      </c>
      <c r="CA907" s="7">
        <v>41588</v>
      </c>
      <c r="CI907">
        <f t="shared" si="101"/>
        <v>2013</v>
      </c>
      <c r="CJ907" t="str">
        <f t="shared" si="102"/>
        <v>6016_2013</v>
      </c>
    </row>
    <row r="908" spans="1:88" x14ac:dyDescent="0.25">
      <c r="A908" t="s">
        <v>111</v>
      </c>
      <c r="B908" t="s">
        <v>259</v>
      </c>
      <c r="C908">
        <v>6017</v>
      </c>
      <c r="D908">
        <v>-37.884500000000003</v>
      </c>
      <c r="E908">
        <v>145.14070000000001</v>
      </c>
      <c r="F908">
        <v>4</v>
      </c>
      <c r="G908" t="s">
        <v>356</v>
      </c>
      <c r="H908">
        <v>17</v>
      </c>
      <c r="I908">
        <v>197</v>
      </c>
      <c r="J908">
        <v>87</v>
      </c>
      <c r="K908">
        <v>267</v>
      </c>
      <c r="L908">
        <v>194</v>
      </c>
      <c r="M908">
        <v>14</v>
      </c>
      <c r="N908">
        <v>261</v>
      </c>
      <c r="O908">
        <v>81</v>
      </c>
      <c r="T908">
        <v>21</v>
      </c>
      <c r="U908">
        <v>2</v>
      </c>
      <c r="V908">
        <v>12</v>
      </c>
      <c r="Y908">
        <v>10</v>
      </c>
      <c r="Z908">
        <v>4</v>
      </c>
      <c r="AA908">
        <v>127</v>
      </c>
      <c r="AD908">
        <v>2</v>
      </c>
      <c r="AE908">
        <v>5</v>
      </c>
      <c r="AF908">
        <v>4</v>
      </c>
      <c r="AI908">
        <v>20</v>
      </c>
      <c r="AJ908">
        <v>118</v>
      </c>
      <c r="AK908">
        <v>6</v>
      </c>
      <c r="AX908">
        <v>35</v>
      </c>
      <c r="AY908">
        <v>32</v>
      </c>
      <c r="AZ908">
        <v>67</v>
      </c>
      <c r="BA908">
        <v>141</v>
      </c>
      <c r="BB908">
        <v>144</v>
      </c>
      <c r="BC908">
        <v>285</v>
      </c>
      <c r="BD908">
        <v>11</v>
      </c>
      <c r="BE908">
        <v>12</v>
      </c>
      <c r="BF908">
        <v>23</v>
      </c>
      <c r="BG908">
        <v>144</v>
      </c>
      <c r="BH908">
        <v>143</v>
      </c>
      <c r="BI908">
        <v>287</v>
      </c>
      <c r="BP908">
        <v>188</v>
      </c>
      <c r="BR908">
        <v>89</v>
      </c>
      <c r="BS908">
        <v>20</v>
      </c>
      <c r="BT908">
        <v>27</v>
      </c>
      <c r="BV908">
        <v>7</v>
      </c>
      <c r="BW908">
        <v>331</v>
      </c>
      <c r="BX908" t="s">
        <v>82</v>
      </c>
      <c r="BY908" s="5"/>
      <c r="BZ908" s="6"/>
      <c r="CA908" s="7">
        <v>41224</v>
      </c>
      <c r="CI908">
        <f t="shared" si="101"/>
        <v>2012</v>
      </c>
      <c r="CJ908" t="str">
        <f t="shared" si="102"/>
        <v>6017_2012</v>
      </c>
    </row>
    <row r="909" spans="1:88" x14ac:dyDescent="0.25">
      <c r="A909" t="s">
        <v>111</v>
      </c>
      <c r="B909" t="s">
        <v>259</v>
      </c>
      <c r="C909">
        <v>6017</v>
      </c>
      <c r="D909">
        <v>-37.884500000000003</v>
      </c>
      <c r="E909">
        <v>145.14070000000001</v>
      </c>
      <c r="F909">
        <v>4</v>
      </c>
      <c r="G909" t="s">
        <v>356</v>
      </c>
      <c r="H909">
        <v>17</v>
      </c>
      <c r="I909">
        <v>197</v>
      </c>
      <c r="J909">
        <v>87</v>
      </c>
      <c r="K909">
        <v>267</v>
      </c>
      <c r="L909">
        <v>194</v>
      </c>
      <c r="M909">
        <v>14</v>
      </c>
      <c r="N909">
        <v>261</v>
      </c>
      <c r="O909">
        <v>81</v>
      </c>
      <c r="T909">
        <v>16</v>
      </c>
      <c r="U909">
        <v>5</v>
      </c>
      <c r="V909">
        <v>6</v>
      </c>
      <c r="Y909">
        <v>14</v>
      </c>
      <c r="Z909">
        <v>3</v>
      </c>
      <c r="AA909">
        <v>68</v>
      </c>
      <c r="AD909">
        <v>3</v>
      </c>
      <c r="AE909">
        <v>4</v>
      </c>
      <c r="AF909">
        <v>1</v>
      </c>
      <c r="AI909">
        <v>12</v>
      </c>
      <c r="AJ909">
        <v>105</v>
      </c>
      <c r="AK909">
        <v>2</v>
      </c>
      <c r="AX909">
        <v>27</v>
      </c>
      <c r="AY909">
        <v>29</v>
      </c>
      <c r="AZ909">
        <v>56</v>
      </c>
      <c r="BA909">
        <v>85</v>
      </c>
      <c r="BB909">
        <v>125</v>
      </c>
      <c r="BC909">
        <v>210</v>
      </c>
      <c r="BD909">
        <v>8</v>
      </c>
      <c r="BE909">
        <v>10</v>
      </c>
      <c r="BF909">
        <v>18</v>
      </c>
      <c r="BG909">
        <v>119</v>
      </c>
      <c r="BH909">
        <v>75</v>
      </c>
      <c r="BI909">
        <v>194</v>
      </c>
      <c r="BP909">
        <v>94</v>
      </c>
      <c r="BR909">
        <v>79</v>
      </c>
      <c r="BS909">
        <v>32</v>
      </c>
      <c r="BT909">
        <v>34</v>
      </c>
      <c r="BV909">
        <v>0</v>
      </c>
      <c r="BW909">
        <v>239</v>
      </c>
      <c r="BX909">
        <f t="shared" ref="BX909:BX918" si="104">IF(C909=C908,IF((CI909-1)=CI908,BW908,"no data"))</f>
        <v>331</v>
      </c>
      <c r="BY909" s="5">
        <f t="shared" ref="BY909:BY971" si="105">(BW909-BX909)/BX909</f>
        <v>-0.27794561933534745</v>
      </c>
      <c r="BZ909" s="6">
        <f t="shared" si="103"/>
        <v>-0.27794561933534745</v>
      </c>
      <c r="CA909" s="7">
        <v>41588</v>
      </c>
      <c r="CI909">
        <f t="shared" si="101"/>
        <v>2013</v>
      </c>
      <c r="CJ909" t="str">
        <f t="shared" si="102"/>
        <v>6017_2013</v>
      </c>
    </row>
    <row r="910" spans="1:88" x14ac:dyDescent="0.25">
      <c r="A910" t="s">
        <v>111</v>
      </c>
      <c r="B910" t="s">
        <v>259</v>
      </c>
      <c r="C910">
        <v>6017</v>
      </c>
      <c r="D910">
        <v>-37.884500000000003</v>
      </c>
      <c r="E910">
        <v>145.14070000000001</v>
      </c>
      <c r="F910">
        <v>4</v>
      </c>
      <c r="G910" t="s">
        <v>356</v>
      </c>
      <c r="H910">
        <v>17</v>
      </c>
      <c r="I910">
        <v>197</v>
      </c>
      <c r="J910">
        <v>87</v>
      </c>
      <c r="K910">
        <v>267</v>
      </c>
      <c r="L910">
        <v>194</v>
      </c>
      <c r="M910">
        <v>14</v>
      </c>
      <c r="N910">
        <v>261</v>
      </c>
      <c r="O910">
        <v>81</v>
      </c>
      <c r="T910">
        <v>21</v>
      </c>
      <c r="U910">
        <v>0</v>
      </c>
      <c r="V910">
        <v>14</v>
      </c>
      <c r="Y910">
        <v>12</v>
      </c>
      <c r="Z910">
        <v>7</v>
      </c>
      <c r="AA910">
        <v>57</v>
      </c>
      <c r="AD910">
        <v>2</v>
      </c>
      <c r="AE910">
        <v>7</v>
      </c>
      <c r="AF910">
        <v>8</v>
      </c>
      <c r="AI910">
        <v>29</v>
      </c>
      <c r="AJ910">
        <v>89</v>
      </c>
      <c r="AK910">
        <v>10</v>
      </c>
      <c r="AX910">
        <v>35</v>
      </c>
      <c r="AY910">
        <v>43</v>
      </c>
      <c r="AZ910">
        <v>78</v>
      </c>
      <c r="BA910">
        <v>76</v>
      </c>
      <c r="BB910">
        <v>117</v>
      </c>
      <c r="BC910">
        <v>193</v>
      </c>
      <c r="BD910">
        <v>17</v>
      </c>
      <c r="BE910">
        <v>17</v>
      </c>
      <c r="BF910">
        <v>34</v>
      </c>
      <c r="BG910">
        <v>128</v>
      </c>
      <c r="BH910">
        <v>79</v>
      </c>
      <c r="BI910">
        <v>207</v>
      </c>
      <c r="BP910">
        <v>78</v>
      </c>
      <c r="BR910">
        <v>115</v>
      </c>
      <c r="BS910">
        <v>37</v>
      </c>
      <c r="BT910">
        <v>24</v>
      </c>
      <c r="BV910">
        <v>2</v>
      </c>
      <c r="BW910">
        <v>256</v>
      </c>
      <c r="BX910">
        <f t="shared" si="104"/>
        <v>239</v>
      </c>
      <c r="BY910" s="5">
        <f t="shared" si="105"/>
        <v>7.1129707112970716E-2</v>
      </c>
      <c r="BZ910" s="6">
        <f t="shared" si="103"/>
        <v>7.1129707112970716E-2</v>
      </c>
      <c r="CA910" s="7">
        <v>41952</v>
      </c>
      <c r="CI910">
        <f t="shared" si="101"/>
        <v>2014</v>
      </c>
      <c r="CJ910" t="str">
        <f t="shared" si="102"/>
        <v>6017_2014</v>
      </c>
    </row>
    <row r="911" spans="1:88" x14ac:dyDescent="0.25">
      <c r="A911" t="s">
        <v>111</v>
      </c>
      <c r="B911" t="s">
        <v>259</v>
      </c>
      <c r="C911">
        <v>6017</v>
      </c>
      <c r="D911">
        <v>-37.884500000000003</v>
      </c>
      <c r="E911">
        <v>145.14070000000001</v>
      </c>
      <c r="F911">
        <v>4</v>
      </c>
      <c r="G911" t="s">
        <v>356</v>
      </c>
      <c r="H911">
        <v>17</v>
      </c>
      <c r="I911">
        <v>197</v>
      </c>
      <c r="J911">
        <v>87</v>
      </c>
      <c r="K911">
        <v>267</v>
      </c>
      <c r="L911">
        <v>194</v>
      </c>
      <c r="M911">
        <v>14</v>
      </c>
      <c r="N911">
        <v>261</v>
      </c>
      <c r="O911">
        <v>81</v>
      </c>
      <c r="T911">
        <v>11</v>
      </c>
      <c r="U911">
        <v>1</v>
      </c>
      <c r="V911">
        <v>12</v>
      </c>
      <c r="Y911">
        <v>5</v>
      </c>
      <c r="Z911">
        <v>3</v>
      </c>
      <c r="AA911">
        <v>41</v>
      </c>
      <c r="AD911">
        <v>2</v>
      </c>
      <c r="AE911">
        <v>0</v>
      </c>
      <c r="AF911">
        <v>0</v>
      </c>
      <c r="AI911">
        <v>16</v>
      </c>
      <c r="AJ911">
        <v>43</v>
      </c>
      <c r="AK911">
        <v>2</v>
      </c>
      <c r="AX911">
        <v>24</v>
      </c>
      <c r="AY911">
        <v>23</v>
      </c>
      <c r="AZ911">
        <v>47</v>
      </c>
      <c r="BA911">
        <v>49</v>
      </c>
      <c r="BB911">
        <v>54</v>
      </c>
      <c r="BC911">
        <v>103</v>
      </c>
      <c r="BD911">
        <v>2</v>
      </c>
      <c r="BE911">
        <v>6</v>
      </c>
      <c r="BF911">
        <v>8</v>
      </c>
      <c r="BG911">
        <v>61</v>
      </c>
      <c r="BH911">
        <v>53</v>
      </c>
      <c r="BI911">
        <v>114</v>
      </c>
      <c r="BP911">
        <v>27</v>
      </c>
      <c r="BR911">
        <v>68</v>
      </c>
      <c r="BS911">
        <v>13</v>
      </c>
      <c r="BT911">
        <v>21</v>
      </c>
      <c r="BV911">
        <v>7</v>
      </c>
      <c r="BW911">
        <v>136</v>
      </c>
      <c r="BX911">
        <f t="shared" si="104"/>
        <v>256</v>
      </c>
      <c r="BY911" s="5">
        <f t="shared" si="105"/>
        <v>-0.46875</v>
      </c>
      <c r="BZ911" s="6">
        <f t="shared" si="103"/>
        <v>-0.46875</v>
      </c>
      <c r="CA911" s="7">
        <v>42316</v>
      </c>
      <c r="CE911">
        <v>54</v>
      </c>
      <c r="CF911">
        <v>20</v>
      </c>
      <c r="CG911">
        <v>35</v>
      </c>
      <c r="CH911">
        <v>27</v>
      </c>
      <c r="CI911">
        <f t="shared" si="101"/>
        <v>2015</v>
      </c>
      <c r="CJ911" t="str">
        <f t="shared" si="102"/>
        <v>6017_2015</v>
      </c>
    </row>
    <row r="912" spans="1:88" x14ac:dyDescent="0.25">
      <c r="A912" t="s">
        <v>111</v>
      </c>
      <c r="B912" t="s">
        <v>259</v>
      </c>
      <c r="C912">
        <v>6017</v>
      </c>
      <c r="D912">
        <v>-37.884481000000001</v>
      </c>
      <c r="E912">
        <v>145.14067700000001</v>
      </c>
      <c r="F912">
        <v>4</v>
      </c>
      <c r="G912" t="s">
        <v>356</v>
      </c>
      <c r="H912">
        <v>17</v>
      </c>
      <c r="I912">
        <v>197</v>
      </c>
      <c r="J912">
        <v>87</v>
      </c>
      <c r="K912">
        <v>267</v>
      </c>
      <c r="L912">
        <v>194</v>
      </c>
      <c r="M912">
        <v>14</v>
      </c>
      <c r="N912">
        <v>261</v>
      </c>
      <c r="O912">
        <v>81</v>
      </c>
      <c r="T912">
        <v>11</v>
      </c>
      <c r="U912">
        <v>1</v>
      </c>
      <c r="V912">
        <v>12</v>
      </c>
      <c r="Y912">
        <v>5</v>
      </c>
      <c r="Z912">
        <v>3</v>
      </c>
      <c r="AA912">
        <v>41</v>
      </c>
      <c r="AD912">
        <v>2</v>
      </c>
      <c r="AE912">
        <v>0</v>
      </c>
      <c r="AF912">
        <v>0</v>
      </c>
      <c r="AI912">
        <v>16</v>
      </c>
      <c r="AJ912">
        <v>43</v>
      </c>
      <c r="AK912">
        <v>2</v>
      </c>
      <c r="AX912">
        <v>24</v>
      </c>
      <c r="AY912">
        <v>23</v>
      </c>
      <c r="AZ912">
        <v>47</v>
      </c>
      <c r="BA912">
        <v>49</v>
      </c>
      <c r="BB912">
        <v>54</v>
      </c>
      <c r="BC912">
        <v>103</v>
      </c>
      <c r="BD912">
        <v>2</v>
      </c>
      <c r="BE912">
        <v>6</v>
      </c>
      <c r="BF912">
        <v>8</v>
      </c>
      <c r="BG912">
        <v>61</v>
      </c>
      <c r="BH912">
        <v>53</v>
      </c>
      <c r="BI912">
        <v>114</v>
      </c>
      <c r="BP912">
        <v>27</v>
      </c>
      <c r="BR912">
        <v>68</v>
      </c>
      <c r="BS912">
        <v>13</v>
      </c>
      <c r="BT912">
        <v>21</v>
      </c>
      <c r="BV912">
        <v>7</v>
      </c>
      <c r="BW912">
        <v>136</v>
      </c>
      <c r="BX912">
        <f t="shared" si="104"/>
        <v>136</v>
      </c>
      <c r="BY912" s="5">
        <f t="shared" si="105"/>
        <v>0</v>
      </c>
      <c r="BZ912" s="6">
        <f t="shared" si="103"/>
        <v>0</v>
      </c>
      <c r="CA912" s="7">
        <v>42687</v>
      </c>
      <c r="CE912">
        <v>54</v>
      </c>
      <c r="CF912">
        <v>20</v>
      </c>
      <c r="CG912">
        <v>35</v>
      </c>
      <c r="CH912">
        <v>27</v>
      </c>
      <c r="CI912">
        <f t="shared" si="101"/>
        <v>2016</v>
      </c>
      <c r="CJ912" t="str">
        <f t="shared" si="102"/>
        <v>6017_2016</v>
      </c>
    </row>
    <row r="913" spans="1:88" x14ac:dyDescent="0.25">
      <c r="A913" t="s">
        <v>111</v>
      </c>
      <c r="B913" t="s">
        <v>259</v>
      </c>
      <c r="C913">
        <v>6017</v>
      </c>
      <c r="D913">
        <v>-37.884481000000001</v>
      </c>
      <c r="E913">
        <v>145.14067700000001</v>
      </c>
      <c r="F913">
        <v>4</v>
      </c>
      <c r="G913" t="s">
        <v>356</v>
      </c>
      <c r="H913">
        <v>17</v>
      </c>
      <c r="I913">
        <v>197</v>
      </c>
      <c r="J913">
        <v>87</v>
      </c>
      <c r="K913">
        <v>267</v>
      </c>
      <c r="L913">
        <v>194</v>
      </c>
      <c r="M913">
        <v>14</v>
      </c>
      <c r="N913">
        <v>261</v>
      </c>
      <c r="O913">
        <v>81</v>
      </c>
      <c r="T913">
        <v>8</v>
      </c>
      <c r="U913">
        <v>5</v>
      </c>
      <c r="V913">
        <v>22</v>
      </c>
      <c r="Y913">
        <v>19</v>
      </c>
      <c r="Z913">
        <v>9</v>
      </c>
      <c r="AA913">
        <v>69</v>
      </c>
      <c r="AD913">
        <v>3</v>
      </c>
      <c r="AE913">
        <v>9</v>
      </c>
      <c r="AF913">
        <v>4</v>
      </c>
      <c r="AI913">
        <v>17</v>
      </c>
      <c r="AJ913">
        <v>70</v>
      </c>
      <c r="AK913">
        <v>2</v>
      </c>
      <c r="AX913">
        <v>35</v>
      </c>
      <c r="AY913">
        <v>39</v>
      </c>
      <c r="AZ913">
        <v>74</v>
      </c>
      <c r="BA913">
        <v>97</v>
      </c>
      <c r="BB913">
        <v>87</v>
      </c>
      <c r="BC913">
        <v>184</v>
      </c>
      <c r="BD913">
        <v>16</v>
      </c>
      <c r="BE913">
        <v>16</v>
      </c>
      <c r="BF913">
        <v>32</v>
      </c>
      <c r="BG913">
        <v>89</v>
      </c>
      <c r="BH913">
        <v>95</v>
      </c>
      <c r="BI913">
        <v>184</v>
      </c>
      <c r="BP913">
        <v>79</v>
      </c>
      <c r="BR913">
        <v>120</v>
      </c>
      <c r="BS913">
        <v>18</v>
      </c>
      <c r="BT913">
        <v>18</v>
      </c>
      <c r="BV913">
        <v>2</v>
      </c>
      <c r="BW913">
        <v>237</v>
      </c>
      <c r="BX913">
        <f t="shared" si="104"/>
        <v>136</v>
      </c>
      <c r="BY913" s="5">
        <f t="shared" si="105"/>
        <v>0.74264705882352944</v>
      </c>
      <c r="BZ913" s="6">
        <f t="shared" si="103"/>
        <v>0.74264705882352944</v>
      </c>
      <c r="CA913" s="7">
        <v>43051</v>
      </c>
      <c r="CE913">
        <v>60</v>
      </c>
      <c r="CF913">
        <v>66</v>
      </c>
      <c r="CG913">
        <v>71</v>
      </c>
      <c r="CH913">
        <v>40</v>
      </c>
      <c r="CI913">
        <f t="shared" si="101"/>
        <v>2017</v>
      </c>
      <c r="CJ913" t="str">
        <f t="shared" si="102"/>
        <v>6017_2017</v>
      </c>
    </row>
    <row r="914" spans="1:88" x14ac:dyDescent="0.25">
      <c r="A914" t="s">
        <v>111</v>
      </c>
      <c r="B914" t="s">
        <v>259</v>
      </c>
      <c r="C914">
        <v>6017</v>
      </c>
      <c r="D914">
        <v>-37.884500000000003</v>
      </c>
      <c r="E914">
        <v>145.14070000000001</v>
      </c>
      <c r="F914">
        <v>4</v>
      </c>
      <c r="G914" t="s">
        <v>356</v>
      </c>
      <c r="H914">
        <v>17</v>
      </c>
      <c r="I914">
        <v>197</v>
      </c>
      <c r="J914">
        <v>87</v>
      </c>
      <c r="K914">
        <v>267</v>
      </c>
      <c r="L914">
        <v>194</v>
      </c>
      <c r="M914">
        <v>14</v>
      </c>
      <c r="N914">
        <v>261</v>
      </c>
      <c r="O914">
        <v>81</v>
      </c>
      <c r="T914">
        <v>13</v>
      </c>
      <c r="U914">
        <v>11</v>
      </c>
      <c r="V914">
        <v>23</v>
      </c>
      <c r="Y914">
        <v>13</v>
      </c>
      <c r="Z914">
        <v>5</v>
      </c>
      <c r="AA914">
        <v>87</v>
      </c>
      <c r="AD914">
        <v>4</v>
      </c>
      <c r="AE914">
        <v>4</v>
      </c>
      <c r="AF914">
        <v>7</v>
      </c>
      <c r="AI914">
        <v>13</v>
      </c>
      <c r="AJ914">
        <v>91</v>
      </c>
      <c r="AK914">
        <v>2</v>
      </c>
      <c r="AX914">
        <v>47</v>
      </c>
      <c r="AY914">
        <v>30</v>
      </c>
      <c r="AZ914">
        <v>77</v>
      </c>
      <c r="BA914">
        <v>105</v>
      </c>
      <c r="BB914">
        <v>108</v>
      </c>
      <c r="BC914">
        <v>213</v>
      </c>
      <c r="BD914">
        <v>15</v>
      </c>
      <c r="BE914">
        <v>18</v>
      </c>
      <c r="BF914">
        <v>33</v>
      </c>
      <c r="BG914">
        <v>106</v>
      </c>
      <c r="BH914">
        <v>117</v>
      </c>
      <c r="BI914">
        <v>223</v>
      </c>
      <c r="BP914">
        <v>109</v>
      </c>
      <c r="BR914">
        <v>105</v>
      </c>
      <c r="BS914">
        <v>27</v>
      </c>
      <c r="BT914">
        <v>22</v>
      </c>
      <c r="BV914">
        <v>10</v>
      </c>
      <c r="BW914">
        <v>273</v>
      </c>
      <c r="BX914">
        <f t="shared" si="104"/>
        <v>237</v>
      </c>
      <c r="BY914" s="5">
        <f t="shared" si="105"/>
        <v>0.15189873417721519</v>
      </c>
      <c r="BZ914" s="6">
        <f t="shared" si="103"/>
        <v>0.15189873417721519</v>
      </c>
      <c r="CA914" s="7">
        <v>43415</v>
      </c>
      <c r="CE914">
        <v>62</v>
      </c>
      <c r="CF914">
        <v>91</v>
      </c>
      <c r="CG914">
        <v>78</v>
      </c>
      <c r="CH914">
        <v>42</v>
      </c>
      <c r="CI914">
        <f t="shared" si="101"/>
        <v>2018</v>
      </c>
      <c r="CJ914" t="str">
        <f t="shared" si="102"/>
        <v>6017_2018</v>
      </c>
    </row>
    <row r="915" spans="1:88" x14ac:dyDescent="0.25">
      <c r="A915" t="s">
        <v>111</v>
      </c>
      <c r="B915" t="s">
        <v>259</v>
      </c>
      <c r="C915">
        <v>6017</v>
      </c>
      <c r="D915">
        <v>-37.884500000000003</v>
      </c>
      <c r="E915">
        <v>145.14070000000001</v>
      </c>
      <c r="F915">
        <v>4</v>
      </c>
      <c r="G915" t="s">
        <v>356</v>
      </c>
      <c r="H915">
        <v>17</v>
      </c>
      <c r="I915">
        <v>197</v>
      </c>
      <c r="J915">
        <v>87</v>
      </c>
      <c r="K915">
        <v>267</v>
      </c>
      <c r="L915">
        <v>194</v>
      </c>
      <c r="M915">
        <v>14</v>
      </c>
      <c r="N915">
        <v>261</v>
      </c>
      <c r="O915">
        <v>81</v>
      </c>
      <c r="T915">
        <v>21</v>
      </c>
      <c r="U915">
        <v>5</v>
      </c>
      <c r="V915">
        <v>17</v>
      </c>
      <c r="Y915">
        <v>8</v>
      </c>
      <c r="Z915">
        <v>3</v>
      </c>
      <c r="AA915">
        <v>90</v>
      </c>
      <c r="AD915">
        <v>7</v>
      </c>
      <c r="AE915">
        <v>3</v>
      </c>
      <c r="AF915">
        <v>10</v>
      </c>
      <c r="AI915">
        <v>18</v>
      </c>
      <c r="AJ915">
        <v>71</v>
      </c>
      <c r="AK915">
        <v>4</v>
      </c>
      <c r="AX915">
        <v>43</v>
      </c>
      <c r="AY915">
        <v>33</v>
      </c>
      <c r="AZ915">
        <v>76</v>
      </c>
      <c r="BA915">
        <v>101</v>
      </c>
      <c r="BB915">
        <v>95</v>
      </c>
      <c r="BC915">
        <v>196</v>
      </c>
      <c r="BD915">
        <v>20</v>
      </c>
      <c r="BE915">
        <v>12</v>
      </c>
      <c r="BF915">
        <v>32</v>
      </c>
      <c r="BG915">
        <v>93</v>
      </c>
      <c r="BH915">
        <v>117</v>
      </c>
      <c r="BI915">
        <v>210</v>
      </c>
      <c r="BP915">
        <v>83</v>
      </c>
      <c r="BR915">
        <v>116</v>
      </c>
      <c r="BS915">
        <v>27</v>
      </c>
      <c r="BT915">
        <v>28</v>
      </c>
      <c r="BV915">
        <v>3</v>
      </c>
      <c r="BW915">
        <v>257</v>
      </c>
      <c r="BX915">
        <f t="shared" si="104"/>
        <v>273</v>
      </c>
      <c r="BY915" s="5">
        <f t="shared" si="105"/>
        <v>-5.8608058608058608E-2</v>
      </c>
      <c r="BZ915" s="6">
        <f t="shared" si="103"/>
        <v>-5.8608058608058608E-2</v>
      </c>
      <c r="CA915" s="7">
        <v>43779</v>
      </c>
      <c r="CE915">
        <v>54</v>
      </c>
      <c r="CF915">
        <v>69</v>
      </c>
      <c r="CG915">
        <v>64</v>
      </c>
      <c r="CH915">
        <v>70</v>
      </c>
      <c r="CI915">
        <f t="shared" si="101"/>
        <v>2019</v>
      </c>
      <c r="CJ915" t="str">
        <f t="shared" si="102"/>
        <v>6017_2019</v>
      </c>
    </row>
    <row r="916" spans="1:88" x14ac:dyDescent="0.25">
      <c r="A916" t="s">
        <v>111</v>
      </c>
      <c r="B916" t="s">
        <v>259</v>
      </c>
      <c r="C916">
        <v>6017</v>
      </c>
      <c r="D916">
        <v>-37.884500000000003</v>
      </c>
      <c r="E916">
        <v>145.14070000000001</v>
      </c>
      <c r="F916">
        <v>4</v>
      </c>
      <c r="G916" t="s">
        <v>356</v>
      </c>
      <c r="H916">
        <v>17</v>
      </c>
      <c r="I916">
        <v>197</v>
      </c>
      <c r="J916">
        <v>87</v>
      </c>
      <c r="K916">
        <v>267</v>
      </c>
      <c r="L916">
        <v>194</v>
      </c>
      <c r="M916">
        <v>14</v>
      </c>
      <c r="N916">
        <v>261</v>
      </c>
      <c r="O916">
        <v>81</v>
      </c>
      <c r="T916">
        <v>33</v>
      </c>
      <c r="U916">
        <v>17</v>
      </c>
      <c r="V916">
        <v>33</v>
      </c>
      <c r="Y916">
        <v>15</v>
      </c>
      <c r="Z916">
        <v>17</v>
      </c>
      <c r="AA916">
        <v>189</v>
      </c>
      <c r="AD916">
        <v>7</v>
      </c>
      <c r="AE916">
        <v>17</v>
      </c>
      <c r="AF916">
        <v>9</v>
      </c>
      <c r="AI916">
        <v>37</v>
      </c>
      <c r="AJ916">
        <v>188</v>
      </c>
      <c r="AK916">
        <v>1</v>
      </c>
      <c r="AX916">
        <v>83</v>
      </c>
      <c r="AY916">
        <v>59</v>
      </c>
      <c r="AZ916">
        <v>142</v>
      </c>
      <c r="BA916">
        <v>221</v>
      </c>
      <c r="BB916">
        <v>238</v>
      </c>
      <c r="BC916">
        <v>459</v>
      </c>
      <c r="BD916">
        <v>33</v>
      </c>
      <c r="BE916">
        <v>35</v>
      </c>
      <c r="BF916">
        <v>68</v>
      </c>
      <c r="BG916">
        <v>226</v>
      </c>
      <c r="BH916">
        <v>231</v>
      </c>
      <c r="BI916">
        <v>457</v>
      </c>
      <c r="BP916">
        <v>195</v>
      </c>
      <c r="BR916">
        <v>292</v>
      </c>
      <c r="BS916">
        <v>41</v>
      </c>
      <c r="BT916">
        <v>29</v>
      </c>
      <c r="BV916">
        <v>6</v>
      </c>
      <c r="BW916">
        <v>563</v>
      </c>
      <c r="BX916">
        <f t="shared" si="104"/>
        <v>257</v>
      </c>
      <c r="BY916" s="5">
        <f t="shared" si="105"/>
        <v>1.1906614785992218</v>
      </c>
      <c r="BZ916" s="6">
        <f t="shared" si="103"/>
        <v>1.1906614785992218</v>
      </c>
      <c r="CA916" s="7">
        <v>44143</v>
      </c>
      <c r="CE916">
        <v>120</v>
      </c>
      <c r="CF916">
        <v>141</v>
      </c>
      <c r="CG916">
        <v>162</v>
      </c>
      <c r="CH916">
        <v>140</v>
      </c>
      <c r="CI916">
        <f t="shared" si="101"/>
        <v>2020</v>
      </c>
      <c r="CJ916" t="str">
        <f t="shared" si="102"/>
        <v>6017_2020</v>
      </c>
    </row>
    <row r="917" spans="1:88" x14ac:dyDescent="0.25">
      <c r="A917" t="s">
        <v>111</v>
      </c>
      <c r="B917" t="s">
        <v>259</v>
      </c>
      <c r="C917">
        <v>6017</v>
      </c>
      <c r="D917">
        <v>-37.884481000000001</v>
      </c>
      <c r="E917">
        <v>145.14067700000001</v>
      </c>
      <c r="F917">
        <v>4</v>
      </c>
      <c r="G917" t="s">
        <v>356</v>
      </c>
      <c r="H917">
        <v>17</v>
      </c>
      <c r="I917">
        <v>197</v>
      </c>
      <c r="J917">
        <v>87</v>
      </c>
      <c r="K917">
        <v>267</v>
      </c>
      <c r="L917">
        <v>194</v>
      </c>
      <c r="M917">
        <v>14</v>
      </c>
      <c r="N917">
        <v>261</v>
      </c>
      <c r="O917">
        <v>81</v>
      </c>
      <c r="T917">
        <v>17</v>
      </c>
      <c r="U917">
        <v>9</v>
      </c>
      <c r="V917">
        <v>22</v>
      </c>
      <c r="Y917">
        <v>19</v>
      </c>
      <c r="Z917">
        <v>4</v>
      </c>
      <c r="AA917">
        <v>80</v>
      </c>
      <c r="AD917">
        <v>3</v>
      </c>
      <c r="AE917">
        <v>2</v>
      </c>
      <c r="AF917">
        <v>5</v>
      </c>
      <c r="AI917">
        <v>21</v>
      </c>
      <c r="AJ917">
        <v>90</v>
      </c>
      <c r="AK917">
        <v>1</v>
      </c>
      <c r="AX917">
        <v>48</v>
      </c>
      <c r="AY917">
        <v>43</v>
      </c>
      <c r="AZ917">
        <v>91</v>
      </c>
      <c r="BA917">
        <v>103</v>
      </c>
      <c r="BB917">
        <v>109</v>
      </c>
      <c r="BC917">
        <v>212</v>
      </c>
      <c r="BD917">
        <v>10</v>
      </c>
      <c r="BE917">
        <v>14</v>
      </c>
      <c r="BF917">
        <v>24</v>
      </c>
      <c r="BG917">
        <v>112</v>
      </c>
      <c r="BH917">
        <v>107</v>
      </c>
      <c r="BI917">
        <v>219</v>
      </c>
      <c r="BP917">
        <v>96</v>
      </c>
      <c r="BR917">
        <v>135</v>
      </c>
      <c r="BS917">
        <v>16</v>
      </c>
      <c r="BT917">
        <v>18</v>
      </c>
      <c r="BV917">
        <v>8</v>
      </c>
      <c r="BW917">
        <v>273</v>
      </c>
      <c r="BX917">
        <f t="shared" si="104"/>
        <v>563</v>
      </c>
      <c r="BY917" s="5">
        <f t="shared" si="105"/>
        <v>-0.51509769094138547</v>
      </c>
      <c r="BZ917" s="6">
        <f t="shared" si="103"/>
        <v>-0.51509769094138547</v>
      </c>
      <c r="CA917" s="7">
        <v>44528</v>
      </c>
      <c r="CE917">
        <v>101</v>
      </c>
      <c r="CF917">
        <v>110</v>
      </c>
      <c r="CG917">
        <v>62</v>
      </c>
      <c r="CI917">
        <f t="shared" si="101"/>
        <v>2021</v>
      </c>
      <c r="CJ917" t="str">
        <f t="shared" si="102"/>
        <v>6017_2021</v>
      </c>
    </row>
    <row r="918" spans="1:88" x14ac:dyDescent="0.25">
      <c r="A918" t="s">
        <v>111</v>
      </c>
      <c r="B918" t="s">
        <v>259</v>
      </c>
      <c r="C918">
        <v>6017</v>
      </c>
      <c r="D918">
        <v>-37.884481000000001</v>
      </c>
      <c r="E918">
        <v>145.14067700000001</v>
      </c>
      <c r="F918">
        <v>4</v>
      </c>
      <c r="G918" t="s">
        <v>356</v>
      </c>
      <c r="H918">
        <v>17</v>
      </c>
      <c r="I918">
        <v>197</v>
      </c>
      <c r="J918">
        <v>87</v>
      </c>
      <c r="K918">
        <v>267</v>
      </c>
      <c r="L918">
        <v>194</v>
      </c>
      <c r="M918">
        <v>14</v>
      </c>
      <c r="N918">
        <v>261</v>
      </c>
      <c r="O918">
        <v>81</v>
      </c>
      <c r="T918">
        <v>13</v>
      </c>
      <c r="U918">
        <v>7</v>
      </c>
      <c r="V918">
        <v>16</v>
      </c>
      <c r="Y918">
        <v>6</v>
      </c>
      <c r="Z918">
        <v>3</v>
      </c>
      <c r="AA918">
        <v>72</v>
      </c>
      <c r="AD918">
        <v>3</v>
      </c>
      <c r="AE918">
        <v>1</v>
      </c>
      <c r="AF918">
        <v>1</v>
      </c>
      <c r="AI918">
        <v>16</v>
      </c>
      <c r="AJ918">
        <v>78</v>
      </c>
      <c r="AK918">
        <v>9</v>
      </c>
      <c r="AX918">
        <v>36</v>
      </c>
      <c r="AY918">
        <v>25</v>
      </c>
      <c r="AZ918">
        <v>61</v>
      </c>
      <c r="BA918">
        <v>81</v>
      </c>
      <c r="BB918">
        <v>92</v>
      </c>
      <c r="BC918">
        <v>173</v>
      </c>
      <c r="BD918">
        <v>5</v>
      </c>
      <c r="BE918">
        <v>19</v>
      </c>
      <c r="BF918">
        <v>24</v>
      </c>
      <c r="BG918">
        <v>103</v>
      </c>
      <c r="BH918">
        <v>89</v>
      </c>
      <c r="BI918">
        <v>192</v>
      </c>
      <c r="BP918">
        <v>98</v>
      </c>
      <c r="BR918">
        <v>100</v>
      </c>
      <c r="BS918">
        <v>15</v>
      </c>
      <c r="BT918">
        <v>12</v>
      </c>
      <c r="BU918">
        <v>0</v>
      </c>
      <c r="BV918">
        <v>0</v>
      </c>
      <c r="BW918">
        <v>225</v>
      </c>
      <c r="BX918">
        <f t="shared" si="104"/>
        <v>273</v>
      </c>
      <c r="BY918" s="5">
        <f t="shared" si="105"/>
        <v>-0.17582417582417584</v>
      </c>
      <c r="BZ918" s="6">
        <f t="shared" si="103"/>
        <v>-0.17582417582417584</v>
      </c>
      <c r="CA918" s="7">
        <v>44878</v>
      </c>
      <c r="CE918">
        <v>76</v>
      </c>
      <c r="CF918">
        <v>71</v>
      </c>
      <c r="CG918">
        <v>78</v>
      </c>
      <c r="CI918">
        <f t="shared" si="101"/>
        <v>2022</v>
      </c>
      <c r="CJ918" t="str">
        <f t="shared" si="102"/>
        <v>6017_2022</v>
      </c>
    </row>
    <row r="919" spans="1:88" x14ac:dyDescent="0.25">
      <c r="A919" t="s">
        <v>111</v>
      </c>
      <c r="B919" t="s">
        <v>259</v>
      </c>
      <c r="C919">
        <v>6019</v>
      </c>
      <c r="D919">
        <v>-37.860399999999998</v>
      </c>
      <c r="E919">
        <v>145.10159999999999</v>
      </c>
      <c r="F919">
        <v>4</v>
      </c>
      <c r="G919" t="s">
        <v>357</v>
      </c>
      <c r="H919">
        <v>7</v>
      </c>
      <c r="I919">
        <v>187</v>
      </c>
      <c r="J919">
        <v>95</v>
      </c>
      <c r="K919">
        <v>275</v>
      </c>
      <c r="L919">
        <v>189</v>
      </c>
      <c r="M919">
        <v>9</v>
      </c>
      <c r="N919">
        <v>279</v>
      </c>
      <c r="O919">
        <v>99</v>
      </c>
      <c r="T919">
        <v>16</v>
      </c>
      <c r="U919">
        <v>64</v>
      </c>
      <c r="V919">
        <v>9</v>
      </c>
      <c r="Y919">
        <v>1</v>
      </c>
      <c r="Z919">
        <v>5</v>
      </c>
      <c r="AA919">
        <v>21</v>
      </c>
      <c r="AD919">
        <v>56</v>
      </c>
      <c r="AE919">
        <v>30</v>
      </c>
      <c r="AF919">
        <v>18</v>
      </c>
      <c r="AI919">
        <v>25</v>
      </c>
      <c r="AJ919">
        <v>28</v>
      </c>
      <c r="AK919">
        <v>9</v>
      </c>
      <c r="AX919">
        <v>89</v>
      </c>
      <c r="AY919">
        <v>82</v>
      </c>
      <c r="AZ919">
        <v>171</v>
      </c>
      <c r="BA919">
        <v>27</v>
      </c>
      <c r="BB919">
        <v>74</v>
      </c>
      <c r="BC919">
        <v>101</v>
      </c>
      <c r="BD919">
        <v>104</v>
      </c>
      <c r="BE919">
        <v>78</v>
      </c>
      <c r="BF919">
        <v>182</v>
      </c>
      <c r="BG919">
        <v>62</v>
      </c>
      <c r="BH919">
        <v>48</v>
      </c>
      <c r="BI919">
        <v>110</v>
      </c>
      <c r="BP919">
        <v>120</v>
      </c>
      <c r="BR919">
        <v>107</v>
      </c>
      <c r="BS919">
        <v>20</v>
      </c>
      <c r="BT919">
        <v>27</v>
      </c>
      <c r="BV919">
        <v>8</v>
      </c>
      <c r="BW919">
        <v>282</v>
      </c>
      <c r="BX919" t="s">
        <v>82</v>
      </c>
      <c r="BY919" s="5"/>
      <c r="BZ919" s="6"/>
      <c r="CA919" s="7">
        <v>41224</v>
      </c>
      <c r="CI919">
        <f t="shared" si="101"/>
        <v>2012</v>
      </c>
      <c r="CJ919" t="str">
        <f t="shared" si="102"/>
        <v>6019_2012</v>
      </c>
    </row>
    <row r="920" spans="1:88" x14ac:dyDescent="0.25">
      <c r="A920" t="s">
        <v>111</v>
      </c>
      <c r="B920" t="s">
        <v>259</v>
      </c>
      <c r="C920">
        <v>6019</v>
      </c>
      <c r="D920">
        <v>-37.860399999999998</v>
      </c>
      <c r="E920">
        <v>145.10159999999999</v>
      </c>
      <c r="F920">
        <v>4</v>
      </c>
      <c r="G920" t="s">
        <v>357</v>
      </c>
      <c r="H920">
        <v>7</v>
      </c>
      <c r="I920">
        <v>187</v>
      </c>
      <c r="J920">
        <v>95</v>
      </c>
      <c r="K920">
        <v>275</v>
      </c>
      <c r="L920">
        <v>189</v>
      </c>
      <c r="M920">
        <v>9</v>
      </c>
      <c r="N920">
        <v>279</v>
      </c>
      <c r="O920">
        <v>99</v>
      </c>
      <c r="T920">
        <v>5</v>
      </c>
      <c r="U920">
        <v>99</v>
      </c>
      <c r="V920">
        <v>8</v>
      </c>
      <c r="Y920">
        <v>15</v>
      </c>
      <c r="Z920">
        <v>3</v>
      </c>
      <c r="AA920">
        <v>10</v>
      </c>
      <c r="AD920">
        <v>93</v>
      </c>
      <c r="AE920">
        <v>5</v>
      </c>
      <c r="AF920">
        <v>19</v>
      </c>
      <c r="AI920">
        <v>17</v>
      </c>
      <c r="AJ920">
        <v>12</v>
      </c>
      <c r="AK920">
        <v>16</v>
      </c>
      <c r="AX920">
        <v>112</v>
      </c>
      <c r="AY920">
        <v>125</v>
      </c>
      <c r="AZ920">
        <v>237</v>
      </c>
      <c r="BA920">
        <v>28</v>
      </c>
      <c r="BB920">
        <v>22</v>
      </c>
      <c r="BC920">
        <v>50</v>
      </c>
      <c r="BD920">
        <v>117</v>
      </c>
      <c r="BE920">
        <v>118</v>
      </c>
      <c r="BF920">
        <v>235</v>
      </c>
      <c r="BG920">
        <v>45</v>
      </c>
      <c r="BH920">
        <v>37</v>
      </c>
      <c r="BI920">
        <v>82</v>
      </c>
      <c r="BP920">
        <v>135</v>
      </c>
      <c r="BR920">
        <v>98</v>
      </c>
      <c r="BS920">
        <v>44</v>
      </c>
      <c r="BT920">
        <v>16</v>
      </c>
      <c r="BV920">
        <v>9</v>
      </c>
      <c r="BW920">
        <v>302</v>
      </c>
      <c r="BX920">
        <f t="shared" ref="BX920:BX929" si="106">IF(C920=C919,IF((CI920-1)=CI919,BW919,"no data"))</f>
        <v>282</v>
      </c>
      <c r="BY920" s="5">
        <f t="shared" si="105"/>
        <v>7.0921985815602842E-2</v>
      </c>
      <c r="BZ920" s="6">
        <f t="shared" si="103"/>
        <v>7.0921985815602842E-2</v>
      </c>
      <c r="CA920" s="7">
        <v>41588</v>
      </c>
      <c r="CI920">
        <f t="shared" si="101"/>
        <v>2013</v>
      </c>
      <c r="CJ920" t="str">
        <f t="shared" si="102"/>
        <v>6019_2013</v>
      </c>
    </row>
    <row r="921" spans="1:88" x14ac:dyDescent="0.25">
      <c r="A921" t="s">
        <v>111</v>
      </c>
      <c r="B921" t="s">
        <v>259</v>
      </c>
      <c r="C921">
        <v>6019</v>
      </c>
      <c r="D921">
        <v>-37.860399999999998</v>
      </c>
      <c r="E921">
        <v>145.10159999999999</v>
      </c>
      <c r="F921">
        <v>4</v>
      </c>
      <c r="G921" t="s">
        <v>357</v>
      </c>
      <c r="H921">
        <v>7</v>
      </c>
      <c r="I921">
        <v>187</v>
      </c>
      <c r="J921">
        <v>95</v>
      </c>
      <c r="K921">
        <v>275</v>
      </c>
      <c r="L921">
        <v>189</v>
      </c>
      <c r="M921">
        <v>9</v>
      </c>
      <c r="N921">
        <v>279</v>
      </c>
      <c r="O921">
        <v>99</v>
      </c>
      <c r="T921">
        <v>15</v>
      </c>
      <c r="U921">
        <v>111</v>
      </c>
      <c r="V921">
        <v>9</v>
      </c>
      <c r="Y921">
        <v>18</v>
      </c>
      <c r="Z921">
        <v>14</v>
      </c>
      <c r="AA921">
        <v>40</v>
      </c>
      <c r="AD921">
        <v>97</v>
      </c>
      <c r="AE921">
        <v>18</v>
      </c>
      <c r="AF921">
        <v>20</v>
      </c>
      <c r="AI921">
        <v>16</v>
      </c>
      <c r="AJ921">
        <v>45</v>
      </c>
      <c r="AK921">
        <v>20</v>
      </c>
      <c r="AX921">
        <v>135</v>
      </c>
      <c r="AY921">
        <v>131</v>
      </c>
      <c r="AZ921">
        <v>266</v>
      </c>
      <c r="BA921">
        <v>72</v>
      </c>
      <c r="BB921">
        <v>78</v>
      </c>
      <c r="BC921">
        <v>150</v>
      </c>
      <c r="BD921">
        <v>135</v>
      </c>
      <c r="BE921">
        <v>145</v>
      </c>
      <c r="BF921">
        <v>280</v>
      </c>
      <c r="BG921">
        <v>81</v>
      </c>
      <c r="BH921">
        <v>69</v>
      </c>
      <c r="BI921">
        <v>150</v>
      </c>
      <c r="BP921">
        <v>185</v>
      </c>
      <c r="BR921">
        <v>170</v>
      </c>
      <c r="BS921">
        <v>17</v>
      </c>
      <c r="BT921">
        <v>48</v>
      </c>
      <c r="BV921">
        <v>3</v>
      </c>
      <c r="BW921">
        <v>423</v>
      </c>
      <c r="BX921">
        <f t="shared" si="106"/>
        <v>302</v>
      </c>
      <c r="BY921" s="5">
        <f t="shared" si="105"/>
        <v>0.40066225165562913</v>
      </c>
      <c r="BZ921" s="6">
        <f t="shared" si="103"/>
        <v>0.40066225165562913</v>
      </c>
      <c r="CA921" s="7">
        <v>41952</v>
      </c>
      <c r="CI921">
        <f t="shared" si="101"/>
        <v>2014</v>
      </c>
      <c r="CJ921" t="str">
        <f t="shared" si="102"/>
        <v>6019_2014</v>
      </c>
    </row>
    <row r="922" spans="1:88" x14ac:dyDescent="0.25">
      <c r="A922" t="s">
        <v>111</v>
      </c>
      <c r="B922" t="s">
        <v>259</v>
      </c>
      <c r="C922">
        <v>6019</v>
      </c>
      <c r="D922">
        <v>-37.860399999999998</v>
      </c>
      <c r="E922">
        <v>145.10159999999999</v>
      </c>
      <c r="F922">
        <v>4</v>
      </c>
      <c r="G922" t="s">
        <v>357</v>
      </c>
      <c r="H922">
        <v>7</v>
      </c>
      <c r="I922">
        <v>187</v>
      </c>
      <c r="J922">
        <v>95</v>
      </c>
      <c r="K922">
        <v>275</v>
      </c>
      <c r="L922">
        <v>189</v>
      </c>
      <c r="M922">
        <v>9</v>
      </c>
      <c r="N922">
        <v>279</v>
      </c>
      <c r="O922">
        <v>99</v>
      </c>
      <c r="T922">
        <v>5</v>
      </c>
      <c r="U922">
        <v>57</v>
      </c>
      <c r="V922">
        <v>6</v>
      </c>
      <c r="Y922">
        <v>2</v>
      </c>
      <c r="Z922">
        <v>5</v>
      </c>
      <c r="AA922">
        <v>7</v>
      </c>
      <c r="AD922">
        <v>65</v>
      </c>
      <c r="AE922">
        <v>6</v>
      </c>
      <c r="AF922">
        <v>11</v>
      </c>
      <c r="AI922">
        <v>9</v>
      </c>
      <c r="AJ922">
        <v>13</v>
      </c>
      <c r="AK922">
        <v>7</v>
      </c>
      <c r="AX922">
        <v>68</v>
      </c>
      <c r="AY922">
        <v>76</v>
      </c>
      <c r="AZ922">
        <v>144</v>
      </c>
      <c r="BA922">
        <v>14</v>
      </c>
      <c r="BB922">
        <v>24</v>
      </c>
      <c r="BC922">
        <v>38</v>
      </c>
      <c r="BD922">
        <v>82</v>
      </c>
      <c r="BE922">
        <v>69</v>
      </c>
      <c r="BF922">
        <v>151</v>
      </c>
      <c r="BG922">
        <v>29</v>
      </c>
      <c r="BH922">
        <v>24</v>
      </c>
      <c r="BI922">
        <v>53</v>
      </c>
      <c r="BP922">
        <v>52</v>
      </c>
      <c r="BR922">
        <v>82</v>
      </c>
      <c r="BS922">
        <v>27</v>
      </c>
      <c r="BT922">
        <v>30</v>
      </c>
      <c r="BV922">
        <v>2</v>
      </c>
      <c r="BW922">
        <v>193</v>
      </c>
      <c r="BX922">
        <f t="shared" si="106"/>
        <v>423</v>
      </c>
      <c r="BY922" s="5">
        <f t="shared" si="105"/>
        <v>-0.54373522458628842</v>
      </c>
      <c r="BZ922" s="6">
        <f t="shared" si="103"/>
        <v>-0.54373522458628842</v>
      </c>
      <c r="CA922" s="7">
        <v>42316</v>
      </c>
      <c r="CE922">
        <v>44</v>
      </c>
      <c r="CF922">
        <v>45</v>
      </c>
      <c r="CG922">
        <v>60</v>
      </c>
      <c r="CH922">
        <v>44</v>
      </c>
      <c r="CI922">
        <f t="shared" si="101"/>
        <v>2015</v>
      </c>
      <c r="CJ922" t="str">
        <f t="shared" si="102"/>
        <v>6019_2015</v>
      </c>
    </row>
    <row r="923" spans="1:88" x14ac:dyDescent="0.25">
      <c r="A923" t="s">
        <v>111</v>
      </c>
      <c r="B923" t="s">
        <v>259</v>
      </c>
      <c r="C923">
        <v>6019</v>
      </c>
      <c r="D923">
        <v>-37.860430999999998</v>
      </c>
      <c r="E923">
        <v>145.10162399999999</v>
      </c>
      <c r="F923">
        <v>4</v>
      </c>
      <c r="G923" t="s">
        <v>357</v>
      </c>
      <c r="H923">
        <v>7</v>
      </c>
      <c r="I923">
        <v>187</v>
      </c>
      <c r="J923">
        <v>95</v>
      </c>
      <c r="K923">
        <v>275</v>
      </c>
      <c r="L923">
        <v>189</v>
      </c>
      <c r="M923">
        <v>9</v>
      </c>
      <c r="N923">
        <v>279</v>
      </c>
      <c r="O923">
        <v>99</v>
      </c>
      <c r="T923">
        <v>5</v>
      </c>
      <c r="U923">
        <v>57</v>
      </c>
      <c r="V923">
        <v>6</v>
      </c>
      <c r="Y923">
        <v>2</v>
      </c>
      <c r="Z923">
        <v>5</v>
      </c>
      <c r="AA923">
        <v>7</v>
      </c>
      <c r="AD923">
        <v>65</v>
      </c>
      <c r="AE923">
        <v>6</v>
      </c>
      <c r="AF923">
        <v>11</v>
      </c>
      <c r="AI923">
        <v>9</v>
      </c>
      <c r="AJ923">
        <v>13</v>
      </c>
      <c r="AK923">
        <v>7</v>
      </c>
      <c r="AX923">
        <v>68</v>
      </c>
      <c r="AY923">
        <v>76</v>
      </c>
      <c r="AZ923">
        <v>144</v>
      </c>
      <c r="BA923">
        <v>14</v>
      </c>
      <c r="BB923">
        <v>24</v>
      </c>
      <c r="BC923">
        <v>38</v>
      </c>
      <c r="BD923">
        <v>82</v>
      </c>
      <c r="BE923">
        <v>69</v>
      </c>
      <c r="BF923">
        <v>151</v>
      </c>
      <c r="BG923">
        <v>29</v>
      </c>
      <c r="BH923">
        <v>24</v>
      </c>
      <c r="BI923">
        <v>53</v>
      </c>
      <c r="BP923">
        <v>52</v>
      </c>
      <c r="BR923">
        <v>82</v>
      </c>
      <c r="BS923">
        <v>27</v>
      </c>
      <c r="BT923">
        <v>30</v>
      </c>
      <c r="BV923">
        <v>2</v>
      </c>
      <c r="BW923">
        <v>193</v>
      </c>
      <c r="BX923">
        <f t="shared" si="106"/>
        <v>193</v>
      </c>
      <c r="BY923" s="5">
        <f t="shared" si="105"/>
        <v>0</v>
      </c>
      <c r="BZ923" s="6">
        <f t="shared" si="103"/>
        <v>0</v>
      </c>
      <c r="CA923" s="7">
        <v>42715</v>
      </c>
      <c r="CE923">
        <v>44</v>
      </c>
      <c r="CF923">
        <v>45</v>
      </c>
      <c r="CG923">
        <v>60</v>
      </c>
      <c r="CH923">
        <v>44</v>
      </c>
      <c r="CI923">
        <f t="shared" si="101"/>
        <v>2016</v>
      </c>
      <c r="CJ923" t="str">
        <f t="shared" si="102"/>
        <v>6019_2016</v>
      </c>
    </row>
    <row r="924" spans="1:88" x14ac:dyDescent="0.25">
      <c r="A924" t="s">
        <v>111</v>
      </c>
      <c r="B924" t="s">
        <v>259</v>
      </c>
      <c r="C924">
        <v>6019</v>
      </c>
      <c r="D924">
        <v>-37.860430999999998</v>
      </c>
      <c r="E924">
        <v>145.10162399999999</v>
      </c>
      <c r="F924">
        <v>4</v>
      </c>
      <c r="G924" t="s">
        <v>357</v>
      </c>
      <c r="H924">
        <v>7</v>
      </c>
      <c r="I924">
        <v>187</v>
      </c>
      <c r="J924">
        <v>95</v>
      </c>
      <c r="K924">
        <v>275</v>
      </c>
      <c r="L924">
        <v>189</v>
      </c>
      <c r="M924">
        <v>9</v>
      </c>
      <c r="N924">
        <v>279</v>
      </c>
      <c r="O924">
        <v>99</v>
      </c>
      <c r="T924">
        <v>19</v>
      </c>
      <c r="U924">
        <v>109</v>
      </c>
      <c r="V924">
        <v>8</v>
      </c>
      <c r="Y924">
        <v>14</v>
      </c>
      <c r="Z924">
        <v>20</v>
      </c>
      <c r="AA924">
        <v>33</v>
      </c>
      <c r="AD924">
        <v>95</v>
      </c>
      <c r="AE924">
        <v>17</v>
      </c>
      <c r="AF924">
        <v>9</v>
      </c>
      <c r="AI924">
        <v>16</v>
      </c>
      <c r="AJ924">
        <v>36</v>
      </c>
      <c r="AK924">
        <v>5</v>
      </c>
      <c r="AX924">
        <v>136</v>
      </c>
      <c r="AY924">
        <v>125</v>
      </c>
      <c r="AZ924">
        <v>261</v>
      </c>
      <c r="BA924">
        <v>67</v>
      </c>
      <c r="BB924">
        <v>72</v>
      </c>
      <c r="BC924">
        <v>139</v>
      </c>
      <c r="BD924">
        <v>121</v>
      </c>
      <c r="BE924">
        <v>134</v>
      </c>
      <c r="BF924">
        <v>255</v>
      </c>
      <c r="BG924">
        <v>57</v>
      </c>
      <c r="BH924">
        <v>50</v>
      </c>
      <c r="BI924">
        <v>107</v>
      </c>
      <c r="BP924">
        <v>143</v>
      </c>
      <c r="BR924">
        <v>176</v>
      </c>
      <c r="BS924">
        <v>25</v>
      </c>
      <c r="BT924">
        <v>34</v>
      </c>
      <c r="BV924">
        <v>3</v>
      </c>
      <c r="BW924">
        <v>381</v>
      </c>
      <c r="BX924">
        <f t="shared" si="106"/>
        <v>193</v>
      </c>
      <c r="BY924" s="5">
        <f t="shared" si="105"/>
        <v>0.97409326424870468</v>
      </c>
      <c r="BZ924" s="6">
        <f t="shared" si="103"/>
        <v>0.97409326424870468</v>
      </c>
      <c r="CA924" s="7">
        <v>43051</v>
      </c>
      <c r="CE924">
        <v>90</v>
      </c>
      <c r="CF924">
        <v>121</v>
      </c>
      <c r="CG924">
        <v>94</v>
      </c>
      <c r="CH924">
        <v>76</v>
      </c>
      <c r="CI924">
        <f t="shared" si="101"/>
        <v>2017</v>
      </c>
      <c r="CJ924" t="str">
        <f t="shared" si="102"/>
        <v>6019_2017</v>
      </c>
    </row>
    <row r="925" spans="1:88" x14ac:dyDescent="0.25">
      <c r="A925" t="s">
        <v>111</v>
      </c>
      <c r="B925" t="s">
        <v>259</v>
      </c>
      <c r="C925">
        <v>6019</v>
      </c>
      <c r="D925">
        <v>-37.860399999999998</v>
      </c>
      <c r="E925">
        <v>145.10159999999999</v>
      </c>
      <c r="F925">
        <v>4</v>
      </c>
      <c r="G925" t="s">
        <v>357</v>
      </c>
      <c r="H925">
        <v>7</v>
      </c>
      <c r="I925">
        <v>187</v>
      </c>
      <c r="J925">
        <v>95</v>
      </c>
      <c r="K925">
        <v>275</v>
      </c>
      <c r="L925">
        <v>189</v>
      </c>
      <c r="M925">
        <v>9</v>
      </c>
      <c r="N925">
        <v>279</v>
      </c>
      <c r="O925">
        <v>99</v>
      </c>
      <c r="T925">
        <v>8</v>
      </c>
      <c r="U925">
        <v>105</v>
      </c>
      <c r="V925">
        <v>13</v>
      </c>
      <c r="Y925">
        <v>7</v>
      </c>
      <c r="Z925">
        <v>24</v>
      </c>
      <c r="AA925">
        <v>42</v>
      </c>
      <c r="AD925">
        <v>113</v>
      </c>
      <c r="AE925">
        <v>6</v>
      </c>
      <c r="AF925">
        <v>10</v>
      </c>
      <c r="AI925">
        <v>18</v>
      </c>
      <c r="AJ925">
        <v>31</v>
      </c>
      <c r="AK925">
        <v>13</v>
      </c>
      <c r="AX925">
        <v>126</v>
      </c>
      <c r="AY925">
        <v>138</v>
      </c>
      <c r="AZ925">
        <v>264</v>
      </c>
      <c r="BA925">
        <v>73</v>
      </c>
      <c r="BB925">
        <v>45</v>
      </c>
      <c r="BC925">
        <v>118</v>
      </c>
      <c r="BD925">
        <v>129</v>
      </c>
      <c r="BE925">
        <v>142</v>
      </c>
      <c r="BF925">
        <v>271</v>
      </c>
      <c r="BG925">
        <v>62</v>
      </c>
      <c r="BH925">
        <v>65</v>
      </c>
      <c r="BI925">
        <v>127</v>
      </c>
      <c r="BP925">
        <v>148</v>
      </c>
      <c r="BR925">
        <v>169</v>
      </c>
      <c r="BS925">
        <v>32</v>
      </c>
      <c r="BT925">
        <v>33</v>
      </c>
      <c r="BV925">
        <v>8</v>
      </c>
      <c r="BW925">
        <v>390</v>
      </c>
      <c r="BX925">
        <f t="shared" si="106"/>
        <v>381</v>
      </c>
      <c r="BY925" s="5">
        <f t="shared" si="105"/>
        <v>2.3622047244094488E-2</v>
      </c>
      <c r="BZ925" s="6">
        <f t="shared" si="103"/>
        <v>2.3622047244094488E-2</v>
      </c>
      <c r="CA925" s="7">
        <v>43415</v>
      </c>
      <c r="CE925">
        <v>99</v>
      </c>
      <c r="CF925">
        <v>99</v>
      </c>
      <c r="CG925">
        <v>120</v>
      </c>
      <c r="CH925">
        <v>72</v>
      </c>
      <c r="CI925">
        <f t="shared" si="101"/>
        <v>2018</v>
      </c>
      <c r="CJ925" t="str">
        <f t="shared" si="102"/>
        <v>6019_2018</v>
      </c>
    </row>
    <row r="926" spans="1:88" x14ac:dyDescent="0.25">
      <c r="A926" t="s">
        <v>111</v>
      </c>
      <c r="B926" t="s">
        <v>259</v>
      </c>
      <c r="C926">
        <v>6019</v>
      </c>
      <c r="D926">
        <v>-37.860399999999998</v>
      </c>
      <c r="E926">
        <v>145.10159999999999</v>
      </c>
      <c r="F926">
        <v>4</v>
      </c>
      <c r="G926" t="s">
        <v>357</v>
      </c>
      <c r="H926">
        <v>7</v>
      </c>
      <c r="I926">
        <v>187</v>
      </c>
      <c r="J926">
        <v>95</v>
      </c>
      <c r="K926">
        <v>275</v>
      </c>
      <c r="L926">
        <v>189</v>
      </c>
      <c r="M926">
        <v>9</v>
      </c>
      <c r="N926">
        <v>279</v>
      </c>
      <c r="O926">
        <v>99</v>
      </c>
      <c r="T926">
        <v>12</v>
      </c>
      <c r="U926">
        <v>94</v>
      </c>
      <c r="V926">
        <v>31</v>
      </c>
      <c r="Y926">
        <v>14</v>
      </c>
      <c r="Z926">
        <v>20</v>
      </c>
      <c r="AA926">
        <v>41</v>
      </c>
      <c r="AD926">
        <v>94</v>
      </c>
      <c r="AE926">
        <v>27</v>
      </c>
      <c r="AF926">
        <v>32</v>
      </c>
      <c r="AI926">
        <v>18</v>
      </c>
      <c r="AJ926">
        <v>34</v>
      </c>
      <c r="AK926">
        <v>24</v>
      </c>
      <c r="AX926">
        <v>137</v>
      </c>
      <c r="AY926">
        <v>126</v>
      </c>
      <c r="AZ926">
        <v>263</v>
      </c>
      <c r="BA926">
        <v>75</v>
      </c>
      <c r="BB926">
        <v>73</v>
      </c>
      <c r="BC926">
        <v>148</v>
      </c>
      <c r="BD926">
        <v>153</v>
      </c>
      <c r="BE926">
        <v>138</v>
      </c>
      <c r="BF926">
        <v>291</v>
      </c>
      <c r="BG926">
        <v>76</v>
      </c>
      <c r="BH926">
        <v>104</v>
      </c>
      <c r="BI926">
        <v>180</v>
      </c>
      <c r="BP926">
        <v>120</v>
      </c>
      <c r="BR926">
        <v>195</v>
      </c>
      <c r="BS926">
        <v>59</v>
      </c>
      <c r="BT926">
        <v>61</v>
      </c>
      <c r="BV926">
        <v>6</v>
      </c>
      <c r="BW926">
        <v>441</v>
      </c>
      <c r="BX926">
        <f t="shared" si="106"/>
        <v>390</v>
      </c>
      <c r="BY926" s="5">
        <f t="shared" si="105"/>
        <v>0.13076923076923078</v>
      </c>
      <c r="BZ926" s="6">
        <f t="shared" si="103"/>
        <v>0.13076923076923078</v>
      </c>
      <c r="CA926" s="7">
        <v>43779</v>
      </c>
      <c r="CE926">
        <v>111</v>
      </c>
      <c r="CF926">
        <v>106</v>
      </c>
      <c r="CG926">
        <v>116</v>
      </c>
      <c r="CH926">
        <v>108</v>
      </c>
      <c r="CI926">
        <f t="shared" si="101"/>
        <v>2019</v>
      </c>
      <c r="CJ926" t="str">
        <f t="shared" si="102"/>
        <v>6019_2019</v>
      </c>
    </row>
    <row r="927" spans="1:88" x14ac:dyDescent="0.25">
      <c r="A927" t="s">
        <v>111</v>
      </c>
      <c r="B927" t="s">
        <v>259</v>
      </c>
      <c r="C927">
        <v>6019</v>
      </c>
      <c r="D927">
        <v>-37.860399999999998</v>
      </c>
      <c r="E927">
        <v>145.10159999999999</v>
      </c>
      <c r="F927">
        <v>4</v>
      </c>
      <c r="G927" t="s">
        <v>357</v>
      </c>
      <c r="H927">
        <v>7</v>
      </c>
      <c r="I927">
        <v>187</v>
      </c>
      <c r="J927">
        <v>95</v>
      </c>
      <c r="K927">
        <v>275</v>
      </c>
      <c r="L927">
        <v>189</v>
      </c>
      <c r="M927">
        <v>9</v>
      </c>
      <c r="N927">
        <v>279</v>
      </c>
      <c r="O927">
        <v>99</v>
      </c>
      <c r="T927">
        <v>34</v>
      </c>
      <c r="U927">
        <v>253</v>
      </c>
      <c r="V927">
        <v>29</v>
      </c>
      <c r="Y927">
        <v>35</v>
      </c>
      <c r="Z927">
        <v>30</v>
      </c>
      <c r="AA927">
        <v>44</v>
      </c>
      <c r="AD927">
        <v>209</v>
      </c>
      <c r="AE927">
        <v>33</v>
      </c>
      <c r="AF927">
        <v>27</v>
      </c>
      <c r="AI927">
        <v>35</v>
      </c>
      <c r="AJ927">
        <v>55</v>
      </c>
      <c r="AK927">
        <v>35</v>
      </c>
      <c r="AX927">
        <v>316</v>
      </c>
      <c r="AY927">
        <v>279</v>
      </c>
      <c r="AZ927">
        <v>595</v>
      </c>
      <c r="BA927">
        <v>109</v>
      </c>
      <c r="BB927">
        <v>122</v>
      </c>
      <c r="BC927">
        <v>231</v>
      </c>
      <c r="BD927">
        <v>269</v>
      </c>
      <c r="BE927">
        <v>318</v>
      </c>
      <c r="BF927">
        <v>587</v>
      </c>
      <c r="BG927">
        <v>125</v>
      </c>
      <c r="BH927">
        <v>100</v>
      </c>
      <c r="BI927">
        <v>225</v>
      </c>
      <c r="BP927">
        <v>339</v>
      </c>
      <c r="BR927">
        <v>315</v>
      </c>
      <c r="BS927">
        <v>81</v>
      </c>
      <c r="BT927">
        <v>63</v>
      </c>
      <c r="BV927">
        <v>21</v>
      </c>
      <c r="BW927">
        <v>819</v>
      </c>
      <c r="BX927">
        <f t="shared" si="106"/>
        <v>441</v>
      </c>
      <c r="BY927" s="5">
        <f t="shared" si="105"/>
        <v>0.8571428571428571</v>
      </c>
      <c r="BZ927" s="6">
        <f t="shared" si="103"/>
        <v>0.8571428571428571</v>
      </c>
      <c r="CA927" s="7">
        <v>44143</v>
      </c>
      <c r="CE927">
        <v>210</v>
      </c>
      <c r="CF927">
        <v>223</v>
      </c>
      <c r="CG927">
        <v>201</v>
      </c>
      <c r="CH927">
        <v>185</v>
      </c>
      <c r="CI927">
        <f t="shared" si="101"/>
        <v>2020</v>
      </c>
      <c r="CJ927" t="str">
        <f t="shared" si="102"/>
        <v>6019_2020</v>
      </c>
    </row>
    <row r="928" spans="1:88" x14ac:dyDescent="0.25">
      <c r="A928" t="s">
        <v>111</v>
      </c>
      <c r="B928" t="s">
        <v>259</v>
      </c>
      <c r="C928">
        <v>6019</v>
      </c>
      <c r="D928">
        <v>-37.860430999999998</v>
      </c>
      <c r="E928">
        <v>145.10162399999999</v>
      </c>
      <c r="F928">
        <v>4</v>
      </c>
      <c r="G928" t="s">
        <v>357</v>
      </c>
      <c r="H928">
        <v>7</v>
      </c>
      <c r="I928">
        <v>187</v>
      </c>
      <c r="J928">
        <v>95</v>
      </c>
      <c r="K928">
        <v>275</v>
      </c>
      <c r="L928">
        <v>189</v>
      </c>
      <c r="M928">
        <v>9</v>
      </c>
      <c r="N928">
        <v>279</v>
      </c>
      <c r="O928">
        <v>99</v>
      </c>
      <c r="T928">
        <v>17</v>
      </c>
      <c r="U928">
        <v>121</v>
      </c>
      <c r="V928">
        <v>13</v>
      </c>
      <c r="Y928">
        <v>4</v>
      </c>
      <c r="Z928">
        <v>23</v>
      </c>
      <c r="AA928">
        <v>39</v>
      </c>
      <c r="AD928">
        <v>114</v>
      </c>
      <c r="AE928">
        <v>20</v>
      </c>
      <c r="AF928">
        <v>30</v>
      </c>
      <c r="AI928">
        <v>9</v>
      </c>
      <c r="AJ928">
        <v>29</v>
      </c>
      <c r="AK928">
        <v>13</v>
      </c>
      <c r="AX928">
        <v>151</v>
      </c>
      <c r="AY928">
        <v>127</v>
      </c>
      <c r="AZ928">
        <v>278</v>
      </c>
      <c r="BA928">
        <v>66</v>
      </c>
      <c r="BB928">
        <v>66</v>
      </c>
      <c r="BC928">
        <v>132</v>
      </c>
      <c r="BD928">
        <v>164</v>
      </c>
      <c r="BE928">
        <v>157</v>
      </c>
      <c r="BF928">
        <v>321</v>
      </c>
      <c r="BG928">
        <v>51</v>
      </c>
      <c r="BH928">
        <v>82</v>
      </c>
      <c r="BI928">
        <v>133</v>
      </c>
      <c r="BP928">
        <v>142</v>
      </c>
      <c r="BR928">
        <v>165</v>
      </c>
      <c r="BS928">
        <v>61</v>
      </c>
      <c r="BT928">
        <v>54</v>
      </c>
      <c r="BV928">
        <v>10</v>
      </c>
      <c r="BW928">
        <v>432</v>
      </c>
      <c r="BX928">
        <f t="shared" si="106"/>
        <v>819</v>
      </c>
      <c r="BY928" s="5">
        <f t="shared" si="105"/>
        <v>-0.47252747252747251</v>
      </c>
      <c r="BZ928" s="6">
        <f t="shared" si="103"/>
        <v>-0.47252747252747251</v>
      </c>
      <c r="CA928" s="7">
        <v>44528</v>
      </c>
      <c r="CE928">
        <v>128</v>
      </c>
      <c r="CF928">
        <v>170</v>
      </c>
      <c r="CG928">
        <v>134</v>
      </c>
      <c r="CI928">
        <f t="shared" si="101"/>
        <v>2021</v>
      </c>
      <c r="CJ928" t="str">
        <f t="shared" si="102"/>
        <v>6019_2021</v>
      </c>
    </row>
    <row r="929" spans="1:88" x14ac:dyDescent="0.25">
      <c r="A929" t="s">
        <v>111</v>
      </c>
      <c r="B929" t="s">
        <v>259</v>
      </c>
      <c r="C929">
        <v>6019</v>
      </c>
      <c r="D929">
        <v>-37.860430999999998</v>
      </c>
      <c r="E929">
        <v>145.10162399999999</v>
      </c>
      <c r="F929">
        <v>4</v>
      </c>
      <c r="G929" t="s">
        <v>357</v>
      </c>
      <c r="H929">
        <v>7</v>
      </c>
      <c r="I929">
        <v>187</v>
      </c>
      <c r="J929">
        <v>95</v>
      </c>
      <c r="K929">
        <v>275</v>
      </c>
      <c r="L929">
        <v>189</v>
      </c>
      <c r="M929">
        <v>9</v>
      </c>
      <c r="N929">
        <v>279</v>
      </c>
      <c r="O929">
        <v>99</v>
      </c>
      <c r="T929">
        <v>27</v>
      </c>
      <c r="U929">
        <v>115</v>
      </c>
      <c r="V929">
        <v>34</v>
      </c>
      <c r="Y929">
        <v>10</v>
      </c>
      <c r="Z929">
        <v>28</v>
      </c>
      <c r="AA929">
        <v>23</v>
      </c>
      <c r="AD929">
        <v>113</v>
      </c>
      <c r="AE929">
        <v>27</v>
      </c>
      <c r="AF929">
        <v>30</v>
      </c>
      <c r="AI929">
        <v>18</v>
      </c>
      <c r="AJ929">
        <v>14</v>
      </c>
      <c r="AK929">
        <v>18</v>
      </c>
      <c r="AX929">
        <v>176</v>
      </c>
      <c r="AY929">
        <v>141</v>
      </c>
      <c r="AZ929">
        <v>317</v>
      </c>
      <c r="BA929">
        <v>61</v>
      </c>
      <c r="BB929">
        <v>68</v>
      </c>
      <c r="BC929">
        <v>129</v>
      </c>
      <c r="BD929">
        <v>170</v>
      </c>
      <c r="BE929">
        <v>161</v>
      </c>
      <c r="BF929">
        <v>331</v>
      </c>
      <c r="BG929">
        <v>50</v>
      </c>
      <c r="BH929">
        <v>87</v>
      </c>
      <c r="BI929">
        <v>137</v>
      </c>
      <c r="BP929">
        <v>103</v>
      </c>
      <c r="BR929">
        <v>228</v>
      </c>
      <c r="BS929">
        <v>53</v>
      </c>
      <c r="BT929">
        <v>67</v>
      </c>
      <c r="BU929">
        <v>6</v>
      </c>
      <c r="BV929">
        <v>0</v>
      </c>
      <c r="BW929">
        <v>457</v>
      </c>
      <c r="BX929">
        <f t="shared" si="106"/>
        <v>432</v>
      </c>
      <c r="BY929" s="5">
        <f t="shared" si="105"/>
        <v>5.7870370370370371E-2</v>
      </c>
      <c r="BZ929" s="6">
        <f t="shared" si="103"/>
        <v>5.7870370370370371E-2</v>
      </c>
      <c r="CA929" s="7">
        <v>44878</v>
      </c>
      <c r="CE929">
        <v>143</v>
      </c>
      <c r="CF929">
        <v>174</v>
      </c>
      <c r="CG929">
        <v>140</v>
      </c>
      <c r="CI929">
        <f t="shared" si="101"/>
        <v>2022</v>
      </c>
      <c r="CJ929" t="str">
        <f t="shared" si="102"/>
        <v>6019_2022</v>
      </c>
    </row>
    <row r="930" spans="1:88" x14ac:dyDescent="0.25">
      <c r="A930" t="s">
        <v>111</v>
      </c>
      <c r="B930" t="s">
        <v>207</v>
      </c>
      <c r="C930">
        <v>6020</v>
      </c>
      <c r="D930">
        <v>-37.772623000000003</v>
      </c>
      <c r="E930">
        <v>144.98544999999999</v>
      </c>
      <c r="F930">
        <v>4</v>
      </c>
      <c r="G930" t="s">
        <v>358</v>
      </c>
      <c r="H930">
        <v>51</v>
      </c>
      <c r="I930">
        <v>231</v>
      </c>
      <c r="J930">
        <v>142</v>
      </c>
      <c r="K930">
        <v>322</v>
      </c>
      <c r="L930">
        <v>231</v>
      </c>
      <c r="M930">
        <v>51</v>
      </c>
      <c r="N930">
        <v>327</v>
      </c>
      <c r="O930">
        <v>147</v>
      </c>
      <c r="T930">
        <v>45</v>
      </c>
      <c r="V930">
        <v>58</v>
      </c>
      <c r="Y930">
        <v>47</v>
      </c>
      <c r="AA930">
        <v>163</v>
      </c>
      <c r="AI930">
        <v>58</v>
      </c>
      <c r="AJ930">
        <v>206</v>
      </c>
      <c r="AX930">
        <v>103</v>
      </c>
      <c r="AY930">
        <v>105</v>
      </c>
      <c r="AZ930">
        <v>208</v>
      </c>
      <c r="BA930">
        <v>210</v>
      </c>
      <c r="BB930">
        <v>251</v>
      </c>
      <c r="BC930">
        <v>461</v>
      </c>
      <c r="BG930">
        <v>264</v>
      </c>
      <c r="BH930">
        <v>221</v>
      </c>
      <c r="BI930">
        <v>485</v>
      </c>
      <c r="BP930">
        <v>302</v>
      </c>
      <c r="BR930">
        <v>148</v>
      </c>
      <c r="BS930">
        <v>54</v>
      </c>
      <c r="BT930">
        <v>45</v>
      </c>
      <c r="BV930">
        <v>28</v>
      </c>
      <c r="BW930">
        <v>577</v>
      </c>
      <c r="BX930" t="s">
        <v>82</v>
      </c>
      <c r="BY930" s="5"/>
      <c r="BZ930" s="6"/>
      <c r="CA930" s="7">
        <v>41224</v>
      </c>
      <c r="CI930">
        <f t="shared" si="101"/>
        <v>2012</v>
      </c>
      <c r="CJ930" t="str">
        <f t="shared" si="102"/>
        <v>6020_2012</v>
      </c>
    </row>
    <row r="931" spans="1:88" x14ac:dyDescent="0.25">
      <c r="A931" t="s">
        <v>111</v>
      </c>
      <c r="B931" t="s">
        <v>207</v>
      </c>
      <c r="C931">
        <v>6021</v>
      </c>
      <c r="D931">
        <v>-37.767995999999997</v>
      </c>
      <c r="E931">
        <v>144.984028</v>
      </c>
      <c r="F931">
        <v>3</v>
      </c>
      <c r="G931" t="s">
        <v>359</v>
      </c>
      <c r="H931">
        <v>34</v>
      </c>
      <c r="I931">
        <v>214</v>
      </c>
      <c r="J931">
        <v>184</v>
      </c>
      <c r="K931">
        <v>4</v>
      </c>
      <c r="L931">
        <v>351</v>
      </c>
      <c r="M931">
        <v>171</v>
      </c>
      <c r="T931">
        <v>245</v>
      </c>
      <c r="U931">
        <v>17</v>
      </c>
      <c r="Y931">
        <v>217</v>
      </c>
      <c r="Z931">
        <v>26</v>
      </c>
      <c r="AD931">
        <v>18</v>
      </c>
      <c r="AE931">
        <v>23</v>
      </c>
      <c r="AX931">
        <v>262</v>
      </c>
      <c r="AY931">
        <v>235</v>
      </c>
      <c r="AZ931">
        <v>497</v>
      </c>
      <c r="BA931">
        <v>243</v>
      </c>
      <c r="BB931">
        <v>268</v>
      </c>
      <c r="BC931">
        <v>511</v>
      </c>
      <c r="BD931">
        <v>41</v>
      </c>
      <c r="BE931">
        <v>43</v>
      </c>
      <c r="BF931">
        <v>84</v>
      </c>
      <c r="BP931">
        <v>313</v>
      </c>
      <c r="BR931">
        <v>115</v>
      </c>
      <c r="BS931">
        <v>64</v>
      </c>
      <c r="BT931">
        <v>32</v>
      </c>
      <c r="BV931">
        <v>22</v>
      </c>
      <c r="BW931">
        <v>546</v>
      </c>
      <c r="BX931" t="s">
        <v>82</v>
      </c>
      <c r="BY931" s="5"/>
      <c r="BZ931" s="6"/>
      <c r="CA931" s="7">
        <v>41224</v>
      </c>
      <c r="CI931">
        <f t="shared" si="101"/>
        <v>2012</v>
      </c>
      <c r="CJ931" t="str">
        <f t="shared" si="102"/>
        <v>6021_2012</v>
      </c>
    </row>
    <row r="932" spans="1:88" x14ac:dyDescent="0.25">
      <c r="A932" t="s">
        <v>111</v>
      </c>
      <c r="B932" t="s">
        <v>207</v>
      </c>
      <c r="C932">
        <v>6022</v>
      </c>
      <c r="D932">
        <v>-37.756856999999997</v>
      </c>
      <c r="E932">
        <v>144.97983300000001</v>
      </c>
      <c r="F932">
        <v>3</v>
      </c>
      <c r="G932" t="s">
        <v>360</v>
      </c>
      <c r="H932">
        <v>152</v>
      </c>
      <c r="I932">
        <v>332</v>
      </c>
      <c r="J932">
        <v>222</v>
      </c>
      <c r="K932">
        <v>42</v>
      </c>
      <c r="L932">
        <v>351</v>
      </c>
      <c r="M932">
        <v>171</v>
      </c>
      <c r="T932">
        <v>91</v>
      </c>
      <c r="U932">
        <v>56</v>
      </c>
      <c r="Y932">
        <v>89</v>
      </c>
      <c r="Z932">
        <v>41</v>
      </c>
      <c r="AD932">
        <v>61</v>
      </c>
      <c r="AE932">
        <v>38</v>
      </c>
      <c r="AX932">
        <v>147</v>
      </c>
      <c r="AY932">
        <v>150</v>
      </c>
      <c r="AZ932">
        <v>297</v>
      </c>
      <c r="BA932">
        <v>130</v>
      </c>
      <c r="BB932">
        <v>129</v>
      </c>
      <c r="BC932">
        <v>259</v>
      </c>
      <c r="BD932">
        <v>99</v>
      </c>
      <c r="BE932">
        <v>97</v>
      </c>
      <c r="BF932">
        <v>196</v>
      </c>
      <c r="BP932">
        <v>166</v>
      </c>
      <c r="BR932">
        <v>120</v>
      </c>
      <c r="BS932">
        <v>33</v>
      </c>
      <c r="BT932">
        <v>55</v>
      </c>
      <c r="BV932">
        <v>2</v>
      </c>
      <c r="BW932">
        <v>376</v>
      </c>
      <c r="BX932" t="s">
        <v>82</v>
      </c>
      <c r="BY932" s="5"/>
      <c r="BZ932" s="6"/>
      <c r="CA932" s="7">
        <v>41224</v>
      </c>
      <c r="CI932">
        <f t="shared" si="101"/>
        <v>2012</v>
      </c>
      <c r="CJ932" t="str">
        <f t="shared" si="102"/>
        <v>6022_2012</v>
      </c>
    </row>
    <row r="933" spans="1:88" x14ac:dyDescent="0.25">
      <c r="A933" t="s">
        <v>111</v>
      </c>
      <c r="B933" t="s">
        <v>207</v>
      </c>
      <c r="C933">
        <v>6023</v>
      </c>
      <c r="D933">
        <v>-37.746369000000001</v>
      </c>
      <c r="E933">
        <v>144.97975400000001</v>
      </c>
      <c r="F933">
        <v>3</v>
      </c>
      <c r="G933" t="s">
        <v>361</v>
      </c>
      <c r="H933">
        <v>67</v>
      </c>
      <c r="I933">
        <v>247</v>
      </c>
      <c r="J933">
        <v>103</v>
      </c>
      <c r="K933">
        <v>283</v>
      </c>
      <c r="L933">
        <v>273</v>
      </c>
      <c r="M933">
        <v>93</v>
      </c>
      <c r="T933">
        <v>137</v>
      </c>
      <c r="U933">
        <v>20</v>
      </c>
      <c r="Y933">
        <v>103</v>
      </c>
      <c r="Z933">
        <v>43</v>
      </c>
      <c r="AD933">
        <v>23</v>
      </c>
      <c r="AE933">
        <v>48</v>
      </c>
      <c r="AX933">
        <v>157</v>
      </c>
      <c r="AY933">
        <v>126</v>
      </c>
      <c r="AZ933">
        <v>283</v>
      </c>
      <c r="BA933">
        <v>146</v>
      </c>
      <c r="BB933">
        <v>185</v>
      </c>
      <c r="BC933">
        <v>331</v>
      </c>
      <c r="BD933">
        <v>71</v>
      </c>
      <c r="BE933">
        <v>63</v>
      </c>
      <c r="BF933">
        <v>134</v>
      </c>
      <c r="BP933">
        <v>166</v>
      </c>
      <c r="BR933">
        <v>98</v>
      </c>
      <c r="BS933">
        <v>58</v>
      </c>
      <c r="BT933">
        <v>31</v>
      </c>
      <c r="BV933">
        <v>21</v>
      </c>
      <c r="BW933">
        <v>374</v>
      </c>
      <c r="BX933" t="s">
        <v>82</v>
      </c>
      <c r="BY933" s="5"/>
      <c r="BZ933" s="6"/>
      <c r="CA933" s="7">
        <v>41224</v>
      </c>
      <c r="CI933">
        <f t="shared" si="101"/>
        <v>2012</v>
      </c>
      <c r="CJ933" t="str">
        <f t="shared" si="102"/>
        <v>6023_2012</v>
      </c>
    </row>
    <row r="934" spans="1:88" x14ac:dyDescent="0.25">
      <c r="A934" t="s">
        <v>111</v>
      </c>
      <c r="B934" t="s">
        <v>207</v>
      </c>
      <c r="C934">
        <v>6024</v>
      </c>
      <c r="D934">
        <v>-37.734915000000001</v>
      </c>
      <c r="E934">
        <v>144.97238400000001</v>
      </c>
      <c r="F934">
        <v>2</v>
      </c>
      <c r="G934" t="s">
        <v>362</v>
      </c>
      <c r="H934">
        <v>42</v>
      </c>
      <c r="I934">
        <v>222</v>
      </c>
      <c r="J934">
        <v>300</v>
      </c>
      <c r="K934">
        <v>120</v>
      </c>
      <c r="T934">
        <v>133</v>
      </c>
      <c r="Y934">
        <v>117</v>
      </c>
      <c r="AX934">
        <v>133</v>
      </c>
      <c r="AY934">
        <v>117</v>
      </c>
      <c r="AZ934">
        <v>250</v>
      </c>
      <c r="BA934">
        <v>117</v>
      </c>
      <c r="BB934">
        <v>133</v>
      </c>
      <c r="BC934">
        <v>250</v>
      </c>
      <c r="BP934">
        <v>121</v>
      </c>
      <c r="BR934">
        <v>78</v>
      </c>
      <c r="BS934">
        <v>31</v>
      </c>
      <c r="BT934">
        <v>18</v>
      </c>
      <c r="BV934">
        <v>2</v>
      </c>
      <c r="BW934">
        <v>250</v>
      </c>
      <c r="BX934" t="s">
        <v>82</v>
      </c>
      <c r="BY934" s="5"/>
      <c r="BZ934" s="6"/>
      <c r="CA934" s="7">
        <v>41224</v>
      </c>
      <c r="CI934">
        <f t="shared" si="101"/>
        <v>2012</v>
      </c>
      <c r="CJ934" t="str">
        <f t="shared" si="102"/>
        <v>6024_2012</v>
      </c>
    </row>
    <row r="935" spans="1:88" x14ac:dyDescent="0.25">
      <c r="A935" t="s">
        <v>111</v>
      </c>
      <c r="B935" t="s">
        <v>193</v>
      </c>
      <c r="C935">
        <v>6028</v>
      </c>
      <c r="D935">
        <v>-37.860799999999998</v>
      </c>
      <c r="E935">
        <v>145.06190000000001</v>
      </c>
      <c r="F935">
        <v>2</v>
      </c>
      <c r="G935" t="s">
        <v>363</v>
      </c>
      <c r="H935">
        <v>3</v>
      </c>
      <c r="I935">
        <v>183</v>
      </c>
      <c r="J935">
        <v>195</v>
      </c>
      <c r="K935">
        <v>15</v>
      </c>
      <c r="T935">
        <v>674</v>
      </c>
      <c r="Y935">
        <v>576</v>
      </c>
      <c r="AX935">
        <v>674</v>
      </c>
      <c r="AY935">
        <v>576</v>
      </c>
      <c r="AZ935">
        <v>1250</v>
      </c>
      <c r="BA935">
        <v>576</v>
      </c>
      <c r="BB935">
        <v>674</v>
      </c>
      <c r="BC935">
        <v>1250</v>
      </c>
      <c r="BP935">
        <v>864</v>
      </c>
      <c r="BR935">
        <v>159</v>
      </c>
      <c r="BS935">
        <v>159</v>
      </c>
      <c r="BT935">
        <v>40</v>
      </c>
      <c r="BV935">
        <v>28</v>
      </c>
      <c r="BW935">
        <v>1250</v>
      </c>
      <c r="BX935" t="s">
        <v>82</v>
      </c>
      <c r="BY935" s="5"/>
      <c r="BZ935" s="6"/>
      <c r="CA935" s="7">
        <v>41224</v>
      </c>
      <c r="CI935">
        <f t="shared" si="101"/>
        <v>2012</v>
      </c>
      <c r="CJ935" t="str">
        <f t="shared" si="102"/>
        <v>6028_2012</v>
      </c>
    </row>
    <row r="936" spans="1:88" x14ac:dyDescent="0.25">
      <c r="A936" t="s">
        <v>111</v>
      </c>
      <c r="B936" t="s">
        <v>193</v>
      </c>
      <c r="C936">
        <v>6028</v>
      </c>
      <c r="D936">
        <v>-37.860799999999998</v>
      </c>
      <c r="E936">
        <v>145.06190000000001</v>
      </c>
      <c r="F936">
        <v>2</v>
      </c>
      <c r="G936" t="s">
        <v>363</v>
      </c>
      <c r="H936">
        <v>3</v>
      </c>
      <c r="I936">
        <v>183</v>
      </c>
      <c r="J936">
        <v>195</v>
      </c>
      <c r="K936">
        <v>15</v>
      </c>
      <c r="T936">
        <v>536</v>
      </c>
      <c r="Y936">
        <v>463</v>
      </c>
      <c r="AX936">
        <v>536</v>
      </c>
      <c r="AY936">
        <v>463</v>
      </c>
      <c r="AZ936">
        <v>999</v>
      </c>
      <c r="BA936">
        <v>463</v>
      </c>
      <c r="BB936">
        <v>536</v>
      </c>
      <c r="BC936">
        <v>999</v>
      </c>
      <c r="BP936">
        <v>621</v>
      </c>
      <c r="BR936">
        <v>168</v>
      </c>
      <c r="BS936">
        <v>135</v>
      </c>
      <c r="BT936">
        <v>69</v>
      </c>
      <c r="BV936">
        <v>6</v>
      </c>
      <c r="BW936">
        <v>999</v>
      </c>
      <c r="BX936">
        <f t="shared" ref="BX936:BX943" si="107">IF(C936=C935,IF((CI936-1)=CI935,BW935,"no data"))</f>
        <v>1250</v>
      </c>
      <c r="BY936" s="5">
        <f t="shared" si="105"/>
        <v>-0.20080000000000001</v>
      </c>
      <c r="BZ936" s="6">
        <f t="shared" si="103"/>
        <v>-0.20080000000000001</v>
      </c>
      <c r="CA936" s="7">
        <v>41588</v>
      </c>
      <c r="CI936">
        <f t="shared" si="101"/>
        <v>2013</v>
      </c>
      <c r="CJ936" t="str">
        <f t="shared" si="102"/>
        <v>6028_2013</v>
      </c>
    </row>
    <row r="937" spans="1:88" x14ac:dyDescent="0.25">
      <c r="A937" t="s">
        <v>111</v>
      </c>
      <c r="B937" t="s">
        <v>193</v>
      </c>
      <c r="C937">
        <v>6028</v>
      </c>
      <c r="D937">
        <v>-37.860799999999998</v>
      </c>
      <c r="E937">
        <v>145.06190000000001</v>
      </c>
      <c r="F937">
        <v>2</v>
      </c>
      <c r="G937" t="s">
        <v>363</v>
      </c>
      <c r="H937">
        <v>3</v>
      </c>
      <c r="I937">
        <v>183</v>
      </c>
      <c r="J937">
        <v>195</v>
      </c>
      <c r="K937">
        <v>15</v>
      </c>
      <c r="T937">
        <v>509</v>
      </c>
      <c r="Y937">
        <v>494</v>
      </c>
      <c r="AX937">
        <v>509</v>
      </c>
      <c r="AY937">
        <v>494</v>
      </c>
      <c r="AZ937">
        <v>1003</v>
      </c>
      <c r="BA937">
        <v>494</v>
      </c>
      <c r="BB937">
        <v>509</v>
      </c>
      <c r="BC937">
        <v>1003</v>
      </c>
      <c r="BP937">
        <v>602</v>
      </c>
      <c r="BR937">
        <v>220</v>
      </c>
      <c r="BS937">
        <v>113</v>
      </c>
      <c r="BT937">
        <v>56</v>
      </c>
      <c r="BV937">
        <v>12</v>
      </c>
      <c r="BW937">
        <v>1003</v>
      </c>
      <c r="BX937">
        <f t="shared" si="107"/>
        <v>999</v>
      </c>
      <c r="BY937" s="5">
        <f t="shared" si="105"/>
        <v>4.004004004004004E-3</v>
      </c>
      <c r="BZ937" s="6">
        <f t="shared" si="103"/>
        <v>4.004004004004004E-3</v>
      </c>
      <c r="CA937" s="7">
        <v>41952</v>
      </c>
      <c r="CI937">
        <f t="shared" si="101"/>
        <v>2014</v>
      </c>
      <c r="CJ937" t="str">
        <f t="shared" si="102"/>
        <v>6028_2014</v>
      </c>
    </row>
    <row r="938" spans="1:88" x14ac:dyDescent="0.25">
      <c r="A938" t="s">
        <v>111</v>
      </c>
      <c r="B938" t="s">
        <v>193</v>
      </c>
      <c r="C938">
        <v>6028</v>
      </c>
      <c r="D938">
        <v>-37.860799999999998</v>
      </c>
      <c r="E938">
        <v>145.06190000000001</v>
      </c>
      <c r="F938">
        <v>2</v>
      </c>
      <c r="G938" t="s">
        <v>363</v>
      </c>
      <c r="H938">
        <v>3</v>
      </c>
      <c r="I938">
        <v>183</v>
      </c>
      <c r="J938">
        <v>195</v>
      </c>
      <c r="K938">
        <v>15</v>
      </c>
      <c r="T938">
        <v>605</v>
      </c>
      <c r="Y938">
        <v>629</v>
      </c>
      <c r="AX938">
        <v>605</v>
      </c>
      <c r="AY938">
        <v>629</v>
      </c>
      <c r="AZ938">
        <v>1234</v>
      </c>
      <c r="BA938">
        <v>629</v>
      </c>
      <c r="BB938">
        <v>605</v>
      </c>
      <c r="BC938">
        <v>1234</v>
      </c>
      <c r="BP938">
        <v>770</v>
      </c>
      <c r="BR938">
        <v>255</v>
      </c>
      <c r="BS938">
        <v>132</v>
      </c>
      <c r="BT938">
        <v>77</v>
      </c>
      <c r="BV938">
        <v>0</v>
      </c>
      <c r="BW938">
        <v>1234</v>
      </c>
      <c r="BX938">
        <f t="shared" si="107"/>
        <v>1003</v>
      </c>
      <c r="BY938" s="5">
        <f t="shared" si="105"/>
        <v>0.23030907278165502</v>
      </c>
      <c r="BZ938" s="6">
        <f t="shared" si="103"/>
        <v>0.23030907278165502</v>
      </c>
      <c r="CA938" s="7">
        <v>42316</v>
      </c>
      <c r="CE938">
        <v>319</v>
      </c>
      <c r="CF938">
        <v>347</v>
      </c>
      <c r="CG938">
        <v>336</v>
      </c>
      <c r="CH938">
        <v>232</v>
      </c>
      <c r="CI938">
        <f t="shared" si="101"/>
        <v>2015</v>
      </c>
      <c r="CJ938" t="str">
        <f t="shared" si="102"/>
        <v>6028_2015</v>
      </c>
    </row>
    <row r="939" spans="1:88" x14ac:dyDescent="0.25">
      <c r="A939" t="s">
        <v>111</v>
      </c>
      <c r="B939" t="s">
        <v>193</v>
      </c>
      <c r="C939">
        <v>6028</v>
      </c>
      <c r="D939">
        <v>-37.860838000000001</v>
      </c>
      <c r="E939">
        <v>145.06187499999999</v>
      </c>
      <c r="F939">
        <v>2</v>
      </c>
      <c r="G939" t="s">
        <v>363</v>
      </c>
      <c r="H939">
        <v>3</v>
      </c>
      <c r="I939">
        <v>183</v>
      </c>
      <c r="J939">
        <v>195</v>
      </c>
      <c r="K939">
        <v>15</v>
      </c>
      <c r="T939">
        <v>111</v>
      </c>
      <c r="Y939">
        <v>73</v>
      </c>
      <c r="AX939">
        <v>111</v>
      </c>
      <c r="AY939">
        <v>73</v>
      </c>
      <c r="AZ939">
        <v>184</v>
      </c>
      <c r="BA939">
        <v>73</v>
      </c>
      <c r="BB939">
        <v>111</v>
      </c>
      <c r="BC939">
        <v>184</v>
      </c>
      <c r="BP939">
        <v>85</v>
      </c>
      <c r="BR939">
        <v>59</v>
      </c>
      <c r="BS939">
        <v>23</v>
      </c>
      <c r="BT939">
        <v>11</v>
      </c>
      <c r="BV939">
        <v>6</v>
      </c>
      <c r="BW939">
        <v>184</v>
      </c>
      <c r="BX939">
        <f t="shared" si="107"/>
        <v>1234</v>
      </c>
      <c r="BY939" s="5">
        <f t="shared" si="105"/>
        <v>-0.85089141004862234</v>
      </c>
      <c r="BZ939" s="6">
        <f t="shared" si="103"/>
        <v>-0.85089141004862234</v>
      </c>
      <c r="CA939" s="7">
        <v>42687</v>
      </c>
      <c r="CE939">
        <v>0</v>
      </c>
      <c r="CF939">
        <v>0</v>
      </c>
      <c r="CG939">
        <v>100</v>
      </c>
      <c r="CH939">
        <v>84</v>
      </c>
      <c r="CI939">
        <f t="shared" si="101"/>
        <v>2016</v>
      </c>
      <c r="CJ939" t="str">
        <f t="shared" si="102"/>
        <v>6028_2016</v>
      </c>
    </row>
    <row r="940" spans="1:88" x14ac:dyDescent="0.25">
      <c r="A940" t="s">
        <v>111</v>
      </c>
      <c r="B940" t="s">
        <v>193</v>
      </c>
      <c r="C940">
        <v>6028</v>
      </c>
      <c r="D940">
        <v>-37.860838000000001</v>
      </c>
      <c r="E940">
        <v>145.06187499999999</v>
      </c>
      <c r="F940">
        <v>2</v>
      </c>
      <c r="G940" t="s">
        <v>363</v>
      </c>
      <c r="H940">
        <v>3</v>
      </c>
      <c r="I940">
        <v>183</v>
      </c>
      <c r="J940">
        <v>195</v>
      </c>
      <c r="K940">
        <v>15</v>
      </c>
      <c r="T940">
        <v>521</v>
      </c>
      <c r="Y940">
        <v>488</v>
      </c>
      <c r="AX940">
        <v>521</v>
      </c>
      <c r="AY940">
        <v>488</v>
      </c>
      <c r="AZ940">
        <v>1009</v>
      </c>
      <c r="BA940">
        <v>488</v>
      </c>
      <c r="BB940">
        <v>521</v>
      </c>
      <c r="BC940">
        <v>1009</v>
      </c>
      <c r="BP940">
        <v>583</v>
      </c>
      <c r="BR940">
        <v>232</v>
      </c>
      <c r="BS940">
        <v>111</v>
      </c>
      <c r="BT940">
        <v>49</v>
      </c>
      <c r="BV940">
        <v>34</v>
      </c>
      <c r="BW940">
        <v>1009</v>
      </c>
      <c r="BX940">
        <f t="shared" si="107"/>
        <v>184</v>
      </c>
      <c r="BY940" s="5">
        <f t="shared" si="105"/>
        <v>4.4836956521739131</v>
      </c>
      <c r="BZ940" s="6">
        <f t="shared" si="103"/>
        <v>4.4836956521739131</v>
      </c>
      <c r="CA940" s="7">
        <v>43051</v>
      </c>
      <c r="CE940">
        <v>305</v>
      </c>
      <c r="CF940">
        <v>294</v>
      </c>
      <c r="CG940">
        <v>230</v>
      </c>
      <c r="CH940">
        <v>180</v>
      </c>
      <c r="CI940">
        <f t="shared" si="101"/>
        <v>2017</v>
      </c>
      <c r="CJ940" t="str">
        <f t="shared" si="102"/>
        <v>6028_2017</v>
      </c>
    </row>
    <row r="941" spans="1:88" x14ac:dyDescent="0.25">
      <c r="A941" t="s">
        <v>111</v>
      </c>
      <c r="B941" t="s">
        <v>193</v>
      </c>
      <c r="C941">
        <v>6028</v>
      </c>
      <c r="D941">
        <v>-37.860838000000001</v>
      </c>
      <c r="E941">
        <v>145.06187499999999</v>
      </c>
      <c r="F941">
        <v>2</v>
      </c>
      <c r="G941" t="s">
        <v>363</v>
      </c>
      <c r="H941">
        <v>3</v>
      </c>
      <c r="I941">
        <v>183</v>
      </c>
      <c r="J941">
        <v>195</v>
      </c>
      <c r="K941">
        <v>15</v>
      </c>
      <c r="T941">
        <v>439</v>
      </c>
      <c r="Y941">
        <v>505</v>
      </c>
      <c r="AX941">
        <v>439</v>
      </c>
      <c r="AY941">
        <v>505</v>
      </c>
      <c r="AZ941">
        <v>944</v>
      </c>
      <c r="BA941">
        <v>505</v>
      </c>
      <c r="BB941">
        <v>439</v>
      </c>
      <c r="BC941">
        <v>944</v>
      </c>
      <c r="BP941">
        <v>454</v>
      </c>
      <c r="BR941">
        <v>319</v>
      </c>
      <c r="BS941">
        <v>116</v>
      </c>
      <c r="BT941">
        <v>46</v>
      </c>
      <c r="BV941">
        <v>9</v>
      </c>
      <c r="BW941">
        <v>944</v>
      </c>
      <c r="BX941">
        <f t="shared" si="107"/>
        <v>1009</v>
      </c>
      <c r="BY941" s="5">
        <f t="shared" si="105"/>
        <v>-6.4420218037661056E-2</v>
      </c>
      <c r="BZ941" s="6">
        <f t="shared" si="103"/>
        <v>-6.4420218037661056E-2</v>
      </c>
      <c r="CA941" s="7">
        <v>43443</v>
      </c>
      <c r="CE941">
        <v>258</v>
      </c>
      <c r="CF941">
        <v>281</v>
      </c>
      <c r="CG941">
        <v>230</v>
      </c>
      <c r="CH941">
        <v>175</v>
      </c>
      <c r="CI941">
        <f t="shared" si="101"/>
        <v>2018</v>
      </c>
      <c r="CJ941" t="str">
        <f t="shared" si="102"/>
        <v>6028_2018</v>
      </c>
    </row>
    <row r="942" spans="1:88" x14ac:dyDescent="0.25">
      <c r="A942" t="s">
        <v>111</v>
      </c>
      <c r="B942" t="s">
        <v>193</v>
      </c>
      <c r="C942">
        <v>6028</v>
      </c>
      <c r="D942">
        <v>-37.860799999999998</v>
      </c>
      <c r="E942">
        <v>145.06190000000001</v>
      </c>
      <c r="F942">
        <v>2</v>
      </c>
      <c r="G942" t="s">
        <v>363</v>
      </c>
      <c r="H942">
        <v>3</v>
      </c>
      <c r="I942">
        <v>183</v>
      </c>
      <c r="J942">
        <v>195</v>
      </c>
      <c r="K942">
        <v>15</v>
      </c>
      <c r="T942">
        <v>467</v>
      </c>
      <c r="Y942">
        <v>479</v>
      </c>
      <c r="AX942">
        <v>467</v>
      </c>
      <c r="AY942">
        <v>479</v>
      </c>
      <c r="AZ942">
        <v>946</v>
      </c>
      <c r="BA942">
        <v>479</v>
      </c>
      <c r="BB942">
        <v>467</v>
      </c>
      <c r="BC942">
        <v>946</v>
      </c>
      <c r="BP942">
        <v>461</v>
      </c>
      <c r="BR942">
        <v>238</v>
      </c>
      <c r="BS942">
        <v>146</v>
      </c>
      <c r="BT942">
        <v>100</v>
      </c>
      <c r="BV942">
        <v>1</v>
      </c>
      <c r="BW942">
        <v>946</v>
      </c>
      <c r="BX942">
        <f t="shared" si="107"/>
        <v>944</v>
      </c>
      <c r="BY942" s="5">
        <f t="shared" si="105"/>
        <v>2.1186440677966102E-3</v>
      </c>
      <c r="BZ942" s="6">
        <f t="shared" si="103"/>
        <v>2.1186440677966102E-3</v>
      </c>
      <c r="CA942" s="7">
        <v>43779</v>
      </c>
      <c r="CE942">
        <v>214</v>
      </c>
      <c r="CF942">
        <v>260</v>
      </c>
      <c r="CG942">
        <v>260</v>
      </c>
      <c r="CH942">
        <v>212</v>
      </c>
      <c r="CI942">
        <f t="shared" si="101"/>
        <v>2019</v>
      </c>
      <c r="CJ942" t="str">
        <f t="shared" si="102"/>
        <v>6028_2019</v>
      </c>
    </row>
    <row r="943" spans="1:88" x14ac:dyDescent="0.25">
      <c r="A943" t="s">
        <v>111</v>
      </c>
      <c r="B943" t="s">
        <v>193</v>
      </c>
      <c r="C943">
        <v>6028</v>
      </c>
      <c r="D943">
        <v>-37.860838000000001</v>
      </c>
      <c r="E943">
        <v>145.06187499999999</v>
      </c>
      <c r="F943">
        <v>2</v>
      </c>
      <c r="G943" t="s">
        <v>363</v>
      </c>
      <c r="H943">
        <v>3</v>
      </c>
      <c r="I943">
        <v>183</v>
      </c>
      <c r="J943">
        <v>195</v>
      </c>
      <c r="K943">
        <v>15</v>
      </c>
      <c r="T943">
        <v>377</v>
      </c>
      <c r="Y943">
        <v>318</v>
      </c>
      <c r="AX943">
        <v>377</v>
      </c>
      <c r="AY943">
        <v>318</v>
      </c>
      <c r="AZ943">
        <v>695</v>
      </c>
      <c r="BA943">
        <v>318</v>
      </c>
      <c r="BB943">
        <v>377</v>
      </c>
      <c r="BC943">
        <v>695</v>
      </c>
      <c r="BP943">
        <v>264</v>
      </c>
      <c r="BR943">
        <v>202</v>
      </c>
      <c r="BS943">
        <v>92</v>
      </c>
      <c r="BT943">
        <v>105</v>
      </c>
      <c r="BU943">
        <v>13</v>
      </c>
      <c r="BV943">
        <v>19</v>
      </c>
      <c r="BW943">
        <v>695</v>
      </c>
      <c r="BX943" t="str">
        <f t="shared" si="107"/>
        <v>no data</v>
      </c>
      <c r="BY943" s="5"/>
      <c r="BZ943" s="6"/>
      <c r="CA943" s="7">
        <v>44878</v>
      </c>
      <c r="CE943">
        <v>178</v>
      </c>
      <c r="CF943">
        <v>265</v>
      </c>
      <c r="CG943">
        <v>252</v>
      </c>
      <c r="CI943">
        <f t="shared" si="101"/>
        <v>2022</v>
      </c>
      <c r="CJ943" t="str">
        <f t="shared" si="102"/>
        <v>6028_2022</v>
      </c>
    </row>
    <row r="944" spans="1:88" x14ac:dyDescent="0.25">
      <c r="A944" t="s">
        <v>111</v>
      </c>
      <c r="B944" t="s">
        <v>152</v>
      </c>
      <c r="C944">
        <v>6029</v>
      </c>
      <c r="D944">
        <v>-37.685899999999997</v>
      </c>
      <c r="E944">
        <v>145.0676</v>
      </c>
      <c r="F944">
        <v>3</v>
      </c>
      <c r="G944" t="s">
        <v>364</v>
      </c>
      <c r="H944">
        <v>20</v>
      </c>
      <c r="I944">
        <v>200</v>
      </c>
      <c r="J944">
        <v>100</v>
      </c>
      <c r="K944">
        <v>280</v>
      </c>
      <c r="L944">
        <v>274</v>
      </c>
      <c r="M944">
        <v>94</v>
      </c>
      <c r="T944">
        <v>5</v>
      </c>
      <c r="U944">
        <v>3</v>
      </c>
      <c r="Y944">
        <v>1</v>
      </c>
      <c r="Z944">
        <v>49</v>
      </c>
      <c r="AD944">
        <v>14</v>
      </c>
      <c r="AE944">
        <v>50</v>
      </c>
      <c r="AX944">
        <v>8</v>
      </c>
      <c r="AY944">
        <v>15</v>
      </c>
      <c r="AZ944">
        <v>23</v>
      </c>
      <c r="BA944">
        <v>50</v>
      </c>
      <c r="BB944">
        <v>55</v>
      </c>
      <c r="BC944">
        <v>105</v>
      </c>
      <c r="BD944">
        <v>64</v>
      </c>
      <c r="BE944">
        <v>52</v>
      </c>
      <c r="BF944">
        <v>116</v>
      </c>
      <c r="BP944">
        <v>105</v>
      </c>
      <c r="BR944">
        <v>9</v>
      </c>
      <c r="BS944">
        <v>6</v>
      </c>
      <c r="BT944">
        <v>2</v>
      </c>
      <c r="BV944">
        <v>0</v>
      </c>
      <c r="BW944">
        <v>122</v>
      </c>
      <c r="BX944" t="s">
        <v>82</v>
      </c>
      <c r="BY944" s="5"/>
      <c r="BZ944" s="6"/>
      <c r="CA944" s="7">
        <v>41224</v>
      </c>
      <c r="CI944">
        <f t="shared" si="101"/>
        <v>2012</v>
      </c>
      <c r="CJ944" t="str">
        <f t="shared" si="102"/>
        <v>6029_2012</v>
      </c>
    </row>
    <row r="945" spans="1:88" x14ac:dyDescent="0.25">
      <c r="A945" t="s">
        <v>111</v>
      </c>
      <c r="B945" t="s">
        <v>152</v>
      </c>
      <c r="C945">
        <v>6030</v>
      </c>
      <c r="D945">
        <v>-37.688000000000002</v>
      </c>
      <c r="E945">
        <v>144.994</v>
      </c>
      <c r="F945">
        <v>3</v>
      </c>
      <c r="G945" t="s">
        <v>365</v>
      </c>
      <c r="H945">
        <v>82</v>
      </c>
      <c r="I945">
        <v>262</v>
      </c>
      <c r="J945">
        <v>227</v>
      </c>
      <c r="K945">
        <v>47</v>
      </c>
      <c r="L945">
        <v>259</v>
      </c>
      <c r="M945">
        <v>79</v>
      </c>
      <c r="T945">
        <v>13</v>
      </c>
      <c r="U945">
        <v>19</v>
      </c>
      <c r="Y945">
        <v>13</v>
      </c>
      <c r="Z945">
        <v>10</v>
      </c>
      <c r="AD945">
        <v>42</v>
      </c>
      <c r="AE945">
        <v>23</v>
      </c>
      <c r="AX945">
        <v>32</v>
      </c>
      <c r="AY945">
        <v>55</v>
      </c>
      <c r="AZ945">
        <v>87</v>
      </c>
      <c r="BA945">
        <v>23</v>
      </c>
      <c r="BB945">
        <v>36</v>
      </c>
      <c r="BC945">
        <v>59</v>
      </c>
      <c r="BD945">
        <v>65</v>
      </c>
      <c r="BE945">
        <v>29</v>
      </c>
      <c r="BF945">
        <v>94</v>
      </c>
      <c r="BP945">
        <v>109</v>
      </c>
      <c r="BR945">
        <v>7</v>
      </c>
      <c r="BS945">
        <v>0</v>
      </c>
      <c r="BT945">
        <v>4</v>
      </c>
      <c r="BV945">
        <v>0</v>
      </c>
      <c r="BW945">
        <v>120</v>
      </c>
      <c r="BX945" t="s">
        <v>82</v>
      </c>
      <c r="BY945" s="5"/>
      <c r="BZ945" s="6"/>
      <c r="CA945" s="7">
        <v>41224</v>
      </c>
      <c r="CI945">
        <f t="shared" si="101"/>
        <v>2012</v>
      </c>
      <c r="CJ945" t="str">
        <f t="shared" si="102"/>
        <v>6030_2012</v>
      </c>
    </row>
    <row r="946" spans="1:88" x14ac:dyDescent="0.25">
      <c r="A946" t="s">
        <v>111</v>
      </c>
      <c r="B946" t="s">
        <v>152</v>
      </c>
      <c r="C946">
        <v>6031</v>
      </c>
      <c r="D946">
        <v>-37.667999999999999</v>
      </c>
      <c r="E946">
        <v>144.982</v>
      </c>
      <c r="F946">
        <v>4</v>
      </c>
      <c r="G946" t="s">
        <v>366</v>
      </c>
      <c r="H946">
        <v>5</v>
      </c>
      <c r="I946">
        <v>185</v>
      </c>
      <c r="J946">
        <v>142</v>
      </c>
      <c r="K946">
        <v>322</v>
      </c>
      <c r="L946">
        <v>181</v>
      </c>
      <c r="M946">
        <v>1</v>
      </c>
      <c r="N946">
        <v>295</v>
      </c>
      <c r="O946">
        <v>115</v>
      </c>
      <c r="T946">
        <v>16</v>
      </c>
      <c r="U946">
        <v>44</v>
      </c>
      <c r="V946">
        <v>7</v>
      </c>
      <c r="Y946">
        <v>13</v>
      </c>
      <c r="Z946">
        <v>6</v>
      </c>
      <c r="AA946">
        <v>5</v>
      </c>
      <c r="AD946">
        <v>28</v>
      </c>
      <c r="AE946">
        <v>6</v>
      </c>
      <c r="AF946">
        <v>0</v>
      </c>
      <c r="AI946">
        <v>3</v>
      </c>
      <c r="AJ946">
        <v>3</v>
      </c>
      <c r="AK946">
        <v>3</v>
      </c>
      <c r="AX946">
        <v>67</v>
      </c>
      <c r="AY946">
        <v>44</v>
      </c>
      <c r="AZ946">
        <v>111</v>
      </c>
      <c r="BA946">
        <v>24</v>
      </c>
      <c r="BB946">
        <v>25</v>
      </c>
      <c r="BC946">
        <v>49</v>
      </c>
      <c r="BD946">
        <v>34</v>
      </c>
      <c r="BE946">
        <v>53</v>
      </c>
      <c r="BF946">
        <v>87</v>
      </c>
      <c r="BG946">
        <v>9</v>
      </c>
      <c r="BH946">
        <v>12</v>
      </c>
      <c r="BI946">
        <v>21</v>
      </c>
      <c r="BP946">
        <v>92</v>
      </c>
      <c r="BR946">
        <v>31</v>
      </c>
      <c r="BS946">
        <v>4</v>
      </c>
      <c r="BT946">
        <v>7</v>
      </c>
      <c r="BV946">
        <v>0</v>
      </c>
      <c r="BW946">
        <v>134</v>
      </c>
      <c r="BX946" t="s">
        <v>82</v>
      </c>
      <c r="BY946" s="5"/>
      <c r="BZ946" s="6"/>
      <c r="CA946" s="7">
        <v>41224</v>
      </c>
      <c r="CI946">
        <f t="shared" si="101"/>
        <v>2012</v>
      </c>
      <c r="CJ946" t="str">
        <f t="shared" si="102"/>
        <v>6031_2012</v>
      </c>
    </row>
    <row r="947" spans="1:88" x14ac:dyDescent="0.25">
      <c r="A947" t="s">
        <v>111</v>
      </c>
      <c r="B947" t="s">
        <v>152</v>
      </c>
      <c r="C947">
        <v>6031</v>
      </c>
      <c r="D947">
        <v>-37.667999999999999</v>
      </c>
      <c r="E947">
        <v>144.982</v>
      </c>
      <c r="F947">
        <v>4</v>
      </c>
      <c r="G947" t="s">
        <v>366</v>
      </c>
      <c r="H947">
        <v>5</v>
      </c>
      <c r="I947">
        <v>185</v>
      </c>
      <c r="J947">
        <v>142</v>
      </c>
      <c r="K947">
        <v>322</v>
      </c>
      <c r="L947">
        <v>181</v>
      </c>
      <c r="M947">
        <v>1</v>
      </c>
      <c r="N947">
        <v>295</v>
      </c>
      <c r="O947">
        <v>115</v>
      </c>
      <c r="T947">
        <v>11</v>
      </c>
      <c r="U947">
        <v>20</v>
      </c>
      <c r="V947">
        <v>1</v>
      </c>
      <c r="Y947">
        <v>13</v>
      </c>
      <c r="Z947">
        <v>2</v>
      </c>
      <c r="AA947">
        <v>2</v>
      </c>
      <c r="AD947">
        <v>18</v>
      </c>
      <c r="AE947">
        <v>1</v>
      </c>
      <c r="AF947">
        <v>0</v>
      </c>
      <c r="AI947">
        <v>0</v>
      </c>
      <c r="AJ947">
        <v>3</v>
      </c>
      <c r="AK947">
        <v>0</v>
      </c>
      <c r="AX947">
        <v>32</v>
      </c>
      <c r="AY947">
        <v>31</v>
      </c>
      <c r="AZ947">
        <v>63</v>
      </c>
      <c r="BA947">
        <v>17</v>
      </c>
      <c r="BB947">
        <v>15</v>
      </c>
      <c r="BC947">
        <v>32</v>
      </c>
      <c r="BD947">
        <v>19</v>
      </c>
      <c r="BE947">
        <v>22</v>
      </c>
      <c r="BF947">
        <v>41</v>
      </c>
      <c r="BG947">
        <v>3</v>
      </c>
      <c r="BH947">
        <v>3</v>
      </c>
      <c r="BI947">
        <v>6</v>
      </c>
      <c r="BP947">
        <v>39</v>
      </c>
      <c r="BR947">
        <v>16</v>
      </c>
      <c r="BS947">
        <v>5</v>
      </c>
      <c r="BT947">
        <v>11</v>
      </c>
      <c r="BV947">
        <v>0</v>
      </c>
      <c r="BW947">
        <v>71</v>
      </c>
      <c r="BX947">
        <f t="shared" ref="BX947:BX953" si="108">IF(C947=C946,IF((CI947-1)=CI946,BW946,"no data"))</f>
        <v>134</v>
      </c>
      <c r="BY947" s="5">
        <f t="shared" si="105"/>
        <v>-0.47014925373134331</v>
      </c>
      <c r="BZ947" s="6">
        <f t="shared" si="103"/>
        <v>-0.47014925373134331</v>
      </c>
      <c r="CA947" s="7">
        <v>41588</v>
      </c>
      <c r="CI947">
        <f t="shared" si="101"/>
        <v>2013</v>
      </c>
      <c r="CJ947" t="str">
        <f t="shared" si="102"/>
        <v>6031_2013</v>
      </c>
    </row>
    <row r="948" spans="1:88" x14ac:dyDescent="0.25">
      <c r="A948" t="s">
        <v>111</v>
      </c>
      <c r="B948" t="s">
        <v>152</v>
      </c>
      <c r="C948">
        <v>6031</v>
      </c>
      <c r="D948">
        <v>-37.667999999999999</v>
      </c>
      <c r="E948">
        <v>144.982</v>
      </c>
      <c r="F948">
        <v>4</v>
      </c>
      <c r="G948" t="s">
        <v>366</v>
      </c>
      <c r="H948">
        <v>5</v>
      </c>
      <c r="I948">
        <v>185</v>
      </c>
      <c r="J948">
        <v>142</v>
      </c>
      <c r="K948">
        <v>322</v>
      </c>
      <c r="L948">
        <v>181</v>
      </c>
      <c r="M948">
        <v>1</v>
      </c>
      <c r="N948">
        <v>295</v>
      </c>
      <c r="O948">
        <v>115</v>
      </c>
      <c r="T948">
        <v>25</v>
      </c>
      <c r="U948">
        <v>32</v>
      </c>
      <c r="V948">
        <v>2</v>
      </c>
      <c r="Y948">
        <v>14</v>
      </c>
      <c r="Z948">
        <v>2</v>
      </c>
      <c r="AA948">
        <v>0</v>
      </c>
      <c r="AD948">
        <v>23</v>
      </c>
      <c r="AE948">
        <v>9</v>
      </c>
      <c r="AF948">
        <v>3</v>
      </c>
      <c r="AI948">
        <v>3</v>
      </c>
      <c r="AJ948">
        <v>19</v>
      </c>
      <c r="AK948">
        <v>4</v>
      </c>
      <c r="AX948">
        <v>59</v>
      </c>
      <c r="AY948">
        <v>40</v>
      </c>
      <c r="AZ948">
        <v>99</v>
      </c>
      <c r="BA948">
        <v>16</v>
      </c>
      <c r="BB948">
        <v>53</v>
      </c>
      <c r="BC948">
        <v>69</v>
      </c>
      <c r="BD948">
        <v>35</v>
      </c>
      <c r="BE948">
        <v>38</v>
      </c>
      <c r="BF948">
        <v>73</v>
      </c>
      <c r="BG948">
        <v>26</v>
      </c>
      <c r="BH948">
        <v>5</v>
      </c>
      <c r="BI948">
        <v>31</v>
      </c>
      <c r="BP948">
        <v>84</v>
      </c>
      <c r="BR948">
        <v>34</v>
      </c>
      <c r="BS948">
        <v>8</v>
      </c>
      <c r="BT948">
        <v>8</v>
      </c>
      <c r="BV948">
        <v>2</v>
      </c>
      <c r="BW948">
        <v>136</v>
      </c>
      <c r="BX948">
        <f t="shared" si="108"/>
        <v>71</v>
      </c>
      <c r="BY948" s="5">
        <f t="shared" si="105"/>
        <v>0.91549295774647887</v>
      </c>
      <c r="BZ948" s="6">
        <f t="shared" si="103"/>
        <v>0.91549295774647887</v>
      </c>
      <c r="CA948" s="7">
        <v>41952</v>
      </c>
      <c r="CI948">
        <f t="shared" si="101"/>
        <v>2014</v>
      </c>
      <c r="CJ948" t="str">
        <f t="shared" si="102"/>
        <v>6031_2014</v>
      </c>
    </row>
    <row r="949" spans="1:88" x14ac:dyDescent="0.25">
      <c r="A949" t="s">
        <v>111</v>
      </c>
      <c r="B949" t="s">
        <v>152</v>
      </c>
      <c r="C949">
        <v>6031</v>
      </c>
      <c r="D949">
        <v>-37.667999999999999</v>
      </c>
      <c r="E949">
        <v>144.982</v>
      </c>
      <c r="F949">
        <v>4</v>
      </c>
      <c r="G949" t="s">
        <v>366</v>
      </c>
      <c r="H949">
        <v>5</v>
      </c>
      <c r="I949">
        <v>185</v>
      </c>
      <c r="J949">
        <v>142</v>
      </c>
      <c r="K949">
        <v>322</v>
      </c>
      <c r="L949">
        <v>181</v>
      </c>
      <c r="M949">
        <v>1</v>
      </c>
      <c r="N949">
        <v>295</v>
      </c>
      <c r="O949">
        <v>115</v>
      </c>
      <c r="T949">
        <v>12</v>
      </c>
      <c r="U949">
        <v>71</v>
      </c>
      <c r="V949">
        <v>5</v>
      </c>
      <c r="Y949">
        <v>26</v>
      </c>
      <c r="Z949">
        <v>9</v>
      </c>
      <c r="AA949">
        <v>10</v>
      </c>
      <c r="AD949">
        <v>51</v>
      </c>
      <c r="AE949">
        <v>10</v>
      </c>
      <c r="AF949">
        <v>9</v>
      </c>
      <c r="AI949">
        <v>10</v>
      </c>
      <c r="AJ949">
        <v>5</v>
      </c>
      <c r="AK949">
        <v>6</v>
      </c>
      <c r="AX949">
        <v>88</v>
      </c>
      <c r="AY949">
        <v>87</v>
      </c>
      <c r="AZ949">
        <v>175</v>
      </c>
      <c r="BA949">
        <v>45</v>
      </c>
      <c r="BB949">
        <v>27</v>
      </c>
      <c r="BC949">
        <v>72</v>
      </c>
      <c r="BD949">
        <v>70</v>
      </c>
      <c r="BE949">
        <v>86</v>
      </c>
      <c r="BF949">
        <v>156</v>
      </c>
      <c r="BG949">
        <v>21</v>
      </c>
      <c r="BH949">
        <v>24</v>
      </c>
      <c r="BI949">
        <v>45</v>
      </c>
      <c r="BP949">
        <v>175</v>
      </c>
      <c r="BR949">
        <v>26</v>
      </c>
      <c r="BS949">
        <v>13</v>
      </c>
      <c r="BT949">
        <v>10</v>
      </c>
      <c r="BV949">
        <v>0</v>
      </c>
      <c r="BW949">
        <v>224</v>
      </c>
      <c r="BX949">
        <f t="shared" si="108"/>
        <v>136</v>
      </c>
      <c r="BY949" s="5">
        <f t="shared" si="105"/>
        <v>0.6470588235294118</v>
      </c>
      <c r="BZ949" s="6">
        <f t="shared" si="103"/>
        <v>0.6470588235294118</v>
      </c>
      <c r="CA949" s="7">
        <v>42316</v>
      </c>
      <c r="CE949">
        <v>76</v>
      </c>
      <c r="CF949">
        <v>54</v>
      </c>
      <c r="CG949">
        <v>46</v>
      </c>
      <c r="CH949">
        <v>48</v>
      </c>
      <c r="CI949">
        <f t="shared" si="101"/>
        <v>2015</v>
      </c>
      <c r="CJ949" t="str">
        <f t="shared" si="102"/>
        <v>6031_2015</v>
      </c>
    </row>
    <row r="950" spans="1:88" x14ac:dyDescent="0.25">
      <c r="A950" t="s">
        <v>111</v>
      </c>
      <c r="B950" t="s">
        <v>152</v>
      </c>
      <c r="C950">
        <v>6031</v>
      </c>
      <c r="D950">
        <v>-37.668044000000002</v>
      </c>
      <c r="E950">
        <v>144.98199500000001</v>
      </c>
      <c r="F950">
        <v>4</v>
      </c>
      <c r="G950" t="s">
        <v>366</v>
      </c>
      <c r="H950">
        <v>5</v>
      </c>
      <c r="I950">
        <v>185</v>
      </c>
      <c r="J950">
        <v>142</v>
      </c>
      <c r="K950">
        <v>322</v>
      </c>
      <c r="L950">
        <v>181</v>
      </c>
      <c r="M950">
        <v>1</v>
      </c>
      <c r="N950">
        <v>295</v>
      </c>
      <c r="O950">
        <v>115</v>
      </c>
      <c r="T950">
        <v>9</v>
      </c>
      <c r="U950">
        <v>10</v>
      </c>
      <c r="V950">
        <v>3</v>
      </c>
      <c r="Y950">
        <v>5</v>
      </c>
      <c r="Z950">
        <v>1</v>
      </c>
      <c r="AA950">
        <v>0</v>
      </c>
      <c r="AD950">
        <v>3</v>
      </c>
      <c r="AE950">
        <v>2</v>
      </c>
      <c r="AF950">
        <v>1</v>
      </c>
      <c r="AI950">
        <v>3</v>
      </c>
      <c r="AJ950">
        <v>0</v>
      </c>
      <c r="AK950">
        <v>0</v>
      </c>
      <c r="AX950">
        <v>22</v>
      </c>
      <c r="AY950">
        <v>11</v>
      </c>
      <c r="AZ950">
        <v>33</v>
      </c>
      <c r="BA950">
        <v>6</v>
      </c>
      <c r="BB950">
        <v>11</v>
      </c>
      <c r="BC950">
        <v>17</v>
      </c>
      <c r="BD950">
        <v>6</v>
      </c>
      <c r="BE950">
        <v>11</v>
      </c>
      <c r="BF950">
        <v>17</v>
      </c>
      <c r="BG950">
        <v>3</v>
      </c>
      <c r="BH950">
        <v>4</v>
      </c>
      <c r="BI950">
        <v>7</v>
      </c>
      <c r="BP950">
        <v>12</v>
      </c>
      <c r="BR950">
        <v>17</v>
      </c>
      <c r="BS950">
        <v>2</v>
      </c>
      <c r="BT950">
        <v>6</v>
      </c>
      <c r="BV950">
        <v>0</v>
      </c>
      <c r="BW950">
        <v>37</v>
      </c>
      <c r="BX950">
        <f t="shared" si="108"/>
        <v>224</v>
      </c>
      <c r="BY950" s="5">
        <f t="shared" si="105"/>
        <v>-0.8348214285714286</v>
      </c>
      <c r="BZ950" s="6">
        <f t="shared" si="103"/>
        <v>-0.8348214285714286</v>
      </c>
      <c r="CA950" s="7">
        <v>42687</v>
      </c>
      <c r="CE950">
        <v>12</v>
      </c>
      <c r="CF950">
        <v>11</v>
      </c>
      <c r="CG950">
        <v>2</v>
      </c>
      <c r="CH950">
        <v>12</v>
      </c>
      <c r="CI950">
        <f t="shared" si="101"/>
        <v>2016</v>
      </c>
      <c r="CJ950" t="str">
        <f t="shared" si="102"/>
        <v>6031_2016</v>
      </c>
    </row>
    <row r="951" spans="1:88" x14ac:dyDescent="0.25">
      <c r="A951" t="s">
        <v>111</v>
      </c>
      <c r="B951" t="s">
        <v>152</v>
      </c>
      <c r="C951">
        <v>6031</v>
      </c>
      <c r="D951">
        <v>-37.668044000000002</v>
      </c>
      <c r="E951">
        <v>144.98199500000001</v>
      </c>
      <c r="F951">
        <v>4</v>
      </c>
      <c r="G951" t="s">
        <v>366</v>
      </c>
      <c r="H951">
        <v>5</v>
      </c>
      <c r="I951">
        <v>185</v>
      </c>
      <c r="J951">
        <v>142</v>
      </c>
      <c r="K951">
        <v>322</v>
      </c>
      <c r="L951">
        <v>181</v>
      </c>
      <c r="M951">
        <v>1</v>
      </c>
      <c r="N951">
        <v>295</v>
      </c>
      <c r="O951">
        <v>115</v>
      </c>
      <c r="T951">
        <v>19</v>
      </c>
      <c r="U951">
        <v>44</v>
      </c>
      <c r="V951">
        <v>7</v>
      </c>
      <c r="Y951">
        <v>12</v>
      </c>
      <c r="Z951">
        <v>8</v>
      </c>
      <c r="AA951">
        <v>3</v>
      </c>
      <c r="AD951">
        <v>30</v>
      </c>
      <c r="AE951">
        <v>6</v>
      </c>
      <c r="AF951">
        <v>0</v>
      </c>
      <c r="AI951">
        <v>3</v>
      </c>
      <c r="AJ951">
        <v>4</v>
      </c>
      <c r="AK951">
        <v>0</v>
      </c>
      <c r="AX951">
        <v>70</v>
      </c>
      <c r="AY951">
        <v>45</v>
      </c>
      <c r="AZ951">
        <v>115</v>
      </c>
      <c r="BA951">
        <v>23</v>
      </c>
      <c r="BB951">
        <v>29</v>
      </c>
      <c r="BC951">
        <v>52</v>
      </c>
      <c r="BD951">
        <v>36</v>
      </c>
      <c r="BE951">
        <v>52</v>
      </c>
      <c r="BF951">
        <v>88</v>
      </c>
      <c r="BG951">
        <v>7</v>
      </c>
      <c r="BH951">
        <v>10</v>
      </c>
      <c r="BI951">
        <v>17</v>
      </c>
      <c r="BP951">
        <v>89</v>
      </c>
      <c r="BR951">
        <v>32</v>
      </c>
      <c r="BS951">
        <v>3</v>
      </c>
      <c r="BT951">
        <v>12</v>
      </c>
      <c r="BV951">
        <v>0</v>
      </c>
      <c r="BW951">
        <v>136</v>
      </c>
      <c r="BX951">
        <f t="shared" si="108"/>
        <v>37</v>
      </c>
      <c r="BY951" s="5">
        <f t="shared" si="105"/>
        <v>2.6756756756756759</v>
      </c>
      <c r="BZ951" s="6">
        <f t="shared" si="103"/>
        <v>2.6756756756756759</v>
      </c>
      <c r="CA951" s="7">
        <v>43051</v>
      </c>
      <c r="CE951">
        <v>55</v>
      </c>
      <c r="CF951">
        <v>33</v>
      </c>
      <c r="CG951">
        <v>34</v>
      </c>
      <c r="CH951">
        <v>14</v>
      </c>
      <c r="CI951">
        <f t="shared" si="101"/>
        <v>2017</v>
      </c>
      <c r="CJ951" t="str">
        <f t="shared" si="102"/>
        <v>6031_2017</v>
      </c>
    </row>
    <row r="952" spans="1:88" x14ac:dyDescent="0.25">
      <c r="A952" t="s">
        <v>111</v>
      </c>
      <c r="B952" t="s">
        <v>152</v>
      </c>
      <c r="C952">
        <v>6031</v>
      </c>
      <c r="D952">
        <v>-37.668044000000002</v>
      </c>
      <c r="E952">
        <v>144.98199500000001</v>
      </c>
      <c r="F952">
        <v>4</v>
      </c>
      <c r="G952" t="s">
        <v>366</v>
      </c>
      <c r="H952">
        <v>5</v>
      </c>
      <c r="I952">
        <v>185</v>
      </c>
      <c r="J952">
        <v>142</v>
      </c>
      <c r="K952">
        <v>322</v>
      </c>
      <c r="L952">
        <v>181</v>
      </c>
      <c r="M952">
        <v>1</v>
      </c>
      <c r="N952">
        <v>295</v>
      </c>
      <c r="O952">
        <v>115</v>
      </c>
      <c r="T952">
        <v>9</v>
      </c>
      <c r="U952">
        <v>32</v>
      </c>
      <c r="V952">
        <v>2</v>
      </c>
      <c r="Y952">
        <v>7</v>
      </c>
      <c r="Z952">
        <v>9</v>
      </c>
      <c r="AA952">
        <v>3</v>
      </c>
      <c r="AD952">
        <v>36</v>
      </c>
      <c r="AE952">
        <v>11</v>
      </c>
      <c r="AF952">
        <v>1</v>
      </c>
      <c r="AI952">
        <v>3</v>
      </c>
      <c r="AJ952">
        <v>1</v>
      </c>
      <c r="AK952">
        <v>4</v>
      </c>
      <c r="AX952">
        <v>43</v>
      </c>
      <c r="AY952">
        <v>46</v>
      </c>
      <c r="AZ952">
        <v>89</v>
      </c>
      <c r="BA952">
        <v>19</v>
      </c>
      <c r="BB952">
        <v>21</v>
      </c>
      <c r="BC952">
        <v>40</v>
      </c>
      <c r="BD952">
        <v>48</v>
      </c>
      <c r="BE952">
        <v>45</v>
      </c>
      <c r="BF952">
        <v>93</v>
      </c>
      <c r="BG952">
        <v>8</v>
      </c>
      <c r="BH952">
        <v>6</v>
      </c>
      <c r="BI952">
        <v>14</v>
      </c>
      <c r="BP952">
        <v>63</v>
      </c>
      <c r="BR952">
        <v>36</v>
      </c>
      <c r="BS952">
        <v>1</v>
      </c>
      <c r="BT952">
        <v>9</v>
      </c>
      <c r="BV952">
        <v>9</v>
      </c>
      <c r="BW952">
        <v>118</v>
      </c>
      <c r="BX952">
        <f t="shared" si="108"/>
        <v>136</v>
      </c>
      <c r="BY952" s="5">
        <f t="shared" si="105"/>
        <v>-0.13235294117647059</v>
      </c>
      <c r="BZ952" s="6">
        <f t="shared" si="103"/>
        <v>-0.13235294117647059</v>
      </c>
      <c r="CA952" s="7">
        <v>43443</v>
      </c>
      <c r="CE952">
        <v>35</v>
      </c>
      <c r="CF952">
        <v>32</v>
      </c>
      <c r="CG952">
        <v>25</v>
      </c>
      <c r="CH952">
        <v>26</v>
      </c>
      <c r="CI952">
        <f t="shared" si="101"/>
        <v>2018</v>
      </c>
      <c r="CJ952" t="str">
        <f t="shared" si="102"/>
        <v>6031_2018</v>
      </c>
    </row>
    <row r="953" spans="1:88" x14ac:dyDescent="0.25">
      <c r="A953" t="s">
        <v>111</v>
      </c>
      <c r="B953" t="s">
        <v>152</v>
      </c>
      <c r="C953">
        <v>6031</v>
      </c>
      <c r="D953">
        <v>-37.667999999999999</v>
      </c>
      <c r="E953">
        <v>144.982</v>
      </c>
      <c r="F953">
        <v>4</v>
      </c>
      <c r="G953" t="s">
        <v>366</v>
      </c>
      <c r="H953">
        <v>5</v>
      </c>
      <c r="I953">
        <v>185</v>
      </c>
      <c r="J953">
        <v>142</v>
      </c>
      <c r="K953">
        <v>322</v>
      </c>
      <c r="L953">
        <v>181</v>
      </c>
      <c r="M953">
        <v>1</v>
      </c>
      <c r="N953">
        <v>295</v>
      </c>
      <c r="O953">
        <v>115</v>
      </c>
      <c r="T953">
        <v>10</v>
      </c>
      <c r="U953">
        <v>41</v>
      </c>
      <c r="V953">
        <v>13</v>
      </c>
      <c r="Y953">
        <v>5</v>
      </c>
      <c r="Z953">
        <v>10</v>
      </c>
      <c r="AA953">
        <v>5</v>
      </c>
      <c r="AD953">
        <v>36</v>
      </c>
      <c r="AE953">
        <v>8</v>
      </c>
      <c r="AF953">
        <v>10</v>
      </c>
      <c r="AI953">
        <v>4</v>
      </c>
      <c r="AJ953">
        <v>7</v>
      </c>
      <c r="AK953">
        <v>3</v>
      </c>
      <c r="AX953">
        <v>64</v>
      </c>
      <c r="AY953">
        <v>45</v>
      </c>
      <c r="AZ953">
        <v>109</v>
      </c>
      <c r="BA953">
        <v>20</v>
      </c>
      <c r="BB953">
        <v>25</v>
      </c>
      <c r="BC953">
        <v>45</v>
      </c>
      <c r="BD953">
        <v>54</v>
      </c>
      <c r="BE953">
        <v>54</v>
      </c>
      <c r="BF953">
        <v>108</v>
      </c>
      <c r="BG953">
        <v>14</v>
      </c>
      <c r="BH953">
        <v>28</v>
      </c>
      <c r="BI953">
        <v>42</v>
      </c>
      <c r="BP953">
        <v>96</v>
      </c>
      <c r="BR953">
        <v>34</v>
      </c>
      <c r="BS953">
        <v>3</v>
      </c>
      <c r="BT953">
        <v>19</v>
      </c>
      <c r="BV953">
        <v>0</v>
      </c>
      <c r="BW953">
        <v>152</v>
      </c>
      <c r="BX953">
        <f t="shared" si="108"/>
        <v>118</v>
      </c>
      <c r="BY953" s="5">
        <f t="shared" si="105"/>
        <v>0.28813559322033899</v>
      </c>
      <c r="BZ953" s="6">
        <f t="shared" si="103"/>
        <v>0.28813559322033899</v>
      </c>
      <c r="CA953" s="7">
        <v>43779</v>
      </c>
      <c r="CE953">
        <v>46</v>
      </c>
      <c r="CF953">
        <v>24</v>
      </c>
      <c r="CG953">
        <v>39</v>
      </c>
      <c r="CH953">
        <v>43</v>
      </c>
      <c r="CI953">
        <f t="shared" si="101"/>
        <v>2019</v>
      </c>
      <c r="CJ953" t="str">
        <f t="shared" si="102"/>
        <v>6031_2019</v>
      </c>
    </row>
    <row r="954" spans="1:88" x14ac:dyDescent="0.25">
      <c r="A954" t="s">
        <v>111</v>
      </c>
      <c r="B954" t="s">
        <v>152</v>
      </c>
      <c r="C954">
        <v>6032</v>
      </c>
      <c r="D954">
        <v>-37.686399999999999</v>
      </c>
      <c r="E954">
        <v>145.05170000000001</v>
      </c>
      <c r="F954">
        <v>3</v>
      </c>
      <c r="G954" t="s">
        <v>367</v>
      </c>
      <c r="H954">
        <v>74</v>
      </c>
      <c r="I954">
        <v>254</v>
      </c>
      <c r="J954">
        <v>220</v>
      </c>
      <c r="K954">
        <v>40</v>
      </c>
      <c r="L954">
        <v>268</v>
      </c>
      <c r="M954">
        <v>88</v>
      </c>
      <c r="T954">
        <v>26</v>
      </c>
      <c r="U954">
        <v>59</v>
      </c>
      <c r="Y954">
        <v>19</v>
      </c>
      <c r="Z954">
        <v>9</v>
      </c>
      <c r="AD954">
        <v>49</v>
      </c>
      <c r="AE954">
        <v>14</v>
      </c>
      <c r="AX954">
        <v>85</v>
      </c>
      <c r="AY954">
        <v>68</v>
      </c>
      <c r="AZ954">
        <v>153</v>
      </c>
      <c r="BA954">
        <v>28</v>
      </c>
      <c r="BB954">
        <v>40</v>
      </c>
      <c r="BC954">
        <v>68</v>
      </c>
      <c r="BD954">
        <v>63</v>
      </c>
      <c r="BE954">
        <v>68</v>
      </c>
      <c r="BF954">
        <v>131</v>
      </c>
      <c r="BP954">
        <v>121</v>
      </c>
      <c r="BR954">
        <v>34</v>
      </c>
      <c r="BS954">
        <v>12</v>
      </c>
      <c r="BT954">
        <v>8</v>
      </c>
      <c r="BV954">
        <v>1</v>
      </c>
      <c r="BW954">
        <v>176</v>
      </c>
      <c r="BX954" t="s">
        <v>82</v>
      </c>
      <c r="BY954" s="5"/>
      <c r="BZ954" s="6"/>
      <c r="CA954" s="7">
        <v>41224</v>
      </c>
      <c r="CI954">
        <f t="shared" si="101"/>
        <v>2012</v>
      </c>
      <c r="CJ954" t="str">
        <f t="shared" si="102"/>
        <v>6032_2012</v>
      </c>
    </row>
    <row r="955" spans="1:88" x14ac:dyDescent="0.25">
      <c r="A955" t="s">
        <v>111</v>
      </c>
      <c r="B955" t="s">
        <v>152</v>
      </c>
      <c r="C955">
        <v>6033</v>
      </c>
      <c r="D955">
        <v>-37.676099999999998</v>
      </c>
      <c r="E955">
        <v>145.0076</v>
      </c>
      <c r="F955">
        <v>4</v>
      </c>
      <c r="G955" t="s">
        <v>368</v>
      </c>
      <c r="H955">
        <v>41</v>
      </c>
      <c r="I955">
        <v>221</v>
      </c>
      <c r="J955">
        <v>175</v>
      </c>
      <c r="K955">
        <v>355</v>
      </c>
      <c r="L955">
        <v>208</v>
      </c>
      <c r="M955">
        <v>28</v>
      </c>
      <c r="N955">
        <v>351</v>
      </c>
      <c r="O955">
        <v>171</v>
      </c>
      <c r="T955">
        <v>1</v>
      </c>
      <c r="U955">
        <v>8</v>
      </c>
      <c r="V955">
        <v>2</v>
      </c>
      <c r="Y955">
        <v>0</v>
      </c>
      <c r="Z955">
        <v>4</v>
      </c>
      <c r="AA955">
        <v>15</v>
      </c>
      <c r="AD955">
        <v>11</v>
      </c>
      <c r="AE955">
        <v>0</v>
      </c>
      <c r="AF955">
        <v>13</v>
      </c>
      <c r="AI955">
        <v>1</v>
      </c>
      <c r="AJ955">
        <v>8</v>
      </c>
      <c r="AK955">
        <v>29</v>
      </c>
      <c r="AX955">
        <v>11</v>
      </c>
      <c r="AY955">
        <v>12</v>
      </c>
      <c r="AZ955">
        <v>23</v>
      </c>
      <c r="BA955">
        <v>19</v>
      </c>
      <c r="BB955">
        <v>9</v>
      </c>
      <c r="BC955">
        <v>28</v>
      </c>
      <c r="BD955">
        <v>24</v>
      </c>
      <c r="BE955">
        <v>41</v>
      </c>
      <c r="BF955">
        <v>65</v>
      </c>
      <c r="BG955">
        <v>38</v>
      </c>
      <c r="BH955">
        <v>30</v>
      </c>
      <c r="BI955">
        <v>68</v>
      </c>
      <c r="BP955">
        <v>10</v>
      </c>
      <c r="BR955">
        <v>61</v>
      </c>
      <c r="BS955">
        <v>3</v>
      </c>
      <c r="BT955">
        <v>12</v>
      </c>
      <c r="BV955">
        <v>6</v>
      </c>
      <c r="BW955">
        <v>92</v>
      </c>
      <c r="BX955" t="s">
        <v>82</v>
      </c>
      <c r="BY955" s="5"/>
      <c r="BZ955" s="6"/>
      <c r="CA955" s="7">
        <v>41224</v>
      </c>
      <c r="CI955">
        <f t="shared" si="101"/>
        <v>2012</v>
      </c>
      <c r="CJ955" t="str">
        <f t="shared" si="102"/>
        <v>6033_2012</v>
      </c>
    </row>
    <row r="956" spans="1:88" x14ac:dyDescent="0.25">
      <c r="A956" t="s">
        <v>111</v>
      </c>
      <c r="B956" t="s">
        <v>152</v>
      </c>
      <c r="C956">
        <v>6033</v>
      </c>
      <c r="D956">
        <v>-37.676099999999998</v>
      </c>
      <c r="E956">
        <v>145.0076</v>
      </c>
      <c r="F956">
        <v>4</v>
      </c>
      <c r="G956" t="s">
        <v>368</v>
      </c>
      <c r="H956">
        <v>41</v>
      </c>
      <c r="I956">
        <v>221</v>
      </c>
      <c r="J956">
        <v>175</v>
      </c>
      <c r="K956">
        <v>355</v>
      </c>
      <c r="L956">
        <v>208</v>
      </c>
      <c r="M956">
        <v>28</v>
      </c>
      <c r="N956">
        <v>351</v>
      </c>
      <c r="O956">
        <v>171</v>
      </c>
      <c r="T956">
        <v>0</v>
      </c>
      <c r="U956">
        <v>6</v>
      </c>
      <c r="V956">
        <v>1</v>
      </c>
      <c r="Y956">
        <v>0</v>
      </c>
      <c r="Z956">
        <v>2</v>
      </c>
      <c r="AA956">
        <v>8</v>
      </c>
      <c r="AD956">
        <v>12</v>
      </c>
      <c r="AE956">
        <v>0</v>
      </c>
      <c r="AF956">
        <v>19</v>
      </c>
      <c r="AI956">
        <v>5</v>
      </c>
      <c r="AJ956">
        <v>8</v>
      </c>
      <c r="AK956">
        <v>41</v>
      </c>
      <c r="AX956">
        <v>7</v>
      </c>
      <c r="AY956">
        <v>17</v>
      </c>
      <c r="AZ956">
        <v>24</v>
      </c>
      <c r="BA956">
        <v>10</v>
      </c>
      <c r="BB956">
        <v>8</v>
      </c>
      <c r="BC956">
        <v>18</v>
      </c>
      <c r="BD956">
        <v>31</v>
      </c>
      <c r="BE956">
        <v>49</v>
      </c>
      <c r="BF956">
        <v>80</v>
      </c>
      <c r="BG956">
        <v>54</v>
      </c>
      <c r="BH956">
        <v>28</v>
      </c>
      <c r="BI956">
        <v>82</v>
      </c>
      <c r="BP956">
        <v>2</v>
      </c>
      <c r="BR956">
        <v>74</v>
      </c>
      <c r="BS956">
        <v>0</v>
      </c>
      <c r="BT956">
        <v>23</v>
      </c>
      <c r="BV956">
        <v>3</v>
      </c>
      <c r="BW956">
        <v>102</v>
      </c>
      <c r="BX956">
        <f t="shared" ref="BX956:BX962" si="109">IF(C956=C955,IF((CI956-1)=CI955,BW955,"no data"))</f>
        <v>92</v>
      </c>
      <c r="BY956" s="5">
        <f t="shared" si="105"/>
        <v>0.10869565217391304</v>
      </c>
      <c r="BZ956" s="6">
        <f t="shared" si="103"/>
        <v>0.10869565217391304</v>
      </c>
      <c r="CA956" s="7">
        <v>41588</v>
      </c>
      <c r="CI956">
        <f t="shared" si="101"/>
        <v>2013</v>
      </c>
      <c r="CJ956" t="str">
        <f t="shared" si="102"/>
        <v>6033_2013</v>
      </c>
    </row>
    <row r="957" spans="1:88" x14ac:dyDescent="0.25">
      <c r="A957" t="s">
        <v>111</v>
      </c>
      <c r="B957" t="s">
        <v>152</v>
      </c>
      <c r="C957">
        <v>6033</v>
      </c>
      <c r="D957">
        <v>-37.676099999999998</v>
      </c>
      <c r="E957">
        <v>145.0076</v>
      </c>
      <c r="F957">
        <v>4</v>
      </c>
      <c r="G957" t="s">
        <v>368</v>
      </c>
      <c r="H957">
        <v>41</v>
      </c>
      <c r="I957">
        <v>221</v>
      </c>
      <c r="J957">
        <v>175</v>
      </c>
      <c r="K957">
        <v>355</v>
      </c>
      <c r="L957">
        <v>208</v>
      </c>
      <c r="M957">
        <v>28</v>
      </c>
      <c r="N957">
        <v>351</v>
      </c>
      <c r="O957">
        <v>171</v>
      </c>
      <c r="T957">
        <v>5</v>
      </c>
      <c r="U957">
        <v>6</v>
      </c>
      <c r="V957">
        <v>4</v>
      </c>
      <c r="Y957">
        <v>1</v>
      </c>
      <c r="Z957">
        <v>2</v>
      </c>
      <c r="AA957">
        <v>5</v>
      </c>
      <c r="AD957">
        <v>6</v>
      </c>
      <c r="AE957">
        <v>2</v>
      </c>
      <c r="AF957">
        <v>16</v>
      </c>
      <c r="AI957">
        <v>3</v>
      </c>
      <c r="AJ957">
        <v>21</v>
      </c>
      <c r="AK957">
        <v>21</v>
      </c>
      <c r="AX957">
        <v>15</v>
      </c>
      <c r="AY957">
        <v>10</v>
      </c>
      <c r="AZ957">
        <v>25</v>
      </c>
      <c r="BA957">
        <v>8</v>
      </c>
      <c r="BB957">
        <v>28</v>
      </c>
      <c r="BC957">
        <v>36</v>
      </c>
      <c r="BD957">
        <v>24</v>
      </c>
      <c r="BE957">
        <v>29</v>
      </c>
      <c r="BF957">
        <v>53</v>
      </c>
      <c r="BG957">
        <v>45</v>
      </c>
      <c r="BH957">
        <v>25</v>
      </c>
      <c r="BI957">
        <v>70</v>
      </c>
      <c r="BP957">
        <v>17</v>
      </c>
      <c r="BR957">
        <v>56</v>
      </c>
      <c r="BS957">
        <v>2</v>
      </c>
      <c r="BT957">
        <v>17</v>
      </c>
      <c r="BV957">
        <v>0</v>
      </c>
      <c r="BW957">
        <v>92</v>
      </c>
      <c r="BX957">
        <f t="shared" si="109"/>
        <v>102</v>
      </c>
      <c r="BY957" s="5">
        <f t="shared" si="105"/>
        <v>-9.8039215686274508E-2</v>
      </c>
      <c r="BZ957" s="6">
        <f t="shared" si="103"/>
        <v>-9.8039215686274508E-2</v>
      </c>
      <c r="CA957" s="7">
        <v>41952</v>
      </c>
      <c r="CI957">
        <f t="shared" si="101"/>
        <v>2014</v>
      </c>
      <c r="CJ957" t="str">
        <f t="shared" si="102"/>
        <v>6033_2014</v>
      </c>
    </row>
    <row r="958" spans="1:88" x14ac:dyDescent="0.25">
      <c r="A958" t="s">
        <v>111</v>
      </c>
      <c r="B958" t="s">
        <v>152</v>
      </c>
      <c r="C958">
        <v>6033</v>
      </c>
      <c r="D958">
        <v>-37.676099999999998</v>
      </c>
      <c r="E958">
        <v>145.0076</v>
      </c>
      <c r="F958">
        <v>4</v>
      </c>
      <c r="G958" t="s">
        <v>368</v>
      </c>
      <c r="H958">
        <v>41</v>
      </c>
      <c r="I958">
        <v>221</v>
      </c>
      <c r="J958">
        <v>175</v>
      </c>
      <c r="K958">
        <v>355</v>
      </c>
      <c r="L958">
        <v>208</v>
      </c>
      <c r="M958">
        <v>28</v>
      </c>
      <c r="N958">
        <v>351</v>
      </c>
      <c r="O958">
        <v>171</v>
      </c>
      <c r="T958">
        <v>3</v>
      </c>
      <c r="U958">
        <v>8</v>
      </c>
      <c r="V958">
        <v>0</v>
      </c>
      <c r="Y958">
        <v>0</v>
      </c>
      <c r="Z958">
        <v>0</v>
      </c>
      <c r="AA958">
        <v>13</v>
      </c>
      <c r="AD958">
        <v>12</v>
      </c>
      <c r="AE958">
        <v>2</v>
      </c>
      <c r="AF958">
        <v>23</v>
      </c>
      <c r="AI958">
        <v>0</v>
      </c>
      <c r="AJ958">
        <v>18</v>
      </c>
      <c r="AK958">
        <v>23</v>
      </c>
      <c r="AX958">
        <v>11</v>
      </c>
      <c r="AY958">
        <v>12</v>
      </c>
      <c r="AZ958">
        <v>23</v>
      </c>
      <c r="BA958">
        <v>13</v>
      </c>
      <c r="BB958">
        <v>23</v>
      </c>
      <c r="BC958">
        <v>36</v>
      </c>
      <c r="BD958">
        <v>37</v>
      </c>
      <c r="BE958">
        <v>31</v>
      </c>
      <c r="BF958">
        <v>68</v>
      </c>
      <c r="BG958">
        <v>41</v>
      </c>
      <c r="BH958">
        <v>36</v>
      </c>
      <c r="BI958">
        <v>77</v>
      </c>
      <c r="BP958">
        <v>11</v>
      </c>
      <c r="BR958">
        <v>64</v>
      </c>
      <c r="BS958">
        <v>0</v>
      </c>
      <c r="BT958">
        <v>23</v>
      </c>
      <c r="BV958">
        <v>4</v>
      </c>
      <c r="BW958">
        <v>102</v>
      </c>
      <c r="BX958">
        <f t="shared" si="109"/>
        <v>92</v>
      </c>
      <c r="BY958" s="5">
        <f t="shared" si="105"/>
        <v>0.10869565217391304</v>
      </c>
      <c r="BZ958" s="6">
        <f t="shared" si="103"/>
        <v>0.10869565217391304</v>
      </c>
      <c r="CA958" s="7">
        <v>42316</v>
      </c>
      <c r="CE958">
        <v>19</v>
      </c>
      <c r="CF958">
        <v>25</v>
      </c>
      <c r="CG958">
        <v>36</v>
      </c>
      <c r="CH958">
        <v>22</v>
      </c>
      <c r="CI958">
        <f t="shared" si="101"/>
        <v>2015</v>
      </c>
      <c r="CJ958" t="str">
        <f t="shared" si="102"/>
        <v>6033_2015</v>
      </c>
    </row>
    <row r="959" spans="1:88" x14ac:dyDescent="0.25">
      <c r="A959" t="s">
        <v>111</v>
      </c>
      <c r="B959" t="s">
        <v>152</v>
      </c>
      <c r="C959">
        <v>6033</v>
      </c>
      <c r="D959">
        <v>-37.676079999999999</v>
      </c>
      <c r="E959">
        <v>145.00762499999999</v>
      </c>
      <c r="F959">
        <v>4</v>
      </c>
      <c r="G959" t="s">
        <v>368</v>
      </c>
      <c r="H959">
        <v>41</v>
      </c>
      <c r="I959">
        <v>221</v>
      </c>
      <c r="J959">
        <v>175</v>
      </c>
      <c r="K959">
        <v>355</v>
      </c>
      <c r="L959">
        <v>208</v>
      </c>
      <c r="M959">
        <v>28</v>
      </c>
      <c r="N959">
        <v>351</v>
      </c>
      <c r="O959">
        <v>171</v>
      </c>
      <c r="T959">
        <v>2</v>
      </c>
      <c r="U959">
        <v>10</v>
      </c>
      <c r="V959">
        <v>1</v>
      </c>
      <c r="Y959">
        <v>4</v>
      </c>
      <c r="Z959">
        <v>4</v>
      </c>
      <c r="AA959">
        <v>8</v>
      </c>
      <c r="AD959">
        <v>8</v>
      </c>
      <c r="AE959">
        <v>5</v>
      </c>
      <c r="AF959">
        <v>5</v>
      </c>
      <c r="AI959">
        <v>5</v>
      </c>
      <c r="AJ959">
        <v>3</v>
      </c>
      <c r="AK959">
        <v>1</v>
      </c>
      <c r="AX959">
        <v>13</v>
      </c>
      <c r="AY959">
        <v>17</v>
      </c>
      <c r="AZ959">
        <v>30</v>
      </c>
      <c r="BA959">
        <v>16</v>
      </c>
      <c r="BB959">
        <v>10</v>
      </c>
      <c r="BC959">
        <v>26</v>
      </c>
      <c r="BD959">
        <v>18</v>
      </c>
      <c r="BE959">
        <v>15</v>
      </c>
      <c r="BF959">
        <v>33</v>
      </c>
      <c r="BG959">
        <v>9</v>
      </c>
      <c r="BH959">
        <v>14</v>
      </c>
      <c r="BI959">
        <v>23</v>
      </c>
      <c r="BP959">
        <v>9</v>
      </c>
      <c r="BR959">
        <v>31</v>
      </c>
      <c r="BS959">
        <v>1</v>
      </c>
      <c r="BT959">
        <v>13</v>
      </c>
      <c r="BV959">
        <v>2</v>
      </c>
      <c r="BW959">
        <v>56</v>
      </c>
      <c r="BX959">
        <f t="shared" si="109"/>
        <v>102</v>
      </c>
      <c r="BY959" s="5">
        <f t="shared" si="105"/>
        <v>-0.45098039215686275</v>
      </c>
      <c r="BZ959" s="6">
        <f t="shared" si="103"/>
        <v>-0.45098039215686275</v>
      </c>
      <c r="CA959" s="7">
        <v>42687</v>
      </c>
      <c r="CE959">
        <v>18</v>
      </c>
      <c r="CF959">
        <v>13</v>
      </c>
      <c r="CG959">
        <v>6</v>
      </c>
      <c r="CH959">
        <v>19</v>
      </c>
      <c r="CI959">
        <f t="shared" si="101"/>
        <v>2016</v>
      </c>
      <c r="CJ959" t="str">
        <f t="shared" si="102"/>
        <v>6033_2016</v>
      </c>
    </row>
    <row r="960" spans="1:88" x14ac:dyDescent="0.25">
      <c r="A960" t="s">
        <v>111</v>
      </c>
      <c r="B960" t="s">
        <v>152</v>
      </c>
      <c r="C960">
        <v>6033</v>
      </c>
      <c r="D960">
        <v>-37.676079999999999</v>
      </c>
      <c r="E960">
        <v>145.00762499999999</v>
      </c>
      <c r="F960">
        <v>4</v>
      </c>
      <c r="G960" t="s">
        <v>368</v>
      </c>
      <c r="H960">
        <v>41</v>
      </c>
      <c r="I960">
        <v>221</v>
      </c>
      <c r="J960">
        <v>175</v>
      </c>
      <c r="K960">
        <v>355</v>
      </c>
      <c r="L960">
        <v>208</v>
      </c>
      <c r="M960">
        <v>28</v>
      </c>
      <c r="N960">
        <v>351</v>
      </c>
      <c r="O960">
        <v>171</v>
      </c>
      <c r="T960">
        <v>5</v>
      </c>
      <c r="U960">
        <v>18</v>
      </c>
      <c r="V960">
        <v>0</v>
      </c>
      <c r="Y960">
        <v>7</v>
      </c>
      <c r="Z960">
        <v>4</v>
      </c>
      <c r="AA960">
        <v>3</v>
      </c>
      <c r="AD960">
        <v>11</v>
      </c>
      <c r="AE960">
        <v>3</v>
      </c>
      <c r="AF960">
        <v>22</v>
      </c>
      <c r="AI960">
        <v>3</v>
      </c>
      <c r="AJ960">
        <v>6</v>
      </c>
      <c r="AK960">
        <v>14</v>
      </c>
      <c r="AX960">
        <v>23</v>
      </c>
      <c r="AY960">
        <v>21</v>
      </c>
      <c r="AZ960">
        <v>44</v>
      </c>
      <c r="BA960">
        <v>14</v>
      </c>
      <c r="BB960">
        <v>14</v>
      </c>
      <c r="BC960">
        <v>28</v>
      </c>
      <c r="BD960">
        <v>36</v>
      </c>
      <c r="BE960">
        <v>36</v>
      </c>
      <c r="BF960">
        <v>72</v>
      </c>
      <c r="BG960">
        <v>23</v>
      </c>
      <c r="BH960">
        <v>25</v>
      </c>
      <c r="BI960">
        <v>48</v>
      </c>
      <c r="BP960">
        <v>5</v>
      </c>
      <c r="BR960">
        <v>55</v>
      </c>
      <c r="BS960">
        <v>5</v>
      </c>
      <c r="BT960">
        <v>26</v>
      </c>
      <c r="BV960">
        <v>5</v>
      </c>
      <c r="BW960">
        <v>96</v>
      </c>
      <c r="BX960">
        <f t="shared" si="109"/>
        <v>56</v>
      </c>
      <c r="BY960" s="5">
        <f t="shared" si="105"/>
        <v>0.7142857142857143</v>
      </c>
      <c r="BZ960" s="6">
        <f t="shared" si="103"/>
        <v>0.7142857142857143</v>
      </c>
      <c r="CA960" s="7">
        <v>43051</v>
      </c>
      <c r="CE960">
        <v>36</v>
      </c>
      <c r="CF960">
        <v>35</v>
      </c>
      <c r="CG960">
        <v>14</v>
      </c>
      <c r="CH960">
        <v>11</v>
      </c>
      <c r="CI960">
        <f t="shared" si="101"/>
        <v>2017</v>
      </c>
      <c r="CJ960" t="str">
        <f t="shared" si="102"/>
        <v>6033_2017</v>
      </c>
    </row>
    <row r="961" spans="1:88" x14ac:dyDescent="0.25">
      <c r="A961" t="s">
        <v>111</v>
      </c>
      <c r="B961" t="s">
        <v>152</v>
      </c>
      <c r="C961">
        <v>6033</v>
      </c>
      <c r="D961">
        <v>-37.676079999999999</v>
      </c>
      <c r="E961">
        <v>145.00762499999999</v>
      </c>
      <c r="F961">
        <v>4</v>
      </c>
      <c r="G961" t="s">
        <v>368</v>
      </c>
      <c r="H961">
        <v>41</v>
      </c>
      <c r="I961">
        <v>221</v>
      </c>
      <c r="J961">
        <v>175</v>
      </c>
      <c r="K961">
        <v>355</v>
      </c>
      <c r="L961">
        <v>208</v>
      </c>
      <c r="M961">
        <v>28</v>
      </c>
      <c r="N961">
        <v>351</v>
      </c>
      <c r="O961">
        <v>171</v>
      </c>
      <c r="T961">
        <v>8</v>
      </c>
      <c r="U961">
        <v>13</v>
      </c>
      <c r="V961">
        <v>3</v>
      </c>
      <c r="Y961">
        <v>0</v>
      </c>
      <c r="Z961">
        <v>11</v>
      </c>
      <c r="AA961">
        <v>7</v>
      </c>
      <c r="AD961">
        <v>17</v>
      </c>
      <c r="AE961">
        <v>6</v>
      </c>
      <c r="AF961">
        <v>34</v>
      </c>
      <c r="AI961">
        <v>0</v>
      </c>
      <c r="AJ961">
        <v>9</v>
      </c>
      <c r="AK961">
        <v>23</v>
      </c>
      <c r="AX961">
        <v>24</v>
      </c>
      <c r="AY961">
        <v>17</v>
      </c>
      <c r="AZ961">
        <v>41</v>
      </c>
      <c r="BA961">
        <v>18</v>
      </c>
      <c r="BB961">
        <v>23</v>
      </c>
      <c r="BC961">
        <v>41</v>
      </c>
      <c r="BD961">
        <v>57</v>
      </c>
      <c r="BE961">
        <v>47</v>
      </c>
      <c r="BF961">
        <v>104</v>
      </c>
      <c r="BG961">
        <v>32</v>
      </c>
      <c r="BH961">
        <v>44</v>
      </c>
      <c r="BI961">
        <v>76</v>
      </c>
      <c r="BP961">
        <v>16</v>
      </c>
      <c r="BR961">
        <v>53</v>
      </c>
      <c r="BS961">
        <v>16</v>
      </c>
      <c r="BT961">
        <v>21</v>
      </c>
      <c r="BV961">
        <v>25</v>
      </c>
      <c r="BW961">
        <v>131</v>
      </c>
      <c r="BX961">
        <f t="shared" si="109"/>
        <v>96</v>
      </c>
      <c r="BY961" s="5">
        <f t="shared" si="105"/>
        <v>0.36458333333333331</v>
      </c>
      <c r="BZ961" s="6">
        <f t="shared" si="103"/>
        <v>0.36458333333333331</v>
      </c>
      <c r="CA961" s="7">
        <v>43415</v>
      </c>
      <c r="CE961">
        <v>32</v>
      </c>
      <c r="CF961">
        <v>29</v>
      </c>
      <c r="CG961">
        <v>25</v>
      </c>
      <c r="CH961">
        <v>45</v>
      </c>
      <c r="CI961">
        <f t="shared" si="101"/>
        <v>2018</v>
      </c>
      <c r="CJ961" t="str">
        <f t="shared" si="102"/>
        <v>6033_2018</v>
      </c>
    </row>
    <row r="962" spans="1:88" x14ac:dyDescent="0.25">
      <c r="A962" t="s">
        <v>111</v>
      </c>
      <c r="B962" t="s">
        <v>152</v>
      </c>
      <c r="C962">
        <v>6033</v>
      </c>
      <c r="D962">
        <v>-37.676099999999998</v>
      </c>
      <c r="E962">
        <v>145.0076</v>
      </c>
      <c r="F962">
        <v>4</v>
      </c>
      <c r="G962" t="s">
        <v>368</v>
      </c>
      <c r="H962">
        <v>41</v>
      </c>
      <c r="I962">
        <v>221</v>
      </c>
      <c r="J962">
        <v>175</v>
      </c>
      <c r="K962">
        <v>355</v>
      </c>
      <c r="L962">
        <v>208</v>
      </c>
      <c r="M962">
        <v>28</v>
      </c>
      <c r="N962">
        <v>351</v>
      </c>
      <c r="O962">
        <v>171</v>
      </c>
      <c r="T962">
        <v>1</v>
      </c>
      <c r="U962">
        <v>4</v>
      </c>
      <c r="V962">
        <v>6</v>
      </c>
      <c r="Y962">
        <v>3</v>
      </c>
      <c r="Z962">
        <v>4</v>
      </c>
      <c r="AA962">
        <v>9</v>
      </c>
      <c r="AD962">
        <v>7</v>
      </c>
      <c r="AE962">
        <v>2</v>
      </c>
      <c r="AF962">
        <v>10</v>
      </c>
      <c r="AI962">
        <v>3</v>
      </c>
      <c r="AJ962">
        <v>5</v>
      </c>
      <c r="AK962">
        <v>15</v>
      </c>
      <c r="AX962">
        <v>11</v>
      </c>
      <c r="AY962">
        <v>13</v>
      </c>
      <c r="AZ962">
        <v>24</v>
      </c>
      <c r="BA962">
        <v>16</v>
      </c>
      <c r="BB962">
        <v>8</v>
      </c>
      <c r="BC962">
        <v>24</v>
      </c>
      <c r="BD962">
        <v>19</v>
      </c>
      <c r="BE962">
        <v>23</v>
      </c>
      <c r="BF962">
        <v>42</v>
      </c>
      <c r="BG962">
        <v>23</v>
      </c>
      <c r="BH962">
        <v>25</v>
      </c>
      <c r="BI962">
        <v>48</v>
      </c>
      <c r="BP962">
        <v>4</v>
      </c>
      <c r="BR962">
        <v>38</v>
      </c>
      <c r="BS962">
        <v>3</v>
      </c>
      <c r="BT962">
        <v>23</v>
      </c>
      <c r="BV962">
        <v>1</v>
      </c>
      <c r="BW962">
        <v>69</v>
      </c>
      <c r="BX962">
        <f t="shared" si="109"/>
        <v>131</v>
      </c>
      <c r="BY962" s="5">
        <f t="shared" si="105"/>
        <v>-0.47328244274809161</v>
      </c>
      <c r="BZ962" s="6">
        <f t="shared" si="103"/>
        <v>-0.47328244274809161</v>
      </c>
      <c r="CA962" s="7">
        <v>43779</v>
      </c>
      <c r="CE962">
        <v>21</v>
      </c>
      <c r="CF962">
        <v>18</v>
      </c>
      <c r="CG962">
        <v>12</v>
      </c>
      <c r="CH962">
        <v>18</v>
      </c>
      <c r="CI962">
        <f t="shared" si="101"/>
        <v>2019</v>
      </c>
      <c r="CJ962" t="str">
        <f t="shared" si="102"/>
        <v>6033_2019</v>
      </c>
    </row>
    <row r="963" spans="1:88" x14ac:dyDescent="0.25">
      <c r="A963" t="s">
        <v>111</v>
      </c>
      <c r="B963" t="s">
        <v>152</v>
      </c>
      <c r="C963">
        <v>6034</v>
      </c>
      <c r="D963">
        <v>-37.632199999999997</v>
      </c>
      <c r="E963">
        <v>145.018</v>
      </c>
      <c r="F963">
        <v>4</v>
      </c>
      <c r="G963" t="s">
        <v>369</v>
      </c>
      <c r="H963">
        <v>13</v>
      </c>
      <c r="I963">
        <v>193</v>
      </c>
      <c r="J963">
        <v>125</v>
      </c>
      <c r="K963">
        <v>305</v>
      </c>
      <c r="L963">
        <v>184</v>
      </c>
      <c r="M963">
        <v>4</v>
      </c>
      <c r="N963">
        <v>287</v>
      </c>
      <c r="O963">
        <v>107</v>
      </c>
      <c r="T963">
        <v>0</v>
      </c>
      <c r="U963">
        <v>3</v>
      </c>
      <c r="V963">
        <v>0</v>
      </c>
      <c r="Y963">
        <v>0</v>
      </c>
      <c r="Z963">
        <v>0</v>
      </c>
      <c r="AA963">
        <v>1</v>
      </c>
      <c r="AD963">
        <v>0</v>
      </c>
      <c r="AE963">
        <v>2</v>
      </c>
      <c r="AF963">
        <v>0</v>
      </c>
      <c r="AI963">
        <v>0</v>
      </c>
      <c r="AJ963">
        <v>0</v>
      </c>
      <c r="AK963">
        <v>0</v>
      </c>
      <c r="AX963">
        <v>3</v>
      </c>
      <c r="AY963">
        <v>0</v>
      </c>
      <c r="AZ963">
        <v>3</v>
      </c>
      <c r="BA963">
        <v>1</v>
      </c>
      <c r="BB963">
        <v>2</v>
      </c>
      <c r="BC963">
        <v>3</v>
      </c>
      <c r="BD963">
        <v>2</v>
      </c>
      <c r="BE963">
        <v>3</v>
      </c>
      <c r="BF963">
        <v>5</v>
      </c>
      <c r="BG963">
        <v>0</v>
      </c>
      <c r="BH963">
        <v>1</v>
      </c>
      <c r="BI963">
        <v>1</v>
      </c>
      <c r="BP963">
        <v>0</v>
      </c>
      <c r="BR963">
        <v>4</v>
      </c>
      <c r="BS963">
        <v>1</v>
      </c>
      <c r="BT963">
        <v>1</v>
      </c>
      <c r="BV963">
        <v>0</v>
      </c>
      <c r="BW963">
        <v>6</v>
      </c>
      <c r="BX963" t="s">
        <v>82</v>
      </c>
      <c r="BY963" s="5"/>
      <c r="BZ963" s="6"/>
      <c r="CA963" s="7">
        <v>41588</v>
      </c>
      <c r="CI963">
        <f t="shared" ref="CI963:CI1026" si="110">YEAR(CA963)</f>
        <v>2013</v>
      </c>
      <c r="CJ963" t="str">
        <f t="shared" ref="CJ963:CJ1026" si="111">_xlfn.CONCAT(C963,"_",CI963)</f>
        <v>6034_2013</v>
      </c>
    </row>
    <row r="964" spans="1:88" x14ac:dyDescent="0.25">
      <c r="A964" t="s">
        <v>111</v>
      </c>
      <c r="B964" t="s">
        <v>152</v>
      </c>
      <c r="C964">
        <v>6035</v>
      </c>
      <c r="D964">
        <v>-37.694099999999999</v>
      </c>
      <c r="E964">
        <v>145.05350000000001</v>
      </c>
      <c r="F964">
        <v>4</v>
      </c>
      <c r="G964" t="s">
        <v>370</v>
      </c>
      <c r="H964">
        <v>37</v>
      </c>
      <c r="I964">
        <v>217</v>
      </c>
      <c r="J964">
        <v>96</v>
      </c>
      <c r="K964">
        <v>276</v>
      </c>
      <c r="L964">
        <v>242</v>
      </c>
      <c r="M964">
        <v>62</v>
      </c>
      <c r="N964">
        <v>278</v>
      </c>
      <c r="O964">
        <v>98</v>
      </c>
      <c r="T964">
        <v>8</v>
      </c>
      <c r="U964">
        <v>35</v>
      </c>
      <c r="V964">
        <v>10</v>
      </c>
      <c r="Y964">
        <v>0</v>
      </c>
      <c r="Z964">
        <v>5</v>
      </c>
      <c r="AA964">
        <v>69</v>
      </c>
      <c r="AD964">
        <v>40</v>
      </c>
      <c r="AE964">
        <v>5</v>
      </c>
      <c r="AF964">
        <v>37</v>
      </c>
      <c r="AI964">
        <v>10</v>
      </c>
      <c r="AJ964">
        <v>95</v>
      </c>
      <c r="AK964">
        <v>5</v>
      </c>
      <c r="AX964">
        <v>53</v>
      </c>
      <c r="AY964">
        <v>50</v>
      </c>
      <c r="AZ964">
        <v>103</v>
      </c>
      <c r="BA964">
        <v>74</v>
      </c>
      <c r="BB964">
        <v>108</v>
      </c>
      <c r="BC964">
        <v>182</v>
      </c>
      <c r="BD964">
        <v>82</v>
      </c>
      <c r="BE964">
        <v>45</v>
      </c>
      <c r="BF964">
        <v>127</v>
      </c>
      <c r="BG964">
        <v>110</v>
      </c>
      <c r="BH964">
        <v>116</v>
      </c>
      <c r="BI964">
        <v>226</v>
      </c>
      <c r="BP964">
        <v>73</v>
      </c>
      <c r="BR964">
        <v>192</v>
      </c>
      <c r="BS964">
        <v>15</v>
      </c>
      <c r="BT964">
        <v>33</v>
      </c>
      <c r="BV964">
        <v>6</v>
      </c>
      <c r="BW964">
        <v>319</v>
      </c>
      <c r="BX964" t="s">
        <v>82</v>
      </c>
      <c r="BY964" s="5"/>
      <c r="BZ964" s="6"/>
      <c r="CA964" s="7">
        <v>41224</v>
      </c>
      <c r="CI964">
        <f t="shared" si="110"/>
        <v>2012</v>
      </c>
      <c r="CJ964" t="str">
        <f t="shared" si="111"/>
        <v>6035_2012</v>
      </c>
    </row>
    <row r="965" spans="1:88" x14ac:dyDescent="0.25">
      <c r="A965" t="s">
        <v>111</v>
      </c>
      <c r="B965" t="s">
        <v>152</v>
      </c>
      <c r="C965">
        <v>6035</v>
      </c>
      <c r="D965">
        <v>-37.694099999999999</v>
      </c>
      <c r="E965">
        <v>145.05350000000001</v>
      </c>
      <c r="F965">
        <v>4</v>
      </c>
      <c r="G965" t="s">
        <v>370</v>
      </c>
      <c r="H965">
        <v>37</v>
      </c>
      <c r="I965">
        <v>217</v>
      </c>
      <c r="J965">
        <v>96</v>
      </c>
      <c r="K965">
        <v>276</v>
      </c>
      <c r="L965">
        <v>242</v>
      </c>
      <c r="M965">
        <v>62</v>
      </c>
      <c r="N965">
        <v>278</v>
      </c>
      <c r="O965">
        <v>98</v>
      </c>
      <c r="T965">
        <v>7</v>
      </c>
      <c r="U965">
        <v>23</v>
      </c>
      <c r="V965">
        <v>20</v>
      </c>
      <c r="Y965">
        <v>4</v>
      </c>
      <c r="Z965">
        <v>3</v>
      </c>
      <c r="AA965">
        <v>67</v>
      </c>
      <c r="AD965">
        <v>31</v>
      </c>
      <c r="AE965">
        <v>11</v>
      </c>
      <c r="AF965">
        <v>31</v>
      </c>
      <c r="AI965">
        <v>16</v>
      </c>
      <c r="AJ965">
        <v>56</v>
      </c>
      <c r="AK965">
        <v>11</v>
      </c>
      <c r="AX965">
        <v>50</v>
      </c>
      <c r="AY965">
        <v>51</v>
      </c>
      <c r="AZ965">
        <v>101</v>
      </c>
      <c r="BA965">
        <v>74</v>
      </c>
      <c r="BB965">
        <v>74</v>
      </c>
      <c r="BC965">
        <v>148</v>
      </c>
      <c r="BD965">
        <v>73</v>
      </c>
      <c r="BE965">
        <v>37</v>
      </c>
      <c r="BF965">
        <v>110</v>
      </c>
      <c r="BG965">
        <v>83</v>
      </c>
      <c r="BH965">
        <v>118</v>
      </c>
      <c r="BI965">
        <v>201</v>
      </c>
      <c r="BP965">
        <v>39</v>
      </c>
      <c r="BR965">
        <v>157</v>
      </c>
      <c r="BS965">
        <v>37</v>
      </c>
      <c r="BT965">
        <v>36</v>
      </c>
      <c r="BV965">
        <v>11</v>
      </c>
      <c r="BW965">
        <v>280</v>
      </c>
      <c r="BX965">
        <f t="shared" ref="BX965:BX971" si="112">IF(C965=C964,IF((CI965-1)=CI964,BW964,"no data"))</f>
        <v>319</v>
      </c>
      <c r="BY965" s="5">
        <f t="shared" si="105"/>
        <v>-0.12225705329153605</v>
      </c>
      <c r="BZ965" s="6">
        <f t="shared" ref="BZ965:BZ1027" si="113">BY965</f>
        <v>-0.12225705329153605</v>
      </c>
      <c r="CA965" s="7">
        <v>41588</v>
      </c>
      <c r="CI965">
        <f t="shared" si="110"/>
        <v>2013</v>
      </c>
      <c r="CJ965" t="str">
        <f t="shared" si="111"/>
        <v>6035_2013</v>
      </c>
    </row>
    <row r="966" spans="1:88" x14ac:dyDescent="0.25">
      <c r="A966" t="s">
        <v>111</v>
      </c>
      <c r="B966" t="s">
        <v>152</v>
      </c>
      <c r="C966">
        <v>6035</v>
      </c>
      <c r="D966">
        <v>-37.694099999999999</v>
      </c>
      <c r="E966">
        <v>145.05350000000001</v>
      </c>
      <c r="F966">
        <v>4</v>
      </c>
      <c r="G966" t="s">
        <v>370</v>
      </c>
      <c r="H966">
        <v>37</v>
      </c>
      <c r="I966">
        <v>217</v>
      </c>
      <c r="J966">
        <v>96</v>
      </c>
      <c r="K966">
        <v>276</v>
      </c>
      <c r="L966">
        <v>242</v>
      </c>
      <c r="M966">
        <v>62</v>
      </c>
      <c r="N966">
        <v>278</v>
      </c>
      <c r="O966">
        <v>98</v>
      </c>
      <c r="T966">
        <v>0</v>
      </c>
      <c r="U966">
        <v>0</v>
      </c>
      <c r="V966">
        <v>0</v>
      </c>
      <c r="Y966">
        <v>0</v>
      </c>
      <c r="Z966">
        <v>0</v>
      </c>
      <c r="AA966">
        <v>0</v>
      </c>
      <c r="AD966">
        <v>0</v>
      </c>
      <c r="AE966">
        <v>0</v>
      </c>
      <c r="AF966">
        <v>0</v>
      </c>
      <c r="AI966">
        <v>0</v>
      </c>
      <c r="AJ966">
        <v>0</v>
      </c>
      <c r="AK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P966">
        <v>0</v>
      </c>
      <c r="BR966">
        <v>0</v>
      </c>
      <c r="BS966">
        <v>0</v>
      </c>
      <c r="BT966">
        <v>0</v>
      </c>
      <c r="BV966">
        <v>0</v>
      </c>
      <c r="BW966">
        <v>0</v>
      </c>
      <c r="BX966">
        <f t="shared" si="112"/>
        <v>280</v>
      </c>
      <c r="BY966" s="5">
        <f t="shared" si="105"/>
        <v>-1</v>
      </c>
      <c r="BZ966" s="6">
        <f t="shared" si="113"/>
        <v>-1</v>
      </c>
      <c r="CA966" s="7">
        <v>41952</v>
      </c>
      <c r="CI966">
        <f t="shared" si="110"/>
        <v>2014</v>
      </c>
      <c r="CJ966" t="str">
        <f t="shared" si="111"/>
        <v>6035_2014</v>
      </c>
    </row>
    <row r="967" spans="1:88" x14ac:dyDescent="0.25">
      <c r="A967" t="s">
        <v>111</v>
      </c>
      <c r="B967" t="s">
        <v>152</v>
      </c>
      <c r="C967">
        <v>6035</v>
      </c>
      <c r="D967">
        <v>-37.694099999999999</v>
      </c>
      <c r="E967">
        <v>145.05350000000001</v>
      </c>
      <c r="F967">
        <v>4</v>
      </c>
      <c r="G967" t="s">
        <v>370</v>
      </c>
      <c r="H967">
        <v>37</v>
      </c>
      <c r="I967">
        <v>217</v>
      </c>
      <c r="J967">
        <v>96</v>
      </c>
      <c r="K967">
        <v>276</v>
      </c>
      <c r="L967">
        <v>242</v>
      </c>
      <c r="M967">
        <v>62</v>
      </c>
      <c r="N967">
        <v>278</v>
      </c>
      <c r="O967">
        <v>98</v>
      </c>
      <c r="T967">
        <v>3</v>
      </c>
      <c r="U967">
        <v>59</v>
      </c>
      <c r="V967">
        <v>9</v>
      </c>
      <c r="Y967">
        <v>0</v>
      </c>
      <c r="Z967">
        <v>0</v>
      </c>
      <c r="AA967">
        <v>54</v>
      </c>
      <c r="AD967">
        <v>59</v>
      </c>
      <c r="AE967">
        <v>8</v>
      </c>
      <c r="AF967">
        <v>24</v>
      </c>
      <c r="AI967">
        <v>16</v>
      </c>
      <c r="AJ967">
        <v>50</v>
      </c>
      <c r="AK967">
        <v>11</v>
      </c>
      <c r="AX967">
        <v>71</v>
      </c>
      <c r="AY967">
        <v>75</v>
      </c>
      <c r="AZ967">
        <v>146</v>
      </c>
      <c r="BA967">
        <v>54</v>
      </c>
      <c r="BB967">
        <v>61</v>
      </c>
      <c r="BC967">
        <v>115</v>
      </c>
      <c r="BD967">
        <v>91</v>
      </c>
      <c r="BE967">
        <v>70</v>
      </c>
      <c r="BF967">
        <v>161</v>
      </c>
      <c r="BG967">
        <v>77</v>
      </c>
      <c r="BH967">
        <v>87</v>
      </c>
      <c r="BI967">
        <v>164</v>
      </c>
      <c r="BP967">
        <v>92</v>
      </c>
      <c r="BR967">
        <v>163</v>
      </c>
      <c r="BS967">
        <v>6</v>
      </c>
      <c r="BT967">
        <v>22</v>
      </c>
      <c r="BV967">
        <v>10</v>
      </c>
      <c r="BW967">
        <v>293</v>
      </c>
      <c r="BX967">
        <f t="shared" si="112"/>
        <v>0</v>
      </c>
      <c r="BY967" s="5"/>
      <c r="BZ967" s="6"/>
      <c r="CA967" s="7">
        <v>42316</v>
      </c>
      <c r="CE967">
        <v>57</v>
      </c>
      <c r="CF967">
        <v>82</v>
      </c>
      <c r="CG967">
        <v>92</v>
      </c>
      <c r="CH967">
        <v>62</v>
      </c>
      <c r="CI967">
        <f t="shared" si="110"/>
        <v>2015</v>
      </c>
      <c r="CJ967" t="str">
        <f t="shared" si="111"/>
        <v>6035_2015</v>
      </c>
    </row>
    <row r="968" spans="1:88" x14ac:dyDescent="0.25">
      <c r="A968" t="s">
        <v>111</v>
      </c>
      <c r="B968" t="s">
        <v>152</v>
      </c>
      <c r="C968">
        <v>6035</v>
      </c>
      <c r="D968">
        <v>-37.694096000000002</v>
      </c>
      <c r="E968">
        <v>145.05348499999999</v>
      </c>
      <c r="F968">
        <v>4</v>
      </c>
      <c r="G968" t="s">
        <v>370</v>
      </c>
      <c r="H968">
        <v>37</v>
      </c>
      <c r="I968">
        <v>217</v>
      </c>
      <c r="J968">
        <v>96</v>
      </c>
      <c r="K968">
        <v>276</v>
      </c>
      <c r="L968">
        <v>242</v>
      </c>
      <c r="M968">
        <v>62</v>
      </c>
      <c r="N968">
        <v>278</v>
      </c>
      <c r="O968">
        <v>98</v>
      </c>
      <c r="T968">
        <v>7</v>
      </c>
      <c r="U968">
        <v>20</v>
      </c>
      <c r="V968">
        <v>8</v>
      </c>
      <c r="Y968">
        <v>8</v>
      </c>
      <c r="Z968">
        <v>4</v>
      </c>
      <c r="AA968">
        <v>3</v>
      </c>
      <c r="AD968">
        <v>33</v>
      </c>
      <c r="AE968">
        <v>15</v>
      </c>
      <c r="AF968">
        <v>7</v>
      </c>
      <c r="AI968">
        <v>4</v>
      </c>
      <c r="AJ968">
        <v>5</v>
      </c>
      <c r="AK968">
        <v>5</v>
      </c>
      <c r="AX968">
        <v>35</v>
      </c>
      <c r="AY968">
        <v>45</v>
      </c>
      <c r="AZ968">
        <v>80</v>
      </c>
      <c r="BA968">
        <v>15</v>
      </c>
      <c r="BB968">
        <v>27</v>
      </c>
      <c r="BC968">
        <v>42</v>
      </c>
      <c r="BD968">
        <v>55</v>
      </c>
      <c r="BE968">
        <v>29</v>
      </c>
      <c r="BF968">
        <v>84</v>
      </c>
      <c r="BG968">
        <v>14</v>
      </c>
      <c r="BH968">
        <v>18</v>
      </c>
      <c r="BI968">
        <v>32</v>
      </c>
      <c r="BP968">
        <v>13</v>
      </c>
      <c r="BR968">
        <v>67</v>
      </c>
      <c r="BS968">
        <v>17</v>
      </c>
      <c r="BT968">
        <v>22</v>
      </c>
      <c r="BV968">
        <v>0</v>
      </c>
      <c r="BW968">
        <v>119</v>
      </c>
      <c r="BX968">
        <f t="shared" si="112"/>
        <v>293</v>
      </c>
      <c r="BY968" s="5">
        <f t="shared" si="105"/>
        <v>-0.59385665529010234</v>
      </c>
      <c r="BZ968" s="6">
        <f t="shared" si="113"/>
        <v>-0.59385665529010234</v>
      </c>
      <c r="CA968" s="7">
        <v>42687</v>
      </c>
      <c r="CE968">
        <v>47</v>
      </c>
      <c r="CF968">
        <v>50</v>
      </c>
      <c r="CG968">
        <v>20</v>
      </c>
      <c r="CH968">
        <v>2</v>
      </c>
      <c r="CI968">
        <f t="shared" si="110"/>
        <v>2016</v>
      </c>
      <c r="CJ968" t="str">
        <f t="shared" si="111"/>
        <v>6035_2016</v>
      </c>
    </row>
    <row r="969" spans="1:88" x14ac:dyDescent="0.25">
      <c r="A969" t="s">
        <v>111</v>
      </c>
      <c r="B969" t="s">
        <v>152</v>
      </c>
      <c r="C969">
        <v>6035</v>
      </c>
      <c r="D969">
        <v>-37.694096000000002</v>
      </c>
      <c r="E969">
        <v>145.05348499999999</v>
      </c>
      <c r="F969">
        <v>4</v>
      </c>
      <c r="G969" t="s">
        <v>370</v>
      </c>
      <c r="H969">
        <v>37</v>
      </c>
      <c r="I969">
        <v>217</v>
      </c>
      <c r="J969">
        <v>96</v>
      </c>
      <c r="K969">
        <v>276</v>
      </c>
      <c r="L969">
        <v>242</v>
      </c>
      <c r="M969">
        <v>62</v>
      </c>
      <c r="N969">
        <v>278</v>
      </c>
      <c r="O969">
        <v>98</v>
      </c>
      <c r="T969">
        <v>9</v>
      </c>
      <c r="U969">
        <v>73</v>
      </c>
      <c r="V969">
        <v>2</v>
      </c>
      <c r="Y969">
        <v>4</v>
      </c>
      <c r="Z969">
        <v>11</v>
      </c>
      <c r="AA969">
        <v>44</v>
      </c>
      <c r="AD969">
        <v>79</v>
      </c>
      <c r="AE969">
        <v>5</v>
      </c>
      <c r="AF969">
        <v>3</v>
      </c>
      <c r="AI969">
        <v>5</v>
      </c>
      <c r="AJ969">
        <v>63</v>
      </c>
      <c r="AK969">
        <v>3</v>
      </c>
      <c r="AX969">
        <v>84</v>
      </c>
      <c r="AY969">
        <v>88</v>
      </c>
      <c r="AZ969">
        <v>172</v>
      </c>
      <c r="BA969">
        <v>59</v>
      </c>
      <c r="BB969">
        <v>77</v>
      </c>
      <c r="BC969">
        <v>136</v>
      </c>
      <c r="BD969">
        <v>87</v>
      </c>
      <c r="BE969">
        <v>87</v>
      </c>
      <c r="BF969">
        <v>174</v>
      </c>
      <c r="BG969">
        <v>71</v>
      </c>
      <c r="BH969">
        <v>49</v>
      </c>
      <c r="BI969">
        <v>120</v>
      </c>
      <c r="BP969">
        <v>102</v>
      </c>
      <c r="BR969">
        <v>163</v>
      </c>
      <c r="BS969">
        <v>17</v>
      </c>
      <c r="BT969">
        <v>14</v>
      </c>
      <c r="BV969">
        <v>5</v>
      </c>
      <c r="BW969">
        <v>301</v>
      </c>
      <c r="BX969">
        <f t="shared" si="112"/>
        <v>119</v>
      </c>
      <c r="BY969" s="5">
        <f t="shared" si="105"/>
        <v>1.5294117647058822</v>
      </c>
      <c r="BZ969" s="6">
        <f t="shared" si="113"/>
        <v>1.5294117647058822</v>
      </c>
      <c r="CA969" s="7">
        <v>43051</v>
      </c>
      <c r="CE969">
        <v>98</v>
      </c>
      <c r="CF969">
        <v>100</v>
      </c>
      <c r="CG969">
        <v>61</v>
      </c>
      <c r="CH969">
        <v>42</v>
      </c>
      <c r="CI969">
        <f t="shared" si="110"/>
        <v>2017</v>
      </c>
      <c r="CJ969" t="str">
        <f t="shared" si="111"/>
        <v>6035_2017</v>
      </c>
    </row>
    <row r="970" spans="1:88" x14ac:dyDescent="0.25">
      <c r="A970" t="s">
        <v>111</v>
      </c>
      <c r="B970" t="s">
        <v>152</v>
      </c>
      <c r="C970">
        <v>6035</v>
      </c>
      <c r="D970">
        <v>-37.694096000000002</v>
      </c>
      <c r="E970">
        <v>145.05348499999999</v>
      </c>
      <c r="F970">
        <v>4</v>
      </c>
      <c r="G970" t="s">
        <v>370</v>
      </c>
      <c r="H970">
        <v>37</v>
      </c>
      <c r="I970">
        <v>217</v>
      </c>
      <c r="J970">
        <v>96</v>
      </c>
      <c r="K970">
        <v>276</v>
      </c>
      <c r="L970">
        <v>242</v>
      </c>
      <c r="M970">
        <v>62</v>
      </c>
      <c r="N970">
        <v>278</v>
      </c>
      <c r="O970">
        <v>98</v>
      </c>
      <c r="T970">
        <v>14</v>
      </c>
      <c r="U970">
        <v>80</v>
      </c>
      <c r="V970">
        <v>5</v>
      </c>
      <c r="Y970">
        <v>8</v>
      </c>
      <c r="Z970">
        <v>1</v>
      </c>
      <c r="AA970">
        <v>64</v>
      </c>
      <c r="AD970">
        <v>97</v>
      </c>
      <c r="AE970">
        <v>0</v>
      </c>
      <c r="AF970">
        <v>2</v>
      </c>
      <c r="AI970">
        <v>1</v>
      </c>
      <c r="AJ970">
        <v>49</v>
      </c>
      <c r="AK970">
        <v>3</v>
      </c>
      <c r="AX970">
        <v>99</v>
      </c>
      <c r="AY970">
        <v>106</v>
      </c>
      <c r="AZ970">
        <v>205</v>
      </c>
      <c r="BA970">
        <v>73</v>
      </c>
      <c r="BB970">
        <v>63</v>
      </c>
      <c r="BC970">
        <v>136</v>
      </c>
      <c r="BD970">
        <v>99</v>
      </c>
      <c r="BE970">
        <v>84</v>
      </c>
      <c r="BF970">
        <v>183</v>
      </c>
      <c r="BG970">
        <v>53</v>
      </c>
      <c r="BH970">
        <v>71</v>
      </c>
      <c r="BI970">
        <v>124</v>
      </c>
      <c r="BP970">
        <v>96</v>
      </c>
      <c r="BR970">
        <v>165</v>
      </c>
      <c r="BS970">
        <v>17</v>
      </c>
      <c r="BT970">
        <v>36</v>
      </c>
      <c r="BV970">
        <v>10</v>
      </c>
      <c r="BW970">
        <v>324</v>
      </c>
      <c r="BX970">
        <f t="shared" si="112"/>
        <v>301</v>
      </c>
      <c r="BY970" s="5">
        <f t="shared" si="105"/>
        <v>7.6411960132890366E-2</v>
      </c>
      <c r="BZ970" s="6">
        <f t="shared" si="113"/>
        <v>7.6411960132890366E-2</v>
      </c>
      <c r="CA970" s="7">
        <v>43415</v>
      </c>
      <c r="CE970">
        <v>86</v>
      </c>
      <c r="CF970">
        <v>95</v>
      </c>
      <c r="CG970">
        <v>114</v>
      </c>
      <c r="CH970">
        <v>29</v>
      </c>
      <c r="CI970">
        <f t="shared" si="110"/>
        <v>2018</v>
      </c>
      <c r="CJ970" t="str">
        <f t="shared" si="111"/>
        <v>6035_2018</v>
      </c>
    </row>
    <row r="971" spans="1:88" x14ac:dyDescent="0.25">
      <c r="A971" t="s">
        <v>111</v>
      </c>
      <c r="B971" t="s">
        <v>152</v>
      </c>
      <c r="C971">
        <v>6035</v>
      </c>
      <c r="D971">
        <v>-37.694099999999999</v>
      </c>
      <c r="E971">
        <v>145.05350000000001</v>
      </c>
      <c r="F971">
        <v>4</v>
      </c>
      <c r="G971" t="s">
        <v>370</v>
      </c>
      <c r="H971">
        <v>37</v>
      </c>
      <c r="I971">
        <v>217</v>
      </c>
      <c r="J971">
        <v>96</v>
      </c>
      <c r="K971">
        <v>276</v>
      </c>
      <c r="L971">
        <v>242</v>
      </c>
      <c r="M971">
        <v>62</v>
      </c>
      <c r="N971">
        <v>278</v>
      </c>
      <c r="O971">
        <v>98</v>
      </c>
      <c r="T971">
        <v>3</v>
      </c>
      <c r="U971">
        <v>88</v>
      </c>
      <c r="V971">
        <v>3</v>
      </c>
      <c r="Y971">
        <v>1</v>
      </c>
      <c r="Z971">
        <v>2</v>
      </c>
      <c r="AA971">
        <v>47</v>
      </c>
      <c r="AD971">
        <v>95</v>
      </c>
      <c r="AE971">
        <v>3</v>
      </c>
      <c r="AF971">
        <v>2</v>
      </c>
      <c r="AI971">
        <v>10</v>
      </c>
      <c r="AJ971">
        <v>37</v>
      </c>
      <c r="AK971">
        <v>2</v>
      </c>
      <c r="AX971">
        <v>94</v>
      </c>
      <c r="AY971">
        <v>106</v>
      </c>
      <c r="AZ971">
        <v>200</v>
      </c>
      <c r="BA971">
        <v>50</v>
      </c>
      <c r="BB971">
        <v>43</v>
      </c>
      <c r="BC971">
        <v>93</v>
      </c>
      <c r="BD971">
        <v>100</v>
      </c>
      <c r="BE971">
        <v>92</v>
      </c>
      <c r="BF971">
        <v>192</v>
      </c>
      <c r="BG971">
        <v>49</v>
      </c>
      <c r="BH971">
        <v>52</v>
      </c>
      <c r="BI971">
        <v>101</v>
      </c>
      <c r="BP971">
        <v>100</v>
      </c>
      <c r="BR971">
        <v>140</v>
      </c>
      <c r="BS971">
        <v>27</v>
      </c>
      <c r="BT971">
        <v>24</v>
      </c>
      <c r="BV971">
        <v>2</v>
      </c>
      <c r="BW971">
        <v>293</v>
      </c>
      <c r="BX971">
        <f t="shared" si="112"/>
        <v>324</v>
      </c>
      <c r="BY971" s="5">
        <f t="shared" si="105"/>
        <v>-9.5679012345679007E-2</v>
      </c>
      <c r="BZ971" s="6">
        <f t="shared" si="113"/>
        <v>-9.5679012345679007E-2</v>
      </c>
      <c r="CA971" s="7">
        <v>43779</v>
      </c>
      <c r="CE971">
        <v>77</v>
      </c>
      <c r="CF971">
        <v>85</v>
      </c>
      <c r="CG971">
        <v>73</v>
      </c>
      <c r="CH971">
        <v>58</v>
      </c>
      <c r="CI971">
        <f t="shared" si="110"/>
        <v>2019</v>
      </c>
      <c r="CJ971" t="str">
        <f t="shared" si="111"/>
        <v>6035_2019</v>
      </c>
    </row>
    <row r="972" spans="1:88" x14ac:dyDescent="0.25">
      <c r="A972" t="s">
        <v>111</v>
      </c>
      <c r="B972" t="s">
        <v>152</v>
      </c>
      <c r="C972">
        <v>6036</v>
      </c>
      <c r="D972">
        <v>-37.698700000000002</v>
      </c>
      <c r="E972">
        <v>145.04429999999999</v>
      </c>
      <c r="F972">
        <v>2</v>
      </c>
      <c r="G972" t="s">
        <v>371</v>
      </c>
      <c r="H972">
        <v>52</v>
      </c>
      <c r="I972">
        <v>232</v>
      </c>
      <c r="J972">
        <v>241</v>
      </c>
      <c r="K972">
        <v>61</v>
      </c>
      <c r="T972">
        <v>34</v>
      </c>
      <c r="Y972">
        <v>25</v>
      </c>
      <c r="AX972">
        <v>34</v>
      </c>
      <c r="AY972">
        <v>25</v>
      </c>
      <c r="AZ972">
        <v>59</v>
      </c>
      <c r="BA972">
        <v>25</v>
      </c>
      <c r="BB972">
        <v>34</v>
      </c>
      <c r="BC972">
        <v>59</v>
      </c>
      <c r="BP972">
        <v>34</v>
      </c>
      <c r="BR972">
        <v>18</v>
      </c>
      <c r="BS972">
        <v>0</v>
      </c>
      <c r="BT972">
        <v>7</v>
      </c>
      <c r="BV972">
        <v>0</v>
      </c>
      <c r="BW972">
        <v>59</v>
      </c>
      <c r="BX972" t="s">
        <v>82</v>
      </c>
      <c r="BY972" s="5"/>
      <c r="BZ972" s="6"/>
      <c r="CA972" s="7">
        <v>41224</v>
      </c>
      <c r="CI972">
        <f t="shared" si="110"/>
        <v>2012</v>
      </c>
      <c r="CJ972" t="str">
        <f t="shared" si="111"/>
        <v>6036_2012</v>
      </c>
    </row>
    <row r="973" spans="1:88" x14ac:dyDescent="0.25">
      <c r="A973" t="s">
        <v>111</v>
      </c>
      <c r="B973" t="s">
        <v>152</v>
      </c>
      <c r="C973">
        <v>6037</v>
      </c>
      <c r="D973">
        <v>-37.652299999999997</v>
      </c>
      <c r="E973">
        <v>145.0352</v>
      </c>
      <c r="F973">
        <v>3</v>
      </c>
      <c r="G973" t="s">
        <v>372</v>
      </c>
      <c r="H973">
        <v>89</v>
      </c>
      <c r="I973">
        <v>269</v>
      </c>
      <c r="J973">
        <v>196</v>
      </c>
      <c r="K973">
        <v>16</v>
      </c>
      <c r="L973">
        <v>329</v>
      </c>
      <c r="M973">
        <v>149</v>
      </c>
      <c r="T973">
        <v>9</v>
      </c>
      <c r="U973">
        <v>15</v>
      </c>
      <c r="Y973">
        <v>17</v>
      </c>
      <c r="Z973">
        <v>10</v>
      </c>
      <c r="AD973">
        <v>16</v>
      </c>
      <c r="AE973">
        <v>11</v>
      </c>
      <c r="AX973">
        <v>24</v>
      </c>
      <c r="AY973">
        <v>33</v>
      </c>
      <c r="AZ973">
        <v>57</v>
      </c>
      <c r="BA973">
        <v>27</v>
      </c>
      <c r="BB973">
        <v>20</v>
      </c>
      <c r="BC973">
        <v>47</v>
      </c>
      <c r="BD973">
        <v>27</v>
      </c>
      <c r="BE973">
        <v>25</v>
      </c>
      <c r="BF973">
        <v>52</v>
      </c>
      <c r="BP973">
        <v>33</v>
      </c>
      <c r="BR973">
        <v>35</v>
      </c>
      <c r="BS973">
        <v>1</v>
      </c>
      <c r="BT973">
        <v>5</v>
      </c>
      <c r="BV973">
        <v>4</v>
      </c>
      <c r="BW973">
        <v>78</v>
      </c>
      <c r="BX973" t="s">
        <v>82</v>
      </c>
      <c r="BY973" s="5"/>
      <c r="BZ973" s="6"/>
      <c r="CA973" s="7">
        <v>41224</v>
      </c>
      <c r="CI973">
        <f t="shared" si="110"/>
        <v>2012</v>
      </c>
      <c r="CJ973" t="str">
        <f t="shared" si="111"/>
        <v>6037_2012</v>
      </c>
    </row>
    <row r="974" spans="1:88" x14ac:dyDescent="0.25">
      <c r="A974" t="s">
        <v>111</v>
      </c>
      <c r="B974" t="s">
        <v>152</v>
      </c>
      <c r="C974">
        <v>6038</v>
      </c>
      <c r="D974">
        <v>-37.650399999999998</v>
      </c>
      <c r="E974">
        <v>145.0581</v>
      </c>
      <c r="F974">
        <v>5</v>
      </c>
      <c r="G974" t="s">
        <v>373</v>
      </c>
      <c r="H974">
        <v>83</v>
      </c>
      <c r="I974">
        <v>263</v>
      </c>
      <c r="J974">
        <v>117</v>
      </c>
      <c r="K974">
        <v>297</v>
      </c>
      <c r="L974">
        <v>158</v>
      </c>
      <c r="M974">
        <v>338</v>
      </c>
      <c r="N974">
        <v>261</v>
      </c>
      <c r="O974">
        <v>81</v>
      </c>
      <c r="P974">
        <v>328</v>
      </c>
      <c r="Q974">
        <v>148</v>
      </c>
      <c r="U974">
        <v>7</v>
      </c>
      <c r="V974">
        <v>35</v>
      </c>
      <c r="W974">
        <v>2</v>
      </c>
      <c r="AD974">
        <v>6</v>
      </c>
      <c r="AF974">
        <v>9</v>
      </c>
      <c r="AG974">
        <v>8</v>
      </c>
      <c r="AI974">
        <v>51</v>
      </c>
      <c r="AK974">
        <v>7</v>
      </c>
      <c r="AL974">
        <v>7</v>
      </c>
      <c r="AN974">
        <v>16</v>
      </c>
      <c r="AP974">
        <v>20</v>
      </c>
      <c r="AQ974">
        <v>3</v>
      </c>
      <c r="AX974">
        <v>44</v>
      </c>
      <c r="AY974">
        <v>73</v>
      </c>
      <c r="AZ974">
        <v>117</v>
      </c>
      <c r="BD974">
        <v>23</v>
      </c>
      <c r="BE974">
        <v>34</v>
      </c>
      <c r="BF974">
        <v>57</v>
      </c>
      <c r="BG974">
        <v>65</v>
      </c>
      <c r="BH974">
        <v>47</v>
      </c>
      <c r="BI974">
        <v>112</v>
      </c>
      <c r="BJ974">
        <v>39</v>
      </c>
      <c r="BK974">
        <v>17</v>
      </c>
      <c r="BL974">
        <v>56</v>
      </c>
      <c r="BP974">
        <v>56</v>
      </c>
      <c r="BR974">
        <v>73</v>
      </c>
      <c r="BS974">
        <v>5</v>
      </c>
      <c r="BT974">
        <v>24</v>
      </c>
      <c r="BV974">
        <v>13</v>
      </c>
      <c r="BW974">
        <v>171</v>
      </c>
      <c r="BX974" t="s">
        <v>82</v>
      </c>
      <c r="BY974" s="5"/>
      <c r="BZ974" s="6"/>
      <c r="CA974" s="7">
        <v>41224</v>
      </c>
      <c r="CI974">
        <f t="shared" si="110"/>
        <v>2012</v>
      </c>
      <c r="CJ974" t="str">
        <f t="shared" si="111"/>
        <v>6038_2012</v>
      </c>
    </row>
    <row r="975" spans="1:88" x14ac:dyDescent="0.25">
      <c r="A975" t="s">
        <v>111</v>
      </c>
      <c r="B975" t="s">
        <v>152</v>
      </c>
      <c r="C975">
        <v>6038</v>
      </c>
      <c r="D975">
        <v>-37.650399999999998</v>
      </c>
      <c r="E975">
        <v>145.0581</v>
      </c>
      <c r="F975">
        <v>5</v>
      </c>
      <c r="G975" t="s">
        <v>373</v>
      </c>
      <c r="H975">
        <v>83</v>
      </c>
      <c r="I975">
        <v>263</v>
      </c>
      <c r="J975">
        <v>117</v>
      </c>
      <c r="K975">
        <v>297</v>
      </c>
      <c r="L975">
        <v>158</v>
      </c>
      <c r="M975">
        <v>338</v>
      </c>
      <c r="N975">
        <v>261</v>
      </c>
      <c r="O975">
        <v>81</v>
      </c>
      <c r="P975">
        <v>328</v>
      </c>
      <c r="Q975">
        <v>148</v>
      </c>
      <c r="U975">
        <v>2</v>
      </c>
      <c r="V975">
        <v>25</v>
      </c>
      <c r="W975">
        <v>8</v>
      </c>
      <c r="AD975">
        <v>4</v>
      </c>
      <c r="AF975">
        <v>10</v>
      </c>
      <c r="AG975">
        <v>4</v>
      </c>
      <c r="AI975">
        <v>36</v>
      </c>
      <c r="AK975">
        <v>9</v>
      </c>
      <c r="AL975">
        <v>7</v>
      </c>
      <c r="AN975">
        <v>3</v>
      </c>
      <c r="AP975">
        <v>4</v>
      </c>
      <c r="AQ975">
        <v>4</v>
      </c>
      <c r="AX975">
        <v>35</v>
      </c>
      <c r="AY975">
        <v>43</v>
      </c>
      <c r="AZ975">
        <v>78</v>
      </c>
      <c r="BD975">
        <v>18</v>
      </c>
      <c r="BE975">
        <v>15</v>
      </c>
      <c r="BF975">
        <v>33</v>
      </c>
      <c r="BG975">
        <v>52</v>
      </c>
      <c r="BH975">
        <v>39</v>
      </c>
      <c r="BI975">
        <v>91</v>
      </c>
      <c r="BJ975">
        <v>11</v>
      </c>
      <c r="BK975">
        <v>19</v>
      </c>
      <c r="BL975">
        <v>30</v>
      </c>
      <c r="BP975">
        <v>34</v>
      </c>
      <c r="BR975">
        <v>38</v>
      </c>
      <c r="BS975">
        <v>7</v>
      </c>
      <c r="BT975">
        <v>34</v>
      </c>
      <c r="BV975">
        <v>3</v>
      </c>
      <c r="BW975">
        <v>116</v>
      </c>
      <c r="BX975">
        <f t="shared" ref="BX975:BX981" si="114">IF(C975=C974,IF((CI975-1)=CI974,BW974,"no data"))</f>
        <v>171</v>
      </c>
      <c r="BY975" s="5">
        <f t="shared" ref="BY975:BY1037" si="115">(BW975-BX975)/BX975</f>
        <v>-0.32163742690058478</v>
      </c>
      <c r="BZ975" s="6">
        <f t="shared" si="113"/>
        <v>-0.32163742690058478</v>
      </c>
      <c r="CA975" s="7">
        <v>41588</v>
      </c>
      <c r="CI975">
        <f t="shared" si="110"/>
        <v>2013</v>
      </c>
      <c r="CJ975" t="str">
        <f t="shared" si="111"/>
        <v>6038_2013</v>
      </c>
    </row>
    <row r="976" spans="1:88" x14ac:dyDescent="0.25">
      <c r="A976" t="s">
        <v>111</v>
      </c>
      <c r="B976" t="s">
        <v>152</v>
      </c>
      <c r="C976">
        <v>6038</v>
      </c>
      <c r="D976">
        <v>-37.650399999999998</v>
      </c>
      <c r="E976">
        <v>145.0581</v>
      </c>
      <c r="F976">
        <v>5</v>
      </c>
      <c r="G976" t="s">
        <v>373</v>
      </c>
      <c r="H976">
        <v>83</v>
      </c>
      <c r="I976">
        <v>263</v>
      </c>
      <c r="J976">
        <v>117</v>
      </c>
      <c r="K976">
        <v>297</v>
      </c>
      <c r="L976">
        <v>158</v>
      </c>
      <c r="M976">
        <v>338</v>
      </c>
      <c r="N976">
        <v>261</v>
      </c>
      <c r="O976">
        <v>81</v>
      </c>
      <c r="P976">
        <v>328</v>
      </c>
      <c r="Q976">
        <v>148</v>
      </c>
      <c r="T976">
        <v>2</v>
      </c>
      <c r="U976">
        <v>3</v>
      </c>
      <c r="V976">
        <v>36</v>
      </c>
      <c r="W976">
        <v>3</v>
      </c>
      <c r="Y976">
        <v>0</v>
      </c>
      <c r="Z976">
        <v>3</v>
      </c>
      <c r="AA976">
        <v>6</v>
      </c>
      <c r="AB976">
        <v>4</v>
      </c>
      <c r="AD976">
        <v>6</v>
      </c>
      <c r="AE976">
        <v>0</v>
      </c>
      <c r="AF976">
        <v>6</v>
      </c>
      <c r="AG976">
        <v>5</v>
      </c>
      <c r="AI976">
        <v>36</v>
      </c>
      <c r="AJ976">
        <v>1</v>
      </c>
      <c r="AK976">
        <v>8</v>
      </c>
      <c r="AL976">
        <v>2</v>
      </c>
      <c r="AN976">
        <v>12</v>
      </c>
      <c r="AO976">
        <v>2</v>
      </c>
      <c r="AP976">
        <v>4</v>
      </c>
      <c r="AQ976">
        <v>20</v>
      </c>
      <c r="AX976">
        <v>44</v>
      </c>
      <c r="AY976">
        <v>54</v>
      </c>
      <c r="AZ976">
        <v>98</v>
      </c>
      <c r="BA976">
        <v>13</v>
      </c>
      <c r="BB976">
        <v>5</v>
      </c>
      <c r="BC976">
        <v>18</v>
      </c>
      <c r="BD976">
        <v>17</v>
      </c>
      <c r="BE976">
        <v>18</v>
      </c>
      <c r="BF976">
        <v>35</v>
      </c>
      <c r="BG976">
        <v>47</v>
      </c>
      <c r="BH976">
        <v>68</v>
      </c>
      <c r="BI976">
        <v>115</v>
      </c>
      <c r="BJ976">
        <v>38</v>
      </c>
      <c r="BK976">
        <v>14</v>
      </c>
      <c r="BL976">
        <v>52</v>
      </c>
      <c r="BP976">
        <v>52</v>
      </c>
      <c r="BR976">
        <v>59</v>
      </c>
      <c r="BS976">
        <v>6</v>
      </c>
      <c r="BT976">
        <v>33</v>
      </c>
      <c r="BV976">
        <v>9</v>
      </c>
      <c r="BW976">
        <v>159</v>
      </c>
      <c r="BX976">
        <f t="shared" si="114"/>
        <v>116</v>
      </c>
      <c r="BY976" s="5">
        <f t="shared" si="115"/>
        <v>0.37068965517241381</v>
      </c>
      <c r="BZ976" s="6">
        <f t="shared" si="113"/>
        <v>0.37068965517241381</v>
      </c>
      <c r="CA976" s="7">
        <v>41952</v>
      </c>
      <c r="CI976">
        <f t="shared" si="110"/>
        <v>2014</v>
      </c>
      <c r="CJ976" t="str">
        <f t="shared" si="111"/>
        <v>6038_2014</v>
      </c>
    </row>
    <row r="977" spans="1:88" x14ac:dyDescent="0.25">
      <c r="A977" t="s">
        <v>111</v>
      </c>
      <c r="B977" t="s">
        <v>152</v>
      </c>
      <c r="C977">
        <v>6038</v>
      </c>
      <c r="D977">
        <v>-37.650399999999998</v>
      </c>
      <c r="E977">
        <v>145.0581</v>
      </c>
      <c r="F977">
        <v>5</v>
      </c>
      <c r="G977" t="s">
        <v>373</v>
      </c>
      <c r="H977">
        <v>83</v>
      </c>
      <c r="I977">
        <v>263</v>
      </c>
      <c r="J977">
        <v>117</v>
      </c>
      <c r="K977">
        <v>297</v>
      </c>
      <c r="L977">
        <v>158</v>
      </c>
      <c r="M977">
        <v>338</v>
      </c>
      <c r="N977">
        <v>261</v>
      </c>
      <c r="O977">
        <v>81</v>
      </c>
      <c r="P977">
        <v>328</v>
      </c>
      <c r="Q977">
        <v>148</v>
      </c>
      <c r="T977">
        <v>0</v>
      </c>
      <c r="U977">
        <v>10</v>
      </c>
      <c r="V977">
        <v>28</v>
      </c>
      <c r="W977">
        <v>7</v>
      </c>
      <c r="Y977">
        <v>0</v>
      </c>
      <c r="Z977">
        <v>0</v>
      </c>
      <c r="AA977">
        <v>4</v>
      </c>
      <c r="AB977">
        <v>2</v>
      </c>
      <c r="AD977">
        <v>8</v>
      </c>
      <c r="AE977">
        <v>0</v>
      </c>
      <c r="AF977">
        <v>4</v>
      </c>
      <c r="AG977">
        <v>5</v>
      </c>
      <c r="AI977">
        <v>32</v>
      </c>
      <c r="AJ977">
        <v>0</v>
      </c>
      <c r="AK977">
        <v>4</v>
      </c>
      <c r="AL977">
        <v>8</v>
      </c>
      <c r="AN977">
        <v>14</v>
      </c>
      <c r="AO977">
        <v>0</v>
      </c>
      <c r="AP977">
        <v>9</v>
      </c>
      <c r="AQ977">
        <v>2</v>
      </c>
      <c r="AX977">
        <v>45</v>
      </c>
      <c r="AY977">
        <v>54</v>
      </c>
      <c r="AZ977">
        <v>99</v>
      </c>
      <c r="BA977">
        <v>6</v>
      </c>
      <c r="BB977">
        <v>0</v>
      </c>
      <c r="BC977">
        <v>6</v>
      </c>
      <c r="BD977">
        <v>17</v>
      </c>
      <c r="BE977">
        <v>23</v>
      </c>
      <c r="BF977">
        <v>40</v>
      </c>
      <c r="BG977">
        <v>44</v>
      </c>
      <c r="BH977">
        <v>38</v>
      </c>
      <c r="BI977">
        <v>82</v>
      </c>
      <c r="BJ977">
        <v>25</v>
      </c>
      <c r="BK977">
        <v>22</v>
      </c>
      <c r="BL977">
        <v>47</v>
      </c>
      <c r="BP977">
        <v>35</v>
      </c>
      <c r="BR977">
        <v>75</v>
      </c>
      <c r="BS977">
        <v>4</v>
      </c>
      <c r="BT977">
        <v>19</v>
      </c>
      <c r="BV977">
        <v>4</v>
      </c>
      <c r="BW977">
        <v>137</v>
      </c>
      <c r="BX977">
        <f t="shared" si="114"/>
        <v>159</v>
      </c>
      <c r="BY977" s="5">
        <f t="shared" si="115"/>
        <v>-0.13836477987421383</v>
      </c>
      <c r="BZ977" s="6">
        <f t="shared" si="113"/>
        <v>-0.13836477987421383</v>
      </c>
      <c r="CA977" s="7">
        <v>42316</v>
      </c>
      <c r="CE977">
        <v>34</v>
      </c>
      <c r="CF977">
        <v>49</v>
      </c>
      <c r="CG977">
        <v>26</v>
      </c>
      <c r="CH977">
        <v>28</v>
      </c>
      <c r="CI977">
        <f t="shared" si="110"/>
        <v>2015</v>
      </c>
      <c r="CJ977" t="str">
        <f t="shared" si="111"/>
        <v>6038_2015</v>
      </c>
    </row>
    <row r="978" spans="1:88" x14ac:dyDescent="0.25">
      <c r="A978" t="s">
        <v>111</v>
      </c>
      <c r="B978" t="s">
        <v>152</v>
      </c>
      <c r="C978">
        <v>6038</v>
      </c>
      <c r="D978">
        <v>-37.650412000000003</v>
      </c>
      <c r="E978">
        <v>145.058131</v>
      </c>
      <c r="F978">
        <v>5</v>
      </c>
      <c r="G978" t="s">
        <v>373</v>
      </c>
      <c r="H978">
        <v>83</v>
      </c>
      <c r="I978">
        <v>263</v>
      </c>
      <c r="J978">
        <v>117</v>
      </c>
      <c r="K978">
        <v>297</v>
      </c>
      <c r="L978">
        <v>158</v>
      </c>
      <c r="M978">
        <v>338</v>
      </c>
      <c r="N978">
        <v>261</v>
      </c>
      <c r="O978">
        <v>81</v>
      </c>
      <c r="P978">
        <v>328</v>
      </c>
      <c r="Q978">
        <v>148</v>
      </c>
      <c r="T978">
        <v>0</v>
      </c>
      <c r="U978">
        <v>5</v>
      </c>
      <c r="V978">
        <v>35</v>
      </c>
      <c r="W978">
        <v>3</v>
      </c>
      <c r="Y978">
        <v>2</v>
      </c>
      <c r="Z978">
        <v>2</v>
      </c>
      <c r="AA978">
        <v>3</v>
      </c>
      <c r="AB978">
        <v>2</v>
      </c>
      <c r="AD978">
        <v>4</v>
      </c>
      <c r="AE978">
        <v>2</v>
      </c>
      <c r="AF978">
        <v>2</v>
      </c>
      <c r="AG978">
        <v>3</v>
      </c>
      <c r="AI978">
        <v>23</v>
      </c>
      <c r="AJ978">
        <v>6</v>
      </c>
      <c r="AK978">
        <v>10</v>
      </c>
      <c r="AL978">
        <v>7</v>
      </c>
      <c r="AN978">
        <v>7</v>
      </c>
      <c r="AO978">
        <v>0</v>
      </c>
      <c r="AP978">
        <v>3</v>
      </c>
      <c r="AQ978">
        <v>8</v>
      </c>
      <c r="AX978">
        <v>43</v>
      </c>
      <c r="AY978">
        <v>36</v>
      </c>
      <c r="AZ978">
        <v>79</v>
      </c>
      <c r="BA978">
        <v>9</v>
      </c>
      <c r="BB978">
        <v>8</v>
      </c>
      <c r="BC978">
        <v>17</v>
      </c>
      <c r="BD978">
        <v>11</v>
      </c>
      <c r="BE978">
        <v>20</v>
      </c>
      <c r="BF978">
        <v>31</v>
      </c>
      <c r="BG978">
        <v>46</v>
      </c>
      <c r="BH978">
        <v>48</v>
      </c>
      <c r="BI978">
        <v>94</v>
      </c>
      <c r="BJ978">
        <v>18</v>
      </c>
      <c r="BK978">
        <v>15</v>
      </c>
      <c r="BL978">
        <v>33</v>
      </c>
      <c r="BP978">
        <v>36</v>
      </c>
      <c r="BR978">
        <v>54</v>
      </c>
      <c r="BS978">
        <v>5</v>
      </c>
      <c r="BT978">
        <v>28</v>
      </c>
      <c r="BV978">
        <v>4</v>
      </c>
      <c r="BW978">
        <v>127</v>
      </c>
      <c r="BX978">
        <f t="shared" si="114"/>
        <v>137</v>
      </c>
      <c r="BY978" s="5">
        <f t="shared" si="115"/>
        <v>-7.2992700729927001E-2</v>
      </c>
      <c r="BZ978" s="6">
        <f t="shared" si="113"/>
        <v>-7.2992700729927001E-2</v>
      </c>
      <c r="CA978" s="7">
        <v>42715</v>
      </c>
      <c r="CE978">
        <v>43</v>
      </c>
      <c r="CF978">
        <v>31</v>
      </c>
      <c r="CG978">
        <v>25</v>
      </c>
      <c r="CH978">
        <v>28</v>
      </c>
      <c r="CI978">
        <f t="shared" si="110"/>
        <v>2016</v>
      </c>
      <c r="CJ978" t="str">
        <f t="shared" si="111"/>
        <v>6038_2016</v>
      </c>
    </row>
    <row r="979" spans="1:88" x14ac:dyDescent="0.25">
      <c r="A979" t="s">
        <v>111</v>
      </c>
      <c r="B979" t="s">
        <v>152</v>
      </c>
      <c r="C979">
        <v>6038</v>
      </c>
      <c r="D979">
        <v>-37.650412000000003</v>
      </c>
      <c r="E979">
        <v>145.058131</v>
      </c>
      <c r="F979">
        <v>5</v>
      </c>
      <c r="G979" t="s">
        <v>373</v>
      </c>
      <c r="H979">
        <v>83</v>
      </c>
      <c r="I979">
        <v>263</v>
      </c>
      <c r="J979">
        <v>117</v>
      </c>
      <c r="K979">
        <v>297</v>
      </c>
      <c r="L979">
        <v>158</v>
      </c>
      <c r="M979">
        <v>338</v>
      </c>
      <c r="N979">
        <v>261</v>
      </c>
      <c r="O979">
        <v>81</v>
      </c>
      <c r="P979">
        <v>328</v>
      </c>
      <c r="Q979">
        <v>148</v>
      </c>
      <c r="T979">
        <v>1</v>
      </c>
      <c r="U979">
        <v>11</v>
      </c>
      <c r="V979">
        <v>31</v>
      </c>
      <c r="W979">
        <v>8</v>
      </c>
      <c r="Y979">
        <v>1</v>
      </c>
      <c r="Z979">
        <v>0</v>
      </c>
      <c r="AA979">
        <v>0</v>
      </c>
      <c r="AB979">
        <v>0</v>
      </c>
      <c r="AD979">
        <v>5</v>
      </c>
      <c r="AE979">
        <v>3</v>
      </c>
      <c r="AF979">
        <v>15</v>
      </c>
      <c r="AG979">
        <v>3</v>
      </c>
      <c r="AI979">
        <v>22</v>
      </c>
      <c r="AJ979">
        <v>3</v>
      </c>
      <c r="AK979">
        <v>10</v>
      </c>
      <c r="AL979">
        <v>5</v>
      </c>
      <c r="AN979">
        <v>9</v>
      </c>
      <c r="AO979">
        <v>2</v>
      </c>
      <c r="AP979">
        <v>0</v>
      </c>
      <c r="AQ979">
        <v>0</v>
      </c>
      <c r="AX979">
        <v>51</v>
      </c>
      <c r="AY979">
        <v>37</v>
      </c>
      <c r="AZ979">
        <v>88</v>
      </c>
      <c r="BA979">
        <v>1</v>
      </c>
      <c r="BB979">
        <v>9</v>
      </c>
      <c r="BC979">
        <v>10</v>
      </c>
      <c r="BD979">
        <v>26</v>
      </c>
      <c r="BE979">
        <v>21</v>
      </c>
      <c r="BF979">
        <v>47</v>
      </c>
      <c r="BG979">
        <v>40</v>
      </c>
      <c r="BH979">
        <v>46</v>
      </c>
      <c r="BI979">
        <v>86</v>
      </c>
      <c r="BJ979">
        <v>11</v>
      </c>
      <c r="BK979">
        <v>16</v>
      </c>
      <c r="BL979">
        <v>27</v>
      </c>
      <c r="BP979">
        <v>28</v>
      </c>
      <c r="BR979">
        <v>66</v>
      </c>
      <c r="BS979">
        <v>11</v>
      </c>
      <c r="BT979">
        <v>18</v>
      </c>
      <c r="BV979">
        <v>6</v>
      </c>
      <c r="BW979">
        <v>129</v>
      </c>
      <c r="BX979">
        <f t="shared" si="114"/>
        <v>127</v>
      </c>
      <c r="BY979" s="5">
        <f t="shared" si="115"/>
        <v>1.5748031496062992E-2</v>
      </c>
      <c r="BZ979" s="6">
        <f t="shared" si="113"/>
        <v>1.5748031496062992E-2</v>
      </c>
      <c r="CA979" s="7">
        <v>43051</v>
      </c>
      <c r="CE979">
        <v>46</v>
      </c>
      <c r="CF979">
        <v>36</v>
      </c>
      <c r="CG979">
        <v>26</v>
      </c>
      <c r="CH979">
        <v>21</v>
      </c>
      <c r="CI979">
        <f t="shared" si="110"/>
        <v>2017</v>
      </c>
      <c r="CJ979" t="str">
        <f t="shared" si="111"/>
        <v>6038_2017</v>
      </c>
    </row>
    <row r="980" spans="1:88" x14ac:dyDescent="0.25">
      <c r="A980" t="s">
        <v>111</v>
      </c>
      <c r="B980" t="s">
        <v>152</v>
      </c>
      <c r="C980">
        <v>6038</v>
      </c>
      <c r="D980">
        <v>-37.650412000000003</v>
      </c>
      <c r="E980">
        <v>145.058131</v>
      </c>
      <c r="F980">
        <v>5</v>
      </c>
      <c r="G980" t="s">
        <v>373</v>
      </c>
      <c r="H980">
        <v>83</v>
      </c>
      <c r="I980">
        <v>263</v>
      </c>
      <c r="J980">
        <v>117</v>
      </c>
      <c r="K980">
        <v>297</v>
      </c>
      <c r="L980">
        <v>158</v>
      </c>
      <c r="M980">
        <v>338</v>
      </c>
      <c r="N980">
        <v>261</v>
      </c>
      <c r="O980">
        <v>81</v>
      </c>
      <c r="P980">
        <v>328</v>
      </c>
      <c r="Q980">
        <v>148</v>
      </c>
      <c r="T980">
        <v>1</v>
      </c>
      <c r="U980">
        <v>1</v>
      </c>
      <c r="V980">
        <v>20</v>
      </c>
      <c r="W980">
        <v>8</v>
      </c>
      <c r="Y980">
        <v>0</v>
      </c>
      <c r="Z980">
        <v>1</v>
      </c>
      <c r="AA980">
        <v>10</v>
      </c>
      <c r="AB980">
        <v>3</v>
      </c>
      <c r="AD980">
        <v>5</v>
      </c>
      <c r="AE980">
        <v>0</v>
      </c>
      <c r="AF980">
        <v>9</v>
      </c>
      <c r="AG980">
        <v>6</v>
      </c>
      <c r="AI980">
        <v>14</v>
      </c>
      <c r="AJ980">
        <v>4</v>
      </c>
      <c r="AK980">
        <v>2</v>
      </c>
      <c r="AL980">
        <v>3</v>
      </c>
      <c r="AN980">
        <v>7</v>
      </c>
      <c r="AO980">
        <v>2</v>
      </c>
      <c r="AP980">
        <v>6</v>
      </c>
      <c r="AQ980">
        <v>1</v>
      </c>
      <c r="AX980">
        <v>30</v>
      </c>
      <c r="AY980">
        <v>26</v>
      </c>
      <c r="AZ980">
        <v>56</v>
      </c>
      <c r="BA980">
        <v>14</v>
      </c>
      <c r="BB980">
        <v>7</v>
      </c>
      <c r="BC980">
        <v>21</v>
      </c>
      <c r="BD980">
        <v>20</v>
      </c>
      <c r="BE980">
        <v>10</v>
      </c>
      <c r="BF980">
        <v>30</v>
      </c>
      <c r="BG980">
        <v>23</v>
      </c>
      <c r="BH980">
        <v>40</v>
      </c>
      <c r="BI980">
        <v>63</v>
      </c>
      <c r="BJ980">
        <v>16</v>
      </c>
      <c r="BK980">
        <v>20</v>
      </c>
      <c r="BL980">
        <v>36</v>
      </c>
      <c r="BP980">
        <v>38</v>
      </c>
      <c r="BR980">
        <v>52</v>
      </c>
      <c r="BS980">
        <v>1</v>
      </c>
      <c r="BT980">
        <v>6</v>
      </c>
      <c r="BV980">
        <v>6</v>
      </c>
      <c r="BW980">
        <v>103</v>
      </c>
      <c r="BX980">
        <f t="shared" si="114"/>
        <v>129</v>
      </c>
      <c r="BY980" s="5">
        <f t="shared" si="115"/>
        <v>-0.20155038759689922</v>
      </c>
      <c r="BZ980" s="6">
        <f t="shared" si="113"/>
        <v>-0.20155038759689922</v>
      </c>
      <c r="CA980" s="7">
        <v>43415</v>
      </c>
      <c r="CE980">
        <v>35</v>
      </c>
      <c r="CF980">
        <v>23</v>
      </c>
      <c r="CG980">
        <v>32</v>
      </c>
      <c r="CH980">
        <v>13</v>
      </c>
      <c r="CI980">
        <f t="shared" si="110"/>
        <v>2018</v>
      </c>
      <c r="CJ980" t="str">
        <f t="shared" si="111"/>
        <v>6038_2018</v>
      </c>
    </row>
    <row r="981" spans="1:88" x14ac:dyDescent="0.25">
      <c r="A981" t="s">
        <v>111</v>
      </c>
      <c r="B981" t="s">
        <v>152</v>
      </c>
      <c r="C981">
        <v>6038</v>
      </c>
      <c r="D981">
        <v>-37.650399999999998</v>
      </c>
      <c r="E981">
        <v>145.0581</v>
      </c>
      <c r="F981">
        <v>5</v>
      </c>
      <c r="G981" t="s">
        <v>373</v>
      </c>
      <c r="H981">
        <v>83</v>
      </c>
      <c r="I981">
        <v>263</v>
      </c>
      <c r="J981">
        <v>117</v>
      </c>
      <c r="K981">
        <v>297</v>
      </c>
      <c r="L981">
        <v>158</v>
      </c>
      <c r="M981">
        <v>338</v>
      </c>
      <c r="N981">
        <v>261</v>
      </c>
      <c r="O981">
        <v>81</v>
      </c>
      <c r="P981">
        <v>328</v>
      </c>
      <c r="Q981">
        <v>148</v>
      </c>
      <c r="U981">
        <v>8</v>
      </c>
      <c r="V981">
        <v>16</v>
      </c>
      <c r="W981">
        <v>8</v>
      </c>
      <c r="AD981">
        <v>0</v>
      </c>
      <c r="AX981">
        <v>32</v>
      </c>
      <c r="AY981">
        <v>0</v>
      </c>
      <c r="AZ981">
        <v>32</v>
      </c>
      <c r="BD981">
        <v>0</v>
      </c>
      <c r="BE981">
        <v>8</v>
      </c>
      <c r="BF981">
        <v>8</v>
      </c>
      <c r="BP981">
        <v>11</v>
      </c>
      <c r="BR981">
        <v>11</v>
      </c>
      <c r="BS981">
        <v>3</v>
      </c>
      <c r="BT981">
        <v>3</v>
      </c>
      <c r="BV981">
        <v>4</v>
      </c>
      <c r="BW981">
        <v>32</v>
      </c>
      <c r="BX981">
        <f t="shared" si="114"/>
        <v>103</v>
      </c>
      <c r="BY981" s="5">
        <f t="shared" si="115"/>
        <v>-0.68932038834951459</v>
      </c>
      <c r="BZ981" s="6">
        <f t="shared" si="113"/>
        <v>-0.68932038834951459</v>
      </c>
      <c r="CA981" s="7">
        <v>43779</v>
      </c>
      <c r="CE981">
        <v>13</v>
      </c>
      <c r="CF981">
        <v>6</v>
      </c>
      <c r="CG981">
        <v>2</v>
      </c>
      <c r="CH981">
        <v>11</v>
      </c>
      <c r="CI981">
        <f t="shared" si="110"/>
        <v>2019</v>
      </c>
      <c r="CJ981" t="str">
        <f t="shared" si="111"/>
        <v>6038_2019</v>
      </c>
    </row>
    <row r="982" spans="1:88" x14ac:dyDescent="0.25">
      <c r="A982" t="s">
        <v>111</v>
      </c>
      <c r="B982" t="s">
        <v>152</v>
      </c>
      <c r="C982">
        <v>6039</v>
      </c>
      <c r="D982">
        <v>-37.651299999999999</v>
      </c>
      <c r="E982">
        <v>145.05019999999999</v>
      </c>
      <c r="F982">
        <v>4</v>
      </c>
      <c r="G982" t="s">
        <v>374</v>
      </c>
      <c r="H982">
        <v>85</v>
      </c>
      <c r="I982">
        <v>265</v>
      </c>
      <c r="J982">
        <v>166</v>
      </c>
      <c r="K982">
        <v>346</v>
      </c>
      <c r="L982">
        <v>257</v>
      </c>
      <c r="M982">
        <v>77</v>
      </c>
      <c r="N982">
        <v>350</v>
      </c>
      <c r="O982">
        <v>170</v>
      </c>
      <c r="T982">
        <v>8</v>
      </c>
      <c r="U982">
        <v>29</v>
      </c>
      <c r="V982">
        <v>9</v>
      </c>
      <c r="Y982">
        <v>12</v>
      </c>
      <c r="Z982">
        <v>3</v>
      </c>
      <c r="AA982">
        <v>19</v>
      </c>
      <c r="AD982">
        <v>42</v>
      </c>
      <c r="AE982">
        <v>1</v>
      </c>
      <c r="AF982">
        <v>0</v>
      </c>
      <c r="AI982">
        <v>5</v>
      </c>
      <c r="AJ982">
        <v>26</v>
      </c>
      <c r="AK982">
        <v>6</v>
      </c>
      <c r="AX982">
        <v>46</v>
      </c>
      <c r="AY982">
        <v>59</v>
      </c>
      <c r="AZ982">
        <v>105</v>
      </c>
      <c r="BA982">
        <v>34</v>
      </c>
      <c r="BB982">
        <v>35</v>
      </c>
      <c r="BC982">
        <v>69</v>
      </c>
      <c r="BD982">
        <v>43</v>
      </c>
      <c r="BE982">
        <v>38</v>
      </c>
      <c r="BF982">
        <v>81</v>
      </c>
      <c r="BG982">
        <v>37</v>
      </c>
      <c r="BH982">
        <v>28</v>
      </c>
      <c r="BI982">
        <v>65</v>
      </c>
      <c r="BP982">
        <v>47</v>
      </c>
      <c r="BR982">
        <v>77</v>
      </c>
      <c r="BS982">
        <v>4</v>
      </c>
      <c r="BT982">
        <v>26</v>
      </c>
      <c r="BV982">
        <v>6</v>
      </c>
      <c r="BW982">
        <v>160</v>
      </c>
      <c r="BX982" t="s">
        <v>82</v>
      </c>
      <c r="BY982" s="5"/>
      <c r="BZ982" s="6"/>
      <c r="CA982" s="7">
        <v>41224</v>
      </c>
      <c r="CI982">
        <f t="shared" si="110"/>
        <v>2012</v>
      </c>
      <c r="CJ982" t="str">
        <f t="shared" si="111"/>
        <v>6039_2012</v>
      </c>
    </row>
    <row r="983" spans="1:88" x14ac:dyDescent="0.25">
      <c r="A983" t="s">
        <v>111</v>
      </c>
      <c r="B983" t="s">
        <v>138</v>
      </c>
      <c r="C983">
        <v>6040</v>
      </c>
      <c r="D983">
        <v>-37.6922</v>
      </c>
      <c r="E983">
        <v>145.09819999999999</v>
      </c>
      <c r="F983">
        <v>3</v>
      </c>
      <c r="G983" t="s">
        <v>375</v>
      </c>
      <c r="H983">
        <v>19</v>
      </c>
      <c r="I983">
        <v>199</v>
      </c>
      <c r="J983">
        <v>88</v>
      </c>
      <c r="K983">
        <v>268</v>
      </c>
      <c r="L983">
        <v>268</v>
      </c>
      <c r="M983">
        <v>88</v>
      </c>
      <c r="T983">
        <v>8</v>
      </c>
      <c r="U983">
        <v>5</v>
      </c>
      <c r="Y983">
        <v>4</v>
      </c>
      <c r="Z983">
        <v>38</v>
      </c>
      <c r="AD983">
        <v>6</v>
      </c>
      <c r="AE983">
        <v>42</v>
      </c>
      <c r="AX983">
        <v>13</v>
      </c>
      <c r="AY983">
        <v>10</v>
      </c>
      <c r="AZ983">
        <v>23</v>
      </c>
      <c r="BA983">
        <v>42</v>
      </c>
      <c r="BB983">
        <v>50</v>
      </c>
      <c r="BC983">
        <v>92</v>
      </c>
      <c r="BD983">
        <v>48</v>
      </c>
      <c r="BE983">
        <v>43</v>
      </c>
      <c r="BF983">
        <v>91</v>
      </c>
      <c r="BP983">
        <v>78</v>
      </c>
      <c r="BR983">
        <v>15</v>
      </c>
      <c r="BS983">
        <v>4</v>
      </c>
      <c r="BT983">
        <v>5</v>
      </c>
      <c r="BV983">
        <v>1</v>
      </c>
      <c r="BW983">
        <v>103</v>
      </c>
      <c r="BX983" t="s">
        <v>82</v>
      </c>
      <c r="BY983" s="5"/>
      <c r="BZ983" s="6"/>
      <c r="CA983" s="7">
        <v>41224</v>
      </c>
      <c r="CI983">
        <f t="shared" si="110"/>
        <v>2012</v>
      </c>
      <c r="CJ983" t="str">
        <f t="shared" si="111"/>
        <v>6040_2012</v>
      </c>
    </row>
    <row r="984" spans="1:88" x14ac:dyDescent="0.25">
      <c r="A984" t="s">
        <v>111</v>
      </c>
      <c r="B984" t="s">
        <v>138</v>
      </c>
      <c r="C984">
        <v>6040</v>
      </c>
      <c r="D984">
        <v>-37.6922</v>
      </c>
      <c r="E984">
        <v>145.09819999999999</v>
      </c>
      <c r="F984">
        <v>3</v>
      </c>
      <c r="G984" t="s">
        <v>375</v>
      </c>
      <c r="H984">
        <v>19</v>
      </c>
      <c r="I984">
        <v>199</v>
      </c>
      <c r="J984">
        <v>88</v>
      </c>
      <c r="K984">
        <v>268</v>
      </c>
      <c r="L984">
        <v>268</v>
      </c>
      <c r="M984">
        <v>88</v>
      </c>
      <c r="T984">
        <v>1</v>
      </c>
      <c r="U984">
        <v>9</v>
      </c>
      <c r="Y984">
        <v>0</v>
      </c>
      <c r="Z984">
        <v>21</v>
      </c>
      <c r="AD984">
        <v>5</v>
      </c>
      <c r="AE984">
        <v>25</v>
      </c>
      <c r="AX984">
        <v>10</v>
      </c>
      <c r="AY984">
        <v>5</v>
      </c>
      <c r="AZ984">
        <v>15</v>
      </c>
      <c r="BA984">
        <v>21</v>
      </c>
      <c r="BB984">
        <v>26</v>
      </c>
      <c r="BC984">
        <v>47</v>
      </c>
      <c r="BD984">
        <v>30</v>
      </c>
      <c r="BE984">
        <v>30</v>
      </c>
      <c r="BF984">
        <v>60</v>
      </c>
      <c r="BP984">
        <v>34</v>
      </c>
      <c r="BR984">
        <v>9</v>
      </c>
      <c r="BS984">
        <v>10</v>
      </c>
      <c r="BT984">
        <v>8</v>
      </c>
      <c r="BV984">
        <v>0</v>
      </c>
      <c r="BW984">
        <v>61</v>
      </c>
      <c r="BX984" t="str">
        <f>IF(C984=C983,IF((CI984-1)=CI983,BW983,"no data"))</f>
        <v>no data</v>
      </c>
      <c r="BY984" s="5"/>
      <c r="BZ984" s="6"/>
      <c r="CA984" s="7">
        <v>41952</v>
      </c>
      <c r="CI984">
        <f t="shared" si="110"/>
        <v>2014</v>
      </c>
      <c r="CJ984" t="str">
        <f t="shared" si="111"/>
        <v>6040_2014</v>
      </c>
    </row>
    <row r="985" spans="1:88" x14ac:dyDescent="0.25">
      <c r="A985" t="s">
        <v>111</v>
      </c>
      <c r="B985" t="s">
        <v>138</v>
      </c>
      <c r="C985">
        <v>6040</v>
      </c>
      <c r="D985">
        <v>-37.6922</v>
      </c>
      <c r="E985">
        <v>145.09819999999999</v>
      </c>
      <c r="F985">
        <v>3</v>
      </c>
      <c r="G985" t="s">
        <v>375</v>
      </c>
      <c r="H985">
        <v>19</v>
      </c>
      <c r="I985">
        <v>199</v>
      </c>
      <c r="J985">
        <v>88</v>
      </c>
      <c r="K985">
        <v>268</v>
      </c>
      <c r="L985">
        <v>268</v>
      </c>
      <c r="M985">
        <v>88</v>
      </c>
      <c r="T985">
        <v>43</v>
      </c>
      <c r="U985">
        <v>9</v>
      </c>
      <c r="Y985">
        <v>24</v>
      </c>
      <c r="Z985">
        <v>40</v>
      </c>
      <c r="AD985">
        <v>6</v>
      </c>
      <c r="AE985">
        <v>54</v>
      </c>
      <c r="AX985">
        <v>52</v>
      </c>
      <c r="AY985">
        <v>30</v>
      </c>
      <c r="AZ985">
        <v>82</v>
      </c>
      <c r="BA985">
        <v>64</v>
      </c>
      <c r="BB985">
        <v>97</v>
      </c>
      <c r="BC985">
        <v>161</v>
      </c>
      <c r="BD985">
        <v>60</v>
      </c>
      <c r="BE985">
        <v>49</v>
      </c>
      <c r="BF985">
        <v>109</v>
      </c>
      <c r="BP985">
        <v>88</v>
      </c>
      <c r="BR985">
        <v>59</v>
      </c>
      <c r="BS985">
        <v>9</v>
      </c>
      <c r="BT985">
        <v>17</v>
      </c>
      <c r="BV985">
        <v>3</v>
      </c>
      <c r="BW985">
        <v>176</v>
      </c>
      <c r="BX985">
        <f>IF(C985=C984,IF((CI985-1)=CI984,BW984,"no data"))</f>
        <v>61</v>
      </c>
      <c r="BY985" s="5">
        <f t="shared" si="115"/>
        <v>1.8852459016393444</v>
      </c>
      <c r="BZ985" s="6">
        <f t="shared" si="113"/>
        <v>1.8852459016393444</v>
      </c>
      <c r="CA985" s="7">
        <v>42316</v>
      </c>
      <c r="CE985">
        <v>58</v>
      </c>
      <c r="CF985">
        <v>55</v>
      </c>
      <c r="CG985">
        <v>40</v>
      </c>
      <c r="CH985">
        <v>23</v>
      </c>
      <c r="CI985">
        <f t="shared" si="110"/>
        <v>2015</v>
      </c>
      <c r="CJ985" t="str">
        <f t="shared" si="111"/>
        <v>6040_2015</v>
      </c>
    </row>
    <row r="986" spans="1:88" x14ac:dyDescent="0.25">
      <c r="A986" t="s">
        <v>111</v>
      </c>
      <c r="B986" t="s">
        <v>138</v>
      </c>
      <c r="C986">
        <v>6040</v>
      </c>
      <c r="D986">
        <v>-37.692225000000001</v>
      </c>
      <c r="E986">
        <v>145.098176</v>
      </c>
      <c r="F986">
        <v>3</v>
      </c>
      <c r="G986" t="s">
        <v>375</v>
      </c>
      <c r="H986">
        <v>19</v>
      </c>
      <c r="I986">
        <v>199</v>
      </c>
      <c r="J986">
        <v>88</v>
      </c>
      <c r="K986">
        <v>268</v>
      </c>
      <c r="L986">
        <v>268</v>
      </c>
      <c r="M986">
        <v>88</v>
      </c>
      <c r="T986">
        <v>3</v>
      </c>
      <c r="U986">
        <v>3</v>
      </c>
      <c r="Y986">
        <v>1</v>
      </c>
      <c r="Z986">
        <v>13</v>
      </c>
      <c r="AD986">
        <v>2</v>
      </c>
      <c r="AE986">
        <v>11</v>
      </c>
      <c r="AX986">
        <v>6</v>
      </c>
      <c r="AY986">
        <v>3</v>
      </c>
      <c r="AZ986">
        <v>9</v>
      </c>
      <c r="BA986">
        <v>14</v>
      </c>
      <c r="BB986">
        <v>14</v>
      </c>
      <c r="BC986">
        <v>28</v>
      </c>
      <c r="BD986">
        <v>13</v>
      </c>
      <c r="BE986">
        <v>16</v>
      </c>
      <c r="BF986">
        <v>29</v>
      </c>
      <c r="BP986">
        <v>8</v>
      </c>
      <c r="BR986">
        <v>9</v>
      </c>
      <c r="BS986">
        <v>8</v>
      </c>
      <c r="BT986">
        <v>6</v>
      </c>
      <c r="BV986">
        <v>2</v>
      </c>
      <c r="BW986">
        <v>33</v>
      </c>
      <c r="BX986">
        <f>IF(C986=C985,IF((CI986-1)=CI985,BW985,"no data"))</f>
        <v>176</v>
      </c>
      <c r="BY986" s="5">
        <f t="shared" si="115"/>
        <v>-0.8125</v>
      </c>
      <c r="BZ986" s="6">
        <f t="shared" si="113"/>
        <v>-0.8125</v>
      </c>
      <c r="CA986" s="7">
        <v>42687</v>
      </c>
      <c r="CE986">
        <v>4</v>
      </c>
      <c r="CF986">
        <v>9</v>
      </c>
      <c r="CG986">
        <v>6</v>
      </c>
      <c r="CH986">
        <v>14</v>
      </c>
      <c r="CI986">
        <f t="shared" si="110"/>
        <v>2016</v>
      </c>
      <c r="CJ986" t="str">
        <f t="shared" si="111"/>
        <v>6040_2016</v>
      </c>
    </row>
    <row r="987" spans="1:88" x14ac:dyDescent="0.25">
      <c r="A987" t="s">
        <v>111</v>
      </c>
      <c r="B987" t="s">
        <v>138</v>
      </c>
      <c r="C987">
        <v>6040</v>
      </c>
      <c r="D987">
        <v>-37.692225000000001</v>
      </c>
      <c r="E987">
        <v>145.098176</v>
      </c>
      <c r="F987">
        <v>3</v>
      </c>
      <c r="G987" t="s">
        <v>375</v>
      </c>
      <c r="H987">
        <v>19</v>
      </c>
      <c r="I987">
        <v>199</v>
      </c>
      <c r="J987">
        <v>88</v>
      </c>
      <c r="K987">
        <v>268</v>
      </c>
      <c r="L987">
        <v>268</v>
      </c>
      <c r="M987">
        <v>88</v>
      </c>
      <c r="T987">
        <v>1</v>
      </c>
      <c r="U987">
        <v>2</v>
      </c>
      <c r="Y987">
        <v>0</v>
      </c>
      <c r="Z987">
        <v>13</v>
      </c>
      <c r="AD987">
        <v>5</v>
      </c>
      <c r="AE987">
        <v>27</v>
      </c>
      <c r="AX987">
        <v>3</v>
      </c>
      <c r="AY987">
        <v>5</v>
      </c>
      <c r="AZ987">
        <v>8</v>
      </c>
      <c r="BA987">
        <v>13</v>
      </c>
      <c r="BB987">
        <v>28</v>
      </c>
      <c r="BC987">
        <v>41</v>
      </c>
      <c r="BD987">
        <v>32</v>
      </c>
      <c r="BE987">
        <v>15</v>
      </c>
      <c r="BF987">
        <v>47</v>
      </c>
      <c r="BP987">
        <v>32</v>
      </c>
      <c r="BR987">
        <v>10</v>
      </c>
      <c r="BS987">
        <v>3</v>
      </c>
      <c r="BT987">
        <v>3</v>
      </c>
      <c r="BV987">
        <v>0</v>
      </c>
      <c r="BW987">
        <v>48</v>
      </c>
      <c r="BX987">
        <f>IF(C987=C986,IF((CI987-1)=CI986,BW986,"no data"))</f>
        <v>33</v>
      </c>
      <c r="BY987" s="5">
        <f t="shared" si="115"/>
        <v>0.45454545454545453</v>
      </c>
      <c r="BZ987" s="6">
        <f t="shared" si="113"/>
        <v>0.45454545454545453</v>
      </c>
      <c r="CA987" s="7">
        <v>43051</v>
      </c>
      <c r="CE987">
        <v>29</v>
      </c>
      <c r="CF987">
        <v>19</v>
      </c>
      <c r="CG987">
        <v>0</v>
      </c>
      <c r="CH987">
        <v>0</v>
      </c>
      <c r="CI987">
        <f t="shared" si="110"/>
        <v>2017</v>
      </c>
      <c r="CJ987" t="str">
        <f t="shared" si="111"/>
        <v>6040_2017</v>
      </c>
    </row>
    <row r="988" spans="1:88" x14ac:dyDescent="0.25">
      <c r="A988" t="s">
        <v>111</v>
      </c>
      <c r="B988" t="s">
        <v>244</v>
      </c>
      <c r="C988">
        <v>6041</v>
      </c>
      <c r="D988">
        <v>-37.840980000000002</v>
      </c>
      <c r="E988">
        <v>145.120936</v>
      </c>
      <c r="F988">
        <v>3</v>
      </c>
      <c r="G988" t="s">
        <v>376</v>
      </c>
      <c r="H988">
        <v>48</v>
      </c>
      <c r="I988">
        <v>228</v>
      </c>
      <c r="J988">
        <v>104</v>
      </c>
      <c r="K988">
        <v>284</v>
      </c>
      <c r="L988">
        <v>247</v>
      </c>
      <c r="M988">
        <v>67</v>
      </c>
      <c r="T988">
        <v>3</v>
      </c>
      <c r="U988">
        <v>142</v>
      </c>
      <c r="Y988">
        <v>0</v>
      </c>
      <c r="Z988">
        <v>177</v>
      </c>
      <c r="AD988">
        <v>61</v>
      </c>
      <c r="AE988">
        <v>226</v>
      </c>
      <c r="AX988">
        <v>145</v>
      </c>
      <c r="AY988">
        <v>61</v>
      </c>
      <c r="AZ988">
        <v>206</v>
      </c>
      <c r="BA988">
        <v>177</v>
      </c>
      <c r="BB988">
        <v>229</v>
      </c>
      <c r="BC988">
        <v>406</v>
      </c>
      <c r="BD988">
        <v>287</v>
      </c>
      <c r="BE988">
        <v>319</v>
      </c>
      <c r="BF988">
        <v>606</v>
      </c>
      <c r="BP988">
        <v>50</v>
      </c>
      <c r="BR988">
        <v>298</v>
      </c>
      <c r="BS988">
        <v>38</v>
      </c>
      <c r="BT988">
        <v>223</v>
      </c>
      <c r="BV988">
        <v>0</v>
      </c>
      <c r="BW988">
        <v>609</v>
      </c>
      <c r="BX988" t="s">
        <v>82</v>
      </c>
      <c r="BY988" s="5"/>
      <c r="BZ988" s="6"/>
      <c r="CA988" s="7">
        <v>41224</v>
      </c>
      <c r="CI988">
        <f t="shared" si="110"/>
        <v>2012</v>
      </c>
      <c r="CJ988" t="str">
        <f t="shared" si="111"/>
        <v>6041_2012</v>
      </c>
    </row>
    <row r="989" spans="1:88" x14ac:dyDescent="0.25">
      <c r="A989" t="s">
        <v>111</v>
      </c>
      <c r="B989" t="s">
        <v>244</v>
      </c>
      <c r="C989">
        <v>6042</v>
      </c>
      <c r="D989">
        <v>-37.825971000000003</v>
      </c>
      <c r="E989">
        <v>145.136976</v>
      </c>
      <c r="F989">
        <v>4</v>
      </c>
      <c r="G989" t="s">
        <v>377</v>
      </c>
      <c r="H989">
        <v>12</v>
      </c>
      <c r="I989">
        <v>192</v>
      </c>
      <c r="J989">
        <v>92</v>
      </c>
      <c r="K989">
        <v>272</v>
      </c>
      <c r="L989">
        <v>187</v>
      </c>
      <c r="M989">
        <v>7</v>
      </c>
      <c r="N989">
        <v>280</v>
      </c>
      <c r="O989">
        <v>100</v>
      </c>
      <c r="T989">
        <v>8</v>
      </c>
      <c r="U989">
        <v>40</v>
      </c>
      <c r="V989">
        <v>5</v>
      </c>
      <c r="Y989">
        <v>8</v>
      </c>
      <c r="Z989">
        <v>28</v>
      </c>
      <c r="AA989">
        <v>35</v>
      </c>
      <c r="AD989">
        <v>31</v>
      </c>
      <c r="AE989">
        <v>22</v>
      </c>
      <c r="AF989">
        <v>15</v>
      </c>
      <c r="AI989">
        <v>10</v>
      </c>
      <c r="AJ989">
        <v>33</v>
      </c>
      <c r="AK989">
        <v>15</v>
      </c>
      <c r="AX989">
        <v>53</v>
      </c>
      <c r="AY989">
        <v>49</v>
      </c>
      <c r="AZ989">
        <v>102</v>
      </c>
      <c r="BA989">
        <v>71</v>
      </c>
      <c r="BB989">
        <v>63</v>
      </c>
      <c r="BC989">
        <v>134</v>
      </c>
      <c r="BD989">
        <v>68</v>
      </c>
      <c r="BE989">
        <v>83</v>
      </c>
      <c r="BF989">
        <v>151</v>
      </c>
      <c r="BG989">
        <v>58</v>
      </c>
      <c r="BH989">
        <v>55</v>
      </c>
      <c r="BI989">
        <v>113</v>
      </c>
      <c r="BP989">
        <v>99</v>
      </c>
      <c r="BR989">
        <v>112</v>
      </c>
      <c r="BS989">
        <v>27</v>
      </c>
      <c r="BT989">
        <v>11</v>
      </c>
      <c r="BV989">
        <v>1</v>
      </c>
      <c r="BW989">
        <v>250</v>
      </c>
      <c r="BX989" t="s">
        <v>82</v>
      </c>
      <c r="BY989" s="5"/>
      <c r="BZ989" s="6"/>
      <c r="CA989" s="7">
        <v>41224</v>
      </c>
      <c r="CI989">
        <f t="shared" si="110"/>
        <v>2012</v>
      </c>
      <c r="CJ989" t="str">
        <f t="shared" si="111"/>
        <v>6042_2012</v>
      </c>
    </row>
    <row r="990" spans="1:88" x14ac:dyDescent="0.25">
      <c r="A990" t="s">
        <v>111</v>
      </c>
      <c r="B990" t="s">
        <v>244</v>
      </c>
      <c r="C990">
        <v>6042</v>
      </c>
      <c r="D990">
        <v>-37.825971000000003</v>
      </c>
      <c r="E990">
        <v>145.136976</v>
      </c>
      <c r="F990">
        <v>4</v>
      </c>
      <c r="G990" t="s">
        <v>377</v>
      </c>
      <c r="H990">
        <v>12</v>
      </c>
      <c r="I990">
        <v>192</v>
      </c>
      <c r="J990">
        <v>92</v>
      </c>
      <c r="K990">
        <v>272</v>
      </c>
      <c r="L990">
        <v>187</v>
      </c>
      <c r="M990">
        <v>7</v>
      </c>
      <c r="N990">
        <v>280</v>
      </c>
      <c r="O990">
        <v>100</v>
      </c>
      <c r="T990">
        <v>9</v>
      </c>
      <c r="U990">
        <v>12</v>
      </c>
      <c r="V990">
        <v>1</v>
      </c>
      <c r="Y990">
        <v>12</v>
      </c>
      <c r="Z990">
        <v>10</v>
      </c>
      <c r="AA990">
        <v>34</v>
      </c>
      <c r="AD990">
        <v>8</v>
      </c>
      <c r="AE990">
        <v>16</v>
      </c>
      <c r="AF990">
        <v>2</v>
      </c>
      <c r="AI990">
        <v>12</v>
      </c>
      <c r="AJ990">
        <v>34</v>
      </c>
      <c r="AK990">
        <v>0</v>
      </c>
      <c r="AX990">
        <v>22</v>
      </c>
      <c r="AY990">
        <v>32</v>
      </c>
      <c r="AZ990">
        <v>54</v>
      </c>
      <c r="BA990">
        <v>56</v>
      </c>
      <c r="BB990">
        <v>59</v>
      </c>
      <c r="BC990">
        <v>115</v>
      </c>
      <c r="BD990">
        <v>26</v>
      </c>
      <c r="BE990">
        <v>22</v>
      </c>
      <c r="BF990">
        <v>48</v>
      </c>
      <c r="BG990">
        <v>46</v>
      </c>
      <c r="BH990">
        <v>37</v>
      </c>
      <c r="BI990">
        <v>83</v>
      </c>
      <c r="BP990">
        <v>53</v>
      </c>
      <c r="BR990">
        <v>64</v>
      </c>
      <c r="BS990">
        <v>19</v>
      </c>
      <c r="BT990">
        <v>13</v>
      </c>
      <c r="BV990">
        <v>1</v>
      </c>
      <c r="BW990">
        <v>150</v>
      </c>
      <c r="BX990">
        <f>IF(C990=C989,IF((CI990-1)=CI989,BW989,"no data"))</f>
        <v>250</v>
      </c>
      <c r="BY990" s="5">
        <f t="shared" si="115"/>
        <v>-0.4</v>
      </c>
      <c r="BZ990" s="6">
        <f t="shared" si="113"/>
        <v>-0.4</v>
      </c>
      <c r="CA990" s="7">
        <v>41588</v>
      </c>
      <c r="CI990">
        <f t="shared" si="110"/>
        <v>2013</v>
      </c>
      <c r="CJ990" t="str">
        <f t="shared" si="111"/>
        <v>6042_2013</v>
      </c>
    </row>
    <row r="991" spans="1:88" x14ac:dyDescent="0.25">
      <c r="A991" t="s">
        <v>111</v>
      </c>
      <c r="B991" t="s">
        <v>157</v>
      </c>
      <c r="C991">
        <v>6043</v>
      </c>
      <c r="D991">
        <v>-37.918999999999997</v>
      </c>
      <c r="E991">
        <v>144.65870000000001</v>
      </c>
      <c r="F991">
        <v>4</v>
      </c>
      <c r="G991" t="s">
        <v>378</v>
      </c>
      <c r="H991">
        <v>66</v>
      </c>
      <c r="I991">
        <v>246</v>
      </c>
      <c r="J991">
        <v>201</v>
      </c>
      <c r="K991">
        <v>21</v>
      </c>
      <c r="L991">
        <v>247</v>
      </c>
      <c r="M991">
        <v>67</v>
      </c>
      <c r="N991">
        <v>302</v>
      </c>
      <c r="O991">
        <v>122</v>
      </c>
      <c r="U991">
        <v>0</v>
      </c>
      <c r="V991">
        <v>55</v>
      </c>
      <c r="AD991">
        <v>0</v>
      </c>
      <c r="AF991">
        <v>0</v>
      </c>
      <c r="AI991">
        <v>62</v>
      </c>
      <c r="AK991">
        <v>0</v>
      </c>
      <c r="AX991">
        <v>55</v>
      </c>
      <c r="AY991">
        <v>62</v>
      </c>
      <c r="AZ991">
        <v>117</v>
      </c>
      <c r="BD991">
        <v>0</v>
      </c>
      <c r="BE991">
        <v>0</v>
      </c>
      <c r="BF991">
        <v>0</v>
      </c>
      <c r="BG991">
        <v>62</v>
      </c>
      <c r="BH991">
        <v>55</v>
      </c>
      <c r="BI991">
        <v>117</v>
      </c>
      <c r="BP991">
        <v>79</v>
      </c>
      <c r="BR991">
        <v>17</v>
      </c>
      <c r="BS991">
        <v>7</v>
      </c>
      <c r="BT991">
        <v>9</v>
      </c>
      <c r="BV991">
        <v>5</v>
      </c>
      <c r="BW991">
        <v>117</v>
      </c>
      <c r="BX991" t="s">
        <v>82</v>
      </c>
      <c r="BY991" s="5"/>
      <c r="BZ991" s="6"/>
      <c r="CA991" s="7">
        <v>41224</v>
      </c>
      <c r="CI991">
        <f t="shared" si="110"/>
        <v>2012</v>
      </c>
      <c r="CJ991" t="str">
        <f t="shared" si="111"/>
        <v>6043_2012</v>
      </c>
    </row>
    <row r="992" spans="1:88" x14ac:dyDescent="0.25">
      <c r="A992" t="s">
        <v>111</v>
      </c>
      <c r="B992" t="s">
        <v>157</v>
      </c>
      <c r="C992">
        <v>6043</v>
      </c>
      <c r="D992">
        <v>-37.918999999999997</v>
      </c>
      <c r="E992">
        <v>144.65870000000001</v>
      </c>
      <c r="F992">
        <v>4</v>
      </c>
      <c r="G992" t="s">
        <v>378</v>
      </c>
      <c r="H992">
        <v>66</v>
      </c>
      <c r="I992">
        <v>246</v>
      </c>
      <c r="J992">
        <v>201</v>
      </c>
      <c r="K992">
        <v>21</v>
      </c>
      <c r="L992">
        <v>247</v>
      </c>
      <c r="M992">
        <v>67</v>
      </c>
      <c r="N992">
        <v>302</v>
      </c>
      <c r="O992">
        <v>122</v>
      </c>
      <c r="U992">
        <v>1</v>
      </c>
      <c r="V992">
        <v>21</v>
      </c>
      <c r="AD992">
        <v>2</v>
      </c>
      <c r="AF992">
        <v>9</v>
      </c>
      <c r="AI992">
        <v>13</v>
      </c>
      <c r="AK992">
        <v>10</v>
      </c>
      <c r="AX992">
        <v>22</v>
      </c>
      <c r="AY992">
        <v>15</v>
      </c>
      <c r="AZ992">
        <v>37</v>
      </c>
      <c r="BD992">
        <v>11</v>
      </c>
      <c r="BE992">
        <v>11</v>
      </c>
      <c r="BF992">
        <v>22</v>
      </c>
      <c r="BG992">
        <v>23</v>
      </c>
      <c r="BH992">
        <v>30</v>
      </c>
      <c r="BI992">
        <v>53</v>
      </c>
      <c r="BP992">
        <v>24</v>
      </c>
      <c r="BR992">
        <v>18</v>
      </c>
      <c r="BS992">
        <v>5</v>
      </c>
      <c r="BT992">
        <v>7</v>
      </c>
      <c r="BV992">
        <v>2</v>
      </c>
      <c r="BW992">
        <v>56</v>
      </c>
      <c r="BX992">
        <f t="shared" ref="BX992:BX1000" si="116">IF(C992=C991,IF((CI992-1)=CI991,BW991,"no data"))</f>
        <v>117</v>
      </c>
      <c r="BY992" s="5">
        <f t="shared" si="115"/>
        <v>-0.5213675213675214</v>
      </c>
      <c r="BZ992" s="6">
        <f t="shared" si="113"/>
        <v>-0.5213675213675214</v>
      </c>
      <c r="CA992" s="7">
        <v>41588</v>
      </c>
      <c r="CI992">
        <f t="shared" si="110"/>
        <v>2013</v>
      </c>
      <c r="CJ992" t="str">
        <f t="shared" si="111"/>
        <v>6043_2013</v>
      </c>
    </row>
    <row r="993" spans="1:88" x14ac:dyDescent="0.25">
      <c r="A993" t="s">
        <v>111</v>
      </c>
      <c r="B993" t="s">
        <v>157</v>
      </c>
      <c r="C993">
        <v>6043</v>
      </c>
      <c r="D993">
        <v>-37.918999999999997</v>
      </c>
      <c r="E993">
        <v>144.65870000000001</v>
      </c>
      <c r="F993">
        <v>4</v>
      </c>
      <c r="G993" t="s">
        <v>378</v>
      </c>
      <c r="H993">
        <v>66</v>
      </c>
      <c r="I993">
        <v>246</v>
      </c>
      <c r="J993">
        <v>201</v>
      </c>
      <c r="K993">
        <v>21</v>
      </c>
      <c r="L993">
        <v>247</v>
      </c>
      <c r="M993">
        <v>67</v>
      </c>
      <c r="N993">
        <v>302</v>
      </c>
      <c r="O993">
        <v>122</v>
      </c>
      <c r="U993">
        <v>14</v>
      </c>
      <c r="V993">
        <v>58</v>
      </c>
      <c r="AD993">
        <v>33</v>
      </c>
      <c r="AF993">
        <v>9</v>
      </c>
      <c r="AI993">
        <v>35</v>
      </c>
      <c r="AK993">
        <v>2</v>
      </c>
      <c r="AX993">
        <v>72</v>
      </c>
      <c r="AY993">
        <v>68</v>
      </c>
      <c r="AZ993">
        <v>140</v>
      </c>
      <c r="BD993">
        <v>42</v>
      </c>
      <c r="BE993">
        <v>16</v>
      </c>
      <c r="BF993">
        <v>58</v>
      </c>
      <c r="BG993">
        <v>37</v>
      </c>
      <c r="BH993">
        <v>67</v>
      </c>
      <c r="BI993">
        <v>104</v>
      </c>
      <c r="BP993">
        <v>64</v>
      </c>
      <c r="BR993">
        <v>35</v>
      </c>
      <c r="BS993">
        <v>38</v>
      </c>
      <c r="BT993">
        <v>11</v>
      </c>
      <c r="BV993">
        <v>3</v>
      </c>
      <c r="BW993">
        <v>151</v>
      </c>
      <c r="BX993">
        <f t="shared" si="116"/>
        <v>56</v>
      </c>
      <c r="BY993" s="5">
        <f t="shared" si="115"/>
        <v>1.6964285714285714</v>
      </c>
      <c r="BZ993" s="6">
        <f t="shared" si="113"/>
        <v>1.6964285714285714</v>
      </c>
      <c r="CA993" s="7">
        <v>41952</v>
      </c>
      <c r="CI993">
        <f t="shared" si="110"/>
        <v>2014</v>
      </c>
      <c r="CJ993" t="str">
        <f t="shared" si="111"/>
        <v>6043_2014</v>
      </c>
    </row>
    <row r="994" spans="1:88" x14ac:dyDescent="0.25">
      <c r="A994" t="s">
        <v>111</v>
      </c>
      <c r="B994" t="s">
        <v>157</v>
      </c>
      <c r="C994">
        <v>6043</v>
      </c>
      <c r="D994">
        <v>-37.918999999999997</v>
      </c>
      <c r="E994">
        <v>144.65870000000001</v>
      </c>
      <c r="F994">
        <v>4</v>
      </c>
      <c r="G994" t="s">
        <v>378</v>
      </c>
      <c r="H994">
        <v>66</v>
      </c>
      <c r="I994">
        <v>246</v>
      </c>
      <c r="J994">
        <v>201</v>
      </c>
      <c r="K994">
        <v>21</v>
      </c>
      <c r="L994">
        <v>247</v>
      </c>
      <c r="M994">
        <v>67</v>
      </c>
      <c r="N994">
        <v>302</v>
      </c>
      <c r="O994">
        <v>122</v>
      </c>
      <c r="T994">
        <v>9</v>
      </c>
      <c r="U994">
        <v>9</v>
      </c>
      <c r="V994">
        <v>46</v>
      </c>
      <c r="Y994">
        <v>19</v>
      </c>
      <c r="Z994">
        <v>0</v>
      </c>
      <c r="AA994">
        <v>7</v>
      </c>
      <c r="AD994">
        <v>5</v>
      </c>
      <c r="AE994">
        <v>0</v>
      </c>
      <c r="AF994">
        <v>4</v>
      </c>
      <c r="AI994">
        <v>29</v>
      </c>
      <c r="AJ994">
        <v>0</v>
      </c>
      <c r="AK994">
        <v>0</v>
      </c>
      <c r="AX994">
        <v>64</v>
      </c>
      <c r="AY994">
        <v>53</v>
      </c>
      <c r="AZ994">
        <v>117</v>
      </c>
      <c r="BA994">
        <v>26</v>
      </c>
      <c r="BB994">
        <v>9</v>
      </c>
      <c r="BC994">
        <v>35</v>
      </c>
      <c r="BD994">
        <v>9</v>
      </c>
      <c r="BE994">
        <v>9</v>
      </c>
      <c r="BF994">
        <v>18</v>
      </c>
      <c r="BG994">
        <v>29</v>
      </c>
      <c r="BH994">
        <v>57</v>
      </c>
      <c r="BI994">
        <v>86</v>
      </c>
      <c r="BP994">
        <v>92</v>
      </c>
      <c r="BR994">
        <v>25</v>
      </c>
      <c r="BS994">
        <v>3</v>
      </c>
      <c r="BT994">
        <v>6</v>
      </c>
      <c r="BV994">
        <v>2</v>
      </c>
      <c r="BW994">
        <v>128</v>
      </c>
      <c r="BX994">
        <f t="shared" si="116"/>
        <v>151</v>
      </c>
      <c r="BY994" s="5">
        <f t="shared" si="115"/>
        <v>-0.15231788079470199</v>
      </c>
      <c r="BZ994" s="6">
        <f t="shared" si="113"/>
        <v>-0.15231788079470199</v>
      </c>
      <c r="CA994" s="7">
        <v>42316</v>
      </c>
      <c r="CE994">
        <v>34</v>
      </c>
      <c r="CF994">
        <v>43</v>
      </c>
      <c r="CG994">
        <v>33</v>
      </c>
      <c r="CH994">
        <v>18</v>
      </c>
      <c r="CI994">
        <f t="shared" si="110"/>
        <v>2015</v>
      </c>
      <c r="CJ994" t="str">
        <f t="shared" si="111"/>
        <v>6043_2015</v>
      </c>
    </row>
    <row r="995" spans="1:88" x14ac:dyDescent="0.25">
      <c r="A995" t="s">
        <v>111</v>
      </c>
      <c r="B995" t="s">
        <v>157</v>
      </c>
      <c r="C995">
        <v>6043</v>
      </c>
      <c r="D995">
        <v>-37.919029000000002</v>
      </c>
      <c r="E995">
        <v>144.65866199999999</v>
      </c>
      <c r="F995">
        <v>4</v>
      </c>
      <c r="G995" t="s">
        <v>378</v>
      </c>
      <c r="H995">
        <v>66</v>
      </c>
      <c r="I995">
        <v>246</v>
      </c>
      <c r="J995">
        <v>201</v>
      </c>
      <c r="K995">
        <v>21</v>
      </c>
      <c r="L995">
        <v>247</v>
      </c>
      <c r="M995">
        <v>67</v>
      </c>
      <c r="N995">
        <v>302</v>
      </c>
      <c r="O995">
        <v>122</v>
      </c>
      <c r="T995">
        <v>0</v>
      </c>
      <c r="U995">
        <v>1</v>
      </c>
      <c r="V995">
        <v>4</v>
      </c>
      <c r="Y995">
        <v>6</v>
      </c>
      <c r="Z995">
        <v>0</v>
      </c>
      <c r="AA995">
        <v>0</v>
      </c>
      <c r="AD995">
        <v>1</v>
      </c>
      <c r="AE995">
        <v>0</v>
      </c>
      <c r="AF995">
        <v>5</v>
      </c>
      <c r="AI995">
        <v>7</v>
      </c>
      <c r="AJ995">
        <v>0</v>
      </c>
      <c r="AK995">
        <v>0</v>
      </c>
      <c r="AX995">
        <v>5</v>
      </c>
      <c r="AY995">
        <v>14</v>
      </c>
      <c r="AZ995">
        <v>19</v>
      </c>
      <c r="BA995">
        <v>6</v>
      </c>
      <c r="BB995">
        <v>0</v>
      </c>
      <c r="BC995">
        <v>6</v>
      </c>
      <c r="BD995">
        <v>6</v>
      </c>
      <c r="BE995">
        <v>1</v>
      </c>
      <c r="BF995">
        <v>7</v>
      </c>
      <c r="BG995">
        <v>7</v>
      </c>
      <c r="BH995">
        <v>9</v>
      </c>
      <c r="BI995">
        <v>16</v>
      </c>
      <c r="BP995">
        <v>10</v>
      </c>
      <c r="BR995">
        <v>6</v>
      </c>
      <c r="BS995">
        <v>4</v>
      </c>
      <c r="BT995">
        <v>3</v>
      </c>
      <c r="BV995">
        <v>1</v>
      </c>
      <c r="BW995">
        <v>24</v>
      </c>
      <c r="BX995">
        <f t="shared" si="116"/>
        <v>128</v>
      </c>
      <c r="BY995" s="5">
        <f t="shared" si="115"/>
        <v>-0.8125</v>
      </c>
      <c r="BZ995" s="6">
        <f t="shared" si="113"/>
        <v>-0.8125</v>
      </c>
      <c r="CA995" s="7">
        <v>42687</v>
      </c>
      <c r="CE995">
        <v>7</v>
      </c>
      <c r="CF995">
        <v>6</v>
      </c>
      <c r="CG995">
        <v>3</v>
      </c>
      <c r="CH995">
        <v>8</v>
      </c>
      <c r="CI995">
        <f t="shared" si="110"/>
        <v>2016</v>
      </c>
      <c r="CJ995" t="str">
        <f t="shared" si="111"/>
        <v>6043_2016</v>
      </c>
    </row>
    <row r="996" spans="1:88" x14ac:dyDescent="0.25">
      <c r="A996" t="s">
        <v>111</v>
      </c>
      <c r="B996" t="s">
        <v>157</v>
      </c>
      <c r="C996">
        <v>6043</v>
      </c>
      <c r="D996">
        <v>-37.919029000000002</v>
      </c>
      <c r="E996">
        <v>144.65866199999999</v>
      </c>
      <c r="F996">
        <v>4</v>
      </c>
      <c r="G996" t="s">
        <v>378</v>
      </c>
      <c r="H996">
        <v>66</v>
      </c>
      <c r="I996">
        <v>246</v>
      </c>
      <c r="J996">
        <v>201</v>
      </c>
      <c r="K996">
        <v>21</v>
      </c>
      <c r="L996">
        <v>247</v>
      </c>
      <c r="M996">
        <v>67</v>
      </c>
      <c r="N996">
        <v>302</v>
      </c>
      <c r="O996">
        <v>122</v>
      </c>
      <c r="T996">
        <v>5</v>
      </c>
      <c r="U996">
        <v>0</v>
      </c>
      <c r="V996">
        <v>43</v>
      </c>
      <c r="Y996">
        <v>0</v>
      </c>
      <c r="Z996">
        <v>0</v>
      </c>
      <c r="AA996">
        <v>4</v>
      </c>
      <c r="AD996">
        <v>1</v>
      </c>
      <c r="AE996">
        <v>0</v>
      </c>
      <c r="AF996">
        <v>0</v>
      </c>
      <c r="AI996">
        <v>29</v>
      </c>
      <c r="AJ996">
        <v>2</v>
      </c>
      <c r="AK996">
        <v>0</v>
      </c>
      <c r="AX996">
        <v>48</v>
      </c>
      <c r="AY996">
        <v>30</v>
      </c>
      <c r="AZ996">
        <v>78</v>
      </c>
      <c r="BA996">
        <v>4</v>
      </c>
      <c r="BB996">
        <v>7</v>
      </c>
      <c r="BC996">
        <v>11</v>
      </c>
      <c r="BD996">
        <v>1</v>
      </c>
      <c r="BE996">
        <v>0</v>
      </c>
      <c r="BF996">
        <v>1</v>
      </c>
      <c r="BG996">
        <v>31</v>
      </c>
      <c r="BH996">
        <v>47</v>
      </c>
      <c r="BI996">
        <v>78</v>
      </c>
      <c r="BP996">
        <v>49</v>
      </c>
      <c r="BR996">
        <v>18</v>
      </c>
      <c r="BS996">
        <v>4</v>
      </c>
      <c r="BT996">
        <v>10</v>
      </c>
      <c r="BV996">
        <v>3</v>
      </c>
      <c r="BW996">
        <v>84</v>
      </c>
      <c r="BX996">
        <f t="shared" si="116"/>
        <v>24</v>
      </c>
      <c r="BY996" s="5">
        <f t="shared" si="115"/>
        <v>2.5</v>
      </c>
      <c r="BZ996" s="6">
        <f t="shared" si="113"/>
        <v>2.5</v>
      </c>
      <c r="CA996" s="7">
        <v>43051</v>
      </c>
      <c r="CE996">
        <v>15</v>
      </c>
      <c r="CF996">
        <v>15</v>
      </c>
      <c r="CG996">
        <v>25</v>
      </c>
      <c r="CH996">
        <v>29</v>
      </c>
      <c r="CI996">
        <f t="shared" si="110"/>
        <v>2017</v>
      </c>
      <c r="CJ996" t="str">
        <f t="shared" si="111"/>
        <v>6043_2017</v>
      </c>
    </row>
    <row r="997" spans="1:88" x14ac:dyDescent="0.25">
      <c r="A997" t="s">
        <v>111</v>
      </c>
      <c r="B997" t="s">
        <v>157</v>
      </c>
      <c r="C997">
        <v>6043</v>
      </c>
      <c r="D997">
        <v>-37.919029000000002</v>
      </c>
      <c r="E997">
        <v>144.65866199999999</v>
      </c>
      <c r="F997">
        <v>4</v>
      </c>
      <c r="G997" t="s">
        <v>378</v>
      </c>
      <c r="H997">
        <v>66</v>
      </c>
      <c r="I997">
        <v>246</v>
      </c>
      <c r="J997">
        <v>201</v>
      </c>
      <c r="K997">
        <v>21</v>
      </c>
      <c r="L997">
        <v>247</v>
      </c>
      <c r="M997">
        <v>67</v>
      </c>
      <c r="N997">
        <v>302</v>
      </c>
      <c r="O997">
        <v>122</v>
      </c>
      <c r="T997">
        <v>7</v>
      </c>
      <c r="U997">
        <v>2</v>
      </c>
      <c r="V997">
        <v>48</v>
      </c>
      <c r="Y997">
        <v>2</v>
      </c>
      <c r="Z997">
        <v>0</v>
      </c>
      <c r="AA997">
        <v>0</v>
      </c>
      <c r="AD997">
        <v>2</v>
      </c>
      <c r="AE997">
        <v>0</v>
      </c>
      <c r="AF997">
        <v>2</v>
      </c>
      <c r="AI997">
        <v>30</v>
      </c>
      <c r="AJ997">
        <v>4</v>
      </c>
      <c r="AK997">
        <v>0</v>
      </c>
      <c r="AX997">
        <v>57</v>
      </c>
      <c r="AY997">
        <v>34</v>
      </c>
      <c r="AZ997">
        <v>91</v>
      </c>
      <c r="BA997">
        <v>2</v>
      </c>
      <c r="BB997">
        <v>11</v>
      </c>
      <c r="BC997">
        <v>13</v>
      </c>
      <c r="BD997">
        <v>4</v>
      </c>
      <c r="BE997">
        <v>2</v>
      </c>
      <c r="BF997">
        <v>6</v>
      </c>
      <c r="BG997">
        <v>34</v>
      </c>
      <c r="BH997">
        <v>50</v>
      </c>
      <c r="BI997">
        <v>84</v>
      </c>
      <c r="BP997">
        <v>63</v>
      </c>
      <c r="BR997">
        <v>15</v>
      </c>
      <c r="BS997">
        <v>9</v>
      </c>
      <c r="BT997">
        <v>9</v>
      </c>
      <c r="BV997">
        <v>1</v>
      </c>
      <c r="BW997">
        <v>97</v>
      </c>
      <c r="BX997">
        <f t="shared" si="116"/>
        <v>84</v>
      </c>
      <c r="BY997" s="5">
        <f t="shared" si="115"/>
        <v>0.15476190476190477</v>
      </c>
      <c r="BZ997" s="6">
        <f t="shared" si="113"/>
        <v>0.15476190476190477</v>
      </c>
      <c r="CA997" s="7">
        <v>43415</v>
      </c>
      <c r="CE997">
        <v>37</v>
      </c>
      <c r="CF997">
        <v>16</v>
      </c>
      <c r="CG997">
        <v>24</v>
      </c>
      <c r="CH997">
        <v>20</v>
      </c>
      <c r="CI997">
        <f t="shared" si="110"/>
        <v>2018</v>
      </c>
      <c r="CJ997" t="str">
        <f t="shared" si="111"/>
        <v>6043_2018</v>
      </c>
    </row>
    <row r="998" spans="1:88" x14ac:dyDescent="0.25">
      <c r="A998" t="s">
        <v>111</v>
      </c>
      <c r="B998" t="s">
        <v>157</v>
      </c>
      <c r="C998">
        <v>6043</v>
      </c>
      <c r="D998">
        <v>-37.918999999999997</v>
      </c>
      <c r="E998">
        <v>144.65870000000001</v>
      </c>
      <c r="F998">
        <v>4</v>
      </c>
      <c r="G998" t="s">
        <v>378</v>
      </c>
      <c r="H998">
        <v>66</v>
      </c>
      <c r="I998">
        <v>246</v>
      </c>
      <c r="J998">
        <v>201</v>
      </c>
      <c r="K998">
        <v>21</v>
      </c>
      <c r="L998">
        <v>247</v>
      </c>
      <c r="M998">
        <v>67</v>
      </c>
      <c r="N998">
        <v>302</v>
      </c>
      <c r="O998">
        <v>122</v>
      </c>
      <c r="T998">
        <v>1</v>
      </c>
      <c r="U998">
        <v>6</v>
      </c>
      <c r="V998">
        <v>32</v>
      </c>
      <c r="Y998">
        <v>3</v>
      </c>
      <c r="Z998">
        <v>0</v>
      </c>
      <c r="AA998">
        <v>0</v>
      </c>
      <c r="AD998">
        <v>1</v>
      </c>
      <c r="AE998">
        <v>0</v>
      </c>
      <c r="AF998">
        <v>8</v>
      </c>
      <c r="AI998">
        <v>14</v>
      </c>
      <c r="AJ998">
        <v>0</v>
      </c>
      <c r="AK998">
        <v>4</v>
      </c>
      <c r="AX998">
        <v>39</v>
      </c>
      <c r="AY998">
        <v>18</v>
      </c>
      <c r="AZ998">
        <v>57</v>
      </c>
      <c r="BA998">
        <v>3</v>
      </c>
      <c r="BB998">
        <v>1</v>
      </c>
      <c r="BC998">
        <v>4</v>
      </c>
      <c r="BD998">
        <v>9</v>
      </c>
      <c r="BE998">
        <v>10</v>
      </c>
      <c r="BF998">
        <v>19</v>
      </c>
      <c r="BG998">
        <v>18</v>
      </c>
      <c r="BH998">
        <v>40</v>
      </c>
      <c r="BI998">
        <v>58</v>
      </c>
      <c r="BP998">
        <v>25</v>
      </c>
      <c r="BR998">
        <v>28</v>
      </c>
      <c r="BS998">
        <v>4</v>
      </c>
      <c r="BT998">
        <v>10</v>
      </c>
      <c r="BV998">
        <v>2</v>
      </c>
      <c r="BW998">
        <v>69</v>
      </c>
      <c r="BX998">
        <f t="shared" si="116"/>
        <v>97</v>
      </c>
      <c r="BY998" s="5">
        <f t="shared" si="115"/>
        <v>-0.28865979381443296</v>
      </c>
      <c r="BZ998" s="6">
        <f t="shared" si="113"/>
        <v>-0.28865979381443296</v>
      </c>
      <c r="CA998" s="7">
        <v>43779</v>
      </c>
      <c r="CE998">
        <v>30</v>
      </c>
      <c r="CF998">
        <v>15</v>
      </c>
      <c r="CG998">
        <v>16</v>
      </c>
      <c r="CH998">
        <v>8</v>
      </c>
      <c r="CI998">
        <f t="shared" si="110"/>
        <v>2019</v>
      </c>
      <c r="CJ998" t="str">
        <f t="shared" si="111"/>
        <v>6043_2019</v>
      </c>
    </row>
    <row r="999" spans="1:88" x14ac:dyDescent="0.25">
      <c r="A999" t="s">
        <v>111</v>
      </c>
      <c r="B999" t="s">
        <v>157</v>
      </c>
      <c r="C999">
        <v>6043</v>
      </c>
      <c r="D999">
        <v>-37.919029000000002</v>
      </c>
      <c r="E999">
        <v>144.65866199999999</v>
      </c>
      <c r="F999">
        <v>4</v>
      </c>
      <c r="G999" t="s">
        <v>378</v>
      </c>
      <c r="H999">
        <v>66</v>
      </c>
      <c r="I999">
        <v>246</v>
      </c>
      <c r="J999">
        <v>201</v>
      </c>
      <c r="K999">
        <v>21</v>
      </c>
      <c r="L999">
        <v>247</v>
      </c>
      <c r="M999">
        <v>67</v>
      </c>
      <c r="N999">
        <v>302</v>
      </c>
      <c r="O999">
        <v>122</v>
      </c>
      <c r="T999">
        <v>4</v>
      </c>
      <c r="U999">
        <v>10</v>
      </c>
      <c r="V999">
        <v>24</v>
      </c>
      <c r="Y999">
        <v>1</v>
      </c>
      <c r="Z999">
        <v>0</v>
      </c>
      <c r="AA999">
        <v>2</v>
      </c>
      <c r="AD999">
        <v>7</v>
      </c>
      <c r="AE999">
        <v>0</v>
      </c>
      <c r="AF999">
        <v>3</v>
      </c>
      <c r="AI999">
        <v>21</v>
      </c>
      <c r="AJ999">
        <v>0</v>
      </c>
      <c r="AK999">
        <v>8</v>
      </c>
      <c r="AX999">
        <v>38</v>
      </c>
      <c r="AY999">
        <v>29</v>
      </c>
      <c r="AZ999">
        <v>67</v>
      </c>
      <c r="BA999">
        <v>3</v>
      </c>
      <c r="BB999">
        <v>4</v>
      </c>
      <c r="BC999">
        <v>7</v>
      </c>
      <c r="BD999">
        <v>10</v>
      </c>
      <c r="BE999">
        <v>18</v>
      </c>
      <c r="BF999">
        <v>28</v>
      </c>
      <c r="BG999">
        <v>29</v>
      </c>
      <c r="BH999">
        <v>29</v>
      </c>
      <c r="BI999">
        <v>58</v>
      </c>
      <c r="BP999">
        <v>42</v>
      </c>
      <c r="BR999">
        <v>20</v>
      </c>
      <c r="BS999">
        <v>7</v>
      </c>
      <c r="BT999">
        <v>11</v>
      </c>
      <c r="BV999">
        <v>0</v>
      </c>
      <c r="BW999">
        <v>80</v>
      </c>
      <c r="BX999" t="str">
        <f t="shared" si="116"/>
        <v>no data</v>
      </c>
      <c r="BY999" s="5"/>
      <c r="BZ999" s="6"/>
      <c r="CA999" s="7">
        <v>44542</v>
      </c>
      <c r="CE999">
        <v>25</v>
      </c>
      <c r="CF999">
        <v>33</v>
      </c>
      <c r="CG999">
        <v>22</v>
      </c>
      <c r="CI999">
        <f t="shared" si="110"/>
        <v>2021</v>
      </c>
      <c r="CJ999" t="str">
        <f t="shared" si="111"/>
        <v>6043_2021</v>
      </c>
    </row>
    <row r="1000" spans="1:88" x14ac:dyDescent="0.25">
      <c r="A1000" t="s">
        <v>111</v>
      </c>
      <c r="B1000" t="s">
        <v>157</v>
      </c>
      <c r="C1000">
        <v>6043</v>
      </c>
      <c r="D1000">
        <v>-37.919029000000002</v>
      </c>
      <c r="E1000">
        <v>144.65866199999999</v>
      </c>
      <c r="F1000">
        <v>4</v>
      </c>
      <c r="G1000" t="s">
        <v>378</v>
      </c>
      <c r="H1000">
        <v>66</v>
      </c>
      <c r="I1000">
        <v>246</v>
      </c>
      <c r="J1000">
        <v>201</v>
      </c>
      <c r="K1000">
        <v>21</v>
      </c>
      <c r="L1000">
        <v>247</v>
      </c>
      <c r="M1000">
        <v>67</v>
      </c>
      <c r="N1000">
        <v>302</v>
      </c>
      <c r="O1000">
        <v>122</v>
      </c>
      <c r="T1000">
        <v>5</v>
      </c>
      <c r="U1000">
        <v>4</v>
      </c>
      <c r="V1000">
        <v>20</v>
      </c>
      <c r="Y1000">
        <v>3</v>
      </c>
      <c r="Z1000">
        <v>0</v>
      </c>
      <c r="AA1000">
        <v>1</v>
      </c>
      <c r="AD1000">
        <v>4</v>
      </c>
      <c r="AE1000">
        <v>0</v>
      </c>
      <c r="AF1000">
        <v>2</v>
      </c>
      <c r="AI1000">
        <v>15</v>
      </c>
      <c r="AJ1000">
        <v>0</v>
      </c>
      <c r="AK1000">
        <v>1</v>
      </c>
      <c r="AX1000">
        <v>29</v>
      </c>
      <c r="AY1000">
        <v>22</v>
      </c>
      <c r="AZ1000">
        <v>51</v>
      </c>
      <c r="BA1000">
        <v>4</v>
      </c>
      <c r="BB1000">
        <v>5</v>
      </c>
      <c r="BC1000">
        <v>9</v>
      </c>
      <c r="BD1000">
        <v>6</v>
      </c>
      <c r="BE1000">
        <v>5</v>
      </c>
      <c r="BF1000">
        <v>11</v>
      </c>
      <c r="BG1000">
        <v>16</v>
      </c>
      <c r="BH1000">
        <v>23</v>
      </c>
      <c r="BI1000">
        <v>39</v>
      </c>
      <c r="BP1000">
        <v>17</v>
      </c>
      <c r="BR1000">
        <v>23</v>
      </c>
      <c r="BS1000">
        <v>12</v>
      </c>
      <c r="BT1000">
        <v>1</v>
      </c>
      <c r="BU1000">
        <v>0</v>
      </c>
      <c r="BV1000">
        <v>2</v>
      </c>
      <c r="BW1000">
        <v>55</v>
      </c>
      <c r="BX1000">
        <f t="shared" si="116"/>
        <v>80</v>
      </c>
      <c r="BY1000" s="5">
        <f t="shared" si="115"/>
        <v>-0.3125</v>
      </c>
      <c r="BZ1000" s="6">
        <f t="shared" si="113"/>
        <v>-0.3125</v>
      </c>
      <c r="CA1000" s="7">
        <v>44878</v>
      </c>
      <c r="CE1000">
        <v>22</v>
      </c>
      <c r="CF1000">
        <v>12</v>
      </c>
      <c r="CG1000">
        <v>21</v>
      </c>
      <c r="CI1000">
        <f t="shared" si="110"/>
        <v>2022</v>
      </c>
      <c r="CJ1000" t="str">
        <f t="shared" si="111"/>
        <v>6043_2022</v>
      </c>
    </row>
    <row r="1001" spans="1:88" x14ac:dyDescent="0.25">
      <c r="A1001" t="s">
        <v>79</v>
      </c>
      <c r="B1001" t="s">
        <v>305</v>
      </c>
      <c r="C1001">
        <v>6047</v>
      </c>
      <c r="D1001">
        <v>-32.9255</v>
      </c>
      <c r="E1001">
        <v>151.63730000000001</v>
      </c>
      <c r="F1001">
        <v>3</v>
      </c>
      <c r="G1001" t="s">
        <v>379</v>
      </c>
      <c r="H1001">
        <v>23</v>
      </c>
      <c r="I1001">
        <v>203</v>
      </c>
      <c r="J1001">
        <v>111</v>
      </c>
      <c r="K1001">
        <v>291</v>
      </c>
      <c r="L1001">
        <v>195</v>
      </c>
      <c r="M1001">
        <v>15</v>
      </c>
      <c r="T1001">
        <v>0</v>
      </c>
      <c r="U1001">
        <v>34</v>
      </c>
      <c r="Y1001">
        <v>0</v>
      </c>
      <c r="Z1001">
        <v>0</v>
      </c>
      <c r="AD1001">
        <v>30</v>
      </c>
      <c r="AE1001">
        <v>0</v>
      </c>
      <c r="AX1001">
        <v>34</v>
      </c>
      <c r="AY1001">
        <v>30</v>
      </c>
      <c r="AZ1001">
        <v>64</v>
      </c>
      <c r="BA1001">
        <v>0</v>
      </c>
      <c r="BB1001">
        <v>0</v>
      </c>
      <c r="BC1001">
        <v>0</v>
      </c>
      <c r="BD1001">
        <v>30</v>
      </c>
      <c r="BE1001">
        <v>34</v>
      </c>
      <c r="BF1001">
        <v>64</v>
      </c>
      <c r="BP1001">
        <v>30</v>
      </c>
      <c r="BR1001">
        <v>30</v>
      </c>
      <c r="BS1001">
        <v>3</v>
      </c>
      <c r="BT1001">
        <v>1</v>
      </c>
      <c r="BV1001">
        <v>0</v>
      </c>
      <c r="BW1001">
        <v>64</v>
      </c>
      <c r="BX1001" t="s">
        <v>82</v>
      </c>
      <c r="BY1001" s="5"/>
      <c r="BZ1001" s="6"/>
      <c r="CA1001" s="7">
        <v>41588</v>
      </c>
      <c r="CI1001">
        <f t="shared" si="110"/>
        <v>2013</v>
      </c>
      <c r="CJ1001" t="str">
        <f t="shared" si="111"/>
        <v>6047_2013</v>
      </c>
    </row>
    <row r="1002" spans="1:88" x14ac:dyDescent="0.25">
      <c r="A1002" t="s">
        <v>79</v>
      </c>
      <c r="B1002" t="s">
        <v>305</v>
      </c>
      <c r="C1002">
        <v>6047</v>
      </c>
      <c r="D1002">
        <v>-32.9255</v>
      </c>
      <c r="E1002">
        <v>151.63730000000001</v>
      </c>
      <c r="F1002">
        <v>3</v>
      </c>
      <c r="G1002" t="s">
        <v>379</v>
      </c>
      <c r="H1002">
        <v>23</v>
      </c>
      <c r="I1002">
        <v>203</v>
      </c>
      <c r="J1002">
        <v>111</v>
      </c>
      <c r="K1002">
        <v>291</v>
      </c>
      <c r="L1002">
        <v>195</v>
      </c>
      <c r="M1002">
        <v>15</v>
      </c>
      <c r="T1002">
        <v>0</v>
      </c>
      <c r="U1002">
        <v>44</v>
      </c>
      <c r="Y1002">
        <v>0</v>
      </c>
      <c r="Z1002">
        <v>0</v>
      </c>
      <c r="AD1002">
        <v>30</v>
      </c>
      <c r="AE1002">
        <v>0</v>
      </c>
      <c r="AX1002">
        <v>44</v>
      </c>
      <c r="AY1002">
        <v>30</v>
      </c>
      <c r="AZ1002">
        <v>74</v>
      </c>
      <c r="BA1002">
        <v>0</v>
      </c>
      <c r="BB1002">
        <v>0</v>
      </c>
      <c r="BC1002">
        <v>0</v>
      </c>
      <c r="BD1002">
        <v>30</v>
      </c>
      <c r="BE1002">
        <v>44</v>
      </c>
      <c r="BF1002">
        <v>74</v>
      </c>
      <c r="BP1002">
        <v>49</v>
      </c>
      <c r="BR1002">
        <v>17</v>
      </c>
      <c r="BS1002">
        <v>1</v>
      </c>
      <c r="BT1002">
        <v>4</v>
      </c>
      <c r="BV1002">
        <v>3</v>
      </c>
      <c r="BW1002">
        <v>74</v>
      </c>
      <c r="BX1002">
        <f>IF(C1002=C1001,IF((CI1002-1)=CI1001,BW1001,"no data"))</f>
        <v>64</v>
      </c>
      <c r="BY1002" s="5">
        <f t="shared" si="115"/>
        <v>0.15625</v>
      </c>
      <c r="BZ1002" s="6">
        <f t="shared" si="113"/>
        <v>0.15625</v>
      </c>
      <c r="CA1002" s="7">
        <v>41952</v>
      </c>
      <c r="CI1002">
        <f t="shared" si="110"/>
        <v>2014</v>
      </c>
      <c r="CJ1002" t="str">
        <f t="shared" si="111"/>
        <v>6047_2014</v>
      </c>
    </row>
    <row r="1003" spans="1:88" x14ac:dyDescent="0.25">
      <c r="A1003" t="s">
        <v>79</v>
      </c>
      <c r="B1003" t="s">
        <v>305</v>
      </c>
      <c r="C1003">
        <v>6047</v>
      </c>
      <c r="D1003">
        <v>-32.9255</v>
      </c>
      <c r="E1003">
        <v>151.63730000000001</v>
      </c>
      <c r="F1003">
        <v>3</v>
      </c>
      <c r="G1003" t="s">
        <v>379</v>
      </c>
      <c r="H1003">
        <v>23</v>
      </c>
      <c r="I1003">
        <v>203</v>
      </c>
      <c r="J1003">
        <v>111</v>
      </c>
      <c r="K1003">
        <v>291</v>
      </c>
      <c r="L1003">
        <v>195</v>
      </c>
      <c r="M1003">
        <v>15</v>
      </c>
      <c r="T1003">
        <v>0</v>
      </c>
      <c r="U1003">
        <v>36</v>
      </c>
      <c r="Y1003">
        <v>0</v>
      </c>
      <c r="Z1003">
        <v>0</v>
      </c>
      <c r="AD1003">
        <v>43</v>
      </c>
      <c r="AE1003">
        <v>0</v>
      </c>
      <c r="AX1003">
        <v>36</v>
      </c>
      <c r="AY1003">
        <v>43</v>
      </c>
      <c r="AZ1003">
        <v>79</v>
      </c>
      <c r="BA1003">
        <v>0</v>
      </c>
      <c r="BB1003">
        <v>0</v>
      </c>
      <c r="BC1003">
        <v>0</v>
      </c>
      <c r="BD1003">
        <v>43</v>
      </c>
      <c r="BE1003">
        <v>36</v>
      </c>
      <c r="BF1003">
        <v>79</v>
      </c>
      <c r="BP1003">
        <v>38</v>
      </c>
      <c r="BR1003">
        <v>31</v>
      </c>
      <c r="BS1003">
        <v>0</v>
      </c>
      <c r="BT1003">
        <v>6</v>
      </c>
      <c r="BV1003">
        <v>4</v>
      </c>
      <c r="BW1003">
        <v>79</v>
      </c>
      <c r="BX1003">
        <f>IF(C1003=C1002,IF((CI1003-1)=CI1002,BW1002,"no data"))</f>
        <v>74</v>
      </c>
      <c r="BY1003" s="5">
        <f t="shared" si="115"/>
        <v>6.7567567567567571E-2</v>
      </c>
      <c r="BZ1003" s="6">
        <f t="shared" si="113"/>
        <v>6.7567567567567571E-2</v>
      </c>
      <c r="CA1003" s="7">
        <v>42316</v>
      </c>
      <c r="CE1003">
        <v>35</v>
      </c>
      <c r="CF1003">
        <v>2</v>
      </c>
      <c r="CG1003">
        <v>26</v>
      </c>
      <c r="CH1003">
        <v>16</v>
      </c>
      <c r="CI1003">
        <f t="shared" si="110"/>
        <v>2015</v>
      </c>
      <c r="CJ1003" t="str">
        <f t="shared" si="111"/>
        <v>6047_2015</v>
      </c>
    </row>
    <row r="1004" spans="1:88" x14ac:dyDescent="0.25">
      <c r="A1004" t="s">
        <v>79</v>
      </c>
      <c r="B1004" t="s">
        <v>305</v>
      </c>
      <c r="C1004">
        <v>6047</v>
      </c>
      <c r="D1004">
        <v>-32.925462000000003</v>
      </c>
      <c r="E1004">
        <v>151.63732200000001</v>
      </c>
      <c r="F1004">
        <v>3</v>
      </c>
      <c r="G1004" t="s">
        <v>379</v>
      </c>
      <c r="H1004">
        <v>23</v>
      </c>
      <c r="I1004">
        <v>203</v>
      </c>
      <c r="J1004">
        <v>111</v>
      </c>
      <c r="K1004">
        <v>291</v>
      </c>
      <c r="L1004">
        <v>195</v>
      </c>
      <c r="M1004">
        <v>15</v>
      </c>
      <c r="T1004">
        <v>0</v>
      </c>
      <c r="U1004">
        <v>37</v>
      </c>
      <c r="Y1004">
        <v>0</v>
      </c>
      <c r="Z1004">
        <v>0</v>
      </c>
      <c r="AD1004">
        <v>33</v>
      </c>
      <c r="AE1004">
        <v>0</v>
      </c>
      <c r="AX1004">
        <v>37</v>
      </c>
      <c r="AY1004">
        <v>33</v>
      </c>
      <c r="AZ1004">
        <v>70</v>
      </c>
      <c r="BA1004">
        <v>0</v>
      </c>
      <c r="BB1004">
        <v>0</v>
      </c>
      <c r="BC1004">
        <v>0</v>
      </c>
      <c r="BD1004">
        <v>33</v>
      </c>
      <c r="BE1004">
        <v>37</v>
      </c>
      <c r="BF1004">
        <v>70</v>
      </c>
      <c r="BP1004">
        <v>52</v>
      </c>
      <c r="BR1004">
        <v>9</v>
      </c>
      <c r="BS1004">
        <v>0</v>
      </c>
      <c r="BT1004">
        <v>6</v>
      </c>
      <c r="BV1004">
        <v>3</v>
      </c>
      <c r="BW1004">
        <v>70</v>
      </c>
      <c r="BX1004">
        <f>IF(C1004=C1003,IF((CI1004-1)=CI1003,BW1003,"no data"))</f>
        <v>79</v>
      </c>
      <c r="BY1004" s="5">
        <f t="shared" si="115"/>
        <v>-0.11392405063291139</v>
      </c>
      <c r="BZ1004" s="6">
        <f t="shared" si="113"/>
        <v>-0.11392405063291139</v>
      </c>
      <c r="CA1004" s="7">
        <v>42687</v>
      </c>
      <c r="CE1004">
        <v>34</v>
      </c>
      <c r="CF1004">
        <v>21</v>
      </c>
      <c r="CG1004">
        <v>8</v>
      </c>
      <c r="CH1004">
        <v>7</v>
      </c>
      <c r="CI1004">
        <f t="shared" si="110"/>
        <v>2016</v>
      </c>
      <c r="CJ1004" t="str">
        <f t="shared" si="111"/>
        <v>6047_2016</v>
      </c>
    </row>
    <row r="1005" spans="1:88" x14ac:dyDescent="0.25">
      <c r="A1005" t="s">
        <v>79</v>
      </c>
      <c r="B1005" t="s">
        <v>305</v>
      </c>
      <c r="C1005">
        <v>6047</v>
      </c>
      <c r="D1005">
        <v>-32.925462000000003</v>
      </c>
      <c r="E1005">
        <v>151.63732200000001</v>
      </c>
      <c r="F1005">
        <v>3</v>
      </c>
      <c r="G1005" t="s">
        <v>379</v>
      </c>
      <c r="H1005">
        <v>23</v>
      </c>
      <c r="I1005">
        <v>203</v>
      </c>
      <c r="J1005">
        <v>111</v>
      </c>
      <c r="K1005">
        <v>291</v>
      </c>
      <c r="L1005">
        <v>195</v>
      </c>
      <c r="M1005">
        <v>15</v>
      </c>
      <c r="T1005">
        <v>0</v>
      </c>
      <c r="U1005">
        <v>54</v>
      </c>
      <c r="Y1005">
        <v>0</v>
      </c>
      <c r="Z1005">
        <v>0</v>
      </c>
      <c r="AD1005">
        <v>58</v>
      </c>
      <c r="AE1005">
        <v>0</v>
      </c>
      <c r="AX1005">
        <v>54</v>
      </c>
      <c r="AY1005">
        <v>58</v>
      </c>
      <c r="AZ1005">
        <v>112</v>
      </c>
      <c r="BA1005">
        <v>0</v>
      </c>
      <c r="BB1005">
        <v>0</v>
      </c>
      <c r="BC1005">
        <v>0</v>
      </c>
      <c r="BD1005">
        <v>58</v>
      </c>
      <c r="BE1005">
        <v>54</v>
      </c>
      <c r="BF1005">
        <v>112</v>
      </c>
      <c r="BP1005">
        <v>63</v>
      </c>
      <c r="BR1005">
        <v>30</v>
      </c>
      <c r="BS1005">
        <v>1</v>
      </c>
      <c r="BT1005">
        <v>11</v>
      </c>
      <c r="BV1005">
        <v>7</v>
      </c>
      <c r="BW1005">
        <v>112</v>
      </c>
      <c r="BX1005">
        <f>IF(C1005=C1004,IF((CI1005-1)=CI1004,BW1004,"no data"))</f>
        <v>70</v>
      </c>
      <c r="BY1005" s="5">
        <f t="shared" si="115"/>
        <v>0.6</v>
      </c>
      <c r="BZ1005" s="6">
        <f t="shared" si="113"/>
        <v>0.6</v>
      </c>
      <c r="CA1005" s="7">
        <v>43051</v>
      </c>
      <c r="CE1005">
        <v>53</v>
      </c>
      <c r="CF1005">
        <v>19</v>
      </c>
      <c r="CG1005">
        <v>16</v>
      </c>
      <c r="CH1005">
        <v>24</v>
      </c>
      <c r="CI1005">
        <f t="shared" si="110"/>
        <v>2017</v>
      </c>
      <c r="CJ1005" t="str">
        <f t="shared" si="111"/>
        <v>6047_2017</v>
      </c>
    </row>
    <row r="1006" spans="1:88" x14ac:dyDescent="0.25">
      <c r="A1006" t="s">
        <v>79</v>
      </c>
      <c r="B1006" t="s">
        <v>305</v>
      </c>
      <c r="C1006">
        <v>6047</v>
      </c>
      <c r="D1006">
        <v>-32.925462000000003</v>
      </c>
      <c r="E1006">
        <v>151.63732200000001</v>
      </c>
      <c r="F1006">
        <v>3</v>
      </c>
      <c r="G1006" t="s">
        <v>379</v>
      </c>
      <c r="H1006">
        <v>23</v>
      </c>
      <c r="I1006">
        <v>203</v>
      </c>
      <c r="J1006">
        <v>111</v>
      </c>
      <c r="K1006">
        <v>291</v>
      </c>
      <c r="L1006">
        <v>195</v>
      </c>
      <c r="M1006">
        <v>15</v>
      </c>
      <c r="T1006">
        <v>0</v>
      </c>
      <c r="U1006">
        <v>31</v>
      </c>
      <c r="Y1006">
        <v>0</v>
      </c>
      <c r="Z1006">
        <v>0</v>
      </c>
      <c r="AD1006">
        <v>23</v>
      </c>
      <c r="AE1006">
        <v>0</v>
      </c>
      <c r="AX1006">
        <v>31</v>
      </c>
      <c r="AY1006">
        <v>23</v>
      </c>
      <c r="AZ1006">
        <v>54</v>
      </c>
      <c r="BA1006">
        <v>0</v>
      </c>
      <c r="BB1006">
        <v>0</v>
      </c>
      <c r="BC1006">
        <v>0</v>
      </c>
      <c r="BD1006">
        <v>23</v>
      </c>
      <c r="BE1006">
        <v>31</v>
      </c>
      <c r="BF1006">
        <v>54</v>
      </c>
      <c r="BP1006">
        <v>30</v>
      </c>
      <c r="BR1006">
        <v>11</v>
      </c>
      <c r="BS1006">
        <v>0</v>
      </c>
      <c r="BT1006">
        <v>5</v>
      </c>
      <c r="BV1006">
        <v>8</v>
      </c>
      <c r="BW1006">
        <v>54</v>
      </c>
      <c r="BX1006">
        <f>IF(C1006=C1005,IF((CI1006-1)=CI1005,BW1005,"no data"))</f>
        <v>112</v>
      </c>
      <c r="BY1006" s="5">
        <f t="shared" si="115"/>
        <v>-0.5178571428571429</v>
      </c>
      <c r="BZ1006" s="6">
        <f t="shared" si="113"/>
        <v>-0.5178571428571429</v>
      </c>
      <c r="CA1006" s="7">
        <v>43415</v>
      </c>
      <c r="CE1006">
        <v>29</v>
      </c>
      <c r="CF1006">
        <v>10</v>
      </c>
      <c r="CG1006">
        <v>15</v>
      </c>
      <c r="CH1006">
        <v>0</v>
      </c>
      <c r="CI1006">
        <f t="shared" si="110"/>
        <v>2018</v>
      </c>
      <c r="CJ1006" t="str">
        <f t="shared" si="111"/>
        <v>6047_2018</v>
      </c>
    </row>
    <row r="1007" spans="1:88" x14ac:dyDescent="0.25">
      <c r="A1007" t="s">
        <v>140</v>
      </c>
      <c r="B1007" t="s">
        <v>380</v>
      </c>
      <c r="C1007">
        <v>6048</v>
      </c>
      <c r="D1007">
        <v>-31.986429999999999</v>
      </c>
      <c r="E1007">
        <v>115.764495</v>
      </c>
      <c r="F1007">
        <v>3</v>
      </c>
      <c r="G1007" t="s">
        <v>381</v>
      </c>
      <c r="H1007">
        <v>33</v>
      </c>
      <c r="I1007">
        <v>213</v>
      </c>
      <c r="J1007">
        <v>98</v>
      </c>
      <c r="K1007">
        <v>278</v>
      </c>
      <c r="L1007">
        <v>201</v>
      </c>
      <c r="M1007">
        <v>21</v>
      </c>
      <c r="N1007">
        <v>272</v>
      </c>
      <c r="O1007">
        <v>92</v>
      </c>
      <c r="T1007">
        <v>72</v>
      </c>
      <c r="U1007">
        <v>37</v>
      </c>
      <c r="V1007">
        <v>24</v>
      </c>
      <c r="Y1007">
        <v>95</v>
      </c>
      <c r="Z1007">
        <v>6</v>
      </c>
      <c r="AA1007">
        <v>16</v>
      </c>
      <c r="AD1007">
        <v>45</v>
      </c>
      <c r="AE1007">
        <v>6</v>
      </c>
      <c r="AF1007">
        <v>66</v>
      </c>
      <c r="AI1007">
        <v>11</v>
      </c>
      <c r="AJ1007">
        <v>17</v>
      </c>
      <c r="AK1007">
        <v>55</v>
      </c>
      <c r="AX1007">
        <v>133</v>
      </c>
      <c r="AY1007">
        <v>151</v>
      </c>
      <c r="AZ1007">
        <v>284</v>
      </c>
      <c r="BA1007">
        <v>117</v>
      </c>
      <c r="BB1007">
        <v>95</v>
      </c>
      <c r="BC1007">
        <v>212</v>
      </c>
      <c r="BD1007">
        <v>117</v>
      </c>
      <c r="BE1007">
        <v>98</v>
      </c>
      <c r="BF1007">
        <v>215</v>
      </c>
      <c r="BG1007">
        <v>83</v>
      </c>
      <c r="BH1007">
        <v>106</v>
      </c>
      <c r="BI1007">
        <v>189</v>
      </c>
      <c r="BP1007">
        <v>283</v>
      </c>
      <c r="BR1007">
        <v>132</v>
      </c>
      <c r="BS1007">
        <v>15</v>
      </c>
      <c r="BT1007">
        <v>7</v>
      </c>
      <c r="BV1007">
        <v>13</v>
      </c>
      <c r="BW1007">
        <v>450</v>
      </c>
      <c r="BX1007" t="s">
        <v>82</v>
      </c>
      <c r="BY1007" s="5"/>
      <c r="BZ1007" s="6"/>
      <c r="CA1007" s="7">
        <v>43051</v>
      </c>
      <c r="CE1007">
        <v>192</v>
      </c>
      <c r="CF1007">
        <v>123</v>
      </c>
      <c r="CG1007">
        <v>73</v>
      </c>
      <c r="CH1007">
        <v>62</v>
      </c>
      <c r="CI1007">
        <f t="shared" si="110"/>
        <v>2017</v>
      </c>
      <c r="CJ1007" t="str">
        <f t="shared" si="111"/>
        <v>6048_2017</v>
      </c>
    </row>
    <row r="1008" spans="1:88" x14ac:dyDescent="0.25">
      <c r="A1008" t="s">
        <v>140</v>
      </c>
      <c r="B1008" t="s">
        <v>380</v>
      </c>
      <c r="C1008">
        <v>6048</v>
      </c>
      <c r="D1008">
        <v>-31.986429999999999</v>
      </c>
      <c r="E1008">
        <v>115.764495</v>
      </c>
      <c r="F1008">
        <v>3</v>
      </c>
      <c r="G1008" t="s">
        <v>381</v>
      </c>
      <c r="H1008">
        <v>33</v>
      </c>
      <c r="I1008">
        <v>213</v>
      </c>
      <c r="J1008">
        <v>98</v>
      </c>
      <c r="K1008">
        <v>278</v>
      </c>
      <c r="L1008">
        <v>201</v>
      </c>
      <c r="M1008">
        <v>21</v>
      </c>
      <c r="N1008">
        <v>272</v>
      </c>
      <c r="O1008">
        <v>92</v>
      </c>
      <c r="T1008">
        <v>21</v>
      </c>
      <c r="U1008">
        <v>119</v>
      </c>
      <c r="V1008">
        <v>34</v>
      </c>
      <c r="Y1008">
        <v>9</v>
      </c>
      <c r="Z1008">
        <v>5</v>
      </c>
      <c r="AA1008">
        <v>46</v>
      </c>
      <c r="AD1008">
        <v>84</v>
      </c>
      <c r="AE1008">
        <v>21</v>
      </c>
      <c r="AF1008">
        <v>10</v>
      </c>
      <c r="AI1008">
        <v>27</v>
      </c>
      <c r="AJ1008">
        <v>47</v>
      </c>
      <c r="AK1008">
        <v>6</v>
      </c>
      <c r="AX1008">
        <v>174</v>
      </c>
      <c r="AY1008">
        <v>120</v>
      </c>
      <c r="AZ1008">
        <v>294</v>
      </c>
      <c r="BA1008">
        <v>60</v>
      </c>
      <c r="BB1008">
        <v>89</v>
      </c>
      <c r="BC1008">
        <v>149</v>
      </c>
      <c r="BD1008">
        <v>115</v>
      </c>
      <c r="BE1008">
        <v>130</v>
      </c>
      <c r="BF1008">
        <v>245</v>
      </c>
      <c r="BG1008">
        <v>80</v>
      </c>
      <c r="BH1008">
        <v>90</v>
      </c>
      <c r="BI1008">
        <v>170</v>
      </c>
      <c r="BP1008">
        <v>283</v>
      </c>
      <c r="BR1008">
        <v>132</v>
      </c>
      <c r="BS1008">
        <v>9</v>
      </c>
      <c r="BT1008">
        <v>5</v>
      </c>
      <c r="BV1008">
        <v>0</v>
      </c>
      <c r="BW1008">
        <v>429</v>
      </c>
      <c r="BX1008">
        <f>IF(C1008=C1007,IF((CI1008-1)=CI1007,BW1007,"no data"))</f>
        <v>450</v>
      </c>
      <c r="BY1008" s="5">
        <f t="shared" si="115"/>
        <v>-4.6666666666666669E-2</v>
      </c>
      <c r="BZ1008" s="6">
        <f t="shared" si="113"/>
        <v>-4.6666666666666669E-2</v>
      </c>
      <c r="CA1008" s="7">
        <v>43443</v>
      </c>
      <c r="CE1008">
        <v>149</v>
      </c>
      <c r="CF1008">
        <v>112</v>
      </c>
      <c r="CG1008">
        <v>109</v>
      </c>
      <c r="CH1008">
        <v>59</v>
      </c>
      <c r="CI1008">
        <f t="shared" si="110"/>
        <v>2018</v>
      </c>
      <c r="CJ1008" t="str">
        <f t="shared" si="111"/>
        <v>6048_2018</v>
      </c>
    </row>
    <row r="1009" spans="1:88" x14ac:dyDescent="0.25">
      <c r="A1009" t="s">
        <v>140</v>
      </c>
      <c r="B1009" t="s">
        <v>380</v>
      </c>
      <c r="C1009">
        <v>6048</v>
      </c>
      <c r="D1009">
        <v>-31.9864</v>
      </c>
      <c r="E1009">
        <v>115.7645</v>
      </c>
      <c r="F1009">
        <v>4</v>
      </c>
      <c r="G1009" t="s">
        <v>382</v>
      </c>
      <c r="H1009">
        <v>33</v>
      </c>
      <c r="I1009">
        <v>213</v>
      </c>
      <c r="J1009">
        <v>98</v>
      </c>
      <c r="K1009">
        <v>278</v>
      </c>
      <c r="L1009">
        <v>201</v>
      </c>
      <c r="M1009">
        <v>21</v>
      </c>
      <c r="N1009">
        <v>272</v>
      </c>
      <c r="O1009">
        <v>92</v>
      </c>
      <c r="T1009">
        <v>6</v>
      </c>
      <c r="U1009">
        <v>188</v>
      </c>
      <c r="V1009">
        <v>24</v>
      </c>
      <c r="Y1009">
        <v>0</v>
      </c>
      <c r="Z1009">
        <v>9</v>
      </c>
      <c r="AA1009">
        <v>54</v>
      </c>
      <c r="AD1009">
        <v>188</v>
      </c>
      <c r="AE1009">
        <v>14</v>
      </c>
      <c r="AF1009">
        <v>5</v>
      </c>
      <c r="AI1009">
        <v>20</v>
      </c>
      <c r="AJ1009">
        <v>88</v>
      </c>
      <c r="AK1009">
        <v>9</v>
      </c>
      <c r="AX1009">
        <v>218</v>
      </c>
      <c r="AY1009">
        <v>208</v>
      </c>
      <c r="AZ1009">
        <v>426</v>
      </c>
      <c r="BA1009">
        <v>63</v>
      </c>
      <c r="BB1009">
        <v>108</v>
      </c>
      <c r="BC1009">
        <v>171</v>
      </c>
      <c r="BD1009">
        <v>207</v>
      </c>
      <c r="BE1009">
        <v>206</v>
      </c>
      <c r="BF1009">
        <v>413</v>
      </c>
      <c r="BG1009">
        <v>117</v>
      </c>
      <c r="BH1009">
        <v>83</v>
      </c>
      <c r="BI1009">
        <v>200</v>
      </c>
      <c r="BP1009">
        <v>435</v>
      </c>
      <c r="BR1009">
        <v>143</v>
      </c>
      <c r="BS1009">
        <v>11</v>
      </c>
      <c r="BT1009">
        <v>11</v>
      </c>
      <c r="BV1009">
        <v>5</v>
      </c>
      <c r="BW1009">
        <v>605</v>
      </c>
      <c r="BX1009">
        <f>IF(C1009=C1008,IF((CI1009-1)=CI1008,BW1008,"no data"))</f>
        <v>429</v>
      </c>
      <c r="BY1009" s="5">
        <f t="shared" si="115"/>
        <v>0.41025641025641024</v>
      </c>
      <c r="BZ1009" s="6">
        <f t="shared" si="113"/>
        <v>0.41025641025641024</v>
      </c>
      <c r="CA1009" s="7">
        <v>43779</v>
      </c>
      <c r="CE1009">
        <v>210</v>
      </c>
      <c r="CF1009">
        <v>147</v>
      </c>
      <c r="CG1009">
        <v>133</v>
      </c>
      <c r="CH1009">
        <v>115</v>
      </c>
      <c r="CI1009">
        <f t="shared" si="110"/>
        <v>2019</v>
      </c>
      <c r="CJ1009" t="str">
        <f t="shared" si="111"/>
        <v>6048_2019</v>
      </c>
    </row>
    <row r="1010" spans="1:88" x14ac:dyDescent="0.25">
      <c r="A1010" t="s">
        <v>140</v>
      </c>
      <c r="B1010" t="s">
        <v>380</v>
      </c>
      <c r="C1010">
        <v>6049</v>
      </c>
      <c r="D1010">
        <v>-31.996033000000001</v>
      </c>
      <c r="E1010">
        <v>115.75200700000001</v>
      </c>
      <c r="F1010">
        <v>4</v>
      </c>
      <c r="G1010" t="s">
        <v>383</v>
      </c>
      <c r="H1010">
        <v>91</v>
      </c>
      <c r="I1010">
        <v>271</v>
      </c>
      <c r="J1010">
        <v>200</v>
      </c>
      <c r="K1010">
        <v>20</v>
      </c>
      <c r="L1010">
        <v>272</v>
      </c>
      <c r="M1010">
        <v>92</v>
      </c>
      <c r="N1010">
        <v>354</v>
      </c>
      <c r="O1010">
        <v>174</v>
      </c>
      <c r="T1010">
        <v>75</v>
      </c>
      <c r="U1010">
        <v>424</v>
      </c>
      <c r="V1010">
        <v>88</v>
      </c>
      <c r="Y1010">
        <v>131</v>
      </c>
      <c r="Z1010">
        <v>28</v>
      </c>
      <c r="AA1010">
        <v>562</v>
      </c>
      <c r="AD1010">
        <v>208</v>
      </c>
      <c r="AE1010">
        <v>34</v>
      </c>
      <c r="AF1010">
        <v>224</v>
      </c>
      <c r="AI1010">
        <v>59</v>
      </c>
      <c r="AJ1010">
        <v>512</v>
      </c>
      <c r="AK1010">
        <v>117</v>
      </c>
      <c r="AX1010">
        <v>587</v>
      </c>
      <c r="AY1010">
        <v>398</v>
      </c>
      <c r="AZ1010">
        <v>985</v>
      </c>
      <c r="BA1010">
        <v>721</v>
      </c>
      <c r="BB1010">
        <v>621</v>
      </c>
      <c r="BC1010">
        <v>1342</v>
      </c>
      <c r="BD1010">
        <v>466</v>
      </c>
      <c r="BE1010">
        <v>569</v>
      </c>
      <c r="BF1010">
        <v>1035</v>
      </c>
      <c r="BG1010">
        <v>688</v>
      </c>
      <c r="BH1010">
        <v>874</v>
      </c>
      <c r="BI1010">
        <v>1562</v>
      </c>
      <c r="BP1010">
        <v>285</v>
      </c>
      <c r="BR1010">
        <v>1861</v>
      </c>
      <c r="BS1010">
        <v>95</v>
      </c>
      <c r="BT1010">
        <v>124</v>
      </c>
      <c r="BV1010">
        <v>97</v>
      </c>
      <c r="BW1010">
        <v>2462</v>
      </c>
      <c r="BX1010" t="s">
        <v>82</v>
      </c>
      <c r="BY1010" s="5"/>
      <c r="BZ1010" s="6"/>
      <c r="CA1010" s="7">
        <v>42687</v>
      </c>
      <c r="CE1010">
        <v>657</v>
      </c>
      <c r="CF1010">
        <v>611</v>
      </c>
      <c r="CG1010">
        <v>666</v>
      </c>
      <c r="CH1010">
        <v>528</v>
      </c>
      <c r="CI1010">
        <f t="shared" si="110"/>
        <v>2016</v>
      </c>
      <c r="CJ1010" t="str">
        <f t="shared" si="111"/>
        <v>6049_2016</v>
      </c>
    </row>
    <row r="1011" spans="1:88" x14ac:dyDescent="0.25">
      <c r="A1011" t="s">
        <v>140</v>
      </c>
      <c r="B1011" t="s">
        <v>380</v>
      </c>
      <c r="C1011">
        <v>6049</v>
      </c>
      <c r="D1011">
        <v>-31.996033000000001</v>
      </c>
      <c r="E1011">
        <v>115.752</v>
      </c>
      <c r="F1011">
        <v>4</v>
      </c>
      <c r="G1011" t="s">
        <v>383</v>
      </c>
      <c r="H1011">
        <v>91</v>
      </c>
      <c r="I1011">
        <v>271</v>
      </c>
      <c r="J1011">
        <v>200</v>
      </c>
      <c r="K1011">
        <v>20</v>
      </c>
      <c r="L1011">
        <v>272</v>
      </c>
      <c r="M1011">
        <v>92</v>
      </c>
      <c r="N1011">
        <v>354</v>
      </c>
      <c r="O1011">
        <v>174</v>
      </c>
      <c r="T1011">
        <v>53</v>
      </c>
      <c r="U1011">
        <v>511</v>
      </c>
      <c r="V1011">
        <v>135</v>
      </c>
      <c r="Y1011">
        <v>210</v>
      </c>
      <c r="Z1011">
        <v>13</v>
      </c>
      <c r="AA1011">
        <v>643</v>
      </c>
      <c r="AD1011">
        <v>265</v>
      </c>
      <c r="AE1011">
        <v>35</v>
      </c>
      <c r="AF1011">
        <v>231</v>
      </c>
      <c r="AI1011">
        <v>161</v>
      </c>
      <c r="AJ1011">
        <v>549</v>
      </c>
      <c r="AK1011">
        <v>192</v>
      </c>
      <c r="AX1011">
        <v>699</v>
      </c>
      <c r="AY1011">
        <v>636</v>
      </c>
      <c r="AZ1011">
        <v>1335</v>
      </c>
      <c r="BA1011">
        <v>866</v>
      </c>
      <c r="BB1011">
        <v>637</v>
      </c>
      <c r="BC1011">
        <v>1503</v>
      </c>
      <c r="BD1011">
        <v>531</v>
      </c>
      <c r="BE1011">
        <v>716</v>
      </c>
      <c r="BF1011">
        <v>1247</v>
      </c>
      <c r="BG1011">
        <v>902</v>
      </c>
      <c r="BH1011">
        <v>1009</v>
      </c>
      <c r="BI1011">
        <v>1911</v>
      </c>
      <c r="BP1011">
        <v>230</v>
      </c>
      <c r="BR1011">
        <v>2550</v>
      </c>
      <c r="BS1011">
        <v>90</v>
      </c>
      <c r="BT1011">
        <v>60</v>
      </c>
      <c r="BV1011">
        <v>68</v>
      </c>
      <c r="BW1011">
        <v>2998</v>
      </c>
      <c r="BX1011">
        <f>IF(C1011=C1010,IF((CI1011-1)=CI1010,BW1010,"no data"))</f>
        <v>2462</v>
      </c>
      <c r="BY1011" s="5">
        <f t="shared" si="115"/>
        <v>0.21770917952883834</v>
      </c>
      <c r="BZ1011" s="6">
        <f t="shared" si="113"/>
        <v>0.21770917952883834</v>
      </c>
      <c r="CA1011" s="7">
        <v>43051</v>
      </c>
      <c r="CE1011">
        <v>657</v>
      </c>
      <c r="CF1011">
        <v>819</v>
      </c>
      <c r="CG1011">
        <v>856</v>
      </c>
      <c r="CH1011">
        <v>666</v>
      </c>
      <c r="CI1011">
        <f t="shared" si="110"/>
        <v>2017</v>
      </c>
      <c r="CJ1011" t="str">
        <f t="shared" si="111"/>
        <v>6049_2017</v>
      </c>
    </row>
    <row r="1012" spans="1:88" x14ac:dyDescent="0.25">
      <c r="A1012" t="s">
        <v>140</v>
      </c>
      <c r="B1012" t="s">
        <v>380</v>
      </c>
      <c r="C1012">
        <v>6049</v>
      </c>
      <c r="D1012">
        <v>-31.996033000000001</v>
      </c>
      <c r="E1012">
        <v>115.752</v>
      </c>
      <c r="F1012">
        <v>4</v>
      </c>
      <c r="G1012" t="s">
        <v>383</v>
      </c>
      <c r="H1012">
        <v>91</v>
      </c>
      <c r="I1012">
        <v>271</v>
      </c>
      <c r="J1012">
        <v>200</v>
      </c>
      <c r="K1012">
        <v>20</v>
      </c>
      <c r="L1012">
        <v>272</v>
      </c>
      <c r="M1012">
        <v>92</v>
      </c>
      <c r="N1012">
        <v>354</v>
      </c>
      <c r="O1012">
        <v>174</v>
      </c>
      <c r="T1012">
        <v>118</v>
      </c>
      <c r="U1012">
        <v>0</v>
      </c>
      <c r="V1012">
        <v>108</v>
      </c>
      <c r="Y1012">
        <v>930</v>
      </c>
      <c r="Z1012">
        <v>0</v>
      </c>
      <c r="AA1012">
        <v>627</v>
      </c>
      <c r="AD1012">
        <v>0</v>
      </c>
      <c r="AE1012">
        <v>0</v>
      </c>
      <c r="AF1012">
        <v>0</v>
      </c>
      <c r="AI1012">
        <v>93</v>
      </c>
      <c r="AJ1012">
        <v>611</v>
      </c>
      <c r="AK1012">
        <v>0</v>
      </c>
      <c r="AX1012">
        <v>226</v>
      </c>
      <c r="AY1012">
        <v>1023</v>
      </c>
      <c r="AZ1012">
        <v>1249</v>
      </c>
      <c r="BA1012">
        <v>1557</v>
      </c>
      <c r="BB1012">
        <v>729</v>
      </c>
      <c r="BC1012">
        <v>2286</v>
      </c>
      <c r="BD1012">
        <v>0</v>
      </c>
      <c r="BE1012">
        <v>0</v>
      </c>
      <c r="BF1012">
        <v>0</v>
      </c>
      <c r="BG1012">
        <v>704</v>
      </c>
      <c r="BH1012">
        <v>735</v>
      </c>
      <c r="BI1012">
        <v>1439</v>
      </c>
      <c r="BP1012">
        <v>193</v>
      </c>
      <c r="BR1012">
        <v>2132</v>
      </c>
      <c r="BS1012">
        <v>67</v>
      </c>
      <c r="BT1012">
        <v>93</v>
      </c>
      <c r="BV1012">
        <v>2</v>
      </c>
      <c r="BW1012">
        <v>2487</v>
      </c>
      <c r="BX1012">
        <f>IF(C1012=C1011,IF((CI1012-1)=CI1011,BW1011,"no data"))</f>
        <v>2998</v>
      </c>
      <c r="BY1012" s="5">
        <f t="shared" si="115"/>
        <v>-0.17044696464309539</v>
      </c>
      <c r="BZ1012" s="6">
        <f t="shared" si="113"/>
        <v>-0.17044696464309539</v>
      </c>
      <c r="CA1012" s="7">
        <v>43415</v>
      </c>
      <c r="CE1012">
        <v>479</v>
      </c>
      <c r="CF1012">
        <v>407</v>
      </c>
      <c r="CG1012">
        <v>1250</v>
      </c>
      <c r="CH1012">
        <v>351</v>
      </c>
      <c r="CI1012">
        <f t="shared" si="110"/>
        <v>2018</v>
      </c>
      <c r="CJ1012" t="str">
        <f t="shared" si="111"/>
        <v>6049_2018</v>
      </c>
    </row>
    <row r="1013" spans="1:88" x14ac:dyDescent="0.25">
      <c r="A1013" t="s">
        <v>140</v>
      </c>
      <c r="B1013" t="s">
        <v>380</v>
      </c>
      <c r="C1013">
        <v>6049</v>
      </c>
      <c r="D1013">
        <v>-31.995999999999999</v>
      </c>
      <c r="E1013">
        <v>115.752</v>
      </c>
      <c r="F1013">
        <v>4</v>
      </c>
      <c r="G1013" t="s">
        <v>383</v>
      </c>
      <c r="H1013">
        <v>91</v>
      </c>
      <c r="I1013">
        <v>271</v>
      </c>
      <c r="J1013">
        <v>200</v>
      </c>
      <c r="K1013">
        <v>20</v>
      </c>
      <c r="L1013">
        <v>272</v>
      </c>
      <c r="M1013">
        <v>92</v>
      </c>
      <c r="N1013">
        <v>354</v>
      </c>
      <c r="O1013">
        <v>174</v>
      </c>
      <c r="T1013">
        <v>27</v>
      </c>
      <c r="U1013">
        <v>183</v>
      </c>
      <c r="V1013">
        <v>44</v>
      </c>
      <c r="Y1013">
        <v>219</v>
      </c>
      <c r="Z1013">
        <v>0</v>
      </c>
      <c r="AA1013">
        <v>359</v>
      </c>
      <c r="AD1013">
        <v>155</v>
      </c>
      <c r="AE1013">
        <v>2</v>
      </c>
      <c r="AF1013">
        <v>0</v>
      </c>
      <c r="AI1013">
        <v>44</v>
      </c>
      <c r="AJ1013">
        <v>249</v>
      </c>
      <c r="AK1013">
        <v>0</v>
      </c>
      <c r="AX1013">
        <v>254</v>
      </c>
      <c r="AY1013">
        <v>418</v>
      </c>
      <c r="AZ1013">
        <v>672</v>
      </c>
      <c r="BA1013">
        <v>578</v>
      </c>
      <c r="BB1013">
        <v>278</v>
      </c>
      <c r="BC1013">
        <v>856</v>
      </c>
      <c r="BD1013">
        <v>157</v>
      </c>
      <c r="BE1013">
        <v>183</v>
      </c>
      <c r="BF1013">
        <v>340</v>
      </c>
      <c r="BG1013">
        <v>293</v>
      </c>
      <c r="BH1013">
        <v>403</v>
      </c>
      <c r="BI1013">
        <v>696</v>
      </c>
      <c r="BP1013">
        <v>54</v>
      </c>
      <c r="BR1013">
        <v>1101</v>
      </c>
      <c r="BS1013">
        <v>59</v>
      </c>
      <c r="BT1013">
        <v>65</v>
      </c>
      <c r="BV1013">
        <v>3</v>
      </c>
      <c r="BW1013">
        <v>1282</v>
      </c>
      <c r="BX1013">
        <f>IF(C1013=C1012,IF((CI1013-1)=CI1012,BW1012,"no data"))</f>
        <v>2487</v>
      </c>
      <c r="BY1013" s="5">
        <f t="shared" si="115"/>
        <v>-0.48451950140731803</v>
      </c>
      <c r="BZ1013" s="6">
        <f t="shared" si="113"/>
        <v>-0.48451950140731803</v>
      </c>
      <c r="CA1013" s="7">
        <v>43779</v>
      </c>
      <c r="CE1013">
        <v>288</v>
      </c>
      <c r="CF1013">
        <v>378</v>
      </c>
      <c r="CG1013">
        <v>355</v>
      </c>
      <c r="CH1013">
        <v>261</v>
      </c>
      <c r="CI1013">
        <f t="shared" si="110"/>
        <v>2019</v>
      </c>
      <c r="CJ1013" t="str">
        <f t="shared" si="111"/>
        <v>6049_2019</v>
      </c>
    </row>
    <row r="1014" spans="1:88" x14ac:dyDescent="0.25">
      <c r="A1014" t="s">
        <v>140</v>
      </c>
      <c r="B1014" t="s">
        <v>380</v>
      </c>
      <c r="C1014">
        <v>6050</v>
      </c>
      <c r="D1014">
        <v>-32.013500000000001</v>
      </c>
      <c r="E1014">
        <v>115.75253499999999</v>
      </c>
      <c r="F1014">
        <v>3</v>
      </c>
      <c r="G1014" t="s">
        <v>384</v>
      </c>
      <c r="H1014">
        <v>28</v>
      </c>
      <c r="I1014">
        <v>208</v>
      </c>
      <c r="J1014">
        <v>204</v>
      </c>
      <c r="K1014">
        <v>24</v>
      </c>
      <c r="L1014">
        <v>343</v>
      </c>
      <c r="M1014">
        <v>163</v>
      </c>
      <c r="T1014">
        <v>100</v>
      </c>
      <c r="U1014">
        <v>7</v>
      </c>
      <c r="Y1014">
        <v>52</v>
      </c>
      <c r="Z1014">
        <v>309</v>
      </c>
      <c r="AD1014">
        <v>3</v>
      </c>
      <c r="AE1014">
        <v>302</v>
      </c>
      <c r="AX1014">
        <v>107</v>
      </c>
      <c r="AY1014">
        <v>55</v>
      </c>
      <c r="AZ1014">
        <v>162</v>
      </c>
      <c r="BA1014">
        <v>361</v>
      </c>
      <c r="BB1014">
        <v>402</v>
      </c>
      <c r="BC1014">
        <v>763</v>
      </c>
      <c r="BD1014">
        <v>305</v>
      </c>
      <c r="BE1014">
        <v>316</v>
      </c>
      <c r="BF1014">
        <v>621</v>
      </c>
      <c r="BP1014">
        <v>404</v>
      </c>
      <c r="BR1014">
        <v>262</v>
      </c>
      <c r="BS1014">
        <v>71</v>
      </c>
      <c r="BT1014">
        <v>30</v>
      </c>
      <c r="BV1014">
        <v>6</v>
      </c>
      <c r="BW1014">
        <v>773</v>
      </c>
      <c r="BX1014" t="s">
        <v>82</v>
      </c>
      <c r="BY1014" s="5"/>
      <c r="BZ1014" s="6"/>
      <c r="CA1014" s="7">
        <v>42687</v>
      </c>
      <c r="CE1014">
        <v>334</v>
      </c>
      <c r="CF1014">
        <v>174</v>
      </c>
      <c r="CG1014">
        <v>159</v>
      </c>
      <c r="CH1014">
        <v>106</v>
      </c>
      <c r="CI1014">
        <f t="shared" si="110"/>
        <v>2016</v>
      </c>
      <c r="CJ1014" t="str">
        <f t="shared" si="111"/>
        <v>6050_2016</v>
      </c>
    </row>
    <row r="1015" spans="1:88" x14ac:dyDescent="0.25">
      <c r="A1015" t="s">
        <v>140</v>
      </c>
      <c r="B1015" t="s">
        <v>380</v>
      </c>
      <c r="C1015">
        <v>6050</v>
      </c>
      <c r="D1015">
        <v>-32.013711000000001</v>
      </c>
      <c r="E1015">
        <v>115.753209</v>
      </c>
      <c r="F1015">
        <v>3</v>
      </c>
      <c r="G1015" t="s">
        <v>384</v>
      </c>
      <c r="H1015">
        <v>28</v>
      </c>
      <c r="I1015">
        <v>208</v>
      </c>
      <c r="J1015">
        <v>204</v>
      </c>
      <c r="K1015">
        <v>24</v>
      </c>
      <c r="L1015">
        <v>343</v>
      </c>
      <c r="M1015">
        <v>163</v>
      </c>
      <c r="T1015">
        <v>29</v>
      </c>
      <c r="U1015">
        <v>5</v>
      </c>
      <c r="Y1015">
        <v>53</v>
      </c>
      <c r="Z1015">
        <v>247</v>
      </c>
      <c r="AD1015">
        <v>9</v>
      </c>
      <c r="AE1015">
        <v>238</v>
      </c>
      <c r="AX1015">
        <v>34</v>
      </c>
      <c r="AY1015">
        <v>62</v>
      </c>
      <c r="AZ1015">
        <v>96</v>
      </c>
      <c r="BA1015">
        <v>300</v>
      </c>
      <c r="BB1015">
        <v>267</v>
      </c>
      <c r="BC1015">
        <v>567</v>
      </c>
      <c r="BD1015">
        <v>247</v>
      </c>
      <c r="BE1015">
        <v>252</v>
      </c>
      <c r="BF1015">
        <v>499</v>
      </c>
      <c r="BP1015">
        <v>162</v>
      </c>
      <c r="BR1015">
        <v>210</v>
      </c>
      <c r="BS1015">
        <v>68</v>
      </c>
      <c r="BT1015">
        <v>30</v>
      </c>
      <c r="BV1015">
        <v>111</v>
      </c>
      <c r="BW1015">
        <v>581</v>
      </c>
      <c r="BX1015">
        <f>IF(C1015=C1014,IF((CI1015-1)=CI1014,BW1014,"no data"))</f>
        <v>773</v>
      </c>
      <c r="BY1015" s="5">
        <f t="shared" si="115"/>
        <v>-0.24838292367399742</v>
      </c>
      <c r="BZ1015" s="6">
        <f t="shared" si="113"/>
        <v>-0.24838292367399742</v>
      </c>
      <c r="CA1015" s="7">
        <v>43051</v>
      </c>
      <c r="CE1015">
        <v>244</v>
      </c>
      <c r="CF1015">
        <v>181</v>
      </c>
      <c r="CG1015">
        <v>102</v>
      </c>
      <c r="CH1015">
        <v>54</v>
      </c>
      <c r="CI1015">
        <f t="shared" si="110"/>
        <v>2017</v>
      </c>
      <c r="CJ1015" t="str">
        <f t="shared" si="111"/>
        <v>6050_2017</v>
      </c>
    </row>
    <row r="1016" spans="1:88" x14ac:dyDescent="0.25">
      <c r="A1016" t="s">
        <v>140</v>
      </c>
      <c r="B1016" t="s">
        <v>380</v>
      </c>
      <c r="C1016">
        <v>6050</v>
      </c>
      <c r="D1016">
        <v>-32.013711000000001</v>
      </c>
      <c r="E1016">
        <v>115.753209</v>
      </c>
      <c r="F1016">
        <v>3</v>
      </c>
      <c r="G1016" t="s">
        <v>384</v>
      </c>
      <c r="H1016">
        <v>28</v>
      </c>
      <c r="I1016">
        <v>208</v>
      </c>
      <c r="J1016">
        <v>204</v>
      </c>
      <c r="K1016">
        <v>24</v>
      </c>
      <c r="L1016">
        <v>343</v>
      </c>
      <c r="M1016">
        <v>163</v>
      </c>
      <c r="T1016">
        <v>117</v>
      </c>
      <c r="U1016">
        <v>3</v>
      </c>
      <c r="Y1016">
        <v>69</v>
      </c>
      <c r="Z1016">
        <v>295</v>
      </c>
      <c r="AD1016">
        <v>8</v>
      </c>
      <c r="AE1016">
        <v>308</v>
      </c>
      <c r="AX1016">
        <v>120</v>
      </c>
      <c r="AY1016">
        <v>77</v>
      </c>
      <c r="AZ1016">
        <v>197</v>
      </c>
      <c r="BA1016">
        <v>364</v>
      </c>
      <c r="BB1016">
        <v>425</v>
      </c>
      <c r="BC1016">
        <v>789</v>
      </c>
      <c r="BD1016">
        <v>316</v>
      </c>
      <c r="BE1016">
        <v>298</v>
      </c>
      <c r="BF1016">
        <v>614</v>
      </c>
      <c r="BP1016">
        <v>405</v>
      </c>
      <c r="BR1016">
        <v>294</v>
      </c>
      <c r="BS1016">
        <v>66</v>
      </c>
      <c r="BT1016">
        <v>35</v>
      </c>
      <c r="BV1016">
        <v>0</v>
      </c>
      <c r="BW1016">
        <v>800</v>
      </c>
      <c r="BX1016">
        <f>IF(C1016=C1015,IF((CI1016-1)=CI1015,BW1015,"no data"))</f>
        <v>581</v>
      </c>
      <c r="BY1016" s="5">
        <f t="shared" si="115"/>
        <v>0.37693631669535282</v>
      </c>
      <c r="BZ1016" s="6">
        <f t="shared" si="113"/>
        <v>0.37693631669535282</v>
      </c>
      <c r="CA1016" s="7">
        <v>43415</v>
      </c>
      <c r="CE1016">
        <v>278</v>
      </c>
      <c r="CF1016">
        <v>272</v>
      </c>
      <c r="CG1016">
        <v>144</v>
      </c>
      <c r="CH1016">
        <v>106</v>
      </c>
      <c r="CI1016">
        <f t="shared" si="110"/>
        <v>2018</v>
      </c>
      <c r="CJ1016" t="str">
        <f t="shared" si="111"/>
        <v>6050_2018</v>
      </c>
    </row>
    <row r="1017" spans="1:88" x14ac:dyDescent="0.25">
      <c r="A1017" t="s">
        <v>140</v>
      </c>
      <c r="B1017" t="s">
        <v>380</v>
      </c>
      <c r="C1017">
        <v>6050</v>
      </c>
      <c r="D1017">
        <v>-32.0137</v>
      </c>
      <c r="E1017">
        <v>115.75320000000001</v>
      </c>
      <c r="F1017">
        <v>3</v>
      </c>
      <c r="G1017" t="s">
        <v>384</v>
      </c>
      <c r="H1017">
        <v>28</v>
      </c>
      <c r="I1017">
        <v>208</v>
      </c>
      <c r="J1017">
        <v>204</v>
      </c>
      <c r="K1017">
        <v>24</v>
      </c>
      <c r="L1017">
        <v>343</v>
      </c>
      <c r="M1017">
        <v>163</v>
      </c>
      <c r="T1017">
        <v>174</v>
      </c>
      <c r="U1017">
        <v>6</v>
      </c>
      <c r="Y1017">
        <v>112</v>
      </c>
      <c r="Z1017">
        <v>271</v>
      </c>
      <c r="AD1017">
        <v>11</v>
      </c>
      <c r="AE1017">
        <v>304</v>
      </c>
      <c r="AX1017">
        <v>180</v>
      </c>
      <c r="AY1017">
        <v>123</v>
      </c>
      <c r="AZ1017">
        <v>303</v>
      </c>
      <c r="BA1017">
        <v>383</v>
      </c>
      <c r="BB1017">
        <v>478</v>
      </c>
      <c r="BC1017">
        <v>861</v>
      </c>
      <c r="BD1017">
        <v>315</v>
      </c>
      <c r="BE1017">
        <v>277</v>
      </c>
      <c r="BF1017">
        <v>592</v>
      </c>
      <c r="BP1017">
        <v>443</v>
      </c>
      <c r="BR1017">
        <v>311</v>
      </c>
      <c r="BS1017">
        <v>94</v>
      </c>
      <c r="BT1017">
        <v>29</v>
      </c>
      <c r="BV1017">
        <v>1</v>
      </c>
      <c r="BW1017">
        <v>878</v>
      </c>
      <c r="BX1017">
        <f>IF(C1017=C1016,IF((CI1017-1)=CI1016,BW1016,"no data"))</f>
        <v>800</v>
      </c>
      <c r="BY1017" s="5">
        <f t="shared" si="115"/>
        <v>9.7500000000000003E-2</v>
      </c>
      <c r="BZ1017" s="6">
        <f t="shared" si="113"/>
        <v>9.7500000000000003E-2</v>
      </c>
      <c r="CA1017" s="7">
        <v>43779</v>
      </c>
      <c r="CE1017">
        <v>317</v>
      </c>
      <c r="CF1017">
        <v>206</v>
      </c>
      <c r="CG1017">
        <v>233</v>
      </c>
      <c r="CH1017">
        <v>122</v>
      </c>
      <c r="CI1017">
        <f t="shared" si="110"/>
        <v>2019</v>
      </c>
      <c r="CJ1017" t="str">
        <f t="shared" si="111"/>
        <v>6050_2019</v>
      </c>
    </row>
    <row r="1018" spans="1:88" x14ac:dyDescent="0.25">
      <c r="A1018" t="s">
        <v>111</v>
      </c>
      <c r="B1018" t="s">
        <v>146</v>
      </c>
      <c r="C1018">
        <v>6206</v>
      </c>
      <c r="D1018">
        <v>-37.533799999999999</v>
      </c>
      <c r="E1018">
        <v>143.80279999999999</v>
      </c>
      <c r="F1018">
        <v>3</v>
      </c>
      <c r="G1018" t="s">
        <v>385</v>
      </c>
      <c r="H1018">
        <v>10</v>
      </c>
      <c r="I1018">
        <v>190</v>
      </c>
      <c r="J1018">
        <v>182</v>
      </c>
      <c r="K1018">
        <v>2</v>
      </c>
      <c r="L1018">
        <v>304</v>
      </c>
      <c r="M1018">
        <v>124</v>
      </c>
      <c r="T1018">
        <v>2</v>
      </c>
      <c r="U1018">
        <v>0</v>
      </c>
      <c r="Y1018">
        <v>1</v>
      </c>
      <c r="Z1018">
        <v>7</v>
      </c>
      <c r="AD1018">
        <v>2</v>
      </c>
      <c r="AE1018">
        <v>4</v>
      </c>
      <c r="AX1018">
        <v>2</v>
      </c>
      <c r="AY1018">
        <v>3</v>
      </c>
      <c r="AZ1018">
        <v>5</v>
      </c>
      <c r="BA1018">
        <v>8</v>
      </c>
      <c r="BB1018">
        <v>6</v>
      </c>
      <c r="BC1018">
        <v>14</v>
      </c>
      <c r="BD1018">
        <v>6</v>
      </c>
      <c r="BE1018">
        <v>7</v>
      </c>
      <c r="BF1018">
        <v>13</v>
      </c>
      <c r="BP1018">
        <v>11</v>
      </c>
      <c r="BR1018">
        <v>1</v>
      </c>
      <c r="BS1018">
        <v>0</v>
      </c>
      <c r="BT1018">
        <v>4</v>
      </c>
      <c r="BV1018">
        <v>0</v>
      </c>
      <c r="BW1018">
        <v>16</v>
      </c>
      <c r="BX1018" t="s">
        <v>82</v>
      </c>
      <c r="BY1018" s="5"/>
      <c r="BZ1018" s="6"/>
      <c r="CA1018" s="7">
        <v>41588</v>
      </c>
      <c r="CI1018">
        <f t="shared" si="110"/>
        <v>2013</v>
      </c>
      <c r="CJ1018" t="str">
        <f t="shared" si="111"/>
        <v>6206_2013</v>
      </c>
    </row>
    <row r="1019" spans="1:88" x14ac:dyDescent="0.25">
      <c r="A1019" t="s">
        <v>111</v>
      </c>
      <c r="B1019" t="s">
        <v>146</v>
      </c>
      <c r="C1019">
        <v>6206</v>
      </c>
      <c r="D1019">
        <v>-37.533799999999999</v>
      </c>
      <c r="E1019">
        <v>143.80279999999999</v>
      </c>
      <c r="F1019">
        <v>3</v>
      </c>
      <c r="G1019" t="s">
        <v>385</v>
      </c>
      <c r="H1019">
        <v>10</v>
      </c>
      <c r="I1019">
        <v>190</v>
      </c>
      <c r="J1019">
        <v>182</v>
      </c>
      <c r="K1019">
        <v>2</v>
      </c>
      <c r="L1019">
        <v>304</v>
      </c>
      <c r="M1019">
        <v>124</v>
      </c>
      <c r="T1019">
        <v>8</v>
      </c>
      <c r="U1019">
        <v>0</v>
      </c>
      <c r="Y1019">
        <v>7</v>
      </c>
      <c r="Z1019">
        <v>0</v>
      </c>
      <c r="AD1019">
        <v>5</v>
      </c>
      <c r="AE1019">
        <v>0</v>
      </c>
      <c r="AX1019">
        <v>8</v>
      </c>
      <c r="AY1019">
        <v>12</v>
      </c>
      <c r="AZ1019">
        <v>20</v>
      </c>
      <c r="BA1019">
        <v>7</v>
      </c>
      <c r="BB1019">
        <v>8</v>
      </c>
      <c r="BC1019">
        <v>15</v>
      </c>
      <c r="BD1019">
        <v>5</v>
      </c>
      <c r="BE1019">
        <v>0</v>
      </c>
      <c r="BF1019">
        <v>5</v>
      </c>
      <c r="BP1019">
        <v>2</v>
      </c>
      <c r="BR1019">
        <v>12</v>
      </c>
      <c r="BS1019">
        <v>0</v>
      </c>
      <c r="BT1019">
        <v>5</v>
      </c>
      <c r="BV1019">
        <v>1</v>
      </c>
      <c r="BW1019">
        <v>20</v>
      </c>
      <c r="BX1019">
        <f>IF(C1019=C1018,IF((CI1019-1)=CI1018,BW1018,"no data"))</f>
        <v>16</v>
      </c>
      <c r="BY1019" s="5">
        <f t="shared" si="115"/>
        <v>0.25</v>
      </c>
      <c r="BZ1019" s="6">
        <f t="shared" si="113"/>
        <v>0.25</v>
      </c>
      <c r="CA1019" s="7">
        <v>41952</v>
      </c>
      <c r="CI1019">
        <f t="shared" si="110"/>
        <v>2014</v>
      </c>
      <c r="CJ1019" t="str">
        <f t="shared" si="111"/>
        <v>6206_2014</v>
      </c>
    </row>
    <row r="1020" spans="1:88" x14ac:dyDescent="0.25">
      <c r="A1020" t="s">
        <v>111</v>
      </c>
      <c r="B1020" t="s">
        <v>146</v>
      </c>
      <c r="C1020">
        <v>6206</v>
      </c>
      <c r="D1020">
        <v>-37.533799999999999</v>
      </c>
      <c r="E1020">
        <v>143.80279999999999</v>
      </c>
      <c r="F1020">
        <v>3</v>
      </c>
      <c r="G1020" t="s">
        <v>385</v>
      </c>
      <c r="H1020">
        <v>10</v>
      </c>
      <c r="I1020">
        <v>190</v>
      </c>
      <c r="J1020">
        <v>182</v>
      </c>
      <c r="K1020">
        <v>2</v>
      </c>
      <c r="L1020">
        <v>304</v>
      </c>
      <c r="M1020">
        <v>124</v>
      </c>
      <c r="T1020">
        <v>9</v>
      </c>
      <c r="U1020">
        <v>3</v>
      </c>
      <c r="Y1020">
        <v>0</v>
      </c>
      <c r="Z1020">
        <v>9</v>
      </c>
      <c r="AD1020">
        <v>4</v>
      </c>
      <c r="AE1020">
        <v>8</v>
      </c>
      <c r="AX1020">
        <v>12</v>
      </c>
      <c r="AY1020">
        <v>4</v>
      </c>
      <c r="AZ1020">
        <v>16</v>
      </c>
      <c r="BA1020">
        <v>9</v>
      </c>
      <c r="BB1020">
        <v>17</v>
      </c>
      <c r="BC1020">
        <v>26</v>
      </c>
      <c r="BD1020">
        <v>12</v>
      </c>
      <c r="BE1020">
        <v>12</v>
      </c>
      <c r="BF1020">
        <v>24</v>
      </c>
      <c r="BP1020">
        <v>24</v>
      </c>
      <c r="BR1020">
        <v>5</v>
      </c>
      <c r="BS1020">
        <v>4</v>
      </c>
      <c r="BT1020">
        <v>0</v>
      </c>
      <c r="BV1020">
        <v>0</v>
      </c>
      <c r="BW1020">
        <v>33</v>
      </c>
      <c r="BX1020">
        <f>IF(C1020=C1019,IF((CI1020-1)=CI1019,BW1019,"no data"))</f>
        <v>20</v>
      </c>
      <c r="BY1020" s="5">
        <f t="shared" si="115"/>
        <v>0.65</v>
      </c>
      <c r="BZ1020" s="6">
        <f t="shared" si="113"/>
        <v>0.65</v>
      </c>
      <c r="CA1020" s="7">
        <v>42316</v>
      </c>
      <c r="CE1020">
        <v>7</v>
      </c>
      <c r="CF1020">
        <v>13</v>
      </c>
      <c r="CG1020">
        <v>6</v>
      </c>
      <c r="CH1020">
        <v>7</v>
      </c>
      <c r="CI1020">
        <f t="shared" si="110"/>
        <v>2015</v>
      </c>
      <c r="CJ1020" t="str">
        <f t="shared" si="111"/>
        <v>6206_2015</v>
      </c>
    </row>
    <row r="1021" spans="1:88" x14ac:dyDescent="0.25">
      <c r="A1021" t="s">
        <v>111</v>
      </c>
      <c r="B1021" t="s">
        <v>146</v>
      </c>
      <c r="C1021">
        <v>6206</v>
      </c>
      <c r="D1021">
        <v>-37.533844000000002</v>
      </c>
      <c r="E1021">
        <v>143.80284</v>
      </c>
      <c r="F1021">
        <v>3</v>
      </c>
      <c r="G1021" t="s">
        <v>385</v>
      </c>
      <c r="H1021">
        <v>10</v>
      </c>
      <c r="I1021">
        <v>190</v>
      </c>
      <c r="J1021">
        <v>182</v>
      </c>
      <c r="K1021">
        <v>2</v>
      </c>
      <c r="L1021">
        <v>304</v>
      </c>
      <c r="M1021">
        <v>124</v>
      </c>
      <c r="T1021">
        <v>1</v>
      </c>
      <c r="U1021">
        <v>0</v>
      </c>
      <c r="Y1021">
        <v>15</v>
      </c>
      <c r="Z1021">
        <v>0</v>
      </c>
      <c r="AD1021">
        <v>0</v>
      </c>
      <c r="AE1021">
        <v>0</v>
      </c>
      <c r="AX1021">
        <v>1</v>
      </c>
      <c r="AY1021">
        <v>15</v>
      </c>
      <c r="AZ1021">
        <v>16</v>
      </c>
      <c r="BA1021">
        <v>15</v>
      </c>
      <c r="BB1021">
        <v>1</v>
      </c>
      <c r="BC1021">
        <v>16</v>
      </c>
      <c r="BD1021">
        <v>0</v>
      </c>
      <c r="BE1021">
        <v>0</v>
      </c>
      <c r="BF1021">
        <v>0</v>
      </c>
      <c r="BP1021">
        <v>0</v>
      </c>
      <c r="BR1021">
        <v>0</v>
      </c>
      <c r="BS1021">
        <v>2</v>
      </c>
      <c r="BT1021">
        <v>0</v>
      </c>
      <c r="BV1021">
        <v>14</v>
      </c>
      <c r="BW1021">
        <v>16</v>
      </c>
      <c r="BX1021">
        <f>IF(C1021=C1020,IF((CI1021-1)=CI1020,BW1020,"no data"))</f>
        <v>33</v>
      </c>
      <c r="BY1021" s="5">
        <f t="shared" si="115"/>
        <v>-0.51515151515151514</v>
      </c>
      <c r="BZ1021" s="6">
        <f t="shared" si="113"/>
        <v>-0.51515151515151514</v>
      </c>
      <c r="CA1021" s="7">
        <v>42687</v>
      </c>
      <c r="CE1021">
        <v>2</v>
      </c>
      <c r="CF1021">
        <v>0</v>
      </c>
      <c r="CG1021">
        <v>1</v>
      </c>
      <c r="CH1021">
        <v>13</v>
      </c>
      <c r="CI1021">
        <f t="shared" si="110"/>
        <v>2016</v>
      </c>
      <c r="CJ1021" t="str">
        <f t="shared" si="111"/>
        <v>6206_2016</v>
      </c>
    </row>
    <row r="1022" spans="1:88" x14ac:dyDescent="0.25">
      <c r="A1022" t="s">
        <v>111</v>
      </c>
      <c r="B1022" t="s">
        <v>146</v>
      </c>
      <c r="C1022">
        <v>6206</v>
      </c>
      <c r="D1022">
        <v>-37.533844000000002</v>
      </c>
      <c r="E1022">
        <v>143.80284</v>
      </c>
      <c r="F1022">
        <v>3</v>
      </c>
      <c r="G1022" t="s">
        <v>385</v>
      </c>
      <c r="H1022">
        <v>10</v>
      </c>
      <c r="I1022">
        <v>190</v>
      </c>
      <c r="J1022">
        <v>182</v>
      </c>
      <c r="K1022">
        <v>2</v>
      </c>
      <c r="L1022">
        <v>304</v>
      </c>
      <c r="M1022">
        <v>124</v>
      </c>
      <c r="T1022">
        <v>4</v>
      </c>
      <c r="U1022">
        <v>0</v>
      </c>
      <c r="Y1022">
        <v>4</v>
      </c>
      <c r="Z1022">
        <v>3</v>
      </c>
      <c r="AD1022">
        <v>1</v>
      </c>
      <c r="AE1022">
        <v>0</v>
      </c>
      <c r="AX1022">
        <v>4</v>
      </c>
      <c r="AY1022">
        <v>5</v>
      </c>
      <c r="AZ1022">
        <v>9</v>
      </c>
      <c r="BA1022">
        <v>7</v>
      </c>
      <c r="BB1022">
        <v>4</v>
      </c>
      <c r="BC1022">
        <v>11</v>
      </c>
      <c r="BD1022">
        <v>1</v>
      </c>
      <c r="BE1022">
        <v>3</v>
      </c>
      <c r="BF1022">
        <v>4</v>
      </c>
      <c r="BP1022">
        <v>12</v>
      </c>
      <c r="BR1022">
        <v>0</v>
      </c>
      <c r="BS1022">
        <v>0</v>
      </c>
      <c r="BT1022">
        <v>0</v>
      </c>
      <c r="BV1022">
        <v>0</v>
      </c>
      <c r="BW1022">
        <v>12</v>
      </c>
      <c r="BX1022">
        <f>IF(C1022=C1021,IF((CI1022-1)=CI1021,BW1021,"no data"))</f>
        <v>16</v>
      </c>
      <c r="BY1022" s="5">
        <f t="shared" si="115"/>
        <v>-0.25</v>
      </c>
      <c r="BZ1022" s="6">
        <f t="shared" si="113"/>
        <v>-0.25</v>
      </c>
      <c r="CA1022" s="7">
        <v>43051</v>
      </c>
      <c r="CE1022">
        <v>4</v>
      </c>
      <c r="CF1022">
        <v>3</v>
      </c>
      <c r="CG1022">
        <v>1</v>
      </c>
      <c r="CH1022">
        <v>4</v>
      </c>
      <c r="CI1022">
        <f t="shared" si="110"/>
        <v>2017</v>
      </c>
      <c r="CJ1022" t="str">
        <f t="shared" si="111"/>
        <v>6206_2017</v>
      </c>
    </row>
    <row r="1023" spans="1:88" x14ac:dyDescent="0.25">
      <c r="A1023" t="s">
        <v>111</v>
      </c>
      <c r="B1023" t="s">
        <v>146</v>
      </c>
      <c r="C1023">
        <v>6207</v>
      </c>
      <c r="D1023">
        <v>-37.570099999999996</v>
      </c>
      <c r="E1023">
        <v>143.82980000000001</v>
      </c>
      <c r="F1023">
        <v>4</v>
      </c>
      <c r="G1023" t="s">
        <v>386</v>
      </c>
      <c r="H1023">
        <v>97</v>
      </c>
      <c r="I1023">
        <v>277</v>
      </c>
      <c r="J1023">
        <v>186</v>
      </c>
      <c r="K1023">
        <v>6</v>
      </c>
      <c r="L1023">
        <v>277</v>
      </c>
      <c r="M1023">
        <v>97</v>
      </c>
      <c r="N1023">
        <v>337</v>
      </c>
      <c r="O1023">
        <v>157</v>
      </c>
      <c r="T1023">
        <v>2</v>
      </c>
      <c r="U1023">
        <v>1</v>
      </c>
      <c r="V1023">
        <v>20</v>
      </c>
      <c r="Y1023">
        <v>1</v>
      </c>
      <c r="Z1023">
        <v>0</v>
      </c>
      <c r="AA1023">
        <v>2</v>
      </c>
      <c r="AD1023">
        <v>6</v>
      </c>
      <c r="AE1023">
        <v>1</v>
      </c>
      <c r="AF1023">
        <v>0</v>
      </c>
      <c r="AI1023">
        <v>16</v>
      </c>
      <c r="AJ1023">
        <v>4</v>
      </c>
      <c r="AK1023">
        <v>3</v>
      </c>
      <c r="AX1023">
        <v>23</v>
      </c>
      <c r="AY1023">
        <v>23</v>
      </c>
      <c r="AZ1023">
        <v>46</v>
      </c>
      <c r="BA1023">
        <v>3</v>
      </c>
      <c r="BB1023">
        <v>7</v>
      </c>
      <c r="BC1023">
        <v>10</v>
      </c>
      <c r="BD1023">
        <v>7</v>
      </c>
      <c r="BE1023">
        <v>4</v>
      </c>
      <c r="BF1023">
        <v>11</v>
      </c>
      <c r="BG1023">
        <v>23</v>
      </c>
      <c r="BH1023">
        <v>22</v>
      </c>
      <c r="BI1023">
        <v>45</v>
      </c>
      <c r="BP1023">
        <v>11</v>
      </c>
      <c r="BR1023">
        <v>15</v>
      </c>
      <c r="BS1023">
        <v>13</v>
      </c>
      <c r="BT1023">
        <v>17</v>
      </c>
      <c r="BV1023">
        <v>0</v>
      </c>
      <c r="BW1023">
        <v>56</v>
      </c>
      <c r="BX1023" t="s">
        <v>82</v>
      </c>
      <c r="BY1023" s="5"/>
      <c r="BZ1023" s="6"/>
      <c r="CA1023" s="7">
        <v>41588</v>
      </c>
      <c r="CI1023">
        <f t="shared" si="110"/>
        <v>2013</v>
      </c>
      <c r="CJ1023" t="str">
        <f t="shared" si="111"/>
        <v>6207_2013</v>
      </c>
    </row>
    <row r="1024" spans="1:88" x14ac:dyDescent="0.25">
      <c r="A1024" t="s">
        <v>111</v>
      </c>
      <c r="B1024" t="s">
        <v>146</v>
      </c>
      <c r="C1024">
        <v>6207</v>
      </c>
      <c r="D1024">
        <v>-37.570099999999996</v>
      </c>
      <c r="E1024">
        <v>143.82980000000001</v>
      </c>
      <c r="F1024">
        <v>4</v>
      </c>
      <c r="G1024" t="s">
        <v>386</v>
      </c>
      <c r="H1024">
        <v>97</v>
      </c>
      <c r="I1024">
        <v>277</v>
      </c>
      <c r="J1024">
        <v>186</v>
      </c>
      <c r="K1024">
        <v>6</v>
      </c>
      <c r="L1024">
        <v>277</v>
      </c>
      <c r="M1024">
        <v>97</v>
      </c>
      <c r="N1024">
        <v>337</v>
      </c>
      <c r="O1024">
        <v>157</v>
      </c>
      <c r="T1024">
        <v>3</v>
      </c>
      <c r="U1024">
        <v>3</v>
      </c>
      <c r="V1024">
        <v>36</v>
      </c>
      <c r="Y1024">
        <v>2</v>
      </c>
      <c r="Z1024">
        <v>0</v>
      </c>
      <c r="AA1024">
        <v>6</v>
      </c>
      <c r="AD1024">
        <v>17</v>
      </c>
      <c r="AE1024">
        <v>1</v>
      </c>
      <c r="AF1024">
        <v>4</v>
      </c>
      <c r="AI1024">
        <v>44</v>
      </c>
      <c r="AJ1024">
        <v>12</v>
      </c>
      <c r="AK1024">
        <v>0</v>
      </c>
      <c r="AX1024">
        <v>42</v>
      </c>
      <c r="AY1024">
        <v>63</v>
      </c>
      <c r="AZ1024">
        <v>105</v>
      </c>
      <c r="BA1024">
        <v>8</v>
      </c>
      <c r="BB1024">
        <v>16</v>
      </c>
      <c r="BC1024">
        <v>24</v>
      </c>
      <c r="BD1024">
        <v>22</v>
      </c>
      <c r="BE1024">
        <v>3</v>
      </c>
      <c r="BF1024">
        <v>25</v>
      </c>
      <c r="BG1024">
        <v>56</v>
      </c>
      <c r="BH1024">
        <v>46</v>
      </c>
      <c r="BI1024">
        <v>102</v>
      </c>
      <c r="BP1024">
        <v>27</v>
      </c>
      <c r="BR1024">
        <v>67</v>
      </c>
      <c r="BS1024">
        <v>14</v>
      </c>
      <c r="BT1024">
        <v>20</v>
      </c>
      <c r="BV1024">
        <v>0</v>
      </c>
      <c r="BW1024">
        <v>128</v>
      </c>
      <c r="BX1024">
        <f>IF(C1024=C1023,IF((CI1024-1)=CI1023,BW1023,"no data"))</f>
        <v>56</v>
      </c>
      <c r="BY1024" s="5">
        <f t="shared" si="115"/>
        <v>1.2857142857142858</v>
      </c>
      <c r="BZ1024" s="6">
        <f t="shared" si="113"/>
        <v>1.2857142857142858</v>
      </c>
      <c r="CA1024" s="7">
        <v>41952</v>
      </c>
      <c r="CI1024">
        <f t="shared" si="110"/>
        <v>2014</v>
      </c>
      <c r="CJ1024" t="str">
        <f t="shared" si="111"/>
        <v>6207_2014</v>
      </c>
    </row>
    <row r="1025" spans="1:88" x14ac:dyDescent="0.25">
      <c r="A1025" t="s">
        <v>111</v>
      </c>
      <c r="B1025" t="s">
        <v>146</v>
      </c>
      <c r="C1025">
        <v>6207</v>
      </c>
      <c r="D1025">
        <v>-37.570099999999996</v>
      </c>
      <c r="E1025">
        <v>143.82980000000001</v>
      </c>
      <c r="F1025">
        <v>4</v>
      </c>
      <c r="G1025" t="s">
        <v>386</v>
      </c>
      <c r="H1025">
        <v>97</v>
      </c>
      <c r="I1025">
        <v>277</v>
      </c>
      <c r="J1025">
        <v>186</v>
      </c>
      <c r="K1025">
        <v>6</v>
      </c>
      <c r="L1025">
        <v>277</v>
      </c>
      <c r="M1025">
        <v>97</v>
      </c>
      <c r="N1025">
        <v>337</v>
      </c>
      <c r="O1025">
        <v>157</v>
      </c>
      <c r="T1025">
        <v>5</v>
      </c>
      <c r="U1025">
        <v>5</v>
      </c>
      <c r="V1025">
        <v>21</v>
      </c>
      <c r="Y1025">
        <v>5</v>
      </c>
      <c r="Z1025">
        <v>0</v>
      </c>
      <c r="AA1025">
        <v>12</v>
      </c>
      <c r="AD1025">
        <v>13</v>
      </c>
      <c r="AE1025">
        <v>1</v>
      </c>
      <c r="AF1025">
        <v>0</v>
      </c>
      <c r="AI1025">
        <v>35</v>
      </c>
      <c r="AJ1025">
        <v>15</v>
      </c>
      <c r="AK1025">
        <v>3</v>
      </c>
      <c r="AX1025">
        <v>31</v>
      </c>
      <c r="AY1025">
        <v>53</v>
      </c>
      <c r="AZ1025">
        <v>84</v>
      </c>
      <c r="BA1025">
        <v>17</v>
      </c>
      <c r="BB1025">
        <v>21</v>
      </c>
      <c r="BC1025">
        <v>38</v>
      </c>
      <c r="BD1025">
        <v>14</v>
      </c>
      <c r="BE1025">
        <v>8</v>
      </c>
      <c r="BF1025">
        <v>22</v>
      </c>
      <c r="BG1025">
        <v>53</v>
      </c>
      <c r="BH1025">
        <v>33</v>
      </c>
      <c r="BI1025">
        <v>86</v>
      </c>
      <c r="BP1025">
        <v>33</v>
      </c>
      <c r="BR1025">
        <v>46</v>
      </c>
      <c r="BS1025">
        <v>20</v>
      </c>
      <c r="BT1025">
        <v>16</v>
      </c>
      <c r="BV1025">
        <v>0</v>
      </c>
      <c r="BW1025">
        <v>115</v>
      </c>
      <c r="BX1025">
        <f>IF(C1025=C1024,IF((CI1025-1)=CI1024,BW1024,"no data"))</f>
        <v>128</v>
      </c>
      <c r="BY1025" s="5">
        <f t="shared" si="115"/>
        <v>-0.1015625</v>
      </c>
      <c r="BZ1025" s="6">
        <f t="shared" si="113"/>
        <v>-0.1015625</v>
      </c>
      <c r="CA1025" s="7">
        <v>42316</v>
      </c>
      <c r="CE1025">
        <v>23</v>
      </c>
      <c r="CF1025">
        <v>47</v>
      </c>
      <c r="CG1025">
        <v>27</v>
      </c>
      <c r="CH1025">
        <v>18</v>
      </c>
      <c r="CI1025">
        <f t="shared" si="110"/>
        <v>2015</v>
      </c>
      <c r="CJ1025" t="str">
        <f t="shared" si="111"/>
        <v>6207_2015</v>
      </c>
    </row>
    <row r="1026" spans="1:88" x14ac:dyDescent="0.25">
      <c r="A1026" t="s">
        <v>111</v>
      </c>
      <c r="B1026" t="s">
        <v>146</v>
      </c>
      <c r="C1026">
        <v>6207</v>
      </c>
      <c r="D1026">
        <v>-37.570064000000002</v>
      </c>
      <c r="E1026">
        <v>143.82979599999999</v>
      </c>
      <c r="F1026">
        <v>4</v>
      </c>
      <c r="G1026" t="s">
        <v>386</v>
      </c>
      <c r="H1026">
        <v>97</v>
      </c>
      <c r="I1026">
        <v>277</v>
      </c>
      <c r="J1026">
        <v>186</v>
      </c>
      <c r="K1026">
        <v>6</v>
      </c>
      <c r="L1026">
        <v>277</v>
      </c>
      <c r="M1026">
        <v>97</v>
      </c>
      <c r="N1026">
        <v>337</v>
      </c>
      <c r="O1026">
        <v>157</v>
      </c>
      <c r="T1026">
        <v>0</v>
      </c>
      <c r="U1026">
        <v>3</v>
      </c>
      <c r="V1026">
        <v>8</v>
      </c>
      <c r="Y1026">
        <v>3</v>
      </c>
      <c r="Z1026">
        <v>0</v>
      </c>
      <c r="AA1026">
        <v>2</v>
      </c>
      <c r="AD1026">
        <v>3</v>
      </c>
      <c r="AE1026">
        <v>0</v>
      </c>
      <c r="AF1026">
        <v>2</v>
      </c>
      <c r="AI1026">
        <v>13</v>
      </c>
      <c r="AJ1026">
        <v>0</v>
      </c>
      <c r="AK1026">
        <v>2</v>
      </c>
      <c r="AX1026">
        <v>11</v>
      </c>
      <c r="AY1026">
        <v>19</v>
      </c>
      <c r="AZ1026">
        <v>30</v>
      </c>
      <c r="BA1026">
        <v>5</v>
      </c>
      <c r="BB1026">
        <v>0</v>
      </c>
      <c r="BC1026">
        <v>5</v>
      </c>
      <c r="BD1026">
        <v>5</v>
      </c>
      <c r="BE1026">
        <v>5</v>
      </c>
      <c r="BF1026">
        <v>10</v>
      </c>
      <c r="BG1026">
        <v>15</v>
      </c>
      <c r="BH1026">
        <v>12</v>
      </c>
      <c r="BI1026">
        <v>27</v>
      </c>
      <c r="BP1026">
        <v>2</v>
      </c>
      <c r="BR1026">
        <v>13</v>
      </c>
      <c r="BS1026">
        <v>8</v>
      </c>
      <c r="BT1026">
        <v>13</v>
      </c>
      <c r="BV1026">
        <v>0</v>
      </c>
      <c r="BW1026">
        <v>36</v>
      </c>
      <c r="BX1026">
        <f>IF(C1026=C1025,IF((CI1026-1)=CI1025,BW1025,"no data"))</f>
        <v>115</v>
      </c>
      <c r="BY1026" s="5">
        <f t="shared" si="115"/>
        <v>-0.68695652173913047</v>
      </c>
      <c r="BZ1026" s="6">
        <f t="shared" si="113"/>
        <v>-0.68695652173913047</v>
      </c>
      <c r="CA1026" s="7">
        <v>42687</v>
      </c>
      <c r="CE1026">
        <v>13</v>
      </c>
      <c r="CF1026">
        <v>3</v>
      </c>
      <c r="CG1026">
        <v>9</v>
      </c>
      <c r="CH1026">
        <v>11</v>
      </c>
      <c r="CI1026">
        <f t="shared" si="110"/>
        <v>2016</v>
      </c>
      <c r="CJ1026" t="str">
        <f t="shared" si="111"/>
        <v>6207_2016</v>
      </c>
    </row>
    <row r="1027" spans="1:88" x14ac:dyDescent="0.25">
      <c r="A1027" t="s">
        <v>111</v>
      </c>
      <c r="B1027" t="s">
        <v>146</v>
      </c>
      <c r="C1027">
        <v>6207</v>
      </c>
      <c r="D1027">
        <v>-37.570064000000002</v>
      </c>
      <c r="E1027">
        <v>143.82979599999999</v>
      </c>
      <c r="F1027">
        <v>4</v>
      </c>
      <c r="G1027" t="s">
        <v>386</v>
      </c>
      <c r="H1027">
        <v>97</v>
      </c>
      <c r="I1027">
        <v>277</v>
      </c>
      <c r="J1027">
        <v>186</v>
      </c>
      <c r="K1027">
        <v>6</v>
      </c>
      <c r="L1027">
        <v>277</v>
      </c>
      <c r="M1027">
        <v>97</v>
      </c>
      <c r="N1027">
        <v>337</v>
      </c>
      <c r="O1027">
        <v>157</v>
      </c>
      <c r="T1027">
        <v>0</v>
      </c>
      <c r="U1027">
        <v>15</v>
      </c>
      <c r="V1027">
        <v>46</v>
      </c>
      <c r="Y1027">
        <v>1</v>
      </c>
      <c r="Z1027">
        <v>1</v>
      </c>
      <c r="AA1027">
        <v>23</v>
      </c>
      <c r="AD1027">
        <v>21</v>
      </c>
      <c r="AE1027">
        <v>0</v>
      </c>
      <c r="AF1027">
        <v>16</v>
      </c>
      <c r="AI1027">
        <v>57</v>
      </c>
      <c r="AJ1027">
        <v>15</v>
      </c>
      <c r="AK1027">
        <v>20</v>
      </c>
      <c r="AX1027">
        <v>61</v>
      </c>
      <c r="AY1027">
        <v>79</v>
      </c>
      <c r="AZ1027">
        <v>140</v>
      </c>
      <c r="BA1027">
        <v>25</v>
      </c>
      <c r="BB1027">
        <v>15</v>
      </c>
      <c r="BC1027">
        <v>40</v>
      </c>
      <c r="BD1027">
        <v>37</v>
      </c>
      <c r="BE1027">
        <v>36</v>
      </c>
      <c r="BF1027">
        <v>73</v>
      </c>
      <c r="BG1027">
        <v>92</v>
      </c>
      <c r="BH1027">
        <v>85</v>
      </c>
      <c r="BI1027">
        <v>177</v>
      </c>
      <c r="BP1027">
        <v>60</v>
      </c>
      <c r="BR1027">
        <v>83</v>
      </c>
      <c r="BS1027">
        <v>22</v>
      </c>
      <c r="BT1027">
        <v>45</v>
      </c>
      <c r="BV1027">
        <v>5</v>
      </c>
      <c r="BW1027">
        <v>215</v>
      </c>
      <c r="BX1027">
        <f>IF(C1027=C1026,IF((CI1027-1)=CI1026,BW1026,"no data"))</f>
        <v>36</v>
      </c>
      <c r="BY1027" s="5">
        <f t="shared" si="115"/>
        <v>4.9722222222222223</v>
      </c>
      <c r="BZ1027" s="6">
        <f t="shared" si="113"/>
        <v>4.9722222222222223</v>
      </c>
      <c r="CA1027" s="7">
        <v>43051</v>
      </c>
      <c r="CE1027">
        <v>90</v>
      </c>
      <c r="CF1027">
        <v>66</v>
      </c>
      <c r="CG1027">
        <v>41</v>
      </c>
      <c r="CH1027">
        <v>18</v>
      </c>
      <c r="CI1027">
        <f t="shared" ref="CI1027:CI1090" si="117">YEAR(CA1027)</f>
        <v>2017</v>
      </c>
      <c r="CJ1027" t="str">
        <f t="shared" ref="CJ1027:CJ1090" si="118">_xlfn.CONCAT(C1027,"_",CI1027)</f>
        <v>6207_2017</v>
      </c>
    </row>
    <row r="1028" spans="1:88" x14ac:dyDescent="0.25">
      <c r="A1028" t="s">
        <v>111</v>
      </c>
      <c r="B1028" t="s">
        <v>146</v>
      </c>
      <c r="C1028">
        <v>6208</v>
      </c>
      <c r="D1028">
        <v>-37.555100000000003</v>
      </c>
      <c r="E1028">
        <v>143.87299999999999</v>
      </c>
      <c r="F1028">
        <v>3</v>
      </c>
      <c r="G1028" t="s">
        <v>387</v>
      </c>
      <c r="H1028">
        <v>91</v>
      </c>
      <c r="I1028">
        <v>271</v>
      </c>
      <c r="J1028">
        <v>181</v>
      </c>
      <c r="K1028">
        <v>1</v>
      </c>
      <c r="L1028">
        <v>275</v>
      </c>
      <c r="M1028">
        <v>95</v>
      </c>
      <c r="T1028">
        <v>5</v>
      </c>
      <c r="U1028">
        <v>38</v>
      </c>
      <c r="Y1028">
        <v>1</v>
      </c>
      <c r="Z1028">
        <v>2</v>
      </c>
      <c r="AD1028">
        <v>30</v>
      </c>
      <c r="AE1028">
        <v>10</v>
      </c>
      <c r="AX1028">
        <v>43</v>
      </c>
      <c r="AY1028">
        <v>31</v>
      </c>
      <c r="AZ1028">
        <v>74</v>
      </c>
      <c r="BA1028">
        <v>3</v>
      </c>
      <c r="BB1028">
        <v>15</v>
      </c>
      <c r="BC1028">
        <v>18</v>
      </c>
      <c r="BD1028">
        <v>40</v>
      </c>
      <c r="BE1028">
        <v>40</v>
      </c>
      <c r="BF1028">
        <v>80</v>
      </c>
      <c r="BP1028">
        <v>27</v>
      </c>
      <c r="BR1028">
        <v>19</v>
      </c>
      <c r="BS1028">
        <v>18</v>
      </c>
      <c r="BT1028">
        <v>22</v>
      </c>
      <c r="BV1028">
        <v>0</v>
      </c>
      <c r="BW1028">
        <v>86</v>
      </c>
      <c r="BX1028" t="s">
        <v>82</v>
      </c>
      <c r="BY1028" s="5"/>
      <c r="BZ1028" s="6"/>
      <c r="CA1028" s="7">
        <v>41588</v>
      </c>
      <c r="CI1028">
        <f t="shared" si="117"/>
        <v>2013</v>
      </c>
      <c r="CJ1028" t="str">
        <f t="shared" si="118"/>
        <v>6208_2013</v>
      </c>
    </row>
    <row r="1029" spans="1:88" x14ac:dyDescent="0.25">
      <c r="A1029" t="s">
        <v>111</v>
      </c>
      <c r="B1029" t="s">
        <v>146</v>
      </c>
      <c r="C1029">
        <v>6208</v>
      </c>
      <c r="D1029">
        <v>-37.555100000000003</v>
      </c>
      <c r="E1029">
        <v>143.87299999999999</v>
      </c>
      <c r="F1029">
        <v>3</v>
      </c>
      <c r="G1029" t="s">
        <v>387</v>
      </c>
      <c r="H1029">
        <v>91</v>
      </c>
      <c r="I1029">
        <v>271</v>
      </c>
      <c r="J1029">
        <v>181</v>
      </c>
      <c r="K1029">
        <v>1</v>
      </c>
      <c r="L1029">
        <v>275</v>
      </c>
      <c r="M1029">
        <v>95</v>
      </c>
      <c r="T1029">
        <v>1</v>
      </c>
      <c r="U1029">
        <v>37</v>
      </c>
      <c r="Y1029">
        <v>4</v>
      </c>
      <c r="Z1029">
        <v>6</v>
      </c>
      <c r="AD1029">
        <v>33</v>
      </c>
      <c r="AE1029">
        <v>9</v>
      </c>
      <c r="AX1029">
        <v>38</v>
      </c>
      <c r="AY1029">
        <v>37</v>
      </c>
      <c r="AZ1029">
        <v>75</v>
      </c>
      <c r="BA1029">
        <v>10</v>
      </c>
      <c r="BB1029">
        <v>10</v>
      </c>
      <c r="BC1029">
        <v>20</v>
      </c>
      <c r="BD1029">
        <v>42</v>
      </c>
      <c r="BE1029">
        <v>43</v>
      </c>
      <c r="BF1029">
        <v>85</v>
      </c>
      <c r="BP1029">
        <v>31</v>
      </c>
      <c r="BR1029">
        <v>32</v>
      </c>
      <c r="BS1029">
        <v>14</v>
      </c>
      <c r="BT1029">
        <v>13</v>
      </c>
      <c r="BV1029">
        <v>0</v>
      </c>
      <c r="BW1029">
        <v>90</v>
      </c>
      <c r="BX1029">
        <f>IF(C1029=C1028,IF((CI1029-1)=CI1028,BW1028,"no data"))</f>
        <v>86</v>
      </c>
      <c r="BY1029" s="5">
        <f t="shared" si="115"/>
        <v>4.6511627906976744E-2</v>
      </c>
      <c r="BZ1029" s="6">
        <f t="shared" ref="BZ1029:BZ1092" si="119">BY1029</f>
        <v>4.6511627906976744E-2</v>
      </c>
      <c r="CA1029" s="7">
        <v>41952</v>
      </c>
      <c r="CI1029">
        <f t="shared" si="117"/>
        <v>2014</v>
      </c>
      <c r="CJ1029" t="str">
        <f t="shared" si="118"/>
        <v>6208_2014</v>
      </c>
    </row>
    <row r="1030" spans="1:88" x14ac:dyDescent="0.25">
      <c r="A1030" t="s">
        <v>111</v>
      </c>
      <c r="B1030" t="s">
        <v>146</v>
      </c>
      <c r="C1030">
        <v>6208</v>
      </c>
      <c r="D1030">
        <v>-37.555100000000003</v>
      </c>
      <c r="E1030">
        <v>143.87299999999999</v>
      </c>
      <c r="F1030">
        <v>3</v>
      </c>
      <c r="G1030" t="s">
        <v>387</v>
      </c>
      <c r="H1030">
        <v>91</v>
      </c>
      <c r="I1030">
        <v>271</v>
      </c>
      <c r="J1030">
        <v>181</v>
      </c>
      <c r="K1030">
        <v>1</v>
      </c>
      <c r="L1030">
        <v>275</v>
      </c>
      <c r="M1030">
        <v>95</v>
      </c>
      <c r="T1030">
        <v>3</v>
      </c>
      <c r="U1030">
        <v>38</v>
      </c>
      <c r="Y1030">
        <v>0</v>
      </c>
      <c r="Z1030">
        <v>17</v>
      </c>
      <c r="AD1030">
        <v>45</v>
      </c>
      <c r="AE1030">
        <v>13</v>
      </c>
      <c r="AX1030">
        <v>41</v>
      </c>
      <c r="AY1030">
        <v>45</v>
      </c>
      <c r="AZ1030">
        <v>86</v>
      </c>
      <c r="BA1030">
        <v>17</v>
      </c>
      <c r="BB1030">
        <v>16</v>
      </c>
      <c r="BC1030">
        <v>33</v>
      </c>
      <c r="BD1030">
        <v>58</v>
      </c>
      <c r="BE1030">
        <v>55</v>
      </c>
      <c r="BF1030">
        <v>113</v>
      </c>
      <c r="BP1030">
        <v>44</v>
      </c>
      <c r="BR1030">
        <v>48</v>
      </c>
      <c r="BS1030">
        <v>5</v>
      </c>
      <c r="BT1030">
        <v>19</v>
      </c>
      <c r="BV1030">
        <v>0</v>
      </c>
      <c r="BW1030">
        <v>116</v>
      </c>
      <c r="BX1030">
        <f>IF(C1030=C1029,IF((CI1030-1)=CI1029,BW1029,"no data"))</f>
        <v>90</v>
      </c>
      <c r="BY1030" s="5">
        <f t="shared" si="115"/>
        <v>0.28888888888888886</v>
      </c>
      <c r="BZ1030" s="6">
        <f t="shared" si="119"/>
        <v>0.28888888888888886</v>
      </c>
      <c r="CA1030" s="7">
        <v>42316</v>
      </c>
      <c r="CE1030">
        <v>30</v>
      </c>
      <c r="CF1030">
        <v>33</v>
      </c>
      <c r="CG1030">
        <v>39</v>
      </c>
      <c r="CH1030">
        <v>14</v>
      </c>
      <c r="CI1030">
        <f t="shared" si="117"/>
        <v>2015</v>
      </c>
      <c r="CJ1030" t="str">
        <f t="shared" si="118"/>
        <v>6208_2015</v>
      </c>
    </row>
    <row r="1031" spans="1:88" x14ac:dyDescent="0.25">
      <c r="A1031" t="s">
        <v>111</v>
      </c>
      <c r="B1031" t="s">
        <v>146</v>
      </c>
      <c r="C1031">
        <v>6208</v>
      </c>
      <c r="D1031">
        <v>-37.555076</v>
      </c>
      <c r="E1031">
        <v>143.872974</v>
      </c>
      <c r="F1031">
        <v>3</v>
      </c>
      <c r="G1031" t="s">
        <v>387</v>
      </c>
      <c r="H1031">
        <v>91</v>
      </c>
      <c r="I1031">
        <v>271</v>
      </c>
      <c r="J1031">
        <v>181</v>
      </c>
      <c r="K1031">
        <v>1</v>
      </c>
      <c r="L1031">
        <v>275</v>
      </c>
      <c r="M1031">
        <v>95</v>
      </c>
      <c r="T1031">
        <v>11</v>
      </c>
      <c r="U1031">
        <v>12</v>
      </c>
      <c r="Y1031">
        <v>4</v>
      </c>
      <c r="Z1031">
        <v>5</v>
      </c>
      <c r="AD1031">
        <v>7</v>
      </c>
      <c r="AE1031">
        <v>9</v>
      </c>
      <c r="AX1031">
        <v>23</v>
      </c>
      <c r="AY1031">
        <v>11</v>
      </c>
      <c r="AZ1031">
        <v>34</v>
      </c>
      <c r="BA1031">
        <v>9</v>
      </c>
      <c r="BB1031">
        <v>20</v>
      </c>
      <c r="BC1031">
        <v>29</v>
      </c>
      <c r="BD1031">
        <v>16</v>
      </c>
      <c r="BE1031">
        <v>17</v>
      </c>
      <c r="BF1031">
        <v>33</v>
      </c>
      <c r="BP1031">
        <v>16</v>
      </c>
      <c r="BR1031">
        <v>10</v>
      </c>
      <c r="BS1031">
        <v>9</v>
      </c>
      <c r="BT1031">
        <v>10</v>
      </c>
      <c r="BV1031">
        <v>3</v>
      </c>
      <c r="BW1031">
        <v>48</v>
      </c>
      <c r="BX1031">
        <f>IF(C1031=C1030,IF((CI1031-1)=CI1030,BW1030,"no data"))</f>
        <v>116</v>
      </c>
      <c r="BY1031" s="5">
        <f t="shared" si="115"/>
        <v>-0.58620689655172409</v>
      </c>
      <c r="BZ1031" s="6">
        <f t="shared" si="119"/>
        <v>-0.58620689655172409</v>
      </c>
      <c r="CA1031" s="7">
        <v>42687</v>
      </c>
      <c r="CE1031">
        <v>18</v>
      </c>
      <c r="CF1031">
        <v>14</v>
      </c>
      <c r="CG1031">
        <v>8</v>
      </c>
      <c r="CH1031">
        <v>8</v>
      </c>
      <c r="CI1031">
        <f t="shared" si="117"/>
        <v>2016</v>
      </c>
      <c r="CJ1031" t="str">
        <f t="shared" si="118"/>
        <v>6208_2016</v>
      </c>
    </row>
    <row r="1032" spans="1:88" x14ac:dyDescent="0.25">
      <c r="A1032" t="s">
        <v>111</v>
      </c>
      <c r="B1032" t="s">
        <v>146</v>
      </c>
      <c r="C1032">
        <v>6208</v>
      </c>
      <c r="D1032">
        <v>-37.555076</v>
      </c>
      <c r="E1032">
        <v>143.872974</v>
      </c>
      <c r="F1032">
        <v>3</v>
      </c>
      <c r="G1032" t="s">
        <v>387</v>
      </c>
      <c r="H1032">
        <v>91</v>
      </c>
      <c r="I1032">
        <v>271</v>
      </c>
      <c r="J1032">
        <v>181</v>
      </c>
      <c r="K1032">
        <v>1</v>
      </c>
      <c r="L1032">
        <v>275</v>
      </c>
      <c r="M1032">
        <v>95</v>
      </c>
      <c r="T1032">
        <v>4</v>
      </c>
      <c r="U1032">
        <v>95</v>
      </c>
      <c r="Y1032">
        <v>6</v>
      </c>
      <c r="Z1032">
        <v>13</v>
      </c>
      <c r="AD1032">
        <v>80</v>
      </c>
      <c r="AE1032">
        <v>14</v>
      </c>
      <c r="AX1032">
        <v>99</v>
      </c>
      <c r="AY1032">
        <v>86</v>
      </c>
      <c r="AZ1032">
        <v>185</v>
      </c>
      <c r="BA1032">
        <v>19</v>
      </c>
      <c r="BB1032">
        <v>18</v>
      </c>
      <c r="BC1032">
        <v>37</v>
      </c>
      <c r="BD1032">
        <v>94</v>
      </c>
      <c r="BE1032">
        <v>108</v>
      </c>
      <c r="BF1032">
        <v>202</v>
      </c>
      <c r="BP1032">
        <v>94</v>
      </c>
      <c r="BR1032">
        <v>54</v>
      </c>
      <c r="BS1032">
        <v>27</v>
      </c>
      <c r="BT1032">
        <v>27</v>
      </c>
      <c r="BV1032">
        <v>10</v>
      </c>
      <c r="BW1032">
        <v>212</v>
      </c>
      <c r="BX1032">
        <f>IF(C1032=C1031,IF((CI1032-1)=CI1031,BW1031,"no data"))</f>
        <v>48</v>
      </c>
      <c r="BY1032" s="5">
        <f t="shared" si="115"/>
        <v>3.4166666666666665</v>
      </c>
      <c r="BZ1032" s="6">
        <f t="shared" si="119"/>
        <v>3.4166666666666665</v>
      </c>
      <c r="CA1032" s="7">
        <v>43051</v>
      </c>
      <c r="CE1032">
        <v>58</v>
      </c>
      <c r="CF1032">
        <v>55</v>
      </c>
      <c r="CG1032">
        <v>46</v>
      </c>
      <c r="CH1032">
        <v>53</v>
      </c>
      <c r="CI1032">
        <f t="shared" si="117"/>
        <v>2017</v>
      </c>
      <c r="CJ1032" t="str">
        <f t="shared" si="118"/>
        <v>6208_2017</v>
      </c>
    </row>
    <row r="1033" spans="1:88" x14ac:dyDescent="0.25">
      <c r="A1033" t="s">
        <v>111</v>
      </c>
      <c r="B1033" t="s">
        <v>146</v>
      </c>
      <c r="C1033">
        <v>6209</v>
      </c>
      <c r="D1033">
        <v>-37.549900000000001</v>
      </c>
      <c r="E1033">
        <v>143.8228</v>
      </c>
      <c r="F1033">
        <v>4</v>
      </c>
      <c r="G1033" t="s">
        <v>388</v>
      </c>
      <c r="H1033">
        <v>42</v>
      </c>
      <c r="I1033">
        <v>222</v>
      </c>
      <c r="J1033">
        <v>137</v>
      </c>
      <c r="K1033">
        <v>317</v>
      </c>
      <c r="L1033">
        <v>218</v>
      </c>
      <c r="M1033">
        <v>38</v>
      </c>
      <c r="N1033">
        <v>318</v>
      </c>
      <c r="O1033">
        <v>138</v>
      </c>
      <c r="T1033">
        <v>0</v>
      </c>
      <c r="U1033">
        <v>36</v>
      </c>
      <c r="V1033">
        <v>1</v>
      </c>
      <c r="Y1033">
        <v>0</v>
      </c>
      <c r="Z1033">
        <v>0</v>
      </c>
      <c r="AA1033">
        <v>6</v>
      </c>
      <c r="AD1033">
        <v>38</v>
      </c>
      <c r="AE1033">
        <v>0</v>
      </c>
      <c r="AF1033">
        <v>0</v>
      </c>
      <c r="AI1033">
        <v>1</v>
      </c>
      <c r="AJ1033">
        <v>2</v>
      </c>
      <c r="AK1033">
        <v>0</v>
      </c>
      <c r="AX1033">
        <v>37</v>
      </c>
      <c r="AY1033">
        <v>39</v>
      </c>
      <c r="AZ1033">
        <v>76</v>
      </c>
      <c r="BA1033">
        <v>6</v>
      </c>
      <c r="BB1033">
        <v>2</v>
      </c>
      <c r="BC1033">
        <v>8</v>
      </c>
      <c r="BD1033">
        <v>38</v>
      </c>
      <c r="BE1033">
        <v>36</v>
      </c>
      <c r="BF1033">
        <v>74</v>
      </c>
      <c r="BG1033">
        <v>3</v>
      </c>
      <c r="BH1033">
        <v>7</v>
      </c>
      <c r="BI1033">
        <v>10</v>
      </c>
      <c r="BP1033">
        <v>8</v>
      </c>
      <c r="BR1033">
        <v>67</v>
      </c>
      <c r="BS1033">
        <v>3</v>
      </c>
      <c r="BT1033">
        <v>6</v>
      </c>
      <c r="BV1033">
        <v>0</v>
      </c>
      <c r="BW1033">
        <v>84</v>
      </c>
      <c r="BX1033" t="s">
        <v>82</v>
      </c>
      <c r="BY1033" s="5"/>
      <c r="BZ1033" s="6"/>
      <c r="CA1033" s="7">
        <v>41588</v>
      </c>
      <c r="CI1033">
        <f t="shared" si="117"/>
        <v>2013</v>
      </c>
      <c r="CJ1033" t="str">
        <f t="shared" si="118"/>
        <v>6209_2013</v>
      </c>
    </row>
    <row r="1034" spans="1:88" x14ac:dyDescent="0.25">
      <c r="A1034" t="s">
        <v>111</v>
      </c>
      <c r="B1034" t="s">
        <v>146</v>
      </c>
      <c r="C1034">
        <v>6209</v>
      </c>
      <c r="D1034">
        <v>-37.549900000000001</v>
      </c>
      <c r="E1034">
        <v>143.8228</v>
      </c>
      <c r="F1034">
        <v>4</v>
      </c>
      <c r="G1034" t="s">
        <v>388</v>
      </c>
      <c r="H1034">
        <v>42</v>
      </c>
      <c r="I1034">
        <v>222</v>
      </c>
      <c r="J1034">
        <v>137</v>
      </c>
      <c r="K1034">
        <v>317</v>
      </c>
      <c r="L1034">
        <v>218</v>
      </c>
      <c r="M1034">
        <v>38</v>
      </c>
      <c r="N1034">
        <v>318</v>
      </c>
      <c r="O1034">
        <v>138</v>
      </c>
      <c r="T1034">
        <v>10</v>
      </c>
      <c r="U1034">
        <v>355</v>
      </c>
      <c r="V1034">
        <v>0</v>
      </c>
      <c r="Y1034">
        <v>7</v>
      </c>
      <c r="Z1034">
        <v>0</v>
      </c>
      <c r="AA1034">
        <v>6</v>
      </c>
      <c r="AD1034">
        <v>205</v>
      </c>
      <c r="AE1034">
        <v>1</v>
      </c>
      <c r="AF1034">
        <v>8</v>
      </c>
      <c r="AI1034">
        <v>0</v>
      </c>
      <c r="AJ1034">
        <v>0</v>
      </c>
      <c r="AK1034">
        <v>0</v>
      </c>
      <c r="AX1034">
        <v>365</v>
      </c>
      <c r="AY1034">
        <v>212</v>
      </c>
      <c r="AZ1034">
        <v>577</v>
      </c>
      <c r="BA1034">
        <v>13</v>
      </c>
      <c r="BB1034">
        <v>11</v>
      </c>
      <c r="BC1034">
        <v>24</v>
      </c>
      <c r="BD1034">
        <v>214</v>
      </c>
      <c r="BE1034">
        <v>355</v>
      </c>
      <c r="BF1034">
        <v>569</v>
      </c>
      <c r="BG1034">
        <v>0</v>
      </c>
      <c r="BH1034">
        <v>14</v>
      </c>
      <c r="BI1034">
        <v>14</v>
      </c>
      <c r="BP1034">
        <v>45</v>
      </c>
      <c r="BR1034">
        <v>364</v>
      </c>
      <c r="BS1034">
        <v>134</v>
      </c>
      <c r="BT1034">
        <v>47</v>
      </c>
      <c r="BV1034">
        <v>2</v>
      </c>
      <c r="BW1034">
        <v>592</v>
      </c>
      <c r="BX1034">
        <f>IF(C1034=C1033,IF((CI1034-1)=CI1033,BW1033,"no data"))</f>
        <v>84</v>
      </c>
      <c r="BY1034" s="5">
        <f t="shared" si="115"/>
        <v>6.0476190476190474</v>
      </c>
      <c r="BZ1034" s="6">
        <f t="shared" si="119"/>
        <v>6.0476190476190474</v>
      </c>
      <c r="CA1034" s="7">
        <v>41952</v>
      </c>
      <c r="CI1034">
        <f t="shared" si="117"/>
        <v>2014</v>
      </c>
      <c r="CJ1034" t="str">
        <f t="shared" si="118"/>
        <v>6209_2014</v>
      </c>
    </row>
    <row r="1035" spans="1:88" x14ac:dyDescent="0.25">
      <c r="A1035" t="s">
        <v>111</v>
      </c>
      <c r="B1035" t="s">
        <v>146</v>
      </c>
      <c r="C1035">
        <v>6209</v>
      </c>
      <c r="D1035">
        <v>-37.549900000000001</v>
      </c>
      <c r="E1035">
        <v>143.8228</v>
      </c>
      <c r="F1035">
        <v>4</v>
      </c>
      <c r="G1035" t="s">
        <v>388</v>
      </c>
      <c r="H1035">
        <v>42</v>
      </c>
      <c r="I1035">
        <v>222</v>
      </c>
      <c r="J1035">
        <v>137</v>
      </c>
      <c r="K1035">
        <v>317</v>
      </c>
      <c r="L1035">
        <v>218</v>
      </c>
      <c r="M1035">
        <v>38</v>
      </c>
      <c r="N1035">
        <v>318</v>
      </c>
      <c r="O1035">
        <v>138</v>
      </c>
      <c r="T1035">
        <v>2</v>
      </c>
      <c r="U1035">
        <v>162</v>
      </c>
      <c r="V1035">
        <v>0</v>
      </c>
      <c r="Y1035">
        <v>0</v>
      </c>
      <c r="Z1035">
        <v>2</v>
      </c>
      <c r="AA1035">
        <v>572</v>
      </c>
      <c r="AD1035">
        <v>39</v>
      </c>
      <c r="AE1035">
        <v>18</v>
      </c>
      <c r="AF1035">
        <v>0</v>
      </c>
      <c r="AI1035">
        <v>42</v>
      </c>
      <c r="AJ1035">
        <v>277</v>
      </c>
      <c r="AK1035">
        <v>0</v>
      </c>
      <c r="AX1035">
        <v>164</v>
      </c>
      <c r="AY1035">
        <v>81</v>
      </c>
      <c r="AZ1035">
        <v>245</v>
      </c>
      <c r="BA1035">
        <v>574</v>
      </c>
      <c r="BB1035">
        <v>297</v>
      </c>
      <c r="BC1035">
        <v>871</v>
      </c>
      <c r="BD1035">
        <v>57</v>
      </c>
      <c r="BE1035">
        <v>164</v>
      </c>
      <c r="BF1035">
        <v>221</v>
      </c>
      <c r="BG1035">
        <v>319</v>
      </c>
      <c r="BH1035">
        <v>572</v>
      </c>
      <c r="BI1035">
        <v>891</v>
      </c>
      <c r="BP1035">
        <v>77</v>
      </c>
      <c r="BR1035">
        <v>863</v>
      </c>
      <c r="BS1035">
        <v>95</v>
      </c>
      <c r="BT1035">
        <v>72</v>
      </c>
      <c r="BV1035">
        <v>7</v>
      </c>
      <c r="BW1035">
        <v>1114</v>
      </c>
      <c r="BX1035">
        <f>IF(C1035=C1034,IF((CI1035-1)=CI1034,BW1034,"no data"))</f>
        <v>592</v>
      </c>
      <c r="BY1035" s="5">
        <f t="shared" si="115"/>
        <v>0.8817567567567568</v>
      </c>
      <c r="BZ1035" s="6">
        <f t="shared" si="119"/>
        <v>0.8817567567567568</v>
      </c>
      <c r="CA1035" s="7">
        <v>42316</v>
      </c>
      <c r="CE1035">
        <v>276</v>
      </c>
      <c r="CF1035">
        <v>587</v>
      </c>
      <c r="CG1035">
        <v>52</v>
      </c>
      <c r="CH1035">
        <v>199</v>
      </c>
      <c r="CI1035">
        <f t="shared" si="117"/>
        <v>2015</v>
      </c>
      <c r="CJ1035" t="str">
        <f t="shared" si="118"/>
        <v>6209_2015</v>
      </c>
    </row>
    <row r="1036" spans="1:88" x14ac:dyDescent="0.25">
      <c r="A1036" t="s">
        <v>111</v>
      </c>
      <c r="B1036" t="s">
        <v>146</v>
      </c>
      <c r="C1036">
        <v>6209</v>
      </c>
      <c r="D1036">
        <v>-37.549917999999998</v>
      </c>
      <c r="E1036">
        <v>143.822755</v>
      </c>
      <c r="F1036">
        <v>4</v>
      </c>
      <c r="G1036" t="s">
        <v>388</v>
      </c>
      <c r="H1036">
        <v>42</v>
      </c>
      <c r="I1036">
        <v>222</v>
      </c>
      <c r="J1036">
        <v>137</v>
      </c>
      <c r="K1036">
        <v>317</v>
      </c>
      <c r="L1036">
        <v>218</v>
      </c>
      <c r="M1036">
        <v>38</v>
      </c>
      <c r="N1036">
        <v>318</v>
      </c>
      <c r="O1036">
        <v>138</v>
      </c>
      <c r="T1036">
        <v>0</v>
      </c>
      <c r="U1036">
        <v>70</v>
      </c>
      <c r="V1036">
        <v>2</v>
      </c>
      <c r="Y1036">
        <v>9</v>
      </c>
      <c r="Z1036">
        <v>4</v>
      </c>
      <c r="AA1036">
        <v>24</v>
      </c>
      <c r="AD1036">
        <v>39</v>
      </c>
      <c r="AE1036">
        <v>3</v>
      </c>
      <c r="AF1036">
        <v>0</v>
      </c>
      <c r="AI1036">
        <v>7</v>
      </c>
      <c r="AJ1036">
        <v>38</v>
      </c>
      <c r="AK1036">
        <v>1</v>
      </c>
      <c r="AX1036">
        <v>72</v>
      </c>
      <c r="AY1036">
        <v>55</v>
      </c>
      <c r="AZ1036">
        <v>127</v>
      </c>
      <c r="BA1036">
        <v>37</v>
      </c>
      <c r="BB1036">
        <v>41</v>
      </c>
      <c r="BC1036">
        <v>78</v>
      </c>
      <c r="BD1036">
        <v>42</v>
      </c>
      <c r="BE1036">
        <v>75</v>
      </c>
      <c r="BF1036">
        <v>117</v>
      </c>
      <c r="BG1036">
        <v>46</v>
      </c>
      <c r="BH1036">
        <v>26</v>
      </c>
      <c r="BI1036">
        <v>72</v>
      </c>
      <c r="BP1036">
        <v>2</v>
      </c>
      <c r="BR1036">
        <v>84</v>
      </c>
      <c r="BS1036">
        <v>37</v>
      </c>
      <c r="BT1036">
        <v>11</v>
      </c>
      <c r="BV1036">
        <v>63</v>
      </c>
      <c r="BW1036">
        <v>197</v>
      </c>
      <c r="BX1036">
        <f>IF(C1036=C1035,IF((CI1036-1)=CI1035,BW1035,"no data"))</f>
        <v>1114</v>
      </c>
      <c r="BY1036" s="5">
        <f t="shared" si="115"/>
        <v>-0.8231597845601436</v>
      </c>
      <c r="BZ1036" s="6">
        <f t="shared" si="119"/>
        <v>-0.8231597845601436</v>
      </c>
      <c r="CA1036" s="7">
        <v>42687</v>
      </c>
      <c r="CE1036">
        <v>55</v>
      </c>
      <c r="CF1036">
        <v>33</v>
      </c>
      <c r="CG1036">
        <v>48</v>
      </c>
      <c r="CH1036">
        <v>61</v>
      </c>
      <c r="CI1036">
        <f t="shared" si="117"/>
        <v>2016</v>
      </c>
      <c r="CJ1036" t="str">
        <f t="shared" si="118"/>
        <v>6209_2016</v>
      </c>
    </row>
    <row r="1037" spans="1:88" x14ac:dyDescent="0.25">
      <c r="A1037" t="s">
        <v>111</v>
      </c>
      <c r="B1037" t="s">
        <v>146</v>
      </c>
      <c r="C1037">
        <v>6209</v>
      </c>
      <c r="D1037">
        <v>-37.549917999999998</v>
      </c>
      <c r="E1037">
        <v>143.822755</v>
      </c>
      <c r="F1037">
        <v>4</v>
      </c>
      <c r="G1037" t="s">
        <v>388</v>
      </c>
      <c r="H1037">
        <v>42</v>
      </c>
      <c r="I1037">
        <v>222</v>
      </c>
      <c r="J1037">
        <v>137</v>
      </c>
      <c r="K1037">
        <v>317</v>
      </c>
      <c r="L1037">
        <v>218</v>
      </c>
      <c r="M1037">
        <v>38</v>
      </c>
      <c r="N1037">
        <v>318</v>
      </c>
      <c r="O1037">
        <v>138</v>
      </c>
      <c r="T1037">
        <v>10</v>
      </c>
      <c r="U1037">
        <v>268</v>
      </c>
      <c r="V1037">
        <v>18</v>
      </c>
      <c r="Y1037">
        <v>7</v>
      </c>
      <c r="Z1037">
        <v>21</v>
      </c>
      <c r="AA1037">
        <v>7</v>
      </c>
      <c r="AD1037">
        <v>483</v>
      </c>
      <c r="AE1037">
        <v>7</v>
      </c>
      <c r="AF1037">
        <v>93</v>
      </c>
      <c r="AI1037">
        <v>15</v>
      </c>
      <c r="AJ1037">
        <v>9</v>
      </c>
      <c r="AK1037">
        <v>79</v>
      </c>
      <c r="AX1037">
        <v>296</v>
      </c>
      <c r="AY1037">
        <v>505</v>
      </c>
      <c r="AZ1037">
        <v>801</v>
      </c>
      <c r="BA1037">
        <v>35</v>
      </c>
      <c r="BB1037">
        <v>26</v>
      </c>
      <c r="BC1037">
        <v>61</v>
      </c>
      <c r="BD1037">
        <v>583</v>
      </c>
      <c r="BE1037">
        <v>368</v>
      </c>
      <c r="BF1037">
        <v>951</v>
      </c>
      <c r="BG1037">
        <v>103</v>
      </c>
      <c r="BH1037">
        <v>118</v>
      </c>
      <c r="BI1037">
        <v>221</v>
      </c>
      <c r="BP1037">
        <v>250</v>
      </c>
      <c r="BR1037">
        <v>552</v>
      </c>
      <c r="BS1037">
        <v>88</v>
      </c>
      <c r="BT1037">
        <v>83</v>
      </c>
      <c r="BV1037">
        <v>44</v>
      </c>
      <c r="BW1037">
        <v>1017</v>
      </c>
      <c r="BX1037">
        <f>IF(C1037=C1036,IF((CI1037-1)=CI1036,BW1036,"no data"))</f>
        <v>197</v>
      </c>
      <c r="BY1037" s="5">
        <f t="shared" si="115"/>
        <v>4.1624365482233499</v>
      </c>
      <c r="BZ1037" s="6">
        <f t="shared" si="119"/>
        <v>4.1624365482233499</v>
      </c>
      <c r="CA1037" s="7">
        <v>43051</v>
      </c>
      <c r="CE1037">
        <v>270</v>
      </c>
      <c r="CF1037">
        <v>313</v>
      </c>
      <c r="CG1037">
        <v>236</v>
      </c>
      <c r="CH1037">
        <v>198</v>
      </c>
      <c r="CI1037">
        <f t="shared" si="117"/>
        <v>2017</v>
      </c>
      <c r="CJ1037" t="str">
        <f t="shared" si="118"/>
        <v>6209_2017</v>
      </c>
    </row>
    <row r="1038" spans="1:88" x14ac:dyDescent="0.25">
      <c r="A1038" t="s">
        <v>111</v>
      </c>
      <c r="B1038" t="s">
        <v>389</v>
      </c>
      <c r="C1038">
        <v>6210</v>
      </c>
      <c r="D1038">
        <v>-38.604199999999999</v>
      </c>
      <c r="E1038">
        <v>145.57849999999999</v>
      </c>
      <c r="F1038">
        <v>4</v>
      </c>
      <c r="G1038" t="s">
        <v>390</v>
      </c>
      <c r="H1038">
        <v>6</v>
      </c>
      <c r="I1038">
        <v>186</v>
      </c>
      <c r="J1038">
        <v>118</v>
      </c>
      <c r="K1038">
        <v>298</v>
      </c>
      <c r="L1038">
        <v>176</v>
      </c>
      <c r="M1038">
        <v>356</v>
      </c>
      <c r="N1038">
        <v>302</v>
      </c>
      <c r="O1038">
        <v>122</v>
      </c>
      <c r="T1038">
        <v>2</v>
      </c>
      <c r="U1038">
        <v>22</v>
      </c>
      <c r="V1038">
        <v>1</v>
      </c>
      <c r="Y1038">
        <v>6</v>
      </c>
      <c r="Z1038">
        <v>5</v>
      </c>
      <c r="AA1038">
        <v>34</v>
      </c>
      <c r="AD1038">
        <v>20</v>
      </c>
      <c r="AE1038">
        <v>3</v>
      </c>
      <c r="AF1038">
        <v>6</v>
      </c>
      <c r="AI1038">
        <v>3</v>
      </c>
      <c r="AJ1038">
        <v>24</v>
      </c>
      <c r="AK1038">
        <v>0</v>
      </c>
      <c r="AX1038">
        <v>25</v>
      </c>
      <c r="AY1038">
        <v>29</v>
      </c>
      <c r="AZ1038">
        <v>54</v>
      </c>
      <c r="BA1038">
        <v>45</v>
      </c>
      <c r="BB1038">
        <v>29</v>
      </c>
      <c r="BC1038">
        <v>74</v>
      </c>
      <c r="BD1038">
        <v>29</v>
      </c>
      <c r="BE1038">
        <v>27</v>
      </c>
      <c r="BF1038">
        <v>56</v>
      </c>
      <c r="BG1038">
        <v>27</v>
      </c>
      <c r="BH1038">
        <v>41</v>
      </c>
      <c r="BI1038">
        <v>68</v>
      </c>
      <c r="BP1038">
        <v>48</v>
      </c>
      <c r="BR1038">
        <v>57</v>
      </c>
      <c r="BS1038">
        <v>6</v>
      </c>
      <c r="BT1038">
        <v>13</v>
      </c>
      <c r="BV1038">
        <v>2</v>
      </c>
      <c r="BW1038">
        <v>126</v>
      </c>
      <c r="BX1038" t="s">
        <v>82</v>
      </c>
      <c r="BY1038" s="5"/>
      <c r="BZ1038" s="6"/>
      <c r="CA1038" s="7">
        <v>41588</v>
      </c>
      <c r="CI1038">
        <f t="shared" si="117"/>
        <v>2013</v>
      </c>
      <c r="CJ1038" t="str">
        <f t="shared" si="118"/>
        <v>6210_2013</v>
      </c>
    </row>
    <row r="1039" spans="1:88" x14ac:dyDescent="0.25">
      <c r="A1039" t="s">
        <v>111</v>
      </c>
      <c r="B1039" t="s">
        <v>389</v>
      </c>
      <c r="C1039">
        <v>6210</v>
      </c>
      <c r="D1039">
        <v>-38.604199999999999</v>
      </c>
      <c r="E1039">
        <v>145.57849999999999</v>
      </c>
      <c r="F1039">
        <v>4</v>
      </c>
      <c r="G1039" t="s">
        <v>390</v>
      </c>
      <c r="H1039">
        <v>6</v>
      </c>
      <c r="I1039">
        <v>186</v>
      </c>
      <c r="J1039">
        <v>118</v>
      </c>
      <c r="K1039">
        <v>298</v>
      </c>
      <c r="L1039">
        <v>176</v>
      </c>
      <c r="M1039">
        <v>356</v>
      </c>
      <c r="N1039">
        <v>302</v>
      </c>
      <c r="O1039">
        <v>122</v>
      </c>
      <c r="T1039">
        <v>13</v>
      </c>
      <c r="U1039">
        <v>22</v>
      </c>
      <c r="V1039">
        <v>14</v>
      </c>
      <c r="Y1039">
        <v>12</v>
      </c>
      <c r="Z1039">
        <v>6</v>
      </c>
      <c r="AA1039">
        <v>36</v>
      </c>
      <c r="AD1039">
        <v>9</v>
      </c>
      <c r="AE1039">
        <v>2</v>
      </c>
      <c r="AF1039">
        <v>13</v>
      </c>
      <c r="AI1039">
        <v>18</v>
      </c>
      <c r="AJ1039">
        <v>46</v>
      </c>
      <c r="AK1039">
        <v>10</v>
      </c>
      <c r="AX1039">
        <v>49</v>
      </c>
      <c r="AY1039">
        <v>39</v>
      </c>
      <c r="AZ1039">
        <v>88</v>
      </c>
      <c r="BA1039">
        <v>54</v>
      </c>
      <c r="BB1039">
        <v>61</v>
      </c>
      <c r="BC1039">
        <v>115</v>
      </c>
      <c r="BD1039">
        <v>24</v>
      </c>
      <c r="BE1039">
        <v>38</v>
      </c>
      <c r="BF1039">
        <v>62</v>
      </c>
      <c r="BG1039">
        <v>74</v>
      </c>
      <c r="BH1039">
        <v>63</v>
      </c>
      <c r="BI1039">
        <v>137</v>
      </c>
      <c r="BP1039">
        <v>98</v>
      </c>
      <c r="BR1039">
        <v>78</v>
      </c>
      <c r="BS1039">
        <v>4</v>
      </c>
      <c r="BT1039">
        <v>16</v>
      </c>
      <c r="BV1039">
        <v>5</v>
      </c>
      <c r="BW1039">
        <v>201</v>
      </c>
      <c r="BX1039">
        <f>IF(C1039=C1038,IF((CI1039-1)=CI1038,BW1038,"no data"))</f>
        <v>126</v>
      </c>
      <c r="BY1039" s="5">
        <f t="shared" ref="BY1039:BY1102" si="120">(BW1039-BX1039)/BX1039</f>
        <v>0.59523809523809523</v>
      </c>
      <c r="BZ1039" s="6">
        <f t="shared" si="119"/>
        <v>0.59523809523809523</v>
      </c>
      <c r="CA1039" s="7">
        <v>41952</v>
      </c>
      <c r="CE1039">
        <v>32</v>
      </c>
      <c r="CF1039">
        <v>42</v>
      </c>
      <c r="CG1039">
        <v>75</v>
      </c>
      <c r="CH1039">
        <v>52</v>
      </c>
      <c r="CI1039">
        <f t="shared" si="117"/>
        <v>2014</v>
      </c>
      <c r="CJ1039" t="str">
        <f t="shared" si="118"/>
        <v>6210_2014</v>
      </c>
    </row>
    <row r="1040" spans="1:88" x14ac:dyDescent="0.25">
      <c r="A1040" t="s">
        <v>111</v>
      </c>
      <c r="B1040" t="s">
        <v>389</v>
      </c>
      <c r="C1040">
        <v>6210</v>
      </c>
      <c r="D1040">
        <v>-38.604199999999999</v>
      </c>
      <c r="E1040">
        <v>145.57849999999999</v>
      </c>
      <c r="F1040">
        <v>4</v>
      </c>
      <c r="G1040" t="s">
        <v>390</v>
      </c>
      <c r="H1040">
        <v>6</v>
      </c>
      <c r="I1040">
        <v>186</v>
      </c>
      <c r="J1040">
        <v>118</v>
      </c>
      <c r="K1040">
        <v>298</v>
      </c>
      <c r="L1040">
        <v>176</v>
      </c>
      <c r="M1040">
        <v>356</v>
      </c>
      <c r="N1040">
        <v>302</v>
      </c>
      <c r="O1040">
        <v>122</v>
      </c>
      <c r="T1040">
        <v>13</v>
      </c>
      <c r="U1040">
        <v>22</v>
      </c>
      <c r="V1040">
        <v>14</v>
      </c>
      <c r="Y1040">
        <v>12</v>
      </c>
      <c r="Z1040">
        <v>6</v>
      </c>
      <c r="AA1040">
        <v>36</v>
      </c>
      <c r="AD1040">
        <v>9</v>
      </c>
      <c r="AE1040">
        <v>2</v>
      </c>
      <c r="AF1040">
        <v>13</v>
      </c>
      <c r="AI1040">
        <v>18</v>
      </c>
      <c r="AJ1040">
        <v>46</v>
      </c>
      <c r="AK1040">
        <v>10</v>
      </c>
      <c r="AX1040">
        <v>49</v>
      </c>
      <c r="AY1040">
        <v>39</v>
      </c>
      <c r="AZ1040">
        <v>88</v>
      </c>
      <c r="BA1040">
        <v>54</v>
      </c>
      <c r="BB1040">
        <v>61</v>
      </c>
      <c r="BC1040">
        <v>115</v>
      </c>
      <c r="BD1040">
        <v>24</v>
      </c>
      <c r="BE1040">
        <v>38</v>
      </c>
      <c r="BF1040">
        <v>62</v>
      </c>
      <c r="BG1040">
        <v>74</v>
      </c>
      <c r="BH1040">
        <v>63</v>
      </c>
      <c r="BI1040">
        <v>137</v>
      </c>
      <c r="BP1040">
        <v>98</v>
      </c>
      <c r="BR1040">
        <v>78</v>
      </c>
      <c r="BS1040">
        <v>4</v>
      </c>
      <c r="BT1040">
        <v>16</v>
      </c>
      <c r="BV1040">
        <v>5</v>
      </c>
      <c r="BW1040">
        <v>201</v>
      </c>
      <c r="BX1040">
        <f>IF(C1040=C1039,IF((CI1040-1)=CI1039,BW1039,"no data"))</f>
        <v>201</v>
      </c>
      <c r="BY1040" s="5">
        <f t="shared" si="120"/>
        <v>0</v>
      </c>
      <c r="BZ1040" s="6">
        <f t="shared" si="119"/>
        <v>0</v>
      </c>
      <c r="CA1040" s="7">
        <v>42316</v>
      </c>
      <c r="CE1040">
        <v>32</v>
      </c>
      <c r="CF1040">
        <v>42</v>
      </c>
      <c r="CG1040">
        <v>75</v>
      </c>
      <c r="CH1040">
        <v>52</v>
      </c>
      <c r="CI1040">
        <f t="shared" si="117"/>
        <v>2015</v>
      </c>
      <c r="CJ1040" t="str">
        <f t="shared" si="118"/>
        <v>6210_2015</v>
      </c>
    </row>
    <row r="1041" spans="1:88" x14ac:dyDescent="0.25">
      <c r="A1041" t="s">
        <v>111</v>
      </c>
      <c r="B1041" t="s">
        <v>389</v>
      </c>
      <c r="C1041">
        <v>6210</v>
      </c>
      <c r="D1041">
        <v>-38.604165999999999</v>
      </c>
      <c r="E1041">
        <v>145.57851099999999</v>
      </c>
      <c r="F1041">
        <v>4</v>
      </c>
      <c r="G1041" t="s">
        <v>390</v>
      </c>
      <c r="H1041">
        <v>6</v>
      </c>
      <c r="I1041">
        <v>186</v>
      </c>
      <c r="J1041">
        <v>118</v>
      </c>
      <c r="K1041">
        <v>298</v>
      </c>
      <c r="L1041">
        <v>176</v>
      </c>
      <c r="M1041">
        <v>356</v>
      </c>
      <c r="N1041">
        <v>302</v>
      </c>
      <c r="O1041">
        <v>122</v>
      </c>
      <c r="T1041">
        <v>0</v>
      </c>
      <c r="U1041">
        <v>2</v>
      </c>
      <c r="V1041">
        <v>9</v>
      </c>
      <c r="Y1041">
        <v>3</v>
      </c>
      <c r="Z1041">
        <v>0</v>
      </c>
      <c r="AA1041">
        <v>11</v>
      </c>
      <c r="AD1041">
        <v>3</v>
      </c>
      <c r="AE1041">
        <v>1</v>
      </c>
      <c r="AF1041">
        <v>4</v>
      </c>
      <c r="AI1041">
        <v>1</v>
      </c>
      <c r="AJ1041">
        <v>8</v>
      </c>
      <c r="AK1041">
        <v>1</v>
      </c>
      <c r="AX1041">
        <v>11</v>
      </c>
      <c r="AY1041">
        <v>7</v>
      </c>
      <c r="AZ1041">
        <v>18</v>
      </c>
      <c r="BA1041">
        <v>14</v>
      </c>
      <c r="BB1041">
        <v>9</v>
      </c>
      <c r="BC1041">
        <v>23</v>
      </c>
      <c r="BD1041">
        <v>8</v>
      </c>
      <c r="BE1041">
        <v>3</v>
      </c>
      <c r="BF1041">
        <v>11</v>
      </c>
      <c r="BG1041">
        <v>10</v>
      </c>
      <c r="BH1041">
        <v>24</v>
      </c>
      <c r="BI1041">
        <v>34</v>
      </c>
      <c r="BP1041">
        <v>8</v>
      </c>
      <c r="BR1041">
        <v>24</v>
      </c>
      <c r="BS1041">
        <v>0</v>
      </c>
      <c r="BT1041">
        <v>7</v>
      </c>
      <c r="BV1041">
        <v>4</v>
      </c>
      <c r="BW1041">
        <v>43</v>
      </c>
      <c r="BX1041">
        <f>IF(C1041=C1040,IF((CI1041-1)=CI1040,BW1040,"no data"))</f>
        <v>201</v>
      </c>
      <c r="BY1041" s="5">
        <f t="shared" si="120"/>
        <v>-0.78606965174129351</v>
      </c>
      <c r="BZ1041" s="6">
        <f t="shared" si="119"/>
        <v>-0.78606965174129351</v>
      </c>
      <c r="CA1041" s="7">
        <v>42687</v>
      </c>
      <c r="CE1041">
        <v>9</v>
      </c>
      <c r="CF1041">
        <v>18</v>
      </c>
      <c r="CG1041">
        <v>15</v>
      </c>
      <c r="CH1041">
        <v>1</v>
      </c>
      <c r="CI1041">
        <f t="shared" si="117"/>
        <v>2016</v>
      </c>
      <c r="CJ1041" t="str">
        <f t="shared" si="118"/>
        <v>6210_2016</v>
      </c>
    </row>
    <row r="1042" spans="1:88" x14ac:dyDescent="0.25">
      <c r="A1042" t="s">
        <v>111</v>
      </c>
      <c r="B1042" t="s">
        <v>389</v>
      </c>
      <c r="C1042">
        <v>6210</v>
      </c>
      <c r="D1042">
        <v>-38.604165999999999</v>
      </c>
      <c r="E1042">
        <v>145.57851099999999</v>
      </c>
      <c r="F1042">
        <v>4</v>
      </c>
      <c r="G1042" t="s">
        <v>390</v>
      </c>
      <c r="H1042">
        <v>6</v>
      </c>
      <c r="I1042">
        <v>186</v>
      </c>
      <c r="J1042">
        <v>118</v>
      </c>
      <c r="K1042">
        <v>298</v>
      </c>
      <c r="L1042">
        <v>176</v>
      </c>
      <c r="M1042">
        <v>356</v>
      </c>
      <c r="N1042">
        <v>302</v>
      </c>
      <c r="O1042">
        <v>122</v>
      </c>
      <c r="T1042">
        <v>14</v>
      </c>
      <c r="U1042">
        <v>18</v>
      </c>
      <c r="V1042">
        <v>6</v>
      </c>
      <c r="Y1042">
        <v>12</v>
      </c>
      <c r="Z1042">
        <v>6</v>
      </c>
      <c r="AA1042">
        <v>8</v>
      </c>
      <c r="AD1042">
        <v>9</v>
      </c>
      <c r="AE1042">
        <v>3</v>
      </c>
      <c r="AF1042">
        <v>5</v>
      </c>
      <c r="AI1042">
        <v>7</v>
      </c>
      <c r="AJ1042">
        <v>21</v>
      </c>
      <c r="AK1042">
        <v>5</v>
      </c>
      <c r="AX1042">
        <v>38</v>
      </c>
      <c r="AY1042">
        <v>28</v>
      </c>
      <c r="AZ1042">
        <v>66</v>
      </c>
      <c r="BA1042">
        <v>26</v>
      </c>
      <c r="BB1042">
        <v>38</v>
      </c>
      <c r="BC1042">
        <v>64</v>
      </c>
      <c r="BD1042">
        <v>17</v>
      </c>
      <c r="BE1042">
        <v>29</v>
      </c>
      <c r="BF1042">
        <v>46</v>
      </c>
      <c r="BG1042">
        <v>33</v>
      </c>
      <c r="BH1042">
        <v>19</v>
      </c>
      <c r="BI1042">
        <v>52</v>
      </c>
      <c r="BP1042">
        <v>40</v>
      </c>
      <c r="BR1042">
        <v>53</v>
      </c>
      <c r="BS1042">
        <v>6</v>
      </c>
      <c r="BT1042">
        <v>10</v>
      </c>
      <c r="BV1042">
        <v>5</v>
      </c>
      <c r="BW1042">
        <v>114</v>
      </c>
      <c r="BX1042">
        <f>IF(C1042=C1041,IF((CI1042-1)=CI1041,BW1041,"no data"))</f>
        <v>43</v>
      </c>
      <c r="BY1042" s="5">
        <f t="shared" si="120"/>
        <v>1.6511627906976745</v>
      </c>
      <c r="BZ1042" s="6">
        <f t="shared" si="119"/>
        <v>1.6511627906976745</v>
      </c>
      <c r="CA1042" s="7">
        <v>43051</v>
      </c>
      <c r="CE1042">
        <v>74</v>
      </c>
      <c r="CF1042">
        <v>0</v>
      </c>
      <c r="CG1042">
        <v>25</v>
      </c>
      <c r="CH1042">
        <v>15</v>
      </c>
      <c r="CI1042">
        <f t="shared" si="117"/>
        <v>2017</v>
      </c>
      <c r="CJ1042" t="str">
        <f t="shared" si="118"/>
        <v>6210_2017</v>
      </c>
    </row>
    <row r="1043" spans="1:88" x14ac:dyDescent="0.25">
      <c r="A1043" t="s">
        <v>111</v>
      </c>
      <c r="B1043" t="s">
        <v>389</v>
      </c>
      <c r="C1043">
        <v>6211</v>
      </c>
      <c r="D1043">
        <v>-38.555</v>
      </c>
      <c r="E1043">
        <v>145.48310000000001</v>
      </c>
      <c r="F1043">
        <v>4</v>
      </c>
      <c r="G1043" t="s">
        <v>391</v>
      </c>
      <c r="H1043">
        <v>35</v>
      </c>
      <c r="I1043">
        <v>215</v>
      </c>
      <c r="J1043">
        <v>127</v>
      </c>
      <c r="K1043">
        <v>307</v>
      </c>
      <c r="L1043">
        <v>215</v>
      </c>
      <c r="M1043">
        <v>35</v>
      </c>
      <c r="N1043">
        <v>305</v>
      </c>
      <c r="O1043">
        <v>125</v>
      </c>
      <c r="Z1043">
        <v>0</v>
      </c>
      <c r="AA1043">
        <v>23</v>
      </c>
      <c r="AE1043">
        <v>2</v>
      </c>
      <c r="AF1043">
        <v>5</v>
      </c>
      <c r="AJ1043">
        <v>17</v>
      </c>
      <c r="AK1043">
        <v>4</v>
      </c>
      <c r="BA1043">
        <v>23</v>
      </c>
      <c r="BB1043">
        <v>19</v>
      </c>
      <c r="BC1043">
        <v>42</v>
      </c>
      <c r="BD1043">
        <v>7</v>
      </c>
      <c r="BE1043">
        <v>4</v>
      </c>
      <c r="BF1043">
        <v>11</v>
      </c>
      <c r="BG1043">
        <v>21</v>
      </c>
      <c r="BH1043">
        <v>28</v>
      </c>
      <c r="BI1043">
        <v>49</v>
      </c>
      <c r="BP1043">
        <v>12</v>
      </c>
      <c r="BR1043">
        <v>26</v>
      </c>
      <c r="BS1043">
        <v>3</v>
      </c>
      <c r="BT1043">
        <v>10</v>
      </c>
      <c r="BV1043">
        <v>0</v>
      </c>
      <c r="BW1043">
        <v>51</v>
      </c>
      <c r="BX1043" t="s">
        <v>82</v>
      </c>
      <c r="BY1043" s="5"/>
      <c r="BZ1043" s="6"/>
      <c r="CA1043" s="7">
        <v>41588</v>
      </c>
      <c r="CI1043">
        <f t="shared" si="117"/>
        <v>2013</v>
      </c>
      <c r="CJ1043" t="str">
        <f t="shared" si="118"/>
        <v>6211_2013</v>
      </c>
    </row>
    <row r="1044" spans="1:88" x14ac:dyDescent="0.25">
      <c r="A1044" t="s">
        <v>111</v>
      </c>
      <c r="B1044" t="s">
        <v>389</v>
      </c>
      <c r="C1044">
        <v>6211</v>
      </c>
      <c r="D1044">
        <v>-38.555</v>
      </c>
      <c r="E1044">
        <v>145.48310000000001</v>
      </c>
      <c r="F1044">
        <v>4</v>
      </c>
      <c r="G1044" t="s">
        <v>391</v>
      </c>
      <c r="H1044">
        <v>35</v>
      </c>
      <c r="I1044">
        <v>215</v>
      </c>
      <c r="J1044">
        <v>127</v>
      </c>
      <c r="K1044">
        <v>307</v>
      </c>
      <c r="L1044">
        <v>215</v>
      </c>
      <c r="M1044">
        <v>35</v>
      </c>
      <c r="N1044">
        <v>305</v>
      </c>
      <c r="O1044">
        <v>125</v>
      </c>
      <c r="Z1044">
        <v>1</v>
      </c>
      <c r="AA1044">
        <v>56</v>
      </c>
      <c r="AE1044">
        <v>0</v>
      </c>
      <c r="AF1044">
        <v>64</v>
      </c>
      <c r="AJ1044">
        <v>91</v>
      </c>
      <c r="AK1044">
        <v>59</v>
      </c>
      <c r="BA1044">
        <v>57</v>
      </c>
      <c r="BB1044">
        <v>91</v>
      </c>
      <c r="BC1044">
        <v>148</v>
      </c>
      <c r="BD1044">
        <v>64</v>
      </c>
      <c r="BE1044">
        <v>60</v>
      </c>
      <c r="BF1044">
        <v>124</v>
      </c>
      <c r="BG1044">
        <v>150</v>
      </c>
      <c r="BH1044">
        <v>120</v>
      </c>
      <c r="BI1044">
        <v>270</v>
      </c>
      <c r="BP1044">
        <v>79</v>
      </c>
      <c r="BR1044">
        <v>155</v>
      </c>
      <c r="BS1044">
        <v>3</v>
      </c>
      <c r="BT1044">
        <v>17</v>
      </c>
      <c r="BV1044">
        <v>17</v>
      </c>
      <c r="BW1044">
        <v>271</v>
      </c>
      <c r="BX1044">
        <f>IF(C1044=C1043,IF((CI1044-1)=CI1043,BW1043,"no data"))</f>
        <v>51</v>
      </c>
      <c r="BY1044" s="5">
        <f t="shared" si="120"/>
        <v>4.3137254901960782</v>
      </c>
      <c r="BZ1044" s="6">
        <f t="shared" si="119"/>
        <v>4.3137254901960782</v>
      </c>
      <c r="CA1044" s="7">
        <v>41952</v>
      </c>
      <c r="CE1044">
        <v>36</v>
      </c>
      <c r="CF1044">
        <v>84</v>
      </c>
      <c r="CG1044">
        <v>75</v>
      </c>
      <c r="CH1044">
        <v>76</v>
      </c>
      <c r="CI1044">
        <f t="shared" si="117"/>
        <v>2014</v>
      </c>
      <c r="CJ1044" t="str">
        <f t="shared" si="118"/>
        <v>6211_2014</v>
      </c>
    </row>
    <row r="1045" spans="1:88" x14ac:dyDescent="0.25">
      <c r="A1045" t="s">
        <v>111</v>
      </c>
      <c r="B1045" t="s">
        <v>389</v>
      </c>
      <c r="C1045">
        <v>6211</v>
      </c>
      <c r="D1045">
        <v>-38.555</v>
      </c>
      <c r="E1045">
        <v>145.48310000000001</v>
      </c>
      <c r="F1045">
        <v>4</v>
      </c>
      <c r="G1045" t="s">
        <v>391</v>
      </c>
      <c r="H1045">
        <v>35</v>
      </c>
      <c r="I1045">
        <v>215</v>
      </c>
      <c r="J1045">
        <v>127</v>
      </c>
      <c r="K1045">
        <v>307</v>
      </c>
      <c r="L1045">
        <v>215</v>
      </c>
      <c r="M1045">
        <v>35</v>
      </c>
      <c r="N1045">
        <v>305</v>
      </c>
      <c r="O1045">
        <v>125</v>
      </c>
      <c r="Z1045">
        <v>1</v>
      </c>
      <c r="AA1045">
        <v>56</v>
      </c>
      <c r="AE1045">
        <v>0</v>
      </c>
      <c r="AF1045">
        <v>64</v>
      </c>
      <c r="AJ1045">
        <v>91</v>
      </c>
      <c r="AK1045">
        <v>59</v>
      </c>
      <c r="BA1045">
        <v>57</v>
      </c>
      <c r="BB1045">
        <v>91</v>
      </c>
      <c r="BC1045">
        <v>148</v>
      </c>
      <c r="BD1045">
        <v>64</v>
      </c>
      <c r="BE1045">
        <v>60</v>
      </c>
      <c r="BF1045">
        <v>124</v>
      </c>
      <c r="BG1045">
        <v>150</v>
      </c>
      <c r="BH1045">
        <v>120</v>
      </c>
      <c r="BI1045">
        <v>270</v>
      </c>
      <c r="BP1045">
        <v>79</v>
      </c>
      <c r="BR1045">
        <v>155</v>
      </c>
      <c r="BS1045">
        <v>3</v>
      </c>
      <c r="BT1045">
        <v>17</v>
      </c>
      <c r="BV1045">
        <v>17</v>
      </c>
      <c r="BW1045">
        <v>271</v>
      </c>
      <c r="BX1045">
        <f>IF(C1045=C1044,IF((CI1045-1)=CI1044,BW1044,"no data"))</f>
        <v>271</v>
      </c>
      <c r="BY1045" s="5">
        <f t="shared" si="120"/>
        <v>0</v>
      </c>
      <c r="BZ1045" s="6">
        <f t="shared" si="119"/>
        <v>0</v>
      </c>
      <c r="CA1045" s="7">
        <v>42316</v>
      </c>
      <c r="CE1045">
        <v>36</v>
      </c>
      <c r="CF1045">
        <v>84</v>
      </c>
      <c r="CG1045">
        <v>75</v>
      </c>
      <c r="CH1045">
        <v>76</v>
      </c>
      <c r="CI1045">
        <f t="shared" si="117"/>
        <v>2015</v>
      </c>
      <c r="CJ1045" t="str">
        <f t="shared" si="118"/>
        <v>6211_2015</v>
      </c>
    </row>
    <row r="1046" spans="1:88" x14ac:dyDescent="0.25">
      <c r="A1046" t="s">
        <v>111</v>
      </c>
      <c r="B1046" t="s">
        <v>389</v>
      </c>
      <c r="C1046">
        <v>6211</v>
      </c>
      <c r="D1046">
        <v>-38.555030000000002</v>
      </c>
      <c r="E1046">
        <v>145.48311899999999</v>
      </c>
      <c r="F1046">
        <v>3</v>
      </c>
      <c r="G1046" t="s">
        <v>392</v>
      </c>
      <c r="H1046">
        <v>127</v>
      </c>
      <c r="I1046">
        <v>307</v>
      </c>
      <c r="J1046">
        <v>215</v>
      </c>
      <c r="K1046">
        <v>35</v>
      </c>
      <c r="L1046">
        <v>305</v>
      </c>
      <c r="M1046">
        <v>125</v>
      </c>
      <c r="Z1046">
        <v>0</v>
      </c>
      <c r="AA1046">
        <v>14</v>
      </c>
      <c r="AE1046">
        <v>2</v>
      </c>
      <c r="AF1046">
        <v>3</v>
      </c>
      <c r="AJ1046">
        <v>13</v>
      </c>
      <c r="AK1046">
        <v>3</v>
      </c>
      <c r="BA1046">
        <v>14</v>
      </c>
      <c r="BB1046">
        <v>15</v>
      </c>
      <c r="BC1046">
        <v>29</v>
      </c>
      <c r="BD1046">
        <v>5</v>
      </c>
      <c r="BE1046">
        <v>3</v>
      </c>
      <c r="BF1046">
        <v>8</v>
      </c>
      <c r="BG1046">
        <v>16</v>
      </c>
      <c r="BH1046">
        <v>17</v>
      </c>
      <c r="BI1046">
        <v>33</v>
      </c>
      <c r="BP1046">
        <v>2</v>
      </c>
      <c r="BR1046">
        <v>28</v>
      </c>
      <c r="BS1046">
        <v>0</v>
      </c>
      <c r="BT1046">
        <v>5</v>
      </c>
      <c r="BV1046">
        <v>0</v>
      </c>
      <c r="BW1046">
        <v>35</v>
      </c>
      <c r="BX1046">
        <f>IF(C1046=C1045,IF((CI1046-1)=CI1045,BW1045,"no data"))</f>
        <v>271</v>
      </c>
      <c r="BY1046" s="5">
        <f t="shared" si="120"/>
        <v>-0.87084870848708484</v>
      </c>
      <c r="BZ1046" s="6">
        <f t="shared" si="119"/>
        <v>-0.87084870848708484</v>
      </c>
      <c r="CA1046" s="7">
        <v>42687</v>
      </c>
      <c r="CE1046">
        <v>15</v>
      </c>
      <c r="CF1046">
        <v>3</v>
      </c>
      <c r="CG1046">
        <v>11</v>
      </c>
      <c r="CH1046">
        <v>6</v>
      </c>
      <c r="CI1046">
        <f t="shared" si="117"/>
        <v>2016</v>
      </c>
      <c r="CJ1046" t="str">
        <f t="shared" si="118"/>
        <v>6211_2016</v>
      </c>
    </row>
    <row r="1047" spans="1:88" x14ac:dyDescent="0.25">
      <c r="A1047" t="s">
        <v>111</v>
      </c>
      <c r="B1047" t="s">
        <v>389</v>
      </c>
      <c r="C1047">
        <v>6211</v>
      </c>
      <c r="D1047">
        <v>-38.555030000000002</v>
      </c>
      <c r="E1047">
        <v>145.48311899999999</v>
      </c>
      <c r="F1047">
        <v>3</v>
      </c>
      <c r="G1047" t="s">
        <v>392</v>
      </c>
      <c r="H1047">
        <v>35</v>
      </c>
      <c r="I1047">
        <v>215</v>
      </c>
      <c r="J1047">
        <v>127</v>
      </c>
      <c r="K1047">
        <v>307</v>
      </c>
      <c r="L1047">
        <v>215</v>
      </c>
      <c r="M1047">
        <v>35</v>
      </c>
      <c r="N1047">
        <v>305</v>
      </c>
      <c r="O1047">
        <v>125</v>
      </c>
      <c r="T1047">
        <v>0</v>
      </c>
      <c r="U1047">
        <v>11</v>
      </c>
      <c r="V1047">
        <v>9</v>
      </c>
      <c r="Y1047">
        <v>0</v>
      </c>
      <c r="Z1047">
        <v>0</v>
      </c>
      <c r="AA1047">
        <v>37</v>
      </c>
      <c r="AD1047">
        <v>8</v>
      </c>
      <c r="AE1047">
        <v>3</v>
      </c>
      <c r="AF1047">
        <v>5</v>
      </c>
      <c r="AI1047">
        <v>1</v>
      </c>
      <c r="AJ1047">
        <v>47</v>
      </c>
      <c r="AK1047">
        <v>11</v>
      </c>
      <c r="AX1047">
        <v>20</v>
      </c>
      <c r="AY1047">
        <v>9</v>
      </c>
      <c r="AZ1047">
        <v>29</v>
      </c>
      <c r="BA1047">
        <v>37</v>
      </c>
      <c r="BB1047">
        <v>50</v>
      </c>
      <c r="BC1047">
        <v>87</v>
      </c>
      <c r="BD1047">
        <v>16</v>
      </c>
      <c r="BE1047">
        <v>22</v>
      </c>
      <c r="BF1047">
        <v>38</v>
      </c>
      <c r="BG1047">
        <v>59</v>
      </c>
      <c r="BH1047">
        <v>51</v>
      </c>
      <c r="BI1047">
        <v>110</v>
      </c>
      <c r="BP1047">
        <v>33</v>
      </c>
      <c r="BR1047">
        <v>79</v>
      </c>
      <c r="BS1047">
        <v>2</v>
      </c>
      <c r="BT1047">
        <v>17</v>
      </c>
      <c r="BV1047">
        <v>1</v>
      </c>
      <c r="BW1047">
        <v>132</v>
      </c>
      <c r="BX1047">
        <f>IF(C1047=C1046,IF((CI1047-1)=CI1046,BW1046,"no data"))</f>
        <v>35</v>
      </c>
      <c r="BY1047" s="5">
        <f t="shared" si="120"/>
        <v>2.7714285714285714</v>
      </c>
      <c r="BZ1047" s="6">
        <f t="shared" si="119"/>
        <v>2.7714285714285714</v>
      </c>
      <c r="CA1047" s="7">
        <v>43051</v>
      </c>
      <c r="CE1047">
        <v>32</v>
      </c>
      <c r="CF1047">
        <v>41</v>
      </c>
      <c r="CG1047">
        <v>44</v>
      </c>
      <c r="CH1047">
        <v>15</v>
      </c>
      <c r="CI1047">
        <f t="shared" si="117"/>
        <v>2017</v>
      </c>
      <c r="CJ1047" t="str">
        <f t="shared" si="118"/>
        <v>6211_2017</v>
      </c>
    </row>
    <row r="1048" spans="1:88" x14ac:dyDescent="0.25">
      <c r="A1048" t="s">
        <v>111</v>
      </c>
      <c r="B1048" t="s">
        <v>228</v>
      </c>
      <c r="C1048">
        <v>6212</v>
      </c>
      <c r="D1048">
        <v>-37.770899999999997</v>
      </c>
      <c r="E1048">
        <v>145.03210000000001</v>
      </c>
      <c r="F1048">
        <v>5</v>
      </c>
      <c r="G1048" t="s">
        <v>393</v>
      </c>
      <c r="H1048">
        <v>33</v>
      </c>
      <c r="I1048">
        <v>213</v>
      </c>
      <c r="J1048">
        <v>95</v>
      </c>
      <c r="K1048">
        <v>275</v>
      </c>
      <c r="L1048">
        <v>188</v>
      </c>
      <c r="M1048">
        <v>8</v>
      </c>
      <c r="N1048">
        <v>277</v>
      </c>
      <c r="O1048">
        <v>97</v>
      </c>
      <c r="P1048">
        <v>341</v>
      </c>
      <c r="Q1048">
        <v>161</v>
      </c>
      <c r="T1048">
        <v>53</v>
      </c>
      <c r="U1048">
        <v>25</v>
      </c>
      <c r="V1048">
        <v>11</v>
      </c>
      <c r="W1048">
        <v>26</v>
      </c>
      <c r="Y1048">
        <v>56</v>
      </c>
      <c r="Z1048">
        <v>9</v>
      </c>
      <c r="AA1048">
        <v>15</v>
      </c>
      <c r="AB1048">
        <v>69</v>
      </c>
      <c r="AD1048">
        <v>21</v>
      </c>
      <c r="AE1048">
        <v>14</v>
      </c>
      <c r="AF1048">
        <v>2</v>
      </c>
      <c r="AG1048">
        <v>6</v>
      </c>
      <c r="AI1048">
        <v>5</v>
      </c>
      <c r="AJ1048">
        <v>11</v>
      </c>
      <c r="AK1048">
        <v>3</v>
      </c>
      <c r="AL1048">
        <v>4</v>
      </c>
      <c r="AN1048">
        <v>34</v>
      </c>
      <c r="AO1048">
        <v>82</v>
      </c>
      <c r="AP1048">
        <v>14</v>
      </c>
      <c r="AQ1048">
        <v>11</v>
      </c>
      <c r="AX1048">
        <v>115</v>
      </c>
      <c r="AY1048">
        <v>116</v>
      </c>
      <c r="AZ1048">
        <v>231</v>
      </c>
      <c r="BA1048">
        <v>149</v>
      </c>
      <c r="BB1048">
        <v>160</v>
      </c>
      <c r="BC1048">
        <v>309</v>
      </c>
      <c r="BD1048">
        <v>43</v>
      </c>
      <c r="BE1048">
        <v>51</v>
      </c>
      <c r="BF1048">
        <v>94</v>
      </c>
      <c r="BG1048">
        <v>23</v>
      </c>
      <c r="BH1048">
        <v>39</v>
      </c>
      <c r="BI1048">
        <v>62</v>
      </c>
      <c r="BJ1048">
        <v>141</v>
      </c>
      <c r="BK1048">
        <v>105</v>
      </c>
      <c r="BL1048">
        <v>246</v>
      </c>
      <c r="BP1048">
        <v>203</v>
      </c>
      <c r="BR1048">
        <v>172</v>
      </c>
      <c r="BS1048">
        <v>62</v>
      </c>
      <c r="BT1048">
        <v>34</v>
      </c>
      <c r="BV1048">
        <v>0</v>
      </c>
      <c r="BW1048">
        <v>471</v>
      </c>
      <c r="BX1048" t="s">
        <v>82</v>
      </c>
      <c r="BY1048" s="5"/>
      <c r="BZ1048" s="6"/>
      <c r="CA1048" s="7">
        <v>41588</v>
      </c>
      <c r="CI1048">
        <f t="shared" si="117"/>
        <v>2013</v>
      </c>
      <c r="CJ1048" t="str">
        <f t="shared" si="118"/>
        <v>6212_2013</v>
      </c>
    </row>
    <row r="1049" spans="1:88" x14ac:dyDescent="0.25">
      <c r="A1049" t="s">
        <v>111</v>
      </c>
      <c r="B1049" t="s">
        <v>228</v>
      </c>
      <c r="C1049">
        <v>6213</v>
      </c>
      <c r="D1049">
        <v>-37.757300000000001</v>
      </c>
      <c r="E1049">
        <v>144.97999999999999</v>
      </c>
      <c r="F1049">
        <v>6</v>
      </c>
      <c r="G1049" t="s">
        <v>394</v>
      </c>
      <c r="H1049">
        <v>98</v>
      </c>
      <c r="I1049">
        <v>278</v>
      </c>
      <c r="J1049">
        <v>157</v>
      </c>
      <c r="K1049">
        <v>337</v>
      </c>
      <c r="L1049">
        <v>179</v>
      </c>
      <c r="M1049">
        <v>359</v>
      </c>
      <c r="N1049">
        <v>279</v>
      </c>
      <c r="O1049">
        <v>99</v>
      </c>
      <c r="P1049">
        <v>337</v>
      </c>
      <c r="Q1049">
        <v>157</v>
      </c>
      <c r="R1049">
        <v>359</v>
      </c>
      <c r="S1049">
        <v>179</v>
      </c>
      <c r="T1049">
        <v>2</v>
      </c>
      <c r="U1049">
        <v>26</v>
      </c>
      <c r="V1049">
        <v>41</v>
      </c>
      <c r="W1049">
        <v>6</v>
      </c>
      <c r="X1049">
        <v>12</v>
      </c>
      <c r="Y1049">
        <v>2</v>
      </c>
      <c r="Z1049">
        <v>6</v>
      </c>
      <c r="AA1049">
        <v>15</v>
      </c>
      <c r="AB1049">
        <v>56</v>
      </c>
      <c r="AC1049">
        <v>53</v>
      </c>
      <c r="AD1049">
        <v>29</v>
      </c>
      <c r="AE1049">
        <v>0</v>
      </c>
      <c r="AF1049">
        <v>6</v>
      </c>
      <c r="AG1049">
        <v>0</v>
      </c>
      <c r="AH1049">
        <v>53</v>
      </c>
      <c r="AI1049">
        <v>30</v>
      </c>
      <c r="AJ1049">
        <v>13</v>
      </c>
      <c r="AK1049">
        <v>13</v>
      </c>
      <c r="AL1049">
        <v>22</v>
      </c>
      <c r="AM1049">
        <v>8</v>
      </c>
      <c r="AN1049">
        <v>2</v>
      </c>
      <c r="AO1049">
        <v>45</v>
      </c>
      <c r="AP1049">
        <v>0</v>
      </c>
      <c r="AQ1049">
        <v>14</v>
      </c>
      <c r="AR1049">
        <v>33</v>
      </c>
      <c r="AS1049">
        <v>11</v>
      </c>
      <c r="AT1049">
        <v>53</v>
      </c>
      <c r="AU1049">
        <v>72</v>
      </c>
      <c r="AV1049">
        <v>20</v>
      </c>
      <c r="AW1049">
        <v>23</v>
      </c>
      <c r="AX1049">
        <v>87</v>
      </c>
      <c r="AY1049">
        <v>74</v>
      </c>
      <c r="AZ1049">
        <v>161</v>
      </c>
      <c r="BA1049">
        <v>132</v>
      </c>
      <c r="BB1049">
        <v>113</v>
      </c>
      <c r="BC1049">
        <v>245</v>
      </c>
      <c r="BD1049">
        <v>88</v>
      </c>
      <c r="BE1049">
        <v>117</v>
      </c>
      <c r="BF1049">
        <v>205</v>
      </c>
      <c r="BG1049">
        <v>86</v>
      </c>
      <c r="BH1049">
        <v>96</v>
      </c>
      <c r="BI1049">
        <v>182</v>
      </c>
      <c r="BJ1049">
        <v>94</v>
      </c>
      <c r="BK1049">
        <v>107</v>
      </c>
      <c r="BL1049">
        <v>201</v>
      </c>
      <c r="BM1049">
        <v>179</v>
      </c>
      <c r="BN1049">
        <v>159</v>
      </c>
      <c r="BO1049">
        <v>338</v>
      </c>
      <c r="BP1049">
        <v>227</v>
      </c>
      <c r="BR1049">
        <v>243</v>
      </c>
      <c r="BS1049">
        <v>96</v>
      </c>
      <c r="BT1049">
        <v>71</v>
      </c>
      <c r="BV1049">
        <v>23</v>
      </c>
      <c r="BW1049">
        <v>660</v>
      </c>
      <c r="BX1049" t="s">
        <v>82</v>
      </c>
      <c r="BY1049" s="5"/>
      <c r="BZ1049" s="6"/>
      <c r="CA1049" s="7">
        <v>41588</v>
      </c>
      <c r="CI1049">
        <f t="shared" si="117"/>
        <v>2013</v>
      </c>
      <c r="CJ1049" t="str">
        <f t="shared" si="118"/>
        <v>6213_2013</v>
      </c>
    </row>
    <row r="1050" spans="1:88" x14ac:dyDescent="0.25">
      <c r="A1050" t="s">
        <v>111</v>
      </c>
      <c r="B1050" t="s">
        <v>207</v>
      </c>
      <c r="C1050">
        <v>6214</v>
      </c>
      <c r="D1050">
        <v>-37.767476000000002</v>
      </c>
      <c r="E1050">
        <v>144.98442900000001</v>
      </c>
      <c r="F1050">
        <v>4</v>
      </c>
      <c r="G1050" t="s">
        <v>395</v>
      </c>
      <c r="H1050">
        <v>0</v>
      </c>
      <c r="I1050">
        <v>180</v>
      </c>
      <c r="J1050">
        <v>101</v>
      </c>
      <c r="K1050">
        <v>281</v>
      </c>
      <c r="L1050">
        <v>216</v>
      </c>
      <c r="M1050">
        <v>36</v>
      </c>
      <c r="N1050">
        <v>281</v>
      </c>
      <c r="O1050">
        <v>101</v>
      </c>
      <c r="T1050">
        <v>4</v>
      </c>
      <c r="U1050">
        <v>148</v>
      </c>
      <c r="V1050">
        <v>5</v>
      </c>
      <c r="Y1050">
        <v>28</v>
      </c>
      <c r="Z1050">
        <v>26</v>
      </c>
      <c r="AA1050">
        <v>41</v>
      </c>
      <c r="AD1050">
        <v>113</v>
      </c>
      <c r="AE1050">
        <v>2</v>
      </c>
      <c r="AF1050">
        <v>3</v>
      </c>
      <c r="AI1050">
        <v>14</v>
      </c>
      <c r="AJ1050">
        <v>28</v>
      </c>
      <c r="AK1050">
        <v>11</v>
      </c>
      <c r="AX1050">
        <v>157</v>
      </c>
      <c r="AY1050">
        <v>155</v>
      </c>
      <c r="AZ1050">
        <v>312</v>
      </c>
      <c r="BA1050">
        <v>95</v>
      </c>
      <c r="BB1050">
        <v>34</v>
      </c>
      <c r="BC1050">
        <v>129</v>
      </c>
      <c r="BD1050">
        <v>118</v>
      </c>
      <c r="BE1050">
        <v>185</v>
      </c>
      <c r="BF1050">
        <v>303</v>
      </c>
      <c r="BG1050">
        <v>53</v>
      </c>
      <c r="BH1050">
        <v>49</v>
      </c>
      <c r="BI1050">
        <v>102</v>
      </c>
      <c r="BP1050">
        <v>127</v>
      </c>
      <c r="BR1050">
        <v>183</v>
      </c>
      <c r="BS1050">
        <v>81</v>
      </c>
      <c r="BT1050">
        <v>31</v>
      </c>
      <c r="BV1050">
        <v>1</v>
      </c>
      <c r="BW1050">
        <v>423</v>
      </c>
      <c r="BX1050" t="s">
        <v>82</v>
      </c>
      <c r="BY1050" s="5"/>
      <c r="BZ1050" s="6"/>
      <c r="CA1050" s="7">
        <v>41588</v>
      </c>
      <c r="CI1050">
        <f t="shared" si="117"/>
        <v>2013</v>
      </c>
      <c r="CJ1050" t="str">
        <f t="shared" si="118"/>
        <v>6214_2013</v>
      </c>
    </row>
    <row r="1051" spans="1:88" x14ac:dyDescent="0.25">
      <c r="A1051" t="s">
        <v>111</v>
      </c>
      <c r="B1051" t="s">
        <v>228</v>
      </c>
      <c r="C1051">
        <v>6215</v>
      </c>
      <c r="D1051">
        <v>-37.698900000000002</v>
      </c>
      <c r="E1051">
        <v>145.03739999999999</v>
      </c>
      <c r="F1051">
        <v>3</v>
      </c>
      <c r="G1051" t="s">
        <v>396</v>
      </c>
      <c r="H1051">
        <v>36</v>
      </c>
      <c r="I1051">
        <v>216</v>
      </c>
      <c r="J1051">
        <v>214</v>
      </c>
      <c r="K1051">
        <v>34</v>
      </c>
      <c r="L1051">
        <v>299</v>
      </c>
      <c r="M1051">
        <v>119</v>
      </c>
      <c r="T1051">
        <v>0</v>
      </c>
      <c r="U1051">
        <v>0</v>
      </c>
      <c r="Y1051">
        <v>0</v>
      </c>
      <c r="Z1051">
        <v>0</v>
      </c>
      <c r="AD1051">
        <v>0</v>
      </c>
      <c r="AE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P1051">
        <v>0</v>
      </c>
      <c r="BR1051">
        <v>0</v>
      </c>
      <c r="BS1051">
        <v>0</v>
      </c>
      <c r="BT1051">
        <v>0</v>
      </c>
      <c r="BV1051">
        <v>0</v>
      </c>
      <c r="BW1051">
        <v>0</v>
      </c>
      <c r="BX1051" t="s">
        <v>82</v>
      </c>
      <c r="BY1051" s="5"/>
      <c r="BZ1051" s="6"/>
      <c r="CA1051" s="7">
        <v>41588</v>
      </c>
      <c r="CI1051">
        <f t="shared" si="117"/>
        <v>2013</v>
      </c>
      <c r="CJ1051" t="str">
        <f t="shared" si="118"/>
        <v>6215_2013</v>
      </c>
    </row>
    <row r="1052" spans="1:88" x14ac:dyDescent="0.25">
      <c r="A1052" t="s">
        <v>111</v>
      </c>
      <c r="B1052" t="s">
        <v>301</v>
      </c>
      <c r="C1052">
        <v>6216</v>
      </c>
      <c r="D1052">
        <v>-38.0837</v>
      </c>
      <c r="E1052">
        <v>145.1335</v>
      </c>
      <c r="F1052">
        <v>4</v>
      </c>
      <c r="G1052" t="s">
        <v>397</v>
      </c>
      <c r="H1052">
        <v>69</v>
      </c>
      <c r="I1052">
        <v>249</v>
      </c>
      <c r="J1052">
        <v>157</v>
      </c>
      <c r="K1052">
        <v>337</v>
      </c>
      <c r="L1052">
        <v>251</v>
      </c>
      <c r="M1052">
        <v>71</v>
      </c>
      <c r="N1052">
        <v>337</v>
      </c>
      <c r="O1052">
        <v>157</v>
      </c>
      <c r="T1052">
        <v>12</v>
      </c>
      <c r="U1052">
        <v>29</v>
      </c>
      <c r="V1052">
        <v>40</v>
      </c>
      <c r="Y1052">
        <v>8</v>
      </c>
      <c r="Z1052">
        <v>8</v>
      </c>
      <c r="AA1052">
        <v>13</v>
      </c>
      <c r="AD1052">
        <v>24</v>
      </c>
      <c r="AE1052">
        <v>10</v>
      </c>
      <c r="AF1052">
        <v>8</v>
      </c>
      <c r="AI1052">
        <v>33</v>
      </c>
      <c r="AJ1052">
        <v>7</v>
      </c>
      <c r="AK1052">
        <v>7</v>
      </c>
      <c r="AX1052">
        <v>81</v>
      </c>
      <c r="AY1052">
        <v>65</v>
      </c>
      <c r="AZ1052">
        <v>146</v>
      </c>
      <c r="BA1052">
        <v>29</v>
      </c>
      <c r="BB1052">
        <v>29</v>
      </c>
      <c r="BC1052">
        <v>58</v>
      </c>
      <c r="BD1052">
        <v>42</v>
      </c>
      <c r="BE1052">
        <v>44</v>
      </c>
      <c r="BF1052">
        <v>86</v>
      </c>
      <c r="BG1052">
        <v>47</v>
      </c>
      <c r="BH1052">
        <v>61</v>
      </c>
      <c r="BI1052">
        <v>108</v>
      </c>
      <c r="BP1052">
        <v>70</v>
      </c>
      <c r="BR1052">
        <v>67</v>
      </c>
      <c r="BS1052">
        <v>15</v>
      </c>
      <c r="BT1052">
        <v>47</v>
      </c>
      <c r="BV1052">
        <v>0</v>
      </c>
      <c r="BW1052">
        <v>199</v>
      </c>
      <c r="BX1052" t="s">
        <v>82</v>
      </c>
      <c r="BY1052" s="5"/>
      <c r="BZ1052" s="6"/>
      <c r="CA1052" s="7">
        <v>41588</v>
      </c>
      <c r="CI1052">
        <f t="shared" si="117"/>
        <v>2013</v>
      </c>
      <c r="CJ1052" t="str">
        <f t="shared" si="118"/>
        <v>6216_2013</v>
      </c>
    </row>
    <row r="1053" spans="1:88" x14ac:dyDescent="0.25">
      <c r="A1053" t="s">
        <v>111</v>
      </c>
      <c r="B1053" t="s">
        <v>301</v>
      </c>
      <c r="C1053">
        <v>6216</v>
      </c>
      <c r="D1053">
        <v>-38.0837</v>
      </c>
      <c r="E1053">
        <v>145.1335</v>
      </c>
      <c r="F1053">
        <v>4</v>
      </c>
      <c r="G1053" t="s">
        <v>397</v>
      </c>
      <c r="H1053">
        <v>69</v>
      </c>
      <c r="I1053">
        <v>249</v>
      </c>
      <c r="J1053">
        <v>157</v>
      </c>
      <c r="K1053">
        <v>337</v>
      </c>
      <c r="L1053">
        <v>251</v>
      </c>
      <c r="M1053">
        <v>71</v>
      </c>
      <c r="N1053">
        <v>337</v>
      </c>
      <c r="O1053">
        <v>157</v>
      </c>
      <c r="T1053">
        <v>4</v>
      </c>
      <c r="U1053">
        <v>36</v>
      </c>
      <c r="V1053">
        <v>65</v>
      </c>
      <c r="Y1053">
        <v>6</v>
      </c>
      <c r="Z1053">
        <v>0</v>
      </c>
      <c r="AA1053">
        <v>11</v>
      </c>
      <c r="AD1053">
        <v>12</v>
      </c>
      <c r="AE1053">
        <v>6</v>
      </c>
      <c r="AF1053">
        <v>29</v>
      </c>
      <c r="AI1053">
        <v>53</v>
      </c>
      <c r="AJ1053">
        <v>16</v>
      </c>
      <c r="AK1053">
        <v>14</v>
      </c>
      <c r="AX1053">
        <v>105</v>
      </c>
      <c r="AY1053">
        <v>71</v>
      </c>
      <c r="AZ1053">
        <v>176</v>
      </c>
      <c r="BA1053">
        <v>17</v>
      </c>
      <c r="BB1053">
        <v>26</v>
      </c>
      <c r="BC1053">
        <v>43</v>
      </c>
      <c r="BD1053">
        <v>47</v>
      </c>
      <c r="BE1053">
        <v>50</v>
      </c>
      <c r="BF1053">
        <v>97</v>
      </c>
      <c r="BG1053">
        <v>83</v>
      </c>
      <c r="BH1053">
        <v>105</v>
      </c>
      <c r="BI1053">
        <v>188</v>
      </c>
      <c r="BP1053">
        <v>68</v>
      </c>
      <c r="BR1053">
        <v>117</v>
      </c>
      <c r="BS1053">
        <v>9</v>
      </c>
      <c r="BT1053">
        <v>41</v>
      </c>
      <c r="BV1053">
        <v>17</v>
      </c>
      <c r="BW1053">
        <v>252</v>
      </c>
      <c r="BX1053">
        <f t="shared" ref="BX1053:BX1060" si="121">IF(C1053=C1052,IF((CI1053-1)=CI1052,BW1052,"no data"))</f>
        <v>199</v>
      </c>
      <c r="BY1053" s="5">
        <f t="shared" si="120"/>
        <v>0.26633165829145727</v>
      </c>
      <c r="BZ1053" s="6">
        <f t="shared" si="119"/>
        <v>0.26633165829145727</v>
      </c>
      <c r="CA1053" s="7">
        <v>41952</v>
      </c>
      <c r="CI1053">
        <f t="shared" si="117"/>
        <v>2014</v>
      </c>
      <c r="CJ1053" t="str">
        <f t="shared" si="118"/>
        <v>6216_2014</v>
      </c>
    </row>
    <row r="1054" spans="1:88" x14ac:dyDescent="0.25">
      <c r="A1054" t="s">
        <v>111</v>
      </c>
      <c r="B1054" t="s">
        <v>301</v>
      </c>
      <c r="C1054">
        <v>6216</v>
      </c>
      <c r="D1054">
        <v>-38.0837</v>
      </c>
      <c r="E1054">
        <v>145.1335</v>
      </c>
      <c r="F1054">
        <v>4</v>
      </c>
      <c r="G1054" t="s">
        <v>397</v>
      </c>
      <c r="H1054">
        <v>69</v>
      </c>
      <c r="I1054">
        <v>249</v>
      </c>
      <c r="J1054">
        <v>157</v>
      </c>
      <c r="K1054">
        <v>337</v>
      </c>
      <c r="L1054">
        <v>251</v>
      </c>
      <c r="M1054">
        <v>71</v>
      </c>
      <c r="N1054">
        <v>337</v>
      </c>
      <c r="O1054">
        <v>157</v>
      </c>
      <c r="T1054">
        <v>3</v>
      </c>
      <c r="U1054">
        <v>32</v>
      </c>
      <c r="V1054">
        <v>53</v>
      </c>
      <c r="Y1054">
        <v>4</v>
      </c>
      <c r="Z1054">
        <v>9</v>
      </c>
      <c r="AA1054">
        <v>15</v>
      </c>
      <c r="AD1054">
        <v>27</v>
      </c>
      <c r="AE1054">
        <v>3</v>
      </c>
      <c r="AF1054">
        <v>25</v>
      </c>
      <c r="AI1054">
        <v>47</v>
      </c>
      <c r="AJ1054">
        <v>10</v>
      </c>
      <c r="AK1054">
        <v>19</v>
      </c>
      <c r="AX1054">
        <v>88</v>
      </c>
      <c r="AY1054">
        <v>78</v>
      </c>
      <c r="AZ1054">
        <v>166</v>
      </c>
      <c r="BA1054">
        <v>28</v>
      </c>
      <c r="BB1054">
        <v>16</v>
      </c>
      <c r="BC1054">
        <v>44</v>
      </c>
      <c r="BD1054">
        <v>55</v>
      </c>
      <c r="BE1054">
        <v>60</v>
      </c>
      <c r="BF1054">
        <v>115</v>
      </c>
      <c r="BG1054">
        <v>76</v>
      </c>
      <c r="BH1054">
        <v>93</v>
      </c>
      <c r="BI1054">
        <v>169</v>
      </c>
      <c r="BP1054">
        <v>94</v>
      </c>
      <c r="BR1054">
        <v>99</v>
      </c>
      <c r="BS1054">
        <v>16</v>
      </c>
      <c r="BT1054">
        <v>34</v>
      </c>
      <c r="BV1054">
        <v>4</v>
      </c>
      <c r="BW1054">
        <v>247</v>
      </c>
      <c r="BX1054">
        <f t="shared" si="121"/>
        <v>252</v>
      </c>
      <c r="BY1054" s="5">
        <f t="shared" si="120"/>
        <v>-1.984126984126984E-2</v>
      </c>
      <c r="BZ1054" s="6">
        <f t="shared" si="119"/>
        <v>-1.984126984126984E-2</v>
      </c>
      <c r="CA1054" s="7">
        <v>42316</v>
      </c>
      <c r="CE1054">
        <v>97</v>
      </c>
      <c r="CF1054">
        <v>58</v>
      </c>
      <c r="CG1054">
        <v>72</v>
      </c>
      <c r="CH1054">
        <v>20</v>
      </c>
      <c r="CI1054">
        <f t="shared" si="117"/>
        <v>2015</v>
      </c>
      <c r="CJ1054" t="str">
        <f t="shared" si="118"/>
        <v>6216_2015</v>
      </c>
    </row>
    <row r="1055" spans="1:88" x14ac:dyDescent="0.25">
      <c r="A1055" t="s">
        <v>111</v>
      </c>
      <c r="B1055" t="s">
        <v>301</v>
      </c>
      <c r="C1055">
        <v>6216</v>
      </c>
      <c r="D1055">
        <v>-38.083674000000002</v>
      </c>
      <c r="E1055">
        <v>145.13354899999999</v>
      </c>
      <c r="F1055">
        <v>4</v>
      </c>
      <c r="G1055" t="s">
        <v>397</v>
      </c>
      <c r="H1055">
        <v>69</v>
      </c>
      <c r="I1055">
        <v>249</v>
      </c>
      <c r="J1055">
        <v>157</v>
      </c>
      <c r="K1055">
        <v>337</v>
      </c>
      <c r="L1055">
        <v>251</v>
      </c>
      <c r="M1055">
        <v>71</v>
      </c>
      <c r="N1055">
        <v>337</v>
      </c>
      <c r="O1055">
        <v>157</v>
      </c>
      <c r="T1055">
        <v>5</v>
      </c>
      <c r="U1055">
        <v>25</v>
      </c>
      <c r="V1055">
        <v>26</v>
      </c>
      <c r="Y1055">
        <v>9</v>
      </c>
      <c r="Z1055">
        <v>6</v>
      </c>
      <c r="AA1055">
        <v>19</v>
      </c>
      <c r="AD1055">
        <v>21</v>
      </c>
      <c r="AE1055">
        <v>0</v>
      </c>
      <c r="AF1055">
        <v>7</v>
      </c>
      <c r="AI1055">
        <v>26</v>
      </c>
      <c r="AJ1055">
        <v>12</v>
      </c>
      <c r="AK1055">
        <v>7</v>
      </c>
      <c r="AX1055">
        <v>56</v>
      </c>
      <c r="AY1055">
        <v>56</v>
      </c>
      <c r="AZ1055">
        <v>112</v>
      </c>
      <c r="BA1055">
        <v>34</v>
      </c>
      <c r="BB1055">
        <v>17</v>
      </c>
      <c r="BC1055">
        <v>51</v>
      </c>
      <c r="BD1055">
        <v>28</v>
      </c>
      <c r="BE1055">
        <v>38</v>
      </c>
      <c r="BF1055">
        <v>66</v>
      </c>
      <c r="BG1055">
        <v>45</v>
      </c>
      <c r="BH1055">
        <v>52</v>
      </c>
      <c r="BI1055">
        <v>97</v>
      </c>
      <c r="BP1055">
        <v>50</v>
      </c>
      <c r="BR1055">
        <v>58</v>
      </c>
      <c r="BS1055">
        <v>11</v>
      </c>
      <c r="BT1055">
        <v>41</v>
      </c>
      <c r="BV1055">
        <v>3</v>
      </c>
      <c r="BW1055">
        <v>163</v>
      </c>
      <c r="BX1055">
        <f t="shared" si="121"/>
        <v>247</v>
      </c>
      <c r="BY1055" s="5">
        <f t="shared" si="120"/>
        <v>-0.34008097165991902</v>
      </c>
      <c r="BZ1055" s="6">
        <f t="shared" si="119"/>
        <v>-0.34008097165991902</v>
      </c>
      <c r="CA1055" s="7">
        <v>42715</v>
      </c>
      <c r="CE1055">
        <v>38</v>
      </c>
      <c r="CF1055">
        <v>49</v>
      </c>
      <c r="CG1055">
        <v>51</v>
      </c>
      <c r="CH1055">
        <v>25</v>
      </c>
      <c r="CI1055">
        <f t="shared" si="117"/>
        <v>2016</v>
      </c>
      <c r="CJ1055" t="str">
        <f t="shared" si="118"/>
        <v>6216_2016</v>
      </c>
    </row>
    <row r="1056" spans="1:88" x14ac:dyDescent="0.25">
      <c r="A1056" t="s">
        <v>111</v>
      </c>
      <c r="B1056" t="s">
        <v>301</v>
      </c>
      <c r="C1056">
        <v>6216</v>
      </c>
      <c r="D1056">
        <v>-38.083674000000002</v>
      </c>
      <c r="E1056">
        <v>145.13354899999999</v>
      </c>
      <c r="F1056">
        <v>4</v>
      </c>
      <c r="G1056" t="s">
        <v>397</v>
      </c>
      <c r="H1056">
        <v>69</v>
      </c>
      <c r="I1056">
        <v>249</v>
      </c>
      <c r="J1056">
        <v>157</v>
      </c>
      <c r="K1056">
        <v>337</v>
      </c>
      <c r="L1056">
        <v>251</v>
      </c>
      <c r="M1056">
        <v>71</v>
      </c>
      <c r="N1056">
        <v>337</v>
      </c>
      <c r="O1056">
        <v>157</v>
      </c>
      <c r="T1056">
        <v>3</v>
      </c>
      <c r="U1056">
        <v>20</v>
      </c>
      <c r="V1056">
        <v>47</v>
      </c>
      <c r="Y1056">
        <v>7</v>
      </c>
      <c r="Z1056">
        <v>5</v>
      </c>
      <c r="AA1056">
        <v>0</v>
      </c>
      <c r="AD1056">
        <v>35</v>
      </c>
      <c r="AE1056">
        <v>4</v>
      </c>
      <c r="AF1056">
        <v>20</v>
      </c>
      <c r="AI1056">
        <v>44</v>
      </c>
      <c r="AJ1056">
        <v>0</v>
      </c>
      <c r="AK1056">
        <v>14</v>
      </c>
      <c r="AX1056">
        <v>70</v>
      </c>
      <c r="AY1056">
        <v>86</v>
      </c>
      <c r="AZ1056">
        <v>156</v>
      </c>
      <c r="BA1056">
        <v>12</v>
      </c>
      <c r="BB1056">
        <v>7</v>
      </c>
      <c r="BC1056">
        <v>19</v>
      </c>
      <c r="BD1056">
        <v>59</v>
      </c>
      <c r="BE1056">
        <v>39</v>
      </c>
      <c r="BF1056">
        <v>98</v>
      </c>
      <c r="BG1056">
        <v>58</v>
      </c>
      <c r="BH1056">
        <v>67</v>
      </c>
      <c r="BI1056">
        <v>125</v>
      </c>
      <c r="BP1056">
        <v>73</v>
      </c>
      <c r="BR1056">
        <v>84</v>
      </c>
      <c r="BS1056">
        <v>9</v>
      </c>
      <c r="BT1056">
        <v>21</v>
      </c>
      <c r="BV1056">
        <v>12</v>
      </c>
      <c r="BW1056">
        <v>199</v>
      </c>
      <c r="BX1056">
        <f t="shared" si="121"/>
        <v>163</v>
      </c>
      <c r="BY1056" s="5">
        <f t="shared" si="120"/>
        <v>0.22085889570552147</v>
      </c>
      <c r="BZ1056" s="6">
        <f t="shared" si="119"/>
        <v>0.22085889570552147</v>
      </c>
      <c r="CA1056" s="7">
        <v>43051</v>
      </c>
      <c r="CE1056">
        <v>57</v>
      </c>
      <c r="CF1056">
        <v>79</v>
      </c>
      <c r="CG1056">
        <v>46</v>
      </c>
      <c r="CH1056">
        <v>17</v>
      </c>
      <c r="CI1056">
        <f t="shared" si="117"/>
        <v>2017</v>
      </c>
      <c r="CJ1056" t="str">
        <f t="shared" si="118"/>
        <v>6216_2017</v>
      </c>
    </row>
    <row r="1057" spans="1:88" x14ac:dyDescent="0.25">
      <c r="A1057" t="s">
        <v>111</v>
      </c>
      <c r="B1057" t="s">
        <v>301</v>
      </c>
      <c r="C1057">
        <v>6216</v>
      </c>
      <c r="D1057">
        <v>-38.083674000000002</v>
      </c>
      <c r="E1057">
        <v>145.13354899999999</v>
      </c>
      <c r="F1057">
        <v>4</v>
      </c>
      <c r="G1057" t="s">
        <v>397</v>
      </c>
      <c r="H1057">
        <v>69</v>
      </c>
      <c r="I1057">
        <v>249</v>
      </c>
      <c r="J1057">
        <v>157</v>
      </c>
      <c r="K1057">
        <v>337</v>
      </c>
      <c r="L1057">
        <v>251</v>
      </c>
      <c r="M1057">
        <v>71</v>
      </c>
      <c r="N1057">
        <v>337</v>
      </c>
      <c r="O1057">
        <v>157</v>
      </c>
      <c r="T1057">
        <v>5</v>
      </c>
      <c r="U1057">
        <v>17</v>
      </c>
      <c r="V1057">
        <v>54</v>
      </c>
      <c r="Y1057">
        <v>9</v>
      </c>
      <c r="Z1057">
        <v>5</v>
      </c>
      <c r="AA1057">
        <v>12</v>
      </c>
      <c r="AD1057">
        <v>24</v>
      </c>
      <c r="AE1057">
        <v>4</v>
      </c>
      <c r="AF1057">
        <v>20</v>
      </c>
      <c r="AI1057">
        <v>53</v>
      </c>
      <c r="AJ1057">
        <v>9</v>
      </c>
      <c r="AK1057">
        <v>26</v>
      </c>
      <c r="AX1057">
        <v>76</v>
      </c>
      <c r="AY1057">
        <v>86</v>
      </c>
      <c r="AZ1057">
        <v>162</v>
      </c>
      <c r="BA1057">
        <v>26</v>
      </c>
      <c r="BB1057">
        <v>18</v>
      </c>
      <c r="BC1057">
        <v>44</v>
      </c>
      <c r="BD1057">
        <v>48</v>
      </c>
      <c r="BE1057">
        <v>48</v>
      </c>
      <c r="BF1057">
        <v>96</v>
      </c>
      <c r="BG1057">
        <v>88</v>
      </c>
      <c r="BH1057">
        <v>86</v>
      </c>
      <c r="BI1057">
        <v>174</v>
      </c>
      <c r="BP1057">
        <v>93</v>
      </c>
      <c r="BR1057">
        <v>98</v>
      </c>
      <c r="BS1057">
        <v>7</v>
      </c>
      <c r="BT1057">
        <v>32</v>
      </c>
      <c r="BV1057">
        <v>8</v>
      </c>
      <c r="BW1057">
        <v>238</v>
      </c>
      <c r="BX1057">
        <f t="shared" si="121"/>
        <v>199</v>
      </c>
      <c r="BY1057" s="5">
        <f t="shared" si="120"/>
        <v>0.19597989949748743</v>
      </c>
      <c r="BZ1057" s="6">
        <f t="shared" si="119"/>
        <v>0.19597989949748743</v>
      </c>
      <c r="CA1057" s="7">
        <v>43415</v>
      </c>
      <c r="CE1057">
        <v>62</v>
      </c>
      <c r="CF1057">
        <v>59</v>
      </c>
      <c r="CG1057">
        <v>66</v>
      </c>
      <c r="CH1057">
        <v>51</v>
      </c>
      <c r="CI1057">
        <f t="shared" si="117"/>
        <v>2018</v>
      </c>
      <c r="CJ1057" t="str">
        <f t="shared" si="118"/>
        <v>6216_2018</v>
      </c>
    </row>
    <row r="1058" spans="1:88" x14ac:dyDescent="0.25">
      <c r="A1058" t="s">
        <v>111</v>
      </c>
      <c r="B1058" t="s">
        <v>301</v>
      </c>
      <c r="C1058">
        <v>6216</v>
      </c>
      <c r="D1058">
        <v>-38.0837</v>
      </c>
      <c r="E1058">
        <v>145.1335</v>
      </c>
      <c r="F1058">
        <v>4</v>
      </c>
      <c r="G1058" t="s">
        <v>397</v>
      </c>
      <c r="H1058">
        <v>69</v>
      </c>
      <c r="I1058">
        <v>249</v>
      </c>
      <c r="J1058">
        <v>157</v>
      </c>
      <c r="K1058">
        <v>337</v>
      </c>
      <c r="L1058">
        <v>251</v>
      </c>
      <c r="M1058">
        <v>71</v>
      </c>
      <c r="N1058">
        <v>337</v>
      </c>
      <c r="O1058">
        <v>157</v>
      </c>
      <c r="T1058">
        <v>0</v>
      </c>
      <c r="U1058">
        <v>43</v>
      </c>
      <c r="V1058">
        <v>29</v>
      </c>
      <c r="Y1058">
        <v>0</v>
      </c>
      <c r="Z1058">
        <v>1</v>
      </c>
      <c r="AA1058">
        <v>0</v>
      </c>
      <c r="AD1058">
        <v>27</v>
      </c>
      <c r="AE1058">
        <v>0</v>
      </c>
      <c r="AF1058">
        <v>32</v>
      </c>
      <c r="AI1058">
        <v>34</v>
      </c>
      <c r="AJ1058">
        <v>0</v>
      </c>
      <c r="AK1058">
        <v>18</v>
      </c>
      <c r="AX1058">
        <v>72</v>
      </c>
      <c r="AY1058">
        <v>61</v>
      </c>
      <c r="AZ1058">
        <v>133</v>
      </c>
      <c r="BA1058">
        <v>1</v>
      </c>
      <c r="BB1058">
        <v>0</v>
      </c>
      <c r="BC1058">
        <v>1</v>
      </c>
      <c r="BD1058">
        <v>59</v>
      </c>
      <c r="BE1058">
        <v>62</v>
      </c>
      <c r="BF1058">
        <v>121</v>
      </c>
      <c r="BG1058">
        <v>52</v>
      </c>
      <c r="BH1058">
        <v>61</v>
      </c>
      <c r="BI1058">
        <v>113</v>
      </c>
      <c r="BP1058">
        <v>44</v>
      </c>
      <c r="BR1058">
        <v>87</v>
      </c>
      <c r="BS1058">
        <v>10</v>
      </c>
      <c r="BT1058">
        <v>36</v>
      </c>
      <c r="BV1058">
        <v>7</v>
      </c>
      <c r="BW1058">
        <v>184</v>
      </c>
      <c r="BX1058">
        <f t="shared" si="121"/>
        <v>238</v>
      </c>
      <c r="BY1058" s="5">
        <f t="shared" si="120"/>
        <v>-0.22689075630252101</v>
      </c>
      <c r="BZ1058" s="6">
        <f t="shared" si="119"/>
        <v>-0.22689075630252101</v>
      </c>
      <c r="CA1058" s="7">
        <v>43779</v>
      </c>
      <c r="CE1058">
        <v>21</v>
      </c>
      <c r="CF1058">
        <v>44</v>
      </c>
      <c r="CG1058">
        <v>67</v>
      </c>
      <c r="CH1058">
        <v>52</v>
      </c>
      <c r="CI1058">
        <f t="shared" si="117"/>
        <v>2019</v>
      </c>
      <c r="CJ1058" t="str">
        <f t="shared" si="118"/>
        <v>6216_2019</v>
      </c>
    </row>
    <row r="1059" spans="1:88" x14ac:dyDescent="0.25">
      <c r="A1059" t="s">
        <v>111</v>
      </c>
      <c r="B1059" t="s">
        <v>301</v>
      </c>
      <c r="C1059">
        <v>6216</v>
      </c>
      <c r="D1059">
        <v>-38.0837</v>
      </c>
      <c r="E1059">
        <v>145.1335</v>
      </c>
      <c r="F1059">
        <v>4</v>
      </c>
      <c r="G1059" t="s">
        <v>397</v>
      </c>
      <c r="H1059">
        <v>69</v>
      </c>
      <c r="I1059">
        <v>249</v>
      </c>
      <c r="J1059">
        <v>157</v>
      </c>
      <c r="K1059">
        <v>337</v>
      </c>
      <c r="L1059">
        <v>251</v>
      </c>
      <c r="M1059">
        <v>71</v>
      </c>
      <c r="N1059">
        <v>337</v>
      </c>
      <c r="O1059">
        <v>157</v>
      </c>
      <c r="T1059">
        <v>4</v>
      </c>
      <c r="U1059">
        <v>38</v>
      </c>
      <c r="V1059">
        <v>127</v>
      </c>
      <c r="Y1059">
        <v>2</v>
      </c>
      <c r="Z1059">
        <v>6</v>
      </c>
      <c r="AA1059">
        <v>5</v>
      </c>
      <c r="AD1059">
        <v>46</v>
      </c>
      <c r="AE1059">
        <v>9</v>
      </c>
      <c r="AF1059">
        <v>63</v>
      </c>
      <c r="AI1059">
        <v>101</v>
      </c>
      <c r="AJ1059">
        <v>8</v>
      </c>
      <c r="AK1059">
        <v>73</v>
      </c>
      <c r="AX1059">
        <v>169</v>
      </c>
      <c r="AY1059">
        <v>149</v>
      </c>
      <c r="AZ1059">
        <v>318</v>
      </c>
      <c r="BA1059">
        <v>13</v>
      </c>
      <c r="BB1059">
        <v>21</v>
      </c>
      <c r="BC1059">
        <v>34</v>
      </c>
      <c r="BD1059">
        <v>118</v>
      </c>
      <c r="BE1059">
        <v>117</v>
      </c>
      <c r="BF1059">
        <v>235</v>
      </c>
      <c r="BG1059">
        <v>182</v>
      </c>
      <c r="BH1059">
        <v>195</v>
      </c>
      <c r="BI1059">
        <v>377</v>
      </c>
      <c r="BP1059">
        <v>210</v>
      </c>
      <c r="BR1059">
        <v>186</v>
      </c>
      <c r="BS1059">
        <v>20</v>
      </c>
      <c r="BT1059">
        <v>55</v>
      </c>
      <c r="BV1059">
        <v>11</v>
      </c>
      <c r="BW1059">
        <v>482</v>
      </c>
      <c r="BX1059">
        <f t="shared" si="121"/>
        <v>184</v>
      </c>
      <c r="BY1059" s="5">
        <f t="shared" si="120"/>
        <v>1.6195652173913044</v>
      </c>
      <c r="BZ1059" s="6">
        <f t="shared" si="119"/>
        <v>1.6195652173913044</v>
      </c>
      <c r="CA1059" s="7">
        <v>44143</v>
      </c>
      <c r="CE1059">
        <v>109</v>
      </c>
      <c r="CF1059">
        <v>148</v>
      </c>
      <c r="CG1059">
        <v>104</v>
      </c>
      <c r="CH1059">
        <v>121</v>
      </c>
      <c r="CI1059">
        <f t="shared" si="117"/>
        <v>2020</v>
      </c>
      <c r="CJ1059" t="str">
        <f t="shared" si="118"/>
        <v>6216_2020</v>
      </c>
    </row>
    <row r="1060" spans="1:88" x14ac:dyDescent="0.25">
      <c r="A1060" t="s">
        <v>111</v>
      </c>
      <c r="B1060" t="s">
        <v>301</v>
      </c>
      <c r="C1060">
        <v>6216</v>
      </c>
      <c r="D1060">
        <v>-38.083674000000002</v>
      </c>
      <c r="E1060">
        <v>145.13354899999999</v>
      </c>
      <c r="F1060">
        <v>4</v>
      </c>
      <c r="G1060" t="s">
        <v>397</v>
      </c>
      <c r="H1060">
        <v>69</v>
      </c>
      <c r="I1060">
        <v>249</v>
      </c>
      <c r="J1060">
        <v>157</v>
      </c>
      <c r="K1060">
        <v>337</v>
      </c>
      <c r="L1060">
        <v>251</v>
      </c>
      <c r="M1060">
        <v>71</v>
      </c>
      <c r="N1060">
        <v>337</v>
      </c>
      <c r="O1060">
        <v>157</v>
      </c>
      <c r="T1060">
        <v>3</v>
      </c>
      <c r="U1060">
        <v>12</v>
      </c>
      <c r="V1060">
        <v>47</v>
      </c>
      <c r="Y1060">
        <v>4</v>
      </c>
      <c r="Z1060">
        <v>5</v>
      </c>
      <c r="AA1060">
        <v>12</v>
      </c>
      <c r="AD1060">
        <v>17</v>
      </c>
      <c r="AE1060">
        <v>0</v>
      </c>
      <c r="AF1060">
        <v>17</v>
      </c>
      <c r="AI1060">
        <v>46</v>
      </c>
      <c r="AJ1060">
        <v>10</v>
      </c>
      <c r="AK1060">
        <v>14</v>
      </c>
      <c r="AX1060">
        <v>62</v>
      </c>
      <c r="AY1060">
        <v>67</v>
      </c>
      <c r="AZ1060">
        <v>129</v>
      </c>
      <c r="BA1060">
        <v>21</v>
      </c>
      <c r="BB1060">
        <v>13</v>
      </c>
      <c r="BC1060">
        <v>34</v>
      </c>
      <c r="BD1060">
        <v>34</v>
      </c>
      <c r="BE1060">
        <v>31</v>
      </c>
      <c r="BF1060">
        <v>65</v>
      </c>
      <c r="BG1060">
        <v>70</v>
      </c>
      <c r="BH1060">
        <v>76</v>
      </c>
      <c r="BI1060">
        <v>146</v>
      </c>
      <c r="BP1060">
        <v>66</v>
      </c>
      <c r="BR1060">
        <v>82</v>
      </c>
      <c r="BS1060">
        <v>5</v>
      </c>
      <c r="BT1060">
        <v>30</v>
      </c>
      <c r="BV1060">
        <v>4</v>
      </c>
      <c r="BW1060">
        <v>187</v>
      </c>
      <c r="BX1060">
        <f t="shared" si="121"/>
        <v>482</v>
      </c>
      <c r="BY1060" s="5">
        <f t="shared" si="120"/>
        <v>-0.61203319502074693</v>
      </c>
      <c r="BZ1060" s="6">
        <f t="shared" si="119"/>
        <v>-0.61203319502074693</v>
      </c>
      <c r="CA1060" s="7">
        <v>44542</v>
      </c>
      <c r="CE1060">
        <v>87</v>
      </c>
      <c r="CF1060">
        <v>53</v>
      </c>
      <c r="CG1060">
        <v>47</v>
      </c>
      <c r="CI1060">
        <f t="shared" si="117"/>
        <v>2021</v>
      </c>
      <c r="CJ1060" t="str">
        <f t="shared" si="118"/>
        <v>6216_2021</v>
      </c>
    </row>
    <row r="1061" spans="1:88" x14ac:dyDescent="0.25">
      <c r="A1061" t="s">
        <v>111</v>
      </c>
      <c r="B1061" t="s">
        <v>301</v>
      </c>
      <c r="C1061">
        <v>6217</v>
      </c>
      <c r="D1061">
        <v>-38.109000000000002</v>
      </c>
      <c r="E1061">
        <v>145.1618</v>
      </c>
      <c r="F1061">
        <v>4</v>
      </c>
      <c r="G1061" t="s">
        <v>398</v>
      </c>
      <c r="H1061">
        <v>54</v>
      </c>
      <c r="I1061">
        <v>234</v>
      </c>
      <c r="J1061">
        <v>154</v>
      </c>
      <c r="K1061">
        <v>334</v>
      </c>
      <c r="L1061">
        <v>230</v>
      </c>
      <c r="M1061">
        <v>50</v>
      </c>
      <c r="N1061">
        <v>335</v>
      </c>
      <c r="O1061">
        <v>155</v>
      </c>
      <c r="T1061">
        <v>6</v>
      </c>
      <c r="U1061">
        <v>14</v>
      </c>
      <c r="V1061">
        <v>10</v>
      </c>
      <c r="Y1061">
        <v>3</v>
      </c>
      <c r="Z1061">
        <v>1</v>
      </c>
      <c r="AA1061">
        <v>20</v>
      </c>
      <c r="AD1061">
        <v>14</v>
      </c>
      <c r="AE1061">
        <v>3</v>
      </c>
      <c r="AF1061">
        <v>10</v>
      </c>
      <c r="AI1061">
        <v>4</v>
      </c>
      <c r="AJ1061">
        <v>21</v>
      </c>
      <c r="AK1061">
        <v>8</v>
      </c>
      <c r="AX1061">
        <v>30</v>
      </c>
      <c r="AY1061">
        <v>21</v>
      </c>
      <c r="AZ1061">
        <v>51</v>
      </c>
      <c r="BA1061">
        <v>24</v>
      </c>
      <c r="BB1061">
        <v>30</v>
      </c>
      <c r="BC1061">
        <v>54</v>
      </c>
      <c r="BD1061">
        <v>27</v>
      </c>
      <c r="BE1061">
        <v>23</v>
      </c>
      <c r="BF1061">
        <v>50</v>
      </c>
      <c r="BG1061">
        <v>33</v>
      </c>
      <c r="BH1061">
        <v>40</v>
      </c>
      <c r="BI1061">
        <v>73</v>
      </c>
      <c r="BP1061">
        <v>70</v>
      </c>
      <c r="BR1061">
        <v>32</v>
      </c>
      <c r="BS1061">
        <v>1</v>
      </c>
      <c r="BT1061">
        <v>6</v>
      </c>
      <c r="BV1061">
        <v>5</v>
      </c>
      <c r="BW1061">
        <v>114</v>
      </c>
      <c r="BX1061" t="s">
        <v>82</v>
      </c>
      <c r="BY1061" s="5"/>
      <c r="BZ1061" s="6"/>
      <c r="CA1061" s="7">
        <v>41588</v>
      </c>
      <c r="CI1061">
        <f t="shared" si="117"/>
        <v>2013</v>
      </c>
      <c r="CJ1061" t="str">
        <f t="shared" si="118"/>
        <v>6217_2013</v>
      </c>
    </row>
    <row r="1062" spans="1:88" x14ac:dyDescent="0.25">
      <c r="A1062" t="s">
        <v>111</v>
      </c>
      <c r="B1062" t="s">
        <v>301</v>
      </c>
      <c r="C1062">
        <v>6217</v>
      </c>
      <c r="D1062">
        <v>-38.109000000000002</v>
      </c>
      <c r="E1062">
        <v>145.1618</v>
      </c>
      <c r="F1062">
        <v>4</v>
      </c>
      <c r="G1062" t="s">
        <v>398</v>
      </c>
      <c r="H1062">
        <v>54</v>
      </c>
      <c r="I1062">
        <v>234</v>
      </c>
      <c r="J1062">
        <v>154</v>
      </c>
      <c r="K1062">
        <v>334</v>
      </c>
      <c r="L1062">
        <v>230</v>
      </c>
      <c r="M1062">
        <v>50</v>
      </c>
      <c r="N1062">
        <v>335</v>
      </c>
      <c r="O1062">
        <v>155</v>
      </c>
      <c r="T1062">
        <v>3</v>
      </c>
      <c r="U1062">
        <v>20</v>
      </c>
      <c r="V1062">
        <v>11</v>
      </c>
      <c r="Y1062">
        <v>5</v>
      </c>
      <c r="Z1062">
        <v>0</v>
      </c>
      <c r="AA1062">
        <v>42</v>
      </c>
      <c r="AD1062">
        <v>13</v>
      </c>
      <c r="AE1062">
        <v>4</v>
      </c>
      <c r="AF1062">
        <v>3</v>
      </c>
      <c r="AI1062">
        <v>0</v>
      </c>
      <c r="AJ1062">
        <v>53</v>
      </c>
      <c r="AK1062">
        <v>6</v>
      </c>
      <c r="AX1062">
        <v>34</v>
      </c>
      <c r="AY1062">
        <v>18</v>
      </c>
      <c r="AZ1062">
        <v>52</v>
      </c>
      <c r="BA1062">
        <v>47</v>
      </c>
      <c r="BB1062">
        <v>60</v>
      </c>
      <c r="BC1062">
        <v>107</v>
      </c>
      <c r="BD1062">
        <v>20</v>
      </c>
      <c r="BE1062">
        <v>26</v>
      </c>
      <c r="BF1062">
        <v>46</v>
      </c>
      <c r="BG1062">
        <v>59</v>
      </c>
      <c r="BH1062">
        <v>56</v>
      </c>
      <c r="BI1062">
        <v>115</v>
      </c>
      <c r="BP1062">
        <v>136</v>
      </c>
      <c r="BR1062">
        <v>21</v>
      </c>
      <c r="BS1062">
        <v>1</v>
      </c>
      <c r="BT1062">
        <v>2</v>
      </c>
      <c r="BV1062">
        <v>0</v>
      </c>
      <c r="BW1062">
        <v>160</v>
      </c>
      <c r="BX1062">
        <f t="shared" ref="BX1062:BX1069" si="122">IF(C1062=C1061,IF((CI1062-1)=CI1061,BW1061,"no data"))</f>
        <v>114</v>
      </c>
      <c r="BY1062" s="5">
        <f t="shared" si="120"/>
        <v>0.40350877192982454</v>
      </c>
      <c r="BZ1062" s="6">
        <f t="shared" si="119"/>
        <v>0.40350877192982454</v>
      </c>
      <c r="CA1062" s="7">
        <v>41952</v>
      </c>
      <c r="CI1062">
        <f t="shared" si="117"/>
        <v>2014</v>
      </c>
      <c r="CJ1062" t="str">
        <f t="shared" si="118"/>
        <v>6217_2014</v>
      </c>
    </row>
    <row r="1063" spans="1:88" x14ac:dyDescent="0.25">
      <c r="A1063" t="s">
        <v>111</v>
      </c>
      <c r="B1063" t="s">
        <v>301</v>
      </c>
      <c r="C1063">
        <v>6217</v>
      </c>
      <c r="D1063">
        <v>-38.109000000000002</v>
      </c>
      <c r="E1063">
        <v>145.1618</v>
      </c>
      <c r="F1063">
        <v>4</v>
      </c>
      <c r="G1063" t="s">
        <v>398</v>
      </c>
      <c r="H1063">
        <v>54</v>
      </c>
      <c r="I1063">
        <v>234</v>
      </c>
      <c r="J1063">
        <v>154</v>
      </c>
      <c r="K1063">
        <v>334</v>
      </c>
      <c r="L1063">
        <v>230</v>
      </c>
      <c r="M1063">
        <v>50</v>
      </c>
      <c r="N1063">
        <v>335</v>
      </c>
      <c r="O1063">
        <v>155</v>
      </c>
      <c r="T1063">
        <v>10</v>
      </c>
      <c r="U1063">
        <v>23</v>
      </c>
      <c r="V1063">
        <v>16</v>
      </c>
      <c r="Y1063">
        <v>2</v>
      </c>
      <c r="Z1063">
        <v>13</v>
      </c>
      <c r="AA1063">
        <v>8</v>
      </c>
      <c r="AD1063">
        <v>14</v>
      </c>
      <c r="AE1063">
        <v>18</v>
      </c>
      <c r="AF1063">
        <v>5</v>
      </c>
      <c r="AI1063">
        <v>17</v>
      </c>
      <c r="AJ1063">
        <v>13</v>
      </c>
      <c r="AK1063">
        <v>6</v>
      </c>
      <c r="AX1063">
        <v>49</v>
      </c>
      <c r="AY1063">
        <v>33</v>
      </c>
      <c r="AZ1063">
        <v>82</v>
      </c>
      <c r="BA1063">
        <v>23</v>
      </c>
      <c r="BB1063">
        <v>41</v>
      </c>
      <c r="BC1063">
        <v>64</v>
      </c>
      <c r="BD1063">
        <v>37</v>
      </c>
      <c r="BE1063">
        <v>42</v>
      </c>
      <c r="BF1063">
        <v>79</v>
      </c>
      <c r="BG1063">
        <v>36</v>
      </c>
      <c r="BH1063">
        <v>29</v>
      </c>
      <c r="BI1063">
        <v>65</v>
      </c>
      <c r="BP1063">
        <v>120</v>
      </c>
      <c r="BR1063">
        <v>20</v>
      </c>
      <c r="BS1063">
        <v>1</v>
      </c>
      <c r="BT1063">
        <v>2</v>
      </c>
      <c r="BV1063">
        <v>2</v>
      </c>
      <c r="BW1063">
        <v>145</v>
      </c>
      <c r="BX1063">
        <f t="shared" si="122"/>
        <v>160</v>
      </c>
      <c r="BY1063" s="5">
        <f t="shared" si="120"/>
        <v>-9.375E-2</v>
      </c>
      <c r="BZ1063" s="6">
        <f t="shared" si="119"/>
        <v>-9.375E-2</v>
      </c>
      <c r="CA1063" s="7">
        <v>42316</v>
      </c>
      <c r="CE1063">
        <v>16</v>
      </c>
      <c r="CF1063">
        <v>55</v>
      </c>
      <c r="CG1063">
        <v>40</v>
      </c>
      <c r="CH1063">
        <v>34</v>
      </c>
      <c r="CI1063">
        <f t="shared" si="117"/>
        <v>2015</v>
      </c>
      <c r="CJ1063" t="str">
        <f t="shared" si="118"/>
        <v>6217_2015</v>
      </c>
    </row>
    <row r="1064" spans="1:88" x14ac:dyDescent="0.25">
      <c r="A1064" t="s">
        <v>111</v>
      </c>
      <c r="B1064" t="s">
        <v>301</v>
      </c>
      <c r="C1064">
        <v>6217</v>
      </c>
      <c r="D1064">
        <v>-38.108977000000003</v>
      </c>
      <c r="E1064">
        <v>145.16179500000001</v>
      </c>
      <c r="F1064">
        <v>4</v>
      </c>
      <c r="G1064" t="s">
        <v>398</v>
      </c>
      <c r="H1064">
        <v>54</v>
      </c>
      <c r="I1064">
        <v>234</v>
      </c>
      <c r="J1064">
        <v>154</v>
      </c>
      <c r="K1064">
        <v>334</v>
      </c>
      <c r="L1064">
        <v>230</v>
      </c>
      <c r="M1064">
        <v>50</v>
      </c>
      <c r="N1064">
        <v>335</v>
      </c>
      <c r="O1064">
        <v>155</v>
      </c>
      <c r="T1064">
        <v>21</v>
      </c>
      <c r="U1064">
        <v>16</v>
      </c>
      <c r="V1064">
        <v>9</v>
      </c>
      <c r="Y1064">
        <v>3</v>
      </c>
      <c r="Z1064">
        <v>0</v>
      </c>
      <c r="AA1064">
        <v>23</v>
      </c>
      <c r="AD1064">
        <v>13</v>
      </c>
      <c r="AE1064">
        <v>3</v>
      </c>
      <c r="AF1064">
        <v>10</v>
      </c>
      <c r="AI1064">
        <v>4</v>
      </c>
      <c r="AJ1064">
        <v>21</v>
      </c>
      <c r="AK1064">
        <v>6</v>
      </c>
      <c r="AX1064">
        <v>46</v>
      </c>
      <c r="AY1064">
        <v>20</v>
      </c>
      <c r="AZ1064">
        <v>66</v>
      </c>
      <c r="BA1064">
        <v>26</v>
      </c>
      <c r="BB1064">
        <v>45</v>
      </c>
      <c r="BC1064">
        <v>71</v>
      </c>
      <c r="BD1064">
        <v>26</v>
      </c>
      <c r="BE1064">
        <v>22</v>
      </c>
      <c r="BF1064">
        <v>48</v>
      </c>
      <c r="BG1064">
        <v>31</v>
      </c>
      <c r="BH1064">
        <v>42</v>
      </c>
      <c r="BI1064">
        <v>73</v>
      </c>
      <c r="BP1064">
        <v>77</v>
      </c>
      <c r="BR1064">
        <v>30</v>
      </c>
      <c r="BS1064">
        <v>1</v>
      </c>
      <c r="BT1064">
        <v>9</v>
      </c>
      <c r="BV1064">
        <v>12</v>
      </c>
      <c r="BW1064">
        <v>129</v>
      </c>
      <c r="BX1064">
        <f t="shared" si="122"/>
        <v>145</v>
      </c>
      <c r="BY1064" s="5">
        <f t="shared" si="120"/>
        <v>-0.1103448275862069</v>
      </c>
      <c r="BZ1064" s="6">
        <f t="shared" si="119"/>
        <v>-0.1103448275862069</v>
      </c>
      <c r="CA1064" s="7">
        <v>42715</v>
      </c>
      <c r="CE1064">
        <v>7</v>
      </c>
      <c r="CF1064">
        <v>18</v>
      </c>
      <c r="CG1064">
        <v>52</v>
      </c>
      <c r="CH1064">
        <v>52</v>
      </c>
      <c r="CI1064">
        <f t="shared" si="117"/>
        <v>2016</v>
      </c>
      <c r="CJ1064" t="str">
        <f t="shared" si="118"/>
        <v>6217_2016</v>
      </c>
    </row>
    <row r="1065" spans="1:88" x14ac:dyDescent="0.25">
      <c r="A1065" t="s">
        <v>111</v>
      </c>
      <c r="B1065" t="s">
        <v>301</v>
      </c>
      <c r="C1065">
        <v>6217</v>
      </c>
      <c r="D1065">
        <v>-38.108977000000003</v>
      </c>
      <c r="E1065">
        <v>145.16179500000001</v>
      </c>
      <c r="F1065">
        <v>4</v>
      </c>
      <c r="G1065" t="s">
        <v>398</v>
      </c>
      <c r="H1065">
        <v>54</v>
      </c>
      <c r="I1065">
        <v>234</v>
      </c>
      <c r="J1065">
        <v>154</v>
      </c>
      <c r="K1065">
        <v>334</v>
      </c>
      <c r="L1065">
        <v>230</v>
      </c>
      <c r="M1065">
        <v>50</v>
      </c>
      <c r="N1065">
        <v>335</v>
      </c>
      <c r="O1065">
        <v>155</v>
      </c>
      <c r="T1065">
        <v>11</v>
      </c>
      <c r="U1065">
        <v>11</v>
      </c>
      <c r="V1065">
        <v>1</v>
      </c>
      <c r="Y1065">
        <v>4</v>
      </c>
      <c r="Z1065">
        <v>3</v>
      </c>
      <c r="AA1065">
        <v>6</v>
      </c>
      <c r="AD1065">
        <v>4</v>
      </c>
      <c r="AE1065">
        <v>0</v>
      </c>
      <c r="AF1065">
        <v>2</v>
      </c>
      <c r="AI1065">
        <v>4</v>
      </c>
      <c r="AJ1065">
        <v>10</v>
      </c>
      <c r="AK1065">
        <v>10</v>
      </c>
      <c r="AX1065">
        <v>23</v>
      </c>
      <c r="AY1065">
        <v>12</v>
      </c>
      <c r="AZ1065">
        <v>35</v>
      </c>
      <c r="BA1065">
        <v>13</v>
      </c>
      <c r="BB1065">
        <v>21</v>
      </c>
      <c r="BC1065">
        <v>34</v>
      </c>
      <c r="BD1065">
        <v>6</v>
      </c>
      <c r="BE1065">
        <v>24</v>
      </c>
      <c r="BF1065">
        <v>30</v>
      </c>
      <c r="BG1065">
        <v>24</v>
      </c>
      <c r="BH1065">
        <v>9</v>
      </c>
      <c r="BI1065">
        <v>33</v>
      </c>
      <c r="BP1065">
        <v>28</v>
      </c>
      <c r="BR1065">
        <v>17</v>
      </c>
      <c r="BS1065">
        <v>11</v>
      </c>
      <c r="BT1065">
        <v>7</v>
      </c>
      <c r="BV1065">
        <v>3</v>
      </c>
      <c r="BW1065">
        <v>66</v>
      </c>
      <c r="BX1065">
        <f t="shared" si="122"/>
        <v>129</v>
      </c>
      <c r="BY1065" s="5">
        <f t="shared" si="120"/>
        <v>-0.48837209302325579</v>
      </c>
      <c r="BZ1065" s="6">
        <f t="shared" si="119"/>
        <v>-0.48837209302325579</v>
      </c>
      <c r="CA1065" s="7">
        <v>43051</v>
      </c>
      <c r="CE1065">
        <v>23</v>
      </c>
      <c r="CF1065">
        <v>13</v>
      </c>
      <c r="CG1065">
        <v>18</v>
      </c>
      <c r="CH1065">
        <v>12</v>
      </c>
      <c r="CI1065">
        <f t="shared" si="117"/>
        <v>2017</v>
      </c>
      <c r="CJ1065" t="str">
        <f t="shared" si="118"/>
        <v>6217_2017</v>
      </c>
    </row>
    <row r="1066" spans="1:88" x14ac:dyDescent="0.25">
      <c r="A1066" t="s">
        <v>111</v>
      </c>
      <c r="B1066" t="s">
        <v>301</v>
      </c>
      <c r="C1066">
        <v>6217</v>
      </c>
      <c r="D1066">
        <v>-38.108977000000003</v>
      </c>
      <c r="E1066">
        <v>145.16179500000001</v>
      </c>
      <c r="F1066">
        <v>4</v>
      </c>
      <c r="G1066" t="s">
        <v>398</v>
      </c>
      <c r="H1066">
        <v>54</v>
      </c>
      <c r="I1066">
        <v>234</v>
      </c>
      <c r="J1066">
        <v>154</v>
      </c>
      <c r="K1066">
        <v>334</v>
      </c>
      <c r="L1066">
        <v>230</v>
      </c>
      <c r="M1066">
        <v>50</v>
      </c>
      <c r="N1066">
        <v>335</v>
      </c>
      <c r="O1066">
        <v>155</v>
      </c>
      <c r="T1066">
        <v>19</v>
      </c>
      <c r="U1066">
        <v>29</v>
      </c>
      <c r="V1066">
        <v>17</v>
      </c>
      <c r="Y1066">
        <v>6</v>
      </c>
      <c r="Z1066">
        <v>1</v>
      </c>
      <c r="AA1066">
        <v>40</v>
      </c>
      <c r="AD1066">
        <v>20</v>
      </c>
      <c r="AE1066">
        <v>6</v>
      </c>
      <c r="AF1066">
        <v>8</v>
      </c>
      <c r="AI1066">
        <v>20</v>
      </c>
      <c r="AJ1066">
        <v>30</v>
      </c>
      <c r="AK1066">
        <v>8</v>
      </c>
      <c r="AX1066">
        <v>65</v>
      </c>
      <c r="AY1066">
        <v>46</v>
      </c>
      <c r="AZ1066">
        <v>111</v>
      </c>
      <c r="BA1066">
        <v>47</v>
      </c>
      <c r="BB1066">
        <v>55</v>
      </c>
      <c r="BC1066">
        <v>102</v>
      </c>
      <c r="BD1066">
        <v>34</v>
      </c>
      <c r="BE1066">
        <v>38</v>
      </c>
      <c r="BF1066">
        <v>72</v>
      </c>
      <c r="BG1066">
        <v>58</v>
      </c>
      <c r="BH1066">
        <v>65</v>
      </c>
      <c r="BI1066">
        <v>123</v>
      </c>
      <c r="BP1066">
        <v>138</v>
      </c>
      <c r="BR1066">
        <v>43</v>
      </c>
      <c r="BS1066">
        <v>3</v>
      </c>
      <c r="BT1066">
        <v>10</v>
      </c>
      <c r="BV1066">
        <v>10</v>
      </c>
      <c r="BW1066">
        <v>204</v>
      </c>
      <c r="BX1066">
        <f t="shared" si="122"/>
        <v>66</v>
      </c>
      <c r="BY1066" s="5">
        <f t="shared" si="120"/>
        <v>2.0909090909090908</v>
      </c>
      <c r="BZ1066" s="6">
        <f t="shared" si="119"/>
        <v>2.0909090909090908</v>
      </c>
      <c r="CA1066" s="7">
        <v>43415</v>
      </c>
      <c r="CE1066">
        <v>52</v>
      </c>
      <c r="CF1066">
        <v>55</v>
      </c>
      <c r="CG1066">
        <v>44</v>
      </c>
      <c r="CH1066">
        <v>53</v>
      </c>
      <c r="CI1066">
        <f t="shared" si="117"/>
        <v>2018</v>
      </c>
      <c r="CJ1066" t="str">
        <f t="shared" si="118"/>
        <v>6217_2018</v>
      </c>
    </row>
    <row r="1067" spans="1:88" x14ac:dyDescent="0.25">
      <c r="A1067" t="s">
        <v>111</v>
      </c>
      <c r="B1067" t="s">
        <v>301</v>
      </c>
      <c r="C1067">
        <v>6217</v>
      </c>
      <c r="D1067">
        <v>-38.109000000000002</v>
      </c>
      <c r="E1067">
        <v>145.1618</v>
      </c>
      <c r="F1067">
        <v>4</v>
      </c>
      <c r="G1067" t="s">
        <v>398</v>
      </c>
      <c r="H1067">
        <v>54</v>
      </c>
      <c r="I1067">
        <v>234</v>
      </c>
      <c r="J1067">
        <v>154</v>
      </c>
      <c r="K1067">
        <v>334</v>
      </c>
      <c r="L1067">
        <v>230</v>
      </c>
      <c r="M1067">
        <v>50</v>
      </c>
      <c r="N1067">
        <v>335</v>
      </c>
      <c r="O1067">
        <v>155</v>
      </c>
      <c r="T1067">
        <v>11</v>
      </c>
      <c r="U1067">
        <v>26</v>
      </c>
      <c r="V1067">
        <v>7</v>
      </c>
      <c r="Y1067">
        <v>8</v>
      </c>
      <c r="Z1067">
        <v>1</v>
      </c>
      <c r="AA1067">
        <v>21</v>
      </c>
      <c r="AD1067">
        <v>25</v>
      </c>
      <c r="AE1067">
        <v>9</v>
      </c>
      <c r="AF1067">
        <v>5</v>
      </c>
      <c r="AI1067">
        <v>4</v>
      </c>
      <c r="AJ1067">
        <v>37</v>
      </c>
      <c r="AK1067">
        <v>2</v>
      </c>
      <c r="AX1067">
        <v>44</v>
      </c>
      <c r="AY1067">
        <v>37</v>
      </c>
      <c r="AZ1067">
        <v>81</v>
      </c>
      <c r="BA1067">
        <v>30</v>
      </c>
      <c r="BB1067">
        <v>57</v>
      </c>
      <c r="BC1067">
        <v>87</v>
      </c>
      <c r="BD1067">
        <v>39</v>
      </c>
      <c r="BE1067">
        <v>29</v>
      </c>
      <c r="BF1067">
        <v>68</v>
      </c>
      <c r="BG1067">
        <v>43</v>
      </c>
      <c r="BH1067">
        <v>33</v>
      </c>
      <c r="BI1067">
        <v>76</v>
      </c>
      <c r="BP1067">
        <v>95</v>
      </c>
      <c r="BR1067">
        <v>42</v>
      </c>
      <c r="BS1067">
        <v>9</v>
      </c>
      <c r="BT1067">
        <v>10</v>
      </c>
      <c r="BV1067">
        <v>0</v>
      </c>
      <c r="BW1067">
        <v>156</v>
      </c>
      <c r="BX1067">
        <f t="shared" si="122"/>
        <v>204</v>
      </c>
      <c r="BY1067" s="5">
        <f t="shared" si="120"/>
        <v>-0.23529411764705882</v>
      </c>
      <c r="BZ1067" s="6">
        <f t="shared" si="119"/>
        <v>-0.23529411764705882</v>
      </c>
      <c r="CA1067" s="7">
        <v>43779</v>
      </c>
      <c r="CE1067">
        <v>27</v>
      </c>
      <c r="CF1067">
        <v>44</v>
      </c>
      <c r="CG1067">
        <v>51</v>
      </c>
      <c r="CH1067">
        <v>34</v>
      </c>
      <c r="CI1067">
        <f t="shared" si="117"/>
        <v>2019</v>
      </c>
      <c r="CJ1067" t="str">
        <f t="shared" si="118"/>
        <v>6217_2019</v>
      </c>
    </row>
    <row r="1068" spans="1:88" x14ac:dyDescent="0.25">
      <c r="A1068" t="s">
        <v>111</v>
      </c>
      <c r="B1068" t="s">
        <v>301</v>
      </c>
      <c r="C1068">
        <v>6217</v>
      </c>
      <c r="D1068">
        <v>-38.109000000000002</v>
      </c>
      <c r="E1068">
        <v>145.1618</v>
      </c>
      <c r="F1068">
        <v>4</v>
      </c>
      <c r="G1068" t="s">
        <v>398</v>
      </c>
      <c r="H1068">
        <v>54</v>
      </c>
      <c r="I1068">
        <v>234</v>
      </c>
      <c r="J1068">
        <v>154</v>
      </c>
      <c r="K1068">
        <v>334</v>
      </c>
      <c r="L1068">
        <v>230</v>
      </c>
      <c r="M1068">
        <v>50</v>
      </c>
      <c r="N1068">
        <v>335</v>
      </c>
      <c r="O1068">
        <v>155</v>
      </c>
      <c r="T1068">
        <v>29</v>
      </c>
      <c r="U1068">
        <v>31</v>
      </c>
      <c r="V1068">
        <v>31</v>
      </c>
      <c r="Y1068">
        <v>15</v>
      </c>
      <c r="Z1068">
        <v>3</v>
      </c>
      <c r="AA1068">
        <v>97</v>
      </c>
      <c r="AD1068">
        <v>19</v>
      </c>
      <c r="AE1068">
        <v>2</v>
      </c>
      <c r="AF1068">
        <v>28</v>
      </c>
      <c r="AI1068">
        <v>30</v>
      </c>
      <c r="AJ1068">
        <v>67</v>
      </c>
      <c r="AK1068">
        <v>13</v>
      </c>
      <c r="AX1068">
        <v>91</v>
      </c>
      <c r="AY1068">
        <v>64</v>
      </c>
      <c r="AZ1068">
        <v>155</v>
      </c>
      <c r="BA1068">
        <v>115</v>
      </c>
      <c r="BB1068">
        <v>98</v>
      </c>
      <c r="BC1068">
        <v>213</v>
      </c>
      <c r="BD1068">
        <v>49</v>
      </c>
      <c r="BE1068">
        <v>47</v>
      </c>
      <c r="BF1068">
        <v>96</v>
      </c>
      <c r="BG1068">
        <v>110</v>
      </c>
      <c r="BH1068">
        <v>156</v>
      </c>
      <c r="BI1068">
        <v>266</v>
      </c>
      <c r="BP1068">
        <v>277</v>
      </c>
      <c r="BR1068">
        <v>75</v>
      </c>
      <c r="BS1068">
        <v>7</v>
      </c>
      <c r="BT1068">
        <v>3</v>
      </c>
      <c r="BV1068">
        <v>3</v>
      </c>
      <c r="BW1068">
        <v>365</v>
      </c>
      <c r="BX1068">
        <f t="shared" si="122"/>
        <v>156</v>
      </c>
      <c r="BY1068" s="5">
        <f t="shared" si="120"/>
        <v>1.3397435897435896</v>
      </c>
      <c r="BZ1068" s="6">
        <f t="shared" si="119"/>
        <v>1.3397435897435896</v>
      </c>
      <c r="CA1068" s="7">
        <v>44143</v>
      </c>
      <c r="CE1068">
        <v>77</v>
      </c>
      <c r="CF1068">
        <v>110</v>
      </c>
      <c r="CG1068">
        <v>84</v>
      </c>
      <c r="CH1068">
        <v>94</v>
      </c>
      <c r="CI1068">
        <f t="shared" si="117"/>
        <v>2020</v>
      </c>
      <c r="CJ1068" t="str">
        <f t="shared" si="118"/>
        <v>6217_2020</v>
      </c>
    </row>
    <row r="1069" spans="1:88" x14ac:dyDescent="0.25">
      <c r="A1069" t="s">
        <v>111</v>
      </c>
      <c r="B1069" t="s">
        <v>301</v>
      </c>
      <c r="C1069">
        <v>6217</v>
      </c>
      <c r="D1069">
        <v>-38.108977000000003</v>
      </c>
      <c r="E1069">
        <v>145.16179500000001</v>
      </c>
      <c r="F1069">
        <v>4</v>
      </c>
      <c r="G1069" t="s">
        <v>398</v>
      </c>
      <c r="H1069">
        <v>54</v>
      </c>
      <c r="I1069">
        <v>234</v>
      </c>
      <c r="J1069">
        <v>154</v>
      </c>
      <c r="K1069">
        <v>334</v>
      </c>
      <c r="L1069">
        <v>230</v>
      </c>
      <c r="M1069">
        <v>50</v>
      </c>
      <c r="N1069">
        <v>335</v>
      </c>
      <c r="O1069">
        <v>155</v>
      </c>
      <c r="T1069">
        <v>14</v>
      </c>
      <c r="U1069">
        <v>11</v>
      </c>
      <c r="V1069">
        <v>19</v>
      </c>
      <c r="Y1069">
        <v>0</v>
      </c>
      <c r="Z1069">
        <v>18</v>
      </c>
      <c r="AA1069">
        <v>41</v>
      </c>
      <c r="AD1069">
        <v>22</v>
      </c>
      <c r="AE1069">
        <v>10</v>
      </c>
      <c r="AF1069">
        <v>23</v>
      </c>
      <c r="AI1069">
        <v>9</v>
      </c>
      <c r="AJ1069">
        <v>54</v>
      </c>
      <c r="AK1069">
        <v>15</v>
      </c>
      <c r="AX1069">
        <v>44</v>
      </c>
      <c r="AY1069">
        <v>31</v>
      </c>
      <c r="AZ1069">
        <v>75</v>
      </c>
      <c r="BA1069">
        <v>59</v>
      </c>
      <c r="BB1069">
        <v>78</v>
      </c>
      <c r="BC1069">
        <v>137</v>
      </c>
      <c r="BD1069">
        <v>55</v>
      </c>
      <c r="BE1069">
        <v>44</v>
      </c>
      <c r="BF1069">
        <v>99</v>
      </c>
      <c r="BG1069">
        <v>78</v>
      </c>
      <c r="BH1069">
        <v>83</v>
      </c>
      <c r="BI1069">
        <v>161</v>
      </c>
      <c r="BP1069">
        <v>165</v>
      </c>
      <c r="BR1069">
        <v>50</v>
      </c>
      <c r="BS1069">
        <v>6</v>
      </c>
      <c r="BT1069">
        <v>12</v>
      </c>
      <c r="BV1069">
        <v>3</v>
      </c>
      <c r="BW1069">
        <v>236</v>
      </c>
      <c r="BX1069">
        <f t="shared" si="122"/>
        <v>365</v>
      </c>
      <c r="BY1069" s="5">
        <f t="shared" si="120"/>
        <v>-0.35342465753424657</v>
      </c>
      <c r="BZ1069" s="6">
        <f t="shared" si="119"/>
        <v>-0.35342465753424657</v>
      </c>
      <c r="CA1069" s="7">
        <v>44528</v>
      </c>
      <c r="CE1069">
        <v>80</v>
      </c>
      <c r="CF1069">
        <v>73</v>
      </c>
      <c r="CG1069">
        <v>83</v>
      </c>
      <c r="CI1069">
        <f t="shared" si="117"/>
        <v>2021</v>
      </c>
      <c r="CJ1069" t="str">
        <f t="shared" si="118"/>
        <v>6217_2021</v>
      </c>
    </row>
    <row r="1070" spans="1:88" x14ac:dyDescent="0.25">
      <c r="A1070" t="s">
        <v>111</v>
      </c>
      <c r="B1070" t="s">
        <v>301</v>
      </c>
      <c r="C1070">
        <v>6218</v>
      </c>
      <c r="D1070">
        <v>-38.131900000000002</v>
      </c>
      <c r="E1070">
        <v>145.17339999999999</v>
      </c>
      <c r="F1070">
        <v>3</v>
      </c>
      <c r="G1070" t="s">
        <v>399</v>
      </c>
      <c r="H1070">
        <v>124</v>
      </c>
      <c r="I1070">
        <v>304</v>
      </c>
      <c r="J1070">
        <v>173</v>
      </c>
      <c r="K1070">
        <v>353</v>
      </c>
      <c r="L1070">
        <v>349</v>
      </c>
      <c r="M1070">
        <v>169</v>
      </c>
      <c r="T1070">
        <v>6</v>
      </c>
      <c r="U1070">
        <v>1</v>
      </c>
      <c r="Y1070">
        <v>1</v>
      </c>
      <c r="Z1070">
        <v>37</v>
      </c>
      <c r="AD1070">
        <v>7</v>
      </c>
      <c r="AE1070">
        <v>38</v>
      </c>
      <c r="AX1070">
        <v>7</v>
      </c>
      <c r="AY1070">
        <v>8</v>
      </c>
      <c r="AZ1070">
        <v>15</v>
      </c>
      <c r="BA1070">
        <v>38</v>
      </c>
      <c r="BB1070">
        <v>44</v>
      </c>
      <c r="BC1070">
        <v>82</v>
      </c>
      <c r="BD1070">
        <v>45</v>
      </c>
      <c r="BE1070">
        <v>38</v>
      </c>
      <c r="BF1070">
        <v>83</v>
      </c>
      <c r="BP1070">
        <v>80</v>
      </c>
      <c r="BR1070">
        <v>4</v>
      </c>
      <c r="BS1070">
        <v>1</v>
      </c>
      <c r="BT1070">
        <v>4</v>
      </c>
      <c r="BV1070">
        <v>1</v>
      </c>
      <c r="BW1070">
        <v>90</v>
      </c>
      <c r="BX1070" t="s">
        <v>82</v>
      </c>
      <c r="BY1070" s="5"/>
      <c r="BZ1070" s="6"/>
      <c r="CA1070" s="7">
        <v>41588</v>
      </c>
      <c r="CI1070">
        <f t="shared" si="117"/>
        <v>2013</v>
      </c>
      <c r="CJ1070" t="str">
        <f t="shared" si="118"/>
        <v>6218_2013</v>
      </c>
    </row>
    <row r="1071" spans="1:88" x14ac:dyDescent="0.25">
      <c r="A1071" t="s">
        <v>111</v>
      </c>
      <c r="B1071" t="s">
        <v>301</v>
      </c>
      <c r="C1071">
        <v>6218</v>
      </c>
      <c r="D1071">
        <v>-38.131900000000002</v>
      </c>
      <c r="E1071">
        <v>145.17339999999999</v>
      </c>
      <c r="F1071">
        <v>3</v>
      </c>
      <c r="G1071" t="s">
        <v>399</v>
      </c>
      <c r="H1071">
        <v>124</v>
      </c>
      <c r="I1071">
        <v>304</v>
      </c>
      <c r="J1071">
        <v>173</v>
      </c>
      <c r="K1071">
        <v>353</v>
      </c>
      <c r="L1071">
        <v>349</v>
      </c>
      <c r="M1071">
        <v>169</v>
      </c>
      <c r="T1071">
        <v>0</v>
      </c>
      <c r="U1071">
        <v>9</v>
      </c>
      <c r="Y1071">
        <v>4</v>
      </c>
      <c r="Z1071">
        <v>57</v>
      </c>
      <c r="AD1071">
        <v>9</v>
      </c>
      <c r="AE1071">
        <v>58</v>
      </c>
      <c r="AX1071">
        <v>9</v>
      </c>
      <c r="AY1071">
        <v>13</v>
      </c>
      <c r="AZ1071">
        <v>22</v>
      </c>
      <c r="BA1071">
        <v>61</v>
      </c>
      <c r="BB1071">
        <v>58</v>
      </c>
      <c r="BC1071">
        <v>119</v>
      </c>
      <c r="BD1071">
        <v>67</v>
      </c>
      <c r="BE1071">
        <v>66</v>
      </c>
      <c r="BF1071">
        <v>133</v>
      </c>
      <c r="BP1071">
        <v>116</v>
      </c>
      <c r="BR1071">
        <v>13</v>
      </c>
      <c r="BS1071">
        <v>4</v>
      </c>
      <c r="BT1071">
        <v>4</v>
      </c>
      <c r="BV1071">
        <v>0</v>
      </c>
      <c r="BW1071">
        <v>137</v>
      </c>
      <c r="BX1071">
        <f t="shared" ref="BX1071:BX1078" si="123">IF(C1071=C1070,IF((CI1071-1)=CI1070,BW1070,"no data"))</f>
        <v>90</v>
      </c>
      <c r="BY1071" s="5">
        <f t="shared" si="120"/>
        <v>0.52222222222222225</v>
      </c>
      <c r="BZ1071" s="6">
        <f t="shared" si="119"/>
        <v>0.52222222222222225</v>
      </c>
      <c r="CA1071" s="7">
        <v>41952</v>
      </c>
      <c r="CI1071">
        <f t="shared" si="117"/>
        <v>2014</v>
      </c>
      <c r="CJ1071" t="str">
        <f t="shared" si="118"/>
        <v>6218_2014</v>
      </c>
    </row>
    <row r="1072" spans="1:88" x14ac:dyDescent="0.25">
      <c r="A1072" t="s">
        <v>111</v>
      </c>
      <c r="B1072" t="s">
        <v>301</v>
      </c>
      <c r="C1072">
        <v>6218</v>
      </c>
      <c r="D1072">
        <v>-38.131900000000002</v>
      </c>
      <c r="E1072">
        <v>145.17339999999999</v>
      </c>
      <c r="F1072">
        <v>3</v>
      </c>
      <c r="G1072" t="s">
        <v>399</v>
      </c>
      <c r="H1072">
        <v>124</v>
      </c>
      <c r="I1072">
        <v>304</v>
      </c>
      <c r="J1072">
        <v>173</v>
      </c>
      <c r="K1072">
        <v>353</v>
      </c>
      <c r="L1072">
        <v>349</v>
      </c>
      <c r="M1072">
        <v>169</v>
      </c>
      <c r="T1072">
        <v>1</v>
      </c>
      <c r="U1072">
        <v>2</v>
      </c>
      <c r="Y1072">
        <v>1</v>
      </c>
      <c r="Z1072">
        <v>73</v>
      </c>
      <c r="AD1072">
        <v>2</v>
      </c>
      <c r="AE1072">
        <v>60</v>
      </c>
      <c r="AX1072">
        <v>3</v>
      </c>
      <c r="AY1072">
        <v>3</v>
      </c>
      <c r="AZ1072">
        <v>6</v>
      </c>
      <c r="BA1072">
        <v>74</v>
      </c>
      <c r="BB1072">
        <v>61</v>
      </c>
      <c r="BC1072">
        <v>135</v>
      </c>
      <c r="BD1072">
        <v>62</v>
      </c>
      <c r="BE1072">
        <v>75</v>
      </c>
      <c r="BF1072">
        <v>137</v>
      </c>
      <c r="BP1072">
        <v>85</v>
      </c>
      <c r="BR1072">
        <v>42</v>
      </c>
      <c r="BS1072">
        <v>9</v>
      </c>
      <c r="BT1072">
        <v>2</v>
      </c>
      <c r="BV1072">
        <v>1</v>
      </c>
      <c r="BW1072">
        <v>139</v>
      </c>
      <c r="BX1072">
        <f t="shared" si="123"/>
        <v>137</v>
      </c>
      <c r="BY1072" s="5">
        <f t="shared" si="120"/>
        <v>1.4598540145985401E-2</v>
      </c>
      <c r="BZ1072" s="6">
        <f t="shared" si="119"/>
        <v>1.4598540145985401E-2</v>
      </c>
      <c r="CA1072" s="7">
        <v>42316</v>
      </c>
      <c r="CE1072">
        <v>35</v>
      </c>
      <c r="CF1072">
        <v>50</v>
      </c>
      <c r="CG1072">
        <v>31</v>
      </c>
      <c r="CH1072">
        <v>23</v>
      </c>
      <c r="CI1072">
        <f t="shared" si="117"/>
        <v>2015</v>
      </c>
      <c r="CJ1072" t="str">
        <f t="shared" si="118"/>
        <v>6218_2015</v>
      </c>
    </row>
    <row r="1073" spans="1:88" x14ac:dyDescent="0.25">
      <c r="A1073" t="s">
        <v>111</v>
      </c>
      <c r="B1073" t="s">
        <v>301</v>
      </c>
      <c r="C1073">
        <v>6218</v>
      </c>
      <c r="D1073">
        <v>-38.131911000000002</v>
      </c>
      <c r="E1073">
        <v>145.17344199999999</v>
      </c>
      <c r="F1073">
        <v>3</v>
      </c>
      <c r="G1073" t="s">
        <v>399</v>
      </c>
      <c r="H1073">
        <v>124</v>
      </c>
      <c r="I1073">
        <v>304</v>
      </c>
      <c r="J1073">
        <v>173</v>
      </c>
      <c r="K1073">
        <v>353</v>
      </c>
      <c r="L1073">
        <v>349</v>
      </c>
      <c r="M1073">
        <v>169</v>
      </c>
      <c r="T1073">
        <v>0</v>
      </c>
      <c r="U1073">
        <v>8</v>
      </c>
      <c r="Y1073">
        <v>0</v>
      </c>
      <c r="Z1073">
        <v>11</v>
      </c>
      <c r="AD1073">
        <v>6</v>
      </c>
      <c r="AE1073">
        <v>18</v>
      </c>
      <c r="AX1073">
        <v>8</v>
      </c>
      <c r="AY1073">
        <v>6</v>
      </c>
      <c r="AZ1073">
        <v>14</v>
      </c>
      <c r="BA1073">
        <v>11</v>
      </c>
      <c r="BB1073">
        <v>18</v>
      </c>
      <c r="BC1073">
        <v>29</v>
      </c>
      <c r="BD1073">
        <v>24</v>
      </c>
      <c r="BE1073">
        <v>19</v>
      </c>
      <c r="BF1073">
        <v>43</v>
      </c>
      <c r="BP1073">
        <v>23</v>
      </c>
      <c r="BR1073">
        <v>6</v>
      </c>
      <c r="BS1073">
        <v>6</v>
      </c>
      <c r="BT1073">
        <v>8</v>
      </c>
      <c r="BV1073">
        <v>0</v>
      </c>
      <c r="BW1073">
        <v>43</v>
      </c>
      <c r="BX1073">
        <f t="shared" si="123"/>
        <v>139</v>
      </c>
      <c r="BY1073" s="5">
        <f t="shared" si="120"/>
        <v>-0.69064748201438853</v>
      </c>
      <c r="BZ1073" s="6">
        <f t="shared" si="119"/>
        <v>-0.69064748201438853</v>
      </c>
      <c r="CA1073" s="7">
        <v>42687</v>
      </c>
      <c r="CE1073">
        <v>9</v>
      </c>
      <c r="CF1073">
        <v>5</v>
      </c>
      <c r="CG1073">
        <v>5</v>
      </c>
      <c r="CH1073">
        <v>24</v>
      </c>
      <c r="CI1073">
        <f t="shared" si="117"/>
        <v>2016</v>
      </c>
      <c r="CJ1073" t="str">
        <f t="shared" si="118"/>
        <v>6218_2016</v>
      </c>
    </row>
    <row r="1074" spans="1:88" x14ac:dyDescent="0.25">
      <c r="A1074" t="s">
        <v>111</v>
      </c>
      <c r="B1074" t="s">
        <v>301</v>
      </c>
      <c r="C1074">
        <v>6218</v>
      </c>
      <c r="D1074">
        <v>-38.131911000000002</v>
      </c>
      <c r="E1074">
        <v>145.17344199999999</v>
      </c>
      <c r="F1074">
        <v>3</v>
      </c>
      <c r="G1074" t="s">
        <v>399</v>
      </c>
      <c r="H1074">
        <v>124</v>
      </c>
      <c r="I1074">
        <v>304</v>
      </c>
      <c r="J1074">
        <v>173</v>
      </c>
      <c r="K1074">
        <v>353</v>
      </c>
      <c r="L1074">
        <v>349</v>
      </c>
      <c r="M1074">
        <v>169</v>
      </c>
      <c r="T1074">
        <v>2</v>
      </c>
      <c r="U1074">
        <v>0</v>
      </c>
      <c r="Y1074">
        <v>0</v>
      </c>
      <c r="Z1074">
        <v>37</v>
      </c>
      <c r="AD1074">
        <v>4</v>
      </c>
      <c r="AE1074">
        <v>34</v>
      </c>
      <c r="AX1074">
        <v>2</v>
      </c>
      <c r="AY1074">
        <v>4</v>
      </c>
      <c r="AZ1074">
        <v>6</v>
      </c>
      <c r="BA1074">
        <v>37</v>
      </c>
      <c r="BB1074">
        <v>36</v>
      </c>
      <c r="BC1074">
        <v>73</v>
      </c>
      <c r="BD1074">
        <v>38</v>
      </c>
      <c r="BE1074">
        <v>37</v>
      </c>
      <c r="BF1074">
        <v>75</v>
      </c>
      <c r="BP1074">
        <v>71</v>
      </c>
      <c r="BR1074">
        <v>3</v>
      </c>
      <c r="BS1074">
        <v>2</v>
      </c>
      <c r="BT1074">
        <v>1</v>
      </c>
      <c r="BV1074">
        <v>0</v>
      </c>
      <c r="BW1074">
        <v>77</v>
      </c>
      <c r="BX1074">
        <f t="shared" si="123"/>
        <v>43</v>
      </c>
      <c r="BY1074" s="5">
        <f t="shared" si="120"/>
        <v>0.79069767441860461</v>
      </c>
      <c r="BZ1074" s="6">
        <f t="shared" si="119"/>
        <v>0.79069767441860461</v>
      </c>
      <c r="CA1074" s="7">
        <v>43051</v>
      </c>
      <c r="CE1074">
        <v>28</v>
      </c>
      <c r="CF1074">
        <v>14</v>
      </c>
      <c r="CG1074">
        <v>20</v>
      </c>
      <c r="CH1074">
        <v>15</v>
      </c>
      <c r="CI1074">
        <f t="shared" si="117"/>
        <v>2017</v>
      </c>
      <c r="CJ1074" t="str">
        <f t="shared" si="118"/>
        <v>6218_2017</v>
      </c>
    </row>
    <row r="1075" spans="1:88" x14ac:dyDescent="0.25">
      <c r="A1075" t="s">
        <v>111</v>
      </c>
      <c r="B1075" t="s">
        <v>301</v>
      </c>
      <c r="C1075">
        <v>6218</v>
      </c>
      <c r="D1075">
        <v>-38.131911000000002</v>
      </c>
      <c r="E1075">
        <v>145.17344199999999</v>
      </c>
      <c r="F1075">
        <v>3</v>
      </c>
      <c r="G1075" t="s">
        <v>399</v>
      </c>
      <c r="H1075">
        <v>124</v>
      </c>
      <c r="I1075">
        <v>304</v>
      </c>
      <c r="J1075">
        <v>173</v>
      </c>
      <c r="K1075">
        <v>353</v>
      </c>
      <c r="L1075">
        <v>349</v>
      </c>
      <c r="M1075">
        <v>169</v>
      </c>
      <c r="T1075">
        <v>2</v>
      </c>
      <c r="U1075">
        <v>6</v>
      </c>
      <c r="Y1075">
        <v>1</v>
      </c>
      <c r="Z1075">
        <v>47</v>
      </c>
      <c r="AD1075">
        <v>5</v>
      </c>
      <c r="AE1075">
        <v>49</v>
      </c>
      <c r="AX1075">
        <v>8</v>
      </c>
      <c r="AY1075">
        <v>6</v>
      </c>
      <c r="AZ1075">
        <v>14</v>
      </c>
      <c r="BA1075">
        <v>48</v>
      </c>
      <c r="BB1075">
        <v>51</v>
      </c>
      <c r="BC1075">
        <v>99</v>
      </c>
      <c r="BD1075">
        <v>54</v>
      </c>
      <c r="BE1075">
        <v>53</v>
      </c>
      <c r="BF1075">
        <v>107</v>
      </c>
      <c r="BP1075">
        <v>93</v>
      </c>
      <c r="BR1075">
        <v>8</v>
      </c>
      <c r="BS1075">
        <v>8</v>
      </c>
      <c r="BT1075">
        <v>0</v>
      </c>
      <c r="BV1075">
        <v>1</v>
      </c>
      <c r="BW1075">
        <v>110</v>
      </c>
      <c r="BX1075">
        <f t="shared" si="123"/>
        <v>77</v>
      </c>
      <c r="BY1075" s="5">
        <f t="shared" si="120"/>
        <v>0.42857142857142855</v>
      </c>
      <c r="BZ1075" s="6">
        <f t="shared" si="119"/>
        <v>0.42857142857142855</v>
      </c>
      <c r="CA1075" s="7">
        <v>43415</v>
      </c>
      <c r="CE1075">
        <v>31</v>
      </c>
      <c r="CF1075">
        <v>31</v>
      </c>
      <c r="CG1075">
        <v>27</v>
      </c>
      <c r="CH1075">
        <v>21</v>
      </c>
      <c r="CI1075">
        <f t="shared" si="117"/>
        <v>2018</v>
      </c>
      <c r="CJ1075" t="str">
        <f t="shared" si="118"/>
        <v>6218_2018</v>
      </c>
    </row>
    <row r="1076" spans="1:88" x14ac:dyDescent="0.25">
      <c r="A1076" t="s">
        <v>111</v>
      </c>
      <c r="B1076" t="s">
        <v>301</v>
      </c>
      <c r="C1076">
        <v>6218</v>
      </c>
      <c r="D1076">
        <v>-38.131900000000002</v>
      </c>
      <c r="E1076">
        <v>145.17339999999999</v>
      </c>
      <c r="F1076">
        <v>3</v>
      </c>
      <c r="G1076" t="s">
        <v>399</v>
      </c>
      <c r="H1076">
        <v>124</v>
      </c>
      <c r="I1076">
        <v>304</v>
      </c>
      <c r="J1076">
        <v>173</v>
      </c>
      <c r="K1076">
        <v>353</v>
      </c>
      <c r="L1076">
        <v>349</v>
      </c>
      <c r="M1076">
        <v>169</v>
      </c>
      <c r="T1076">
        <v>4</v>
      </c>
      <c r="U1076">
        <v>3</v>
      </c>
      <c r="Y1076">
        <v>6</v>
      </c>
      <c r="Z1076">
        <v>34</v>
      </c>
      <c r="AD1076">
        <v>8</v>
      </c>
      <c r="AE1076">
        <v>33</v>
      </c>
      <c r="AX1076">
        <v>7</v>
      </c>
      <c r="AY1076">
        <v>14</v>
      </c>
      <c r="AZ1076">
        <v>21</v>
      </c>
      <c r="BA1076">
        <v>40</v>
      </c>
      <c r="BB1076">
        <v>37</v>
      </c>
      <c r="BC1076">
        <v>77</v>
      </c>
      <c r="BD1076">
        <v>41</v>
      </c>
      <c r="BE1076">
        <v>37</v>
      </c>
      <c r="BF1076">
        <v>78</v>
      </c>
      <c r="BP1076">
        <v>70</v>
      </c>
      <c r="BR1076">
        <v>9</v>
      </c>
      <c r="BS1076">
        <v>6</v>
      </c>
      <c r="BT1076">
        <v>3</v>
      </c>
      <c r="BV1076">
        <v>0</v>
      </c>
      <c r="BW1076">
        <v>88</v>
      </c>
      <c r="BX1076">
        <f t="shared" si="123"/>
        <v>110</v>
      </c>
      <c r="BY1076" s="5">
        <f t="shared" si="120"/>
        <v>-0.2</v>
      </c>
      <c r="BZ1076" s="6">
        <f t="shared" si="119"/>
        <v>-0.2</v>
      </c>
      <c r="CA1076" s="7">
        <v>43779</v>
      </c>
      <c r="CE1076">
        <v>27</v>
      </c>
      <c r="CF1076">
        <v>25</v>
      </c>
      <c r="CG1076">
        <v>24</v>
      </c>
      <c r="CH1076">
        <v>12</v>
      </c>
      <c r="CI1076">
        <f t="shared" si="117"/>
        <v>2019</v>
      </c>
      <c r="CJ1076" t="str">
        <f t="shared" si="118"/>
        <v>6218_2019</v>
      </c>
    </row>
    <row r="1077" spans="1:88" x14ac:dyDescent="0.25">
      <c r="A1077" t="s">
        <v>111</v>
      </c>
      <c r="B1077" t="s">
        <v>301</v>
      </c>
      <c r="C1077">
        <v>6218</v>
      </c>
      <c r="D1077">
        <v>-38.131900000000002</v>
      </c>
      <c r="E1077">
        <v>145.17339999999999</v>
      </c>
      <c r="F1077">
        <v>3</v>
      </c>
      <c r="G1077" t="s">
        <v>399</v>
      </c>
      <c r="H1077">
        <v>124</v>
      </c>
      <c r="I1077">
        <v>304</v>
      </c>
      <c r="J1077">
        <v>173</v>
      </c>
      <c r="K1077">
        <v>353</v>
      </c>
      <c r="L1077">
        <v>349</v>
      </c>
      <c r="M1077">
        <v>169</v>
      </c>
      <c r="T1077">
        <v>0</v>
      </c>
      <c r="U1077">
        <v>2</v>
      </c>
      <c r="Y1077">
        <v>0</v>
      </c>
      <c r="Z1077">
        <v>18</v>
      </c>
      <c r="AD1077">
        <v>3</v>
      </c>
      <c r="AE1077">
        <v>33</v>
      </c>
      <c r="AX1077">
        <v>2</v>
      </c>
      <c r="AY1077">
        <v>3</v>
      </c>
      <c r="AZ1077">
        <v>5</v>
      </c>
      <c r="BA1077">
        <v>18</v>
      </c>
      <c r="BB1077">
        <v>33</v>
      </c>
      <c r="BC1077">
        <v>51</v>
      </c>
      <c r="BD1077">
        <v>36</v>
      </c>
      <c r="BE1077">
        <v>20</v>
      </c>
      <c r="BF1077">
        <v>56</v>
      </c>
      <c r="BP1077">
        <v>45</v>
      </c>
      <c r="BR1077">
        <v>5</v>
      </c>
      <c r="BS1077">
        <v>4</v>
      </c>
      <c r="BT1077">
        <v>2</v>
      </c>
      <c r="BV1077">
        <v>0</v>
      </c>
      <c r="BW1077">
        <v>56</v>
      </c>
      <c r="BX1077">
        <f t="shared" si="123"/>
        <v>88</v>
      </c>
      <c r="BY1077" s="5">
        <f t="shared" si="120"/>
        <v>-0.36363636363636365</v>
      </c>
      <c r="BZ1077" s="6">
        <f t="shared" si="119"/>
        <v>-0.36363636363636365</v>
      </c>
      <c r="CA1077" s="7">
        <v>44143</v>
      </c>
      <c r="CE1077">
        <v>13</v>
      </c>
      <c r="CF1077">
        <v>8</v>
      </c>
      <c r="CG1077">
        <v>22</v>
      </c>
      <c r="CH1077">
        <v>13</v>
      </c>
      <c r="CI1077">
        <f t="shared" si="117"/>
        <v>2020</v>
      </c>
      <c r="CJ1077" t="str">
        <f t="shared" si="118"/>
        <v>6218_2020</v>
      </c>
    </row>
    <row r="1078" spans="1:88" x14ac:dyDescent="0.25">
      <c r="A1078" t="s">
        <v>111</v>
      </c>
      <c r="B1078" t="s">
        <v>301</v>
      </c>
      <c r="C1078">
        <v>6218</v>
      </c>
      <c r="D1078">
        <v>-38.131911000000002</v>
      </c>
      <c r="E1078">
        <v>145.17344199999999</v>
      </c>
      <c r="F1078">
        <v>3</v>
      </c>
      <c r="G1078" t="s">
        <v>399</v>
      </c>
      <c r="H1078">
        <v>124</v>
      </c>
      <c r="I1078">
        <v>304</v>
      </c>
      <c r="J1078">
        <v>173</v>
      </c>
      <c r="K1078">
        <v>353</v>
      </c>
      <c r="L1078">
        <v>349</v>
      </c>
      <c r="M1078">
        <v>169</v>
      </c>
      <c r="T1078">
        <v>5</v>
      </c>
      <c r="U1078">
        <v>7</v>
      </c>
      <c r="Y1078">
        <v>2</v>
      </c>
      <c r="Z1078">
        <v>58</v>
      </c>
      <c r="AD1078">
        <v>6</v>
      </c>
      <c r="AE1078">
        <v>61</v>
      </c>
      <c r="AX1078">
        <v>12</v>
      </c>
      <c r="AY1078">
        <v>8</v>
      </c>
      <c r="AZ1078">
        <v>20</v>
      </c>
      <c r="BA1078">
        <v>60</v>
      </c>
      <c r="BB1078">
        <v>66</v>
      </c>
      <c r="BC1078">
        <v>126</v>
      </c>
      <c r="BD1078">
        <v>67</v>
      </c>
      <c r="BE1078">
        <v>65</v>
      </c>
      <c r="BF1078">
        <v>132</v>
      </c>
      <c r="BP1078">
        <v>106</v>
      </c>
      <c r="BR1078">
        <v>15</v>
      </c>
      <c r="BS1078">
        <v>12</v>
      </c>
      <c r="BT1078">
        <v>5</v>
      </c>
      <c r="BV1078">
        <v>1</v>
      </c>
      <c r="BW1078">
        <v>139</v>
      </c>
      <c r="BX1078">
        <f t="shared" si="123"/>
        <v>56</v>
      </c>
      <c r="BY1078" s="5">
        <f t="shared" si="120"/>
        <v>1.4821428571428572</v>
      </c>
      <c r="BZ1078" s="6">
        <f t="shared" si="119"/>
        <v>1.4821428571428572</v>
      </c>
      <c r="CA1078" s="7">
        <v>44528</v>
      </c>
      <c r="CE1078">
        <v>35</v>
      </c>
      <c r="CF1078">
        <v>51</v>
      </c>
      <c r="CG1078">
        <v>53</v>
      </c>
      <c r="CI1078">
        <f t="shared" si="117"/>
        <v>2021</v>
      </c>
      <c r="CJ1078" t="str">
        <f t="shared" si="118"/>
        <v>6218_2021</v>
      </c>
    </row>
    <row r="1079" spans="1:88" x14ac:dyDescent="0.25">
      <c r="A1079" t="s">
        <v>111</v>
      </c>
      <c r="B1079" t="s">
        <v>301</v>
      </c>
      <c r="C1079">
        <v>6219</v>
      </c>
      <c r="D1079">
        <v>-38.1554</v>
      </c>
      <c r="E1079">
        <v>145.1671</v>
      </c>
      <c r="F1079">
        <v>4</v>
      </c>
      <c r="G1079" t="s">
        <v>400</v>
      </c>
      <c r="H1079">
        <v>21</v>
      </c>
      <c r="I1079">
        <v>201</v>
      </c>
      <c r="J1079">
        <v>108</v>
      </c>
      <c r="K1079">
        <v>288</v>
      </c>
      <c r="L1079">
        <v>193</v>
      </c>
      <c r="M1079">
        <v>13</v>
      </c>
      <c r="N1079">
        <v>288</v>
      </c>
      <c r="O1079">
        <v>108</v>
      </c>
      <c r="T1079">
        <v>1</v>
      </c>
      <c r="U1079">
        <v>28</v>
      </c>
      <c r="V1079">
        <v>11</v>
      </c>
      <c r="Y1079">
        <v>5</v>
      </c>
      <c r="Z1079">
        <v>11</v>
      </c>
      <c r="AA1079">
        <v>31</v>
      </c>
      <c r="AD1079">
        <v>29</v>
      </c>
      <c r="AE1079">
        <v>3</v>
      </c>
      <c r="AF1079">
        <v>30</v>
      </c>
      <c r="AI1079">
        <v>13</v>
      </c>
      <c r="AJ1079">
        <v>36</v>
      </c>
      <c r="AK1079">
        <v>14</v>
      </c>
      <c r="AX1079">
        <v>40</v>
      </c>
      <c r="AY1079">
        <v>47</v>
      </c>
      <c r="AZ1079">
        <v>87</v>
      </c>
      <c r="BA1079">
        <v>47</v>
      </c>
      <c r="BB1079">
        <v>40</v>
      </c>
      <c r="BC1079">
        <v>87</v>
      </c>
      <c r="BD1079">
        <v>62</v>
      </c>
      <c r="BE1079">
        <v>53</v>
      </c>
      <c r="BF1079">
        <v>115</v>
      </c>
      <c r="BG1079">
        <v>63</v>
      </c>
      <c r="BH1079">
        <v>72</v>
      </c>
      <c r="BI1079">
        <v>135</v>
      </c>
      <c r="BP1079">
        <v>126</v>
      </c>
      <c r="BR1079">
        <v>47</v>
      </c>
      <c r="BS1079">
        <v>16</v>
      </c>
      <c r="BT1079">
        <v>11</v>
      </c>
      <c r="BV1079">
        <v>12</v>
      </c>
      <c r="BW1079">
        <v>212</v>
      </c>
      <c r="BX1079" t="s">
        <v>82</v>
      </c>
      <c r="BY1079" s="5"/>
      <c r="BZ1079" s="6"/>
      <c r="CA1079" s="7">
        <v>41952</v>
      </c>
      <c r="CI1079">
        <f t="shared" si="117"/>
        <v>2014</v>
      </c>
      <c r="CJ1079" t="str">
        <f t="shared" si="118"/>
        <v>6219_2014</v>
      </c>
    </row>
    <row r="1080" spans="1:88" x14ac:dyDescent="0.25">
      <c r="A1080" t="s">
        <v>111</v>
      </c>
      <c r="B1080" t="s">
        <v>301</v>
      </c>
      <c r="C1080">
        <v>6219</v>
      </c>
      <c r="D1080">
        <v>-38.1554</v>
      </c>
      <c r="E1080">
        <v>145.1671</v>
      </c>
      <c r="F1080">
        <v>4</v>
      </c>
      <c r="G1080" t="s">
        <v>400</v>
      </c>
      <c r="H1080">
        <v>21</v>
      </c>
      <c r="I1080">
        <v>201</v>
      </c>
      <c r="J1080">
        <v>108</v>
      </c>
      <c r="K1080">
        <v>288</v>
      </c>
      <c r="L1080">
        <v>193</v>
      </c>
      <c r="M1080">
        <v>13</v>
      </c>
      <c r="N1080">
        <v>288</v>
      </c>
      <c r="O1080">
        <v>108</v>
      </c>
      <c r="T1080">
        <v>5</v>
      </c>
      <c r="U1080">
        <v>48</v>
      </c>
      <c r="V1080">
        <v>25</v>
      </c>
      <c r="Y1080">
        <v>9</v>
      </c>
      <c r="Z1080">
        <v>7</v>
      </c>
      <c r="AA1080">
        <v>43</v>
      </c>
      <c r="AD1080">
        <v>46</v>
      </c>
      <c r="AE1080">
        <v>9</v>
      </c>
      <c r="AF1080">
        <v>10</v>
      </c>
      <c r="AI1080">
        <v>26</v>
      </c>
      <c r="AJ1080">
        <v>51</v>
      </c>
      <c r="AK1080">
        <v>9</v>
      </c>
      <c r="AX1080">
        <v>78</v>
      </c>
      <c r="AY1080">
        <v>81</v>
      </c>
      <c r="AZ1080">
        <v>159</v>
      </c>
      <c r="BA1080">
        <v>59</v>
      </c>
      <c r="BB1080">
        <v>65</v>
      </c>
      <c r="BC1080">
        <v>124</v>
      </c>
      <c r="BD1080">
        <v>65</v>
      </c>
      <c r="BE1080">
        <v>64</v>
      </c>
      <c r="BF1080">
        <v>129</v>
      </c>
      <c r="BG1080">
        <v>86</v>
      </c>
      <c r="BH1080">
        <v>78</v>
      </c>
      <c r="BI1080">
        <v>164</v>
      </c>
      <c r="BP1080">
        <v>190</v>
      </c>
      <c r="BR1080">
        <v>75</v>
      </c>
      <c r="BS1080">
        <v>9</v>
      </c>
      <c r="BT1080">
        <v>11</v>
      </c>
      <c r="BV1080">
        <v>3</v>
      </c>
      <c r="BW1080">
        <v>288</v>
      </c>
      <c r="BX1080">
        <f t="shared" ref="BX1080:BX1086" si="124">IF(C1080=C1079,IF((CI1080-1)=CI1079,BW1079,"no data"))</f>
        <v>212</v>
      </c>
      <c r="BY1080" s="5">
        <f t="shared" si="120"/>
        <v>0.35849056603773582</v>
      </c>
      <c r="BZ1080" s="6">
        <f t="shared" si="119"/>
        <v>0.35849056603773582</v>
      </c>
      <c r="CA1080" s="7">
        <v>42316</v>
      </c>
      <c r="CE1080">
        <v>65</v>
      </c>
      <c r="CF1080">
        <v>81</v>
      </c>
      <c r="CG1080">
        <v>88</v>
      </c>
      <c r="CH1080">
        <v>54</v>
      </c>
      <c r="CI1080">
        <f t="shared" si="117"/>
        <v>2015</v>
      </c>
      <c r="CJ1080" t="str">
        <f t="shared" si="118"/>
        <v>6219_2015</v>
      </c>
    </row>
    <row r="1081" spans="1:88" x14ac:dyDescent="0.25">
      <c r="A1081" t="s">
        <v>111</v>
      </c>
      <c r="B1081" t="s">
        <v>301</v>
      </c>
      <c r="C1081">
        <v>6219</v>
      </c>
      <c r="D1081">
        <v>-38.155420999999997</v>
      </c>
      <c r="E1081">
        <v>145.167069</v>
      </c>
      <c r="F1081">
        <v>4</v>
      </c>
      <c r="G1081" t="s">
        <v>400</v>
      </c>
      <c r="H1081">
        <v>21</v>
      </c>
      <c r="I1081">
        <v>201</v>
      </c>
      <c r="J1081">
        <v>108</v>
      </c>
      <c r="K1081">
        <v>288</v>
      </c>
      <c r="L1081">
        <v>193</v>
      </c>
      <c r="M1081">
        <v>13</v>
      </c>
      <c r="N1081">
        <v>288</v>
      </c>
      <c r="O1081">
        <v>108</v>
      </c>
      <c r="T1081">
        <v>5</v>
      </c>
      <c r="U1081">
        <v>23</v>
      </c>
      <c r="V1081">
        <v>13</v>
      </c>
      <c r="Y1081">
        <v>1</v>
      </c>
      <c r="Z1081">
        <v>5</v>
      </c>
      <c r="AA1081">
        <v>39</v>
      </c>
      <c r="AD1081">
        <v>20</v>
      </c>
      <c r="AE1081">
        <v>2</v>
      </c>
      <c r="AF1081">
        <v>22</v>
      </c>
      <c r="AI1081">
        <v>18</v>
      </c>
      <c r="AJ1081">
        <v>30</v>
      </c>
      <c r="AK1081">
        <v>19</v>
      </c>
      <c r="AX1081">
        <v>41</v>
      </c>
      <c r="AY1081">
        <v>39</v>
      </c>
      <c r="AZ1081">
        <v>80</v>
      </c>
      <c r="BA1081">
        <v>45</v>
      </c>
      <c r="BB1081">
        <v>37</v>
      </c>
      <c r="BC1081">
        <v>82</v>
      </c>
      <c r="BD1081">
        <v>44</v>
      </c>
      <c r="BE1081">
        <v>47</v>
      </c>
      <c r="BF1081">
        <v>91</v>
      </c>
      <c r="BG1081">
        <v>67</v>
      </c>
      <c r="BH1081">
        <v>74</v>
      </c>
      <c r="BI1081">
        <v>141</v>
      </c>
      <c r="BP1081">
        <v>106</v>
      </c>
      <c r="BR1081">
        <v>76</v>
      </c>
      <c r="BS1081">
        <v>4</v>
      </c>
      <c r="BT1081">
        <v>6</v>
      </c>
      <c r="BV1081">
        <v>5</v>
      </c>
      <c r="BW1081">
        <v>197</v>
      </c>
      <c r="BX1081">
        <f t="shared" si="124"/>
        <v>288</v>
      </c>
      <c r="BY1081" s="5">
        <f t="shared" si="120"/>
        <v>-0.31597222222222221</v>
      </c>
      <c r="BZ1081" s="6">
        <f t="shared" si="119"/>
        <v>-0.31597222222222221</v>
      </c>
      <c r="CA1081" s="7">
        <v>42715</v>
      </c>
      <c r="CE1081">
        <v>55</v>
      </c>
      <c r="CF1081">
        <v>42</v>
      </c>
      <c r="CG1081">
        <v>55</v>
      </c>
      <c r="CH1081">
        <v>45</v>
      </c>
      <c r="CI1081">
        <f t="shared" si="117"/>
        <v>2016</v>
      </c>
      <c r="CJ1081" t="str">
        <f t="shared" si="118"/>
        <v>6219_2016</v>
      </c>
    </row>
    <row r="1082" spans="1:88" x14ac:dyDescent="0.25">
      <c r="A1082" t="s">
        <v>111</v>
      </c>
      <c r="B1082" t="s">
        <v>301</v>
      </c>
      <c r="C1082">
        <v>6219</v>
      </c>
      <c r="D1082">
        <v>-38.155420999999997</v>
      </c>
      <c r="E1082">
        <v>145.167069</v>
      </c>
      <c r="F1082">
        <v>4</v>
      </c>
      <c r="G1082" t="s">
        <v>400</v>
      </c>
      <c r="H1082">
        <v>21</v>
      </c>
      <c r="I1082">
        <v>201</v>
      </c>
      <c r="J1082">
        <v>108</v>
      </c>
      <c r="K1082">
        <v>288</v>
      </c>
      <c r="L1082">
        <v>193</v>
      </c>
      <c r="M1082">
        <v>13</v>
      </c>
      <c r="N1082">
        <v>288</v>
      </c>
      <c r="O1082">
        <v>108</v>
      </c>
      <c r="T1082">
        <v>7</v>
      </c>
      <c r="U1082">
        <v>19</v>
      </c>
      <c r="V1082">
        <v>2</v>
      </c>
      <c r="Y1082">
        <v>7</v>
      </c>
      <c r="Z1082">
        <v>17</v>
      </c>
      <c r="AA1082">
        <v>19</v>
      </c>
      <c r="AD1082">
        <v>19</v>
      </c>
      <c r="AE1082">
        <v>1</v>
      </c>
      <c r="AF1082">
        <v>7</v>
      </c>
      <c r="AI1082">
        <v>1</v>
      </c>
      <c r="AJ1082">
        <v>32</v>
      </c>
      <c r="AK1082">
        <v>3</v>
      </c>
      <c r="AX1082">
        <v>28</v>
      </c>
      <c r="AY1082">
        <v>27</v>
      </c>
      <c r="AZ1082">
        <v>55</v>
      </c>
      <c r="BA1082">
        <v>43</v>
      </c>
      <c r="BB1082">
        <v>40</v>
      </c>
      <c r="BC1082">
        <v>83</v>
      </c>
      <c r="BD1082">
        <v>27</v>
      </c>
      <c r="BE1082">
        <v>39</v>
      </c>
      <c r="BF1082">
        <v>66</v>
      </c>
      <c r="BG1082">
        <v>36</v>
      </c>
      <c r="BH1082">
        <v>28</v>
      </c>
      <c r="BI1082">
        <v>64</v>
      </c>
      <c r="BP1082">
        <v>76</v>
      </c>
      <c r="BR1082">
        <v>36</v>
      </c>
      <c r="BS1082">
        <v>9</v>
      </c>
      <c r="BT1082">
        <v>7</v>
      </c>
      <c r="BV1082">
        <v>6</v>
      </c>
      <c r="BW1082">
        <v>134</v>
      </c>
      <c r="BX1082">
        <f t="shared" si="124"/>
        <v>197</v>
      </c>
      <c r="BY1082" s="5">
        <f t="shared" si="120"/>
        <v>-0.31979695431472083</v>
      </c>
      <c r="BZ1082" s="6">
        <f t="shared" si="119"/>
        <v>-0.31979695431472083</v>
      </c>
      <c r="CA1082" s="7">
        <v>43051</v>
      </c>
      <c r="CE1082">
        <v>0</v>
      </c>
      <c r="CF1082">
        <v>0</v>
      </c>
      <c r="CG1082">
        <v>86</v>
      </c>
      <c r="CH1082">
        <v>48</v>
      </c>
      <c r="CI1082">
        <f t="shared" si="117"/>
        <v>2017</v>
      </c>
      <c r="CJ1082" t="str">
        <f t="shared" si="118"/>
        <v>6219_2017</v>
      </c>
    </row>
    <row r="1083" spans="1:88" x14ac:dyDescent="0.25">
      <c r="A1083" t="s">
        <v>111</v>
      </c>
      <c r="B1083" t="s">
        <v>301</v>
      </c>
      <c r="C1083">
        <v>6219</v>
      </c>
      <c r="D1083">
        <v>-38.155420999999997</v>
      </c>
      <c r="E1083">
        <v>145.167069</v>
      </c>
      <c r="F1083">
        <v>4</v>
      </c>
      <c r="G1083" t="s">
        <v>400</v>
      </c>
      <c r="H1083">
        <v>21</v>
      </c>
      <c r="I1083">
        <v>201</v>
      </c>
      <c r="J1083">
        <v>108</v>
      </c>
      <c r="K1083">
        <v>288</v>
      </c>
      <c r="L1083">
        <v>193</v>
      </c>
      <c r="M1083">
        <v>13</v>
      </c>
      <c r="N1083">
        <v>288</v>
      </c>
      <c r="O1083">
        <v>108</v>
      </c>
      <c r="T1083">
        <v>23</v>
      </c>
      <c r="U1083">
        <v>36</v>
      </c>
      <c r="V1083">
        <v>7</v>
      </c>
      <c r="Y1083">
        <v>11</v>
      </c>
      <c r="Z1083">
        <v>5</v>
      </c>
      <c r="AA1083">
        <v>26</v>
      </c>
      <c r="AD1083">
        <v>33</v>
      </c>
      <c r="AE1083">
        <v>2</v>
      </c>
      <c r="AF1083">
        <v>7</v>
      </c>
      <c r="AI1083">
        <v>22</v>
      </c>
      <c r="AJ1083">
        <v>31</v>
      </c>
      <c r="AK1083">
        <v>6</v>
      </c>
      <c r="AX1083">
        <v>66</v>
      </c>
      <c r="AY1083">
        <v>66</v>
      </c>
      <c r="AZ1083">
        <v>132</v>
      </c>
      <c r="BA1083">
        <v>42</v>
      </c>
      <c r="BB1083">
        <v>56</v>
      </c>
      <c r="BC1083">
        <v>98</v>
      </c>
      <c r="BD1083">
        <v>42</v>
      </c>
      <c r="BE1083">
        <v>47</v>
      </c>
      <c r="BF1083">
        <v>89</v>
      </c>
      <c r="BG1083">
        <v>59</v>
      </c>
      <c r="BH1083">
        <v>40</v>
      </c>
      <c r="BI1083">
        <v>99</v>
      </c>
      <c r="BP1083">
        <v>120</v>
      </c>
      <c r="BR1083">
        <v>66</v>
      </c>
      <c r="BS1083">
        <v>6</v>
      </c>
      <c r="BT1083">
        <v>12</v>
      </c>
      <c r="BV1083">
        <v>5</v>
      </c>
      <c r="BW1083">
        <v>209</v>
      </c>
      <c r="BX1083">
        <f t="shared" si="124"/>
        <v>134</v>
      </c>
      <c r="BY1083" s="5">
        <f t="shared" si="120"/>
        <v>0.55970149253731338</v>
      </c>
      <c r="BZ1083" s="6">
        <f t="shared" si="119"/>
        <v>0.55970149253731338</v>
      </c>
      <c r="CA1083" s="7">
        <v>43415</v>
      </c>
      <c r="CE1083">
        <v>42</v>
      </c>
      <c r="CF1083">
        <v>66</v>
      </c>
      <c r="CG1083">
        <v>52</v>
      </c>
      <c r="CH1083">
        <v>49</v>
      </c>
      <c r="CI1083">
        <f t="shared" si="117"/>
        <v>2018</v>
      </c>
      <c r="CJ1083" t="str">
        <f t="shared" si="118"/>
        <v>6219_2018</v>
      </c>
    </row>
    <row r="1084" spans="1:88" x14ac:dyDescent="0.25">
      <c r="A1084" t="s">
        <v>111</v>
      </c>
      <c r="B1084" t="s">
        <v>301</v>
      </c>
      <c r="C1084">
        <v>6219</v>
      </c>
      <c r="D1084">
        <v>-38.1554</v>
      </c>
      <c r="E1084">
        <v>145.1671</v>
      </c>
      <c r="F1084">
        <v>4</v>
      </c>
      <c r="G1084" t="s">
        <v>400</v>
      </c>
      <c r="H1084">
        <v>21</v>
      </c>
      <c r="I1084">
        <v>201</v>
      </c>
      <c r="J1084">
        <v>108</v>
      </c>
      <c r="K1084">
        <v>288</v>
      </c>
      <c r="L1084">
        <v>193</v>
      </c>
      <c r="M1084">
        <v>13</v>
      </c>
      <c r="N1084">
        <v>288</v>
      </c>
      <c r="O1084">
        <v>108</v>
      </c>
      <c r="T1084">
        <v>3</v>
      </c>
      <c r="U1084">
        <v>35</v>
      </c>
      <c r="V1084">
        <v>7</v>
      </c>
      <c r="Y1084">
        <v>11</v>
      </c>
      <c r="Z1084">
        <v>12</v>
      </c>
      <c r="AA1084">
        <v>10</v>
      </c>
      <c r="AD1084">
        <v>34</v>
      </c>
      <c r="AE1084">
        <v>9</v>
      </c>
      <c r="AF1084">
        <v>17</v>
      </c>
      <c r="AI1084">
        <v>4</v>
      </c>
      <c r="AJ1084">
        <v>16</v>
      </c>
      <c r="AK1084">
        <v>9</v>
      </c>
      <c r="AX1084">
        <v>45</v>
      </c>
      <c r="AY1084">
        <v>49</v>
      </c>
      <c r="AZ1084">
        <v>94</v>
      </c>
      <c r="BA1084">
        <v>33</v>
      </c>
      <c r="BB1084">
        <v>28</v>
      </c>
      <c r="BC1084">
        <v>61</v>
      </c>
      <c r="BD1084">
        <v>60</v>
      </c>
      <c r="BE1084">
        <v>56</v>
      </c>
      <c r="BF1084">
        <v>116</v>
      </c>
      <c r="BG1084">
        <v>29</v>
      </c>
      <c r="BH1084">
        <v>34</v>
      </c>
      <c r="BI1084">
        <v>63</v>
      </c>
      <c r="BP1084">
        <v>94</v>
      </c>
      <c r="BR1084">
        <v>41</v>
      </c>
      <c r="BS1084">
        <v>16</v>
      </c>
      <c r="BT1084">
        <v>15</v>
      </c>
      <c r="BV1084">
        <v>1</v>
      </c>
      <c r="BW1084">
        <v>167</v>
      </c>
      <c r="BX1084">
        <f t="shared" si="124"/>
        <v>209</v>
      </c>
      <c r="BY1084" s="5">
        <f t="shared" si="120"/>
        <v>-0.20095693779904306</v>
      </c>
      <c r="BZ1084" s="6">
        <f t="shared" si="119"/>
        <v>-0.20095693779904306</v>
      </c>
      <c r="CA1084" s="7">
        <v>43779</v>
      </c>
      <c r="CE1084">
        <v>45</v>
      </c>
      <c r="CF1084">
        <v>27</v>
      </c>
      <c r="CG1084">
        <v>52</v>
      </c>
      <c r="CH1084">
        <v>43</v>
      </c>
      <c r="CI1084">
        <f t="shared" si="117"/>
        <v>2019</v>
      </c>
      <c r="CJ1084" t="str">
        <f t="shared" si="118"/>
        <v>6219_2019</v>
      </c>
    </row>
    <row r="1085" spans="1:88" x14ac:dyDescent="0.25">
      <c r="A1085" t="s">
        <v>111</v>
      </c>
      <c r="B1085" t="s">
        <v>301</v>
      </c>
      <c r="C1085">
        <v>6219</v>
      </c>
      <c r="D1085">
        <v>-38.1554</v>
      </c>
      <c r="E1085">
        <v>145.1671</v>
      </c>
      <c r="F1085">
        <v>4</v>
      </c>
      <c r="G1085" t="s">
        <v>400</v>
      </c>
      <c r="H1085">
        <v>21</v>
      </c>
      <c r="I1085">
        <v>201</v>
      </c>
      <c r="J1085">
        <v>108</v>
      </c>
      <c r="K1085">
        <v>288</v>
      </c>
      <c r="L1085">
        <v>193</v>
      </c>
      <c r="M1085">
        <v>13</v>
      </c>
      <c r="N1085">
        <v>288</v>
      </c>
      <c r="O1085">
        <v>108</v>
      </c>
      <c r="T1085">
        <v>14</v>
      </c>
      <c r="U1085">
        <v>115</v>
      </c>
      <c r="V1085">
        <v>15</v>
      </c>
      <c r="Y1085">
        <v>12</v>
      </c>
      <c r="Z1085">
        <v>15</v>
      </c>
      <c r="AA1085">
        <v>30</v>
      </c>
      <c r="AD1085">
        <v>119</v>
      </c>
      <c r="AE1085">
        <v>7</v>
      </c>
      <c r="AF1085">
        <v>14</v>
      </c>
      <c r="AI1085">
        <v>19</v>
      </c>
      <c r="AJ1085">
        <v>25</v>
      </c>
      <c r="AK1085">
        <v>12</v>
      </c>
      <c r="AX1085">
        <v>144</v>
      </c>
      <c r="AY1085">
        <v>150</v>
      </c>
      <c r="AZ1085">
        <v>294</v>
      </c>
      <c r="BA1085">
        <v>57</v>
      </c>
      <c r="BB1085">
        <v>46</v>
      </c>
      <c r="BC1085">
        <v>103</v>
      </c>
      <c r="BD1085">
        <v>140</v>
      </c>
      <c r="BE1085">
        <v>142</v>
      </c>
      <c r="BF1085">
        <v>282</v>
      </c>
      <c r="BG1085">
        <v>56</v>
      </c>
      <c r="BH1085">
        <v>59</v>
      </c>
      <c r="BI1085">
        <v>115</v>
      </c>
      <c r="BP1085">
        <v>287</v>
      </c>
      <c r="BR1085">
        <v>77</v>
      </c>
      <c r="BS1085">
        <v>20</v>
      </c>
      <c r="BT1085">
        <v>10</v>
      </c>
      <c r="BV1085">
        <v>3</v>
      </c>
      <c r="BW1085">
        <v>397</v>
      </c>
      <c r="BX1085">
        <f t="shared" si="124"/>
        <v>167</v>
      </c>
      <c r="BY1085" s="5">
        <f t="shared" si="120"/>
        <v>1.3772455089820359</v>
      </c>
      <c r="BZ1085" s="6">
        <f t="shared" si="119"/>
        <v>1.3772455089820359</v>
      </c>
      <c r="CA1085" s="7">
        <v>44143</v>
      </c>
      <c r="CE1085">
        <v>101</v>
      </c>
      <c r="CF1085">
        <v>102</v>
      </c>
      <c r="CG1085">
        <v>96</v>
      </c>
      <c r="CH1085">
        <v>98</v>
      </c>
      <c r="CI1085">
        <f t="shared" si="117"/>
        <v>2020</v>
      </c>
      <c r="CJ1085" t="str">
        <f t="shared" si="118"/>
        <v>6219_2020</v>
      </c>
    </row>
    <row r="1086" spans="1:88" x14ac:dyDescent="0.25">
      <c r="A1086" t="s">
        <v>111</v>
      </c>
      <c r="B1086" t="s">
        <v>301</v>
      </c>
      <c r="C1086">
        <v>6219</v>
      </c>
      <c r="D1086">
        <v>-38.155420999999997</v>
      </c>
      <c r="E1086">
        <v>145.167069</v>
      </c>
      <c r="F1086">
        <v>4</v>
      </c>
      <c r="G1086" t="s">
        <v>400</v>
      </c>
      <c r="H1086">
        <v>21</v>
      </c>
      <c r="I1086">
        <v>201</v>
      </c>
      <c r="J1086">
        <v>108</v>
      </c>
      <c r="K1086">
        <v>288</v>
      </c>
      <c r="L1086">
        <v>193</v>
      </c>
      <c r="M1086">
        <v>13</v>
      </c>
      <c r="N1086">
        <v>288</v>
      </c>
      <c r="O1086">
        <v>108</v>
      </c>
      <c r="T1086">
        <v>5</v>
      </c>
      <c r="U1086">
        <v>37</v>
      </c>
      <c r="V1086">
        <v>7</v>
      </c>
      <c r="Y1086">
        <v>8</v>
      </c>
      <c r="Z1086">
        <v>7</v>
      </c>
      <c r="AA1086">
        <v>28</v>
      </c>
      <c r="AD1086">
        <v>39</v>
      </c>
      <c r="AE1086">
        <v>9</v>
      </c>
      <c r="AF1086">
        <v>19</v>
      </c>
      <c r="AI1086">
        <v>8</v>
      </c>
      <c r="AJ1086">
        <v>30</v>
      </c>
      <c r="AK1086">
        <v>6</v>
      </c>
      <c r="AX1086">
        <v>49</v>
      </c>
      <c r="AY1086">
        <v>55</v>
      </c>
      <c r="AZ1086">
        <v>104</v>
      </c>
      <c r="BA1086">
        <v>43</v>
      </c>
      <c r="BB1086">
        <v>44</v>
      </c>
      <c r="BC1086">
        <v>87</v>
      </c>
      <c r="BD1086">
        <v>67</v>
      </c>
      <c r="BE1086">
        <v>50</v>
      </c>
      <c r="BF1086">
        <v>117</v>
      </c>
      <c r="BG1086">
        <v>44</v>
      </c>
      <c r="BH1086">
        <v>54</v>
      </c>
      <c r="BI1086">
        <v>98</v>
      </c>
      <c r="BP1086">
        <v>119</v>
      </c>
      <c r="BR1086">
        <v>54</v>
      </c>
      <c r="BS1086">
        <v>13</v>
      </c>
      <c r="BT1086">
        <v>11</v>
      </c>
      <c r="BV1086">
        <v>6</v>
      </c>
      <c r="BW1086">
        <v>203</v>
      </c>
      <c r="BX1086">
        <f t="shared" si="124"/>
        <v>397</v>
      </c>
      <c r="BY1086" s="5">
        <f t="shared" si="120"/>
        <v>-0.48866498740554154</v>
      </c>
      <c r="BZ1086" s="6">
        <f t="shared" si="119"/>
        <v>-0.48866498740554154</v>
      </c>
      <c r="CA1086" s="7">
        <v>44528</v>
      </c>
      <c r="CE1086">
        <v>82</v>
      </c>
      <c r="CF1086">
        <v>63</v>
      </c>
      <c r="CG1086">
        <v>58</v>
      </c>
      <c r="CI1086">
        <f t="shared" si="117"/>
        <v>2021</v>
      </c>
      <c r="CJ1086" t="str">
        <f t="shared" si="118"/>
        <v>6219_2021</v>
      </c>
    </row>
    <row r="1087" spans="1:88" x14ac:dyDescent="0.25">
      <c r="A1087" t="s">
        <v>111</v>
      </c>
      <c r="B1087" t="s">
        <v>301</v>
      </c>
      <c r="C1087">
        <v>6220</v>
      </c>
      <c r="D1087">
        <v>-38.182099999999998</v>
      </c>
      <c r="E1087">
        <v>145.15979999999999</v>
      </c>
      <c r="F1087">
        <v>4</v>
      </c>
      <c r="G1087" t="s">
        <v>401</v>
      </c>
      <c r="H1087">
        <v>32</v>
      </c>
      <c r="I1087">
        <v>212</v>
      </c>
      <c r="J1087">
        <v>134</v>
      </c>
      <c r="K1087">
        <v>314</v>
      </c>
      <c r="L1087">
        <v>205</v>
      </c>
      <c r="M1087">
        <v>25</v>
      </c>
      <c r="N1087">
        <v>314</v>
      </c>
      <c r="O1087">
        <v>134</v>
      </c>
      <c r="T1087">
        <v>1</v>
      </c>
      <c r="U1087">
        <v>40</v>
      </c>
      <c r="V1087">
        <v>1</v>
      </c>
      <c r="Y1087">
        <v>0</v>
      </c>
      <c r="Z1087">
        <v>3</v>
      </c>
      <c r="AA1087">
        <v>1</v>
      </c>
      <c r="AD1087">
        <v>42</v>
      </c>
      <c r="AE1087">
        <v>2</v>
      </c>
      <c r="AF1087">
        <v>2</v>
      </c>
      <c r="AI1087">
        <v>1</v>
      </c>
      <c r="AJ1087">
        <v>1</v>
      </c>
      <c r="AK1087">
        <v>0</v>
      </c>
      <c r="AX1087">
        <v>42</v>
      </c>
      <c r="AY1087">
        <v>43</v>
      </c>
      <c r="AZ1087">
        <v>85</v>
      </c>
      <c r="BA1087">
        <v>4</v>
      </c>
      <c r="BB1087">
        <v>4</v>
      </c>
      <c r="BC1087">
        <v>8</v>
      </c>
      <c r="BD1087">
        <v>46</v>
      </c>
      <c r="BE1087">
        <v>43</v>
      </c>
      <c r="BF1087">
        <v>89</v>
      </c>
      <c r="BG1087">
        <v>2</v>
      </c>
      <c r="BH1087">
        <v>4</v>
      </c>
      <c r="BI1087">
        <v>6</v>
      </c>
      <c r="BP1087">
        <v>73</v>
      </c>
      <c r="BR1087">
        <v>15</v>
      </c>
      <c r="BS1087">
        <v>5</v>
      </c>
      <c r="BT1087">
        <v>1</v>
      </c>
      <c r="BV1087">
        <v>0</v>
      </c>
      <c r="BW1087">
        <v>94</v>
      </c>
      <c r="BX1087" t="s">
        <v>82</v>
      </c>
      <c r="BY1087" s="5"/>
      <c r="BZ1087" s="6"/>
      <c r="CA1087" s="7">
        <v>41588</v>
      </c>
      <c r="CI1087">
        <f t="shared" si="117"/>
        <v>2013</v>
      </c>
      <c r="CJ1087" t="str">
        <f t="shared" si="118"/>
        <v>6220_2013</v>
      </c>
    </row>
    <row r="1088" spans="1:88" x14ac:dyDescent="0.25">
      <c r="A1088" t="s">
        <v>111</v>
      </c>
      <c r="B1088" t="s">
        <v>301</v>
      </c>
      <c r="C1088">
        <v>6220</v>
      </c>
      <c r="D1088">
        <v>-38.182099999999998</v>
      </c>
      <c r="E1088">
        <v>145.15979999999999</v>
      </c>
      <c r="F1088">
        <v>4</v>
      </c>
      <c r="G1088" t="s">
        <v>401</v>
      </c>
      <c r="H1088">
        <v>32</v>
      </c>
      <c r="I1088">
        <v>212</v>
      </c>
      <c r="J1088">
        <v>134</v>
      </c>
      <c r="K1088">
        <v>314</v>
      </c>
      <c r="L1088">
        <v>205</v>
      </c>
      <c r="M1088">
        <v>25</v>
      </c>
      <c r="N1088">
        <v>314</v>
      </c>
      <c r="O1088">
        <v>134</v>
      </c>
      <c r="T1088">
        <v>7</v>
      </c>
      <c r="U1088">
        <v>49</v>
      </c>
      <c r="V1088">
        <v>0</v>
      </c>
      <c r="Y1088">
        <v>10</v>
      </c>
      <c r="Z1088">
        <v>22</v>
      </c>
      <c r="AA1088">
        <v>8</v>
      </c>
      <c r="AD1088">
        <v>47</v>
      </c>
      <c r="AE1088">
        <v>15</v>
      </c>
      <c r="AF1088">
        <v>8</v>
      </c>
      <c r="AI1088">
        <v>0</v>
      </c>
      <c r="AJ1088">
        <v>1</v>
      </c>
      <c r="AK1088">
        <v>2</v>
      </c>
      <c r="AX1088">
        <v>56</v>
      </c>
      <c r="AY1088">
        <v>57</v>
      </c>
      <c r="AZ1088">
        <v>113</v>
      </c>
      <c r="BA1088">
        <v>40</v>
      </c>
      <c r="BB1088">
        <v>23</v>
      </c>
      <c r="BC1088">
        <v>63</v>
      </c>
      <c r="BD1088">
        <v>70</v>
      </c>
      <c r="BE1088">
        <v>73</v>
      </c>
      <c r="BF1088">
        <v>143</v>
      </c>
      <c r="BG1088">
        <v>3</v>
      </c>
      <c r="BH1088">
        <v>16</v>
      </c>
      <c r="BI1088">
        <v>19</v>
      </c>
      <c r="BP1088">
        <v>106</v>
      </c>
      <c r="BR1088">
        <v>31</v>
      </c>
      <c r="BS1088">
        <v>14</v>
      </c>
      <c r="BT1088">
        <v>14</v>
      </c>
      <c r="BV1088">
        <v>4</v>
      </c>
      <c r="BW1088">
        <v>169</v>
      </c>
      <c r="BX1088">
        <f t="shared" ref="BX1088:BX1095" si="125">IF(C1088=C1087,IF((CI1088-1)=CI1087,BW1087,"no data"))</f>
        <v>94</v>
      </c>
      <c r="BY1088" s="5">
        <f t="shared" si="120"/>
        <v>0.7978723404255319</v>
      </c>
      <c r="BZ1088" s="6">
        <f t="shared" si="119"/>
        <v>0.7978723404255319</v>
      </c>
      <c r="CA1088" s="7">
        <v>41952</v>
      </c>
      <c r="CI1088">
        <f t="shared" si="117"/>
        <v>2014</v>
      </c>
      <c r="CJ1088" t="str">
        <f t="shared" si="118"/>
        <v>6220_2014</v>
      </c>
    </row>
    <row r="1089" spans="1:88" x14ac:dyDescent="0.25">
      <c r="A1089" t="s">
        <v>111</v>
      </c>
      <c r="B1089" t="s">
        <v>301</v>
      </c>
      <c r="C1089">
        <v>6220</v>
      </c>
      <c r="D1089">
        <v>-38.182099999999998</v>
      </c>
      <c r="E1089">
        <v>145.15979999999999</v>
      </c>
      <c r="F1089">
        <v>4</v>
      </c>
      <c r="G1089" t="s">
        <v>401</v>
      </c>
      <c r="H1089">
        <v>32</v>
      </c>
      <c r="I1089">
        <v>212</v>
      </c>
      <c r="J1089">
        <v>134</v>
      </c>
      <c r="K1089">
        <v>314</v>
      </c>
      <c r="L1089">
        <v>205</v>
      </c>
      <c r="M1089">
        <v>25</v>
      </c>
      <c r="N1089">
        <v>314</v>
      </c>
      <c r="O1089">
        <v>134</v>
      </c>
      <c r="T1089">
        <v>0</v>
      </c>
      <c r="U1089">
        <v>38</v>
      </c>
      <c r="V1089">
        <v>3</v>
      </c>
      <c r="Y1089">
        <v>3</v>
      </c>
      <c r="Z1089">
        <v>0</v>
      </c>
      <c r="AA1089">
        <v>0</v>
      </c>
      <c r="AD1089">
        <v>35</v>
      </c>
      <c r="AE1089">
        <v>0</v>
      </c>
      <c r="AF1089">
        <v>0</v>
      </c>
      <c r="AI1089">
        <v>5</v>
      </c>
      <c r="AJ1089">
        <v>1</v>
      </c>
      <c r="AK1089">
        <v>2</v>
      </c>
      <c r="AX1089">
        <v>41</v>
      </c>
      <c r="AY1089">
        <v>43</v>
      </c>
      <c r="AZ1089">
        <v>84</v>
      </c>
      <c r="BA1089">
        <v>3</v>
      </c>
      <c r="BB1089">
        <v>1</v>
      </c>
      <c r="BC1089">
        <v>4</v>
      </c>
      <c r="BD1089">
        <v>35</v>
      </c>
      <c r="BE1089">
        <v>40</v>
      </c>
      <c r="BF1089">
        <v>75</v>
      </c>
      <c r="BG1089">
        <v>8</v>
      </c>
      <c r="BH1089">
        <v>3</v>
      </c>
      <c r="BI1089">
        <v>11</v>
      </c>
      <c r="BP1089">
        <v>81</v>
      </c>
      <c r="BR1089">
        <v>4</v>
      </c>
      <c r="BS1089">
        <v>1</v>
      </c>
      <c r="BT1089">
        <v>1</v>
      </c>
      <c r="BV1089">
        <v>0</v>
      </c>
      <c r="BW1089">
        <v>87</v>
      </c>
      <c r="BX1089">
        <f t="shared" si="125"/>
        <v>169</v>
      </c>
      <c r="BY1089" s="5">
        <f t="shared" si="120"/>
        <v>-0.48520710059171596</v>
      </c>
      <c r="BZ1089" s="6">
        <f t="shared" si="119"/>
        <v>-0.48520710059171596</v>
      </c>
      <c r="CA1089" s="7">
        <v>42316</v>
      </c>
      <c r="CE1089">
        <v>25</v>
      </c>
      <c r="CF1089">
        <v>27</v>
      </c>
      <c r="CG1089">
        <v>20</v>
      </c>
      <c r="CH1089">
        <v>15</v>
      </c>
      <c r="CI1089">
        <f t="shared" si="117"/>
        <v>2015</v>
      </c>
      <c r="CJ1089" t="str">
        <f t="shared" si="118"/>
        <v>6220_2015</v>
      </c>
    </row>
    <row r="1090" spans="1:88" x14ac:dyDescent="0.25">
      <c r="A1090" t="s">
        <v>111</v>
      </c>
      <c r="B1090" t="s">
        <v>301</v>
      </c>
      <c r="C1090">
        <v>6220</v>
      </c>
      <c r="D1090">
        <v>-38.182144999999998</v>
      </c>
      <c r="E1090">
        <v>145.15981300000001</v>
      </c>
      <c r="F1090">
        <v>4</v>
      </c>
      <c r="G1090" t="s">
        <v>401</v>
      </c>
      <c r="H1090">
        <v>32</v>
      </c>
      <c r="I1090">
        <v>212</v>
      </c>
      <c r="J1090">
        <v>134</v>
      </c>
      <c r="K1090">
        <v>314</v>
      </c>
      <c r="L1090">
        <v>205</v>
      </c>
      <c r="M1090">
        <v>25</v>
      </c>
      <c r="N1090">
        <v>314</v>
      </c>
      <c r="O1090">
        <v>134</v>
      </c>
      <c r="T1090">
        <v>4</v>
      </c>
      <c r="U1090">
        <v>13</v>
      </c>
      <c r="V1090">
        <v>0</v>
      </c>
      <c r="Y1090">
        <v>4</v>
      </c>
      <c r="Z1090">
        <v>0</v>
      </c>
      <c r="AA1090">
        <v>2</v>
      </c>
      <c r="AD1090">
        <v>10</v>
      </c>
      <c r="AE1090">
        <v>2</v>
      </c>
      <c r="AF1090">
        <v>0</v>
      </c>
      <c r="AI1090">
        <v>5</v>
      </c>
      <c r="AJ1090">
        <v>0</v>
      </c>
      <c r="AK1090">
        <v>1</v>
      </c>
      <c r="AX1090">
        <v>17</v>
      </c>
      <c r="AY1090">
        <v>19</v>
      </c>
      <c r="AZ1090">
        <v>36</v>
      </c>
      <c r="BA1090">
        <v>6</v>
      </c>
      <c r="BB1090">
        <v>6</v>
      </c>
      <c r="BC1090">
        <v>12</v>
      </c>
      <c r="BD1090">
        <v>12</v>
      </c>
      <c r="BE1090">
        <v>14</v>
      </c>
      <c r="BF1090">
        <v>26</v>
      </c>
      <c r="BG1090">
        <v>6</v>
      </c>
      <c r="BH1090">
        <v>2</v>
      </c>
      <c r="BI1090">
        <v>8</v>
      </c>
      <c r="BP1090">
        <v>21</v>
      </c>
      <c r="BR1090">
        <v>8</v>
      </c>
      <c r="BS1090">
        <v>8</v>
      </c>
      <c r="BT1090">
        <v>3</v>
      </c>
      <c r="BV1090">
        <v>1</v>
      </c>
      <c r="BW1090">
        <v>41</v>
      </c>
      <c r="BX1090">
        <f t="shared" si="125"/>
        <v>87</v>
      </c>
      <c r="BY1090" s="5">
        <f t="shared" si="120"/>
        <v>-0.52873563218390807</v>
      </c>
      <c r="BZ1090" s="6">
        <f t="shared" si="119"/>
        <v>-0.52873563218390807</v>
      </c>
      <c r="CA1090" s="7">
        <v>42687</v>
      </c>
      <c r="CE1090">
        <v>3</v>
      </c>
      <c r="CF1090">
        <v>12</v>
      </c>
      <c r="CG1090">
        <v>22</v>
      </c>
      <c r="CH1090">
        <v>4</v>
      </c>
      <c r="CI1090">
        <f t="shared" si="117"/>
        <v>2016</v>
      </c>
      <c r="CJ1090" t="str">
        <f t="shared" si="118"/>
        <v>6220_2016</v>
      </c>
    </row>
    <row r="1091" spans="1:88" x14ac:dyDescent="0.25">
      <c r="A1091" t="s">
        <v>111</v>
      </c>
      <c r="B1091" t="s">
        <v>301</v>
      </c>
      <c r="C1091">
        <v>6220</v>
      </c>
      <c r="D1091">
        <v>-38.182144999999998</v>
      </c>
      <c r="E1091">
        <v>145.15981300000001</v>
      </c>
      <c r="F1091">
        <v>4</v>
      </c>
      <c r="G1091" t="s">
        <v>401</v>
      </c>
      <c r="H1091">
        <v>32</v>
      </c>
      <c r="I1091">
        <v>212</v>
      </c>
      <c r="J1091">
        <v>134</v>
      </c>
      <c r="K1091">
        <v>314</v>
      </c>
      <c r="L1091">
        <v>205</v>
      </c>
      <c r="M1091">
        <v>25</v>
      </c>
      <c r="N1091">
        <v>314</v>
      </c>
      <c r="O1091">
        <v>134</v>
      </c>
      <c r="T1091">
        <v>2</v>
      </c>
      <c r="U1091">
        <v>39</v>
      </c>
      <c r="V1091">
        <v>4</v>
      </c>
      <c r="Y1091">
        <v>5</v>
      </c>
      <c r="Z1091">
        <v>0</v>
      </c>
      <c r="AA1091">
        <v>0</v>
      </c>
      <c r="AD1091">
        <v>56</v>
      </c>
      <c r="AE1091">
        <v>2</v>
      </c>
      <c r="AF1091">
        <v>1</v>
      </c>
      <c r="AI1091">
        <v>7</v>
      </c>
      <c r="AJ1091">
        <v>2</v>
      </c>
      <c r="AK1091">
        <v>0</v>
      </c>
      <c r="AX1091">
        <v>45</v>
      </c>
      <c r="AY1091">
        <v>68</v>
      </c>
      <c r="AZ1091">
        <v>113</v>
      </c>
      <c r="BA1091">
        <v>5</v>
      </c>
      <c r="BB1091">
        <v>6</v>
      </c>
      <c r="BC1091">
        <v>11</v>
      </c>
      <c r="BD1091">
        <v>59</v>
      </c>
      <c r="BE1091">
        <v>39</v>
      </c>
      <c r="BF1091">
        <v>98</v>
      </c>
      <c r="BG1091">
        <v>9</v>
      </c>
      <c r="BH1091">
        <v>5</v>
      </c>
      <c r="BI1091">
        <v>14</v>
      </c>
      <c r="BP1091">
        <v>95</v>
      </c>
      <c r="BR1091">
        <v>16</v>
      </c>
      <c r="BS1091">
        <v>2</v>
      </c>
      <c r="BT1091">
        <v>5</v>
      </c>
      <c r="BV1091">
        <v>0</v>
      </c>
      <c r="BW1091">
        <v>118</v>
      </c>
      <c r="BX1091">
        <f t="shared" si="125"/>
        <v>41</v>
      </c>
      <c r="BY1091" s="5">
        <f t="shared" si="120"/>
        <v>1.8780487804878048</v>
      </c>
      <c r="BZ1091" s="6">
        <f t="shared" si="119"/>
        <v>1.8780487804878048</v>
      </c>
      <c r="CA1091" s="7">
        <v>43051</v>
      </c>
      <c r="CE1091">
        <v>50</v>
      </c>
      <c r="CF1091">
        <v>29</v>
      </c>
      <c r="CG1091">
        <v>17</v>
      </c>
      <c r="CH1091">
        <v>22</v>
      </c>
      <c r="CI1091">
        <f t="shared" ref="CI1091:CI1154" si="126">YEAR(CA1091)</f>
        <v>2017</v>
      </c>
      <c r="CJ1091" t="str">
        <f t="shared" ref="CJ1091:CJ1154" si="127">_xlfn.CONCAT(C1091,"_",CI1091)</f>
        <v>6220_2017</v>
      </c>
    </row>
    <row r="1092" spans="1:88" x14ac:dyDescent="0.25">
      <c r="A1092" t="s">
        <v>111</v>
      </c>
      <c r="B1092" t="s">
        <v>301</v>
      </c>
      <c r="C1092">
        <v>6220</v>
      </c>
      <c r="D1092">
        <v>-38.182144999999998</v>
      </c>
      <c r="E1092">
        <v>145.15981300000001</v>
      </c>
      <c r="F1092">
        <v>4</v>
      </c>
      <c r="G1092" t="s">
        <v>401</v>
      </c>
      <c r="H1092">
        <v>32</v>
      </c>
      <c r="I1092">
        <v>212</v>
      </c>
      <c r="J1092">
        <v>134</v>
      </c>
      <c r="K1092">
        <v>314</v>
      </c>
      <c r="L1092">
        <v>205</v>
      </c>
      <c r="M1092">
        <v>25</v>
      </c>
      <c r="N1092">
        <v>314</v>
      </c>
      <c r="O1092">
        <v>134</v>
      </c>
      <c r="T1092">
        <v>10</v>
      </c>
      <c r="U1092">
        <v>39</v>
      </c>
      <c r="V1092">
        <v>15</v>
      </c>
      <c r="Y1092">
        <v>0</v>
      </c>
      <c r="Z1092">
        <v>4</v>
      </c>
      <c r="AA1092">
        <v>0</v>
      </c>
      <c r="AD1092">
        <v>40</v>
      </c>
      <c r="AE1092">
        <v>0</v>
      </c>
      <c r="AF1092">
        <v>9</v>
      </c>
      <c r="AI1092">
        <v>10</v>
      </c>
      <c r="AJ1092">
        <v>0</v>
      </c>
      <c r="AK1092">
        <v>6</v>
      </c>
      <c r="AX1092">
        <v>64</v>
      </c>
      <c r="AY1092">
        <v>50</v>
      </c>
      <c r="AZ1092">
        <v>114</v>
      </c>
      <c r="BA1092">
        <v>4</v>
      </c>
      <c r="BB1092">
        <v>10</v>
      </c>
      <c r="BC1092">
        <v>14</v>
      </c>
      <c r="BD1092">
        <v>49</v>
      </c>
      <c r="BE1092">
        <v>49</v>
      </c>
      <c r="BF1092">
        <v>98</v>
      </c>
      <c r="BG1092">
        <v>16</v>
      </c>
      <c r="BH1092">
        <v>24</v>
      </c>
      <c r="BI1092">
        <v>40</v>
      </c>
      <c r="BP1092">
        <v>83</v>
      </c>
      <c r="BR1092">
        <v>33</v>
      </c>
      <c r="BS1092">
        <v>5</v>
      </c>
      <c r="BT1092">
        <v>8</v>
      </c>
      <c r="BV1092">
        <v>4</v>
      </c>
      <c r="BW1092">
        <v>133</v>
      </c>
      <c r="BX1092">
        <f t="shared" si="125"/>
        <v>118</v>
      </c>
      <c r="BY1092" s="5">
        <f t="shared" si="120"/>
        <v>0.1271186440677966</v>
      </c>
      <c r="BZ1092" s="6">
        <f t="shared" si="119"/>
        <v>0.1271186440677966</v>
      </c>
      <c r="CA1092" s="7">
        <v>43415</v>
      </c>
      <c r="CE1092">
        <v>35</v>
      </c>
      <c r="CF1092">
        <v>45</v>
      </c>
      <c r="CG1092">
        <v>25</v>
      </c>
      <c r="CH1092">
        <v>28</v>
      </c>
      <c r="CI1092">
        <f t="shared" si="126"/>
        <v>2018</v>
      </c>
      <c r="CJ1092" t="str">
        <f t="shared" si="127"/>
        <v>6220_2018</v>
      </c>
    </row>
    <row r="1093" spans="1:88" x14ac:dyDescent="0.25">
      <c r="A1093" t="s">
        <v>111</v>
      </c>
      <c r="B1093" t="s">
        <v>301</v>
      </c>
      <c r="C1093">
        <v>6220</v>
      </c>
      <c r="D1093">
        <v>-38.182099999999998</v>
      </c>
      <c r="E1093">
        <v>145.15979999999999</v>
      </c>
      <c r="F1093">
        <v>4</v>
      </c>
      <c r="G1093" t="s">
        <v>401</v>
      </c>
      <c r="H1093">
        <v>32</v>
      </c>
      <c r="I1093">
        <v>212</v>
      </c>
      <c r="J1093">
        <v>134</v>
      </c>
      <c r="K1093">
        <v>314</v>
      </c>
      <c r="L1093">
        <v>205</v>
      </c>
      <c r="M1093">
        <v>25</v>
      </c>
      <c r="N1093">
        <v>314</v>
      </c>
      <c r="O1093">
        <v>134</v>
      </c>
      <c r="T1093">
        <v>2</v>
      </c>
      <c r="U1093">
        <v>38</v>
      </c>
      <c r="V1093">
        <v>3</v>
      </c>
      <c r="Y1093">
        <v>0</v>
      </c>
      <c r="Z1093">
        <v>5</v>
      </c>
      <c r="AA1093">
        <v>1</v>
      </c>
      <c r="AD1093">
        <v>42</v>
      </c>
      <c r="AE1093">
        <v>5</v>
      </c>
      <c r="AF1093">
        <v>3</v>
      </c>
      <c r="AI1093">
        <v>0</v>
      </c>
      <c r="AJ1093">
        <v>0</v>
      </c>
      <c r="AK1093">
        <v>1</v>
      </c>
      <c r="AX1093">
        <v>43</v>
      </c>
      <c r="AY1093">
        <v>42</v>
      </c>
      <c r="AZ1093">
        <v>85</v>
      </c>
      <c r="BA1093">
        <v>6</v>
      </c>
      <c r="BB1093">
        <v>7</v>
      </c>
      <c r="BC1093">
        <v>13</v>
      </c>
      <c r="BD1093">
        <v>50</v>
      </c>
      <c r="BE1093">
        <v>44</v>
      </c>
      <c r="BF1093">
        <v>94</v>
      </c>
      <c r="BG1093">
        <v>1</v>
      </c>
      <c r="BH1093">
        <v>7</v>
      </c>
      <c r="BI1093">
        <v>8</v>
      </c>
      <c r="BP1093">
        <v>71</v>
      </c>
      <c r="BR1093">
        <v>15</v>
      </c>
      <c r="BS1093">
        <v>8</v>
      </c>
      <c r="BT1093">
        <v>6</v>
      </c>
      <c r="BV1093">
        <v>0</v>
      </c>
      <c r="BW1093">
        <v>100</v>
      </c>
      <c r="BX1093">
        <f t="shared" si="125"/>
        <v>133</v>
      </c>
      <c r="BY1093" s="5">
        <f t="shared" si="120"/>
        <v>-0.24812030075187969</v>
      </c>
      <c r="BZ1093" s="6">
        <f t="shared" ref="BZ1093:BZ1156" si="128">BY1093</f>
        <v>-0.24812030075187969</v>
      </c>
      <c r="CA1093" s="7">
        <v>43779</v>
      </c>
      <c r="CE1093">
        <v>26</v>
      </c>
      <c r="CF1093">
        <v>23</v>
      </c>
      <c r="CG1093">
        <v>37</v>
      </c>
      <c r="CH1093">
        <v>14</v>
      </c>
      <c r="CI1093">
        <f t="shared" si="126"/>
        <v>2019</v>
      </c>
      <c r="CJ1093" t="str">
        <f t="shared" si="127"/>
        <v>6220_2019</v>
      </c>
    </row>
    <row r="1094" spans="1:88" x14ac:dyDescent="0.25">
      <c r="A1094" t="s">
        <v>111</v>
      </c>
      <c r="B1094" t="s">
        <v>301</v>
      </c>
      <c r="C1094">
        <v>6220</v>
      </c>
      <c r="D1094">
        <v>-38.182099999999998</v>
      </c>
      <c r="E1094">
        <v>145.15979999999999</v>
      </c>
      <c r="F1094">
        <v>4</v>
      </c>
      <c r="G1094" t="s">
        <v>401</v>
      </c>
      <c r="H1094">
        <v>32</v>
      </c>
      <c r="I1094">
        <v>212</v>
      </c>
      <c r="J1094">
        <v>134</v>
      </c>
      <c r="K1094">
        <v>314</v>
      </c>
      <c r="L1094">
        <v>205</v>
      </c>
      <c r="M1094">
        <v>25</v>
      </c>
      <c r="N1094">
        <v>314</v>
      </c>
      <c r="O1094">
        <v>134</v>
      </c>
      <c r="T1094">
        <v>3</v>
      </c>
      <c r="U1094">
        <v>96</v>
      </c>
      <c r="V1094">
        <v>11</v>
      </c>
      <c r="Y1094">
        <v>2</v>
      </c>
      <c r="Z1094">
        <v>14</v>
      </c>
      <c r="AA1094">
        <v>2</v>
      </c>
      <c r="AD1094">
        <v>108</v>
      </c>
      <c r="AE1094">
        <v>6</v>
      </c>
      <c r="AF1094">
        <v>13</v>
      </c>
      <c r="AI1094">
        <v>7</v>
      </c>
      <c r="AJ1094">
        <v>1</v>
      </c>
      <c r="AK1094">
        <v>10</v>
      </c>
      <c r="AX1094">
        <v>110</v>
      </c>
      <c r="AY1094">
        <v>117</v>
      </c>
      <c r="AZ1094">
        <v>227</v>
      </c>
      <c r="BA1094">
        <v>18</v>
      </c>
      <c r="BB1094">
        <v>10</v>
      </c>
      <c r="BC1094">
        <v>28</v>
      </c>
      <c r="BD1094">
        <v>127</v>
      </c>
      <c r="BE1094">
        <v>120</v>
      </c>
      <c r="BF1094">
        <v>247</v>
      </c>
      <c r="BG1094">
        <v>18</v>
      </c>
      <c r="BH1094">
        <v>26</v>
      </c>
      <c r="BI1094">
        <v>44</v>
      </c>
      <c r="BP1094">
        <v>193</v>
      </c>
      <c r="BR1094">
        <v>55</v>
      </c>
      <c r="BS1094">
        <v>18</v>
      </c>
      <c r="BT1094">
        <v>7</v>
      </c>
      <c r="BV1094">
        <v>0</v>
      </c>
      <c r="BW1094">
        <v>273</v>
      </c>
      <c r="BX1094">
        <f t="shared" si="125"/>
        <v>100</v>
      </c>
      <c r="BY1094" s="5">
        <f t="shared" si="120"/>
        <v>1.73</v>
      </c>
      <c r="BZ1094" s="6">
        <f t="shared" si="128"/>
        <v>1.73</v>
      </c>
      <c r="CA1094" s="7">
        <v>44143</v>
      </c>
      <c r="CE1094">
        <v>66</v>
      </c>
      <c r="CF1094">
        <v>102</v>
      </c>
      <c r="CG1094">
        <v>55</v>
      </c>
      <c r="CH1094">
        <v>50</v>
      </c>
      <c r="CI1094">
        <f t="shared" si="126"/>
        <v>2020</v>
      </c>
      <c r="CJ1094" t="str">
        <f t="shared" si="127"/>
        <v>6220_2020</v>
      </c>
    </row>
    <row r="1095" spans="1:88" x14ac:dyDescent="0.25">
      <c r="A1095" t="s">
        <v>111</v>
      </c>
      <c r="B1095" t="s">
        <v>301</v>
      </c>
      <c r="C1095">
        <v>6220</v>
      </c>
      <c r="D1095">
        <v>-38.182144999999998</v>
      </c>
      <c r="E1095">
        <v>145.15981300000001</v>
      </c>
      <c r="F1095">
        <v>4</v>
      </c>
      <c r="G1095" t="s">
        <v>401</v>
      </c>
      <c r="H1095">
        <v>32</v>
      </c>
      <c r="I1095">
        <v>212</v>
      </c>
      <c r="J1095">
        <v>134</v>
      </c>
      <c r="K1095">
        <v>314</v>
      </c>
      <c r="L1095">
        <v>205</v>
      </c>
      <c r="M1095">
        <v>25</v>
      </c>
      <c r="N1095">
        <v>314</v>
      </c>
      <c r="O1095">
        <v>134</v>
      </c>
      <c r="T1095">
        <v>1</v>
      </c>
      <c r="U1095">
        <v>40</v>
      </c>
      <c r="V1095">
        <v>6</v>
      </c>
      <c r="Y1095">
        <v>0</v>
      </c>
      <c r="Z1095">
        <v>0</v>
      </c>
      <c r="AA1095">
        <v>2</v>
      </c>
      <c r="AD1095">
        <v>47</v>
      </c>
      <c r="AE1095">
        <v>0</v>
      </c>
      <c r="AF1095">
        <v>1</v>
      </c>
      <c r="AI1095">
        <v>5</v>
      </c>
      <c r="AJ1095">
        <v>4</v>
      </c>
      <c r="AK1095">
        <v>6</v>
      </c>
      <c r="AX1095">
        <v>47</v>
      </c>
      <c r="AY1095">
        <v>52</v>
      </c>
      <c r="AZ1095">
        <v>99</v>
      </c>
      <c r="BA1095">
        <v>2</v>
      </c>
      <c r="BB1095">
        <v>5</v>
      </c>
      <c r="BC1095">
        <v>7</v>
      </c>
      <c r="BD1095">
        <v>48</v>
      </c>
      <c r="BE1095">
        <v>46</v>
      </c>
      <c r="BF1095">
        <v>94</v>
      </c>
      <c r="BG1095">
        <v>15</v>
      </c>
      <c r="BH1095">
        <v>9</v>
      </c>
      <c r="BI1095">
        <v>24</v>
      </c>
      <c r="BP1095">
        <v>81</v>
      </c>
      <c r="BR1095">
        <v>20</v>
      </c>
      <c r="BS1095">
        <v>1</v>
      </c>
      <c r="BT1095">
        <v>8</v>
      </c>
      <c r="BV1095">
        <v>2</v>
      </c>
      <c r="BW1095">
        <v>112</v>
      </c>
      <c r="BX1095">
        <f t="shared" si="125"/>
        <v>273</v>
      </c>
      <c r="BY1095" s="5">
        <f t="shared" si="120"/>
        <v>-0.58974358974358976</v>
      </c>
      <c r="BZ1095" s="6">
        <f t="shared" si="128"/>
        <v>-0.58974358974358976</v>
      </c>
      <c r="CA1095" s="7">
        <v>44528</v>
      </c>
      <c r="CE1095">
        <v>36</v>
      </c>
      <c r="CF1095">
        <v>33</v>
      </c>
      <c r="CG1095">
        <v>43</v>
      </c>
      <c r="CI1095">
        <f t="shared" si="126"/>
        <v>2021</v>
      </c>
      <c r="CJ1095" t="str">
        <f t="shared" si="127"/>
        <v>6220_2021</v>
      </c>
    </row>
    <row r="1096" spans="1:88" x14ac:dyDescent="0.25">
      <c r="A1096" t="s">
        <v>111</v>
      </c>
      <c r="B1096" t="s">
        <v>402</v>
      </c>
      <c r="C1096">
        <v>6222</v>
      </c>
      <c r="D1096">
        <v>-36.770299999999999</v>
      </c>
      <c r="E1096">
        <v>144.26070000000001</v>
      </c>
      <c r="F1096">
        <v>4</v>
      </c>
      <c r="G1096" t="s">
        <v>403</v>
      </c>
      <c r="H1096">
        <v>58</v>
      </c>
      <c r="I1096">
        <v>238</v>
      </c>
      <c r="J1096">
        <v>151</v>
      </c>
      <c r="K1096">
        <v>331</v>
      </c>
      <c r="L1096">
        <v>234</v>
      </c>
      <c r="M1096">
        <v>54</v>
      </c>
      <c r="N1096">
        <v>337</v>
      </c>
      <c r="O1096">
        <v>157</v>
      </c>
      <c r="T1096">
        <v>3</v>
      </c>
      <c r="U1096">
        <v>0</v>
      </c>
      <c r="V1096">
        <v>6</v>
      </c>
      <c r="Y1096">
        <v>2</v>
      </c>
      <c r="Z1096">
        <v>0</v>
      </c>
      <c r="AA1096">
        <v>7</v>
      </c>
      <c r="AD1096">
        <v>0</v>
      </c>
      <c r="AE1096">
        <v>0</v>
      </c>
      <c r="AF1096">
        <v>0</v>
      </c>
      <c r="AI1096">
        <v>2</v>
      </c>
      <c r="AJ1096">
        <v>7</v>
      </c>
      <c r="AK1096">
        <v>0</v>
      </c>
      <c r="AX1096">
        <v>9</v>
      </c>
      <c r="AY1096">
        <v>4</v>
      </c>
      <c r="AZ1096">
        <v>13</v>
      </c>
      <c r="BA1096">
        <v>9</v>
      </c>
      <c r="BB1096">
        <v>10</v>
      </c>
      <c r="BC1096">
        <v>19</v>
      </c>
      <c r="BD1096">
        <v>0</v>
      </c>
      <c r="BE1096">
        <v>0</v>
      </c>
      <c r="BF1096">
        <v>0</v>
      </c>
      <c r="BG1096">
        <v>9</v>
      </c>
      <c r="BH1096">
        <v>13</v>
      </c>
      <c r="BI1096">
        <v>22</v>
      </c>
      <c r="BP1096">
        <v>9</v>
      </c>
      <c r="BR1096">
        <v>5</v>
      </c>
      <c r="BS1096">
        <v>2</v>
      </c>
      <c r="BT1096">
        <v>11</v>
      </c>
      <c r="BV1096">
        <v>0</v>
      </c>
      <c r="BW1096">
        <v>27</v>
      </c>
      <c r="BX1096" t="s">
        <v>82</v>
      </c>
      <c r="BY1096" s="5"/>
      <c r="BZ1096" s="6"/>
      <c r="CA1096" s="7">
        <v>41588</v>
      </c>
      <c r="CI1096">
        <f t="shared" si="126"/>
        <v>2013</v>
      </c>
      <c r="CJ1096" t="str">
        <f t="shared" si="127"/>
        <v>6222_2013</v>
      </c>
    </row>
    <row r="1097" spans="1:88" x14ac:dyDescent="0.25">
      <c r="A1097" t="s">
        <v>111</v>
      </c>
      <c r="B1097" t="s">
        <v>402</v>
      </c>
      <c r="C1097">
        <v>6222</v>
      </c>
      <c r="D1097">
        <v>-36.770299999999999</v>
      </c>
      <c r="E1097">
        <v>144.26070000000001</v>
      </c>
      <c r="F1097">
        <v>4</v>
      </c>
      <c r="G1097" t="s">
        <v>403</v>
      </c>
      <c r="H1097">
        <v>58</v>
      </c>
      <c r="I1097">
        <v>238</v>
      </c>
      <c r="J1097">
        <v>151</v>
      </c>
      <c r="K1097">
        <v>331</v>
      </c>
      <c r="L1097">
        <v>234</v>
      </c>
      <c r="M1097">
        <v>54</v>
      </c>
      <c r="N1097">
        <v>337</v>
      </c>
      <c r="O1097">
        <v>157</v>
      </c>
      <c r="T1097">
        <v>1</v>
      </c>
      <c r="U1097">
        <v>29</v>
      </c>
      <c r="V1097">
        <v>0</v>
      </c>
      <c r="Y1097">
        <v>4</v>
      </c>
      <c r="Z1097">
        <v>8</v>
      </c>
      <c r="AA1097">
        <v>11</v>
      </c>
      <c r="AD1097">
        <v>31</v>
      </c>
      <c r="AE1097">
        <v>5</v>
      </c>
      <c r="AF1097">
        <v>5</v>
      </c>
      <c r="AI1097">
        <v>0</v>
      </c>
      <c r="AJ1097">
        <v>13</v>
      </c>
      <c r="AK1097">
        <v>3</v>
      </c>
      <c r="AX1097">
        <v>30</v>
      </c>
      <c r="AY1097">
        <v>35</v>
      </c>
      <c r="AZ1097">
        <v>65</v>
      </c>
      <c r="BA1097">
        <v>23</v>
      </c>
      <c r="BB1097">
        <v>19</v>
      </c>
      <c r="BC1097">
        <v>42</v>
      </c>
      <c r="BD1097">
        <v>41</v>
      </c>
      <c r="BE1097">
        <v>40</v>
      </c>
      <c r="BF1097">
        <v>81</v>
      </c>
      <c r="BG1097">
        <v>16</v>
      </c>
      <c r="BH1097">
        <v>16</v>
      </c>
      <c r="BI1097">
        <v>32</v>
      </c>
      <c r="BP1097">
        <v>38</v>
      </c>
      <c r="BR1097">
        <v>56</v>
      </c>
      <c r="BS1097">
        <v>3</v>
      </c>
      <c r="BT1097">
        <v>11</v>
      </c>
      <c r="BV1097">
        <v>2</v>
      </c>
      <c r="BW1097">
        <v>110</v>
      </c>
      <c r="BX1097">
        <f t="shared" ref="BX1097:BX1102" si="129">IF(C1097=C1096,IF((CI1097-1)=CI1096,BW1096,"no data"))</f>
        <v>27</v>
      </c>
      <c r="BY1097" s="5">
        <f t="shared" si="120"/>
        <v>3.074074074074074</v>
      </c>
      <c r="BZ1097" s="6">
        <f t="shared" si="128"/>
        <v>3.074074074074074</v>
      </c>
      <c r="CA1097" s="7">
        <v>41952</v>
      </c>
      <c r="CI1097">
        <f t="shared" si="126"/>
        <v>2014</v>
      </c>
      <c r="CJ1097" t="str">
        <f t="shared" si="127"/>
        <v>6222_2014</v>
      </c>
    </row>
    <row r="1098" spans="1:88" x14ac:dyDescent="0.25">
      <c r="A1098" t="s">
        <v>111</v>
      </c>
      <c r="B1098" t="s">
        <v>402</v>
      </c>
      <c r="C1098">
        <v>6222</v>
      </c>
      <c r="D1098">
        <v>-36.770299999999999</v>
      </c>
      <c r="E1098">
        <v>144.26070000000001</v>
      </c>
      <c r="F1098">
        <v>4</v>
      </c>
      <c r="G1098" t="s">
        <v>403</v>
      </c>
      <c r="H1098">
        <v>58</v>
      </c>
      <c r="I1098">
        <v>238</v>
      </c>
      <c r="J1098">
        <v>151</v>
      </c>
      <c r="K1098">
        <v>331</v>
      </c>
      <c r="L1098">
        <v>234</v>
      </c>
      <c r="M1098">
        <v>54</v>
      </c>
      <c r="N1098">
        <v>337</v>
      </c>
      <c r="O1098">
        <v>157</v>
      </c>
      <c r="T1098">
        <v>2</v>
      </c>
      <c r="U1098">
        <v>41</v>
      </c>
      <c r="V1098">
        <v>2</v>
      </c>
      <c r="Y1098">
        <v>8</v>
      </c>
      <c r="Z1098">
        <v>3</v>
      </c>
      <c r="AA1098">
        <v>10</v>
      </c>
      <c r="AD1098">
        <v>68</v>
      </c>
      <c r="AE1098">
        <v>17</v>
      </c>
      <c r="AF1098">
        <v>5</v>
      </c>
      <c r="AI1098">
        <v>0</v>
      </c>
      <c r="AJ1098">
        <v>6</v>
      </c>
      <c r="AK1098">
        <v>2</v>
      </c>
      <c r="AX1098">
        <v>45</v>
      </c>
      <c r="AY1098">
        <v>76</v>
      </c>
      <c r="AZ1098">
        <v>121</v>
      </c>
      <c r="BA1098">
        <v>21</v>
      </c>
      <c r="BB1098">
        <v>25</v>
      </c>
      <c r="BC1098">
        <v>46</v>
      </c>
      <c r="BD1098">
        <v>90</v>
      </c>
      <c r="BE1098">
        <v>46</v>
      </c>
      <c r="BF1098">
        <v>136</v>
      </c>
      <c r="BG1098">
        <v>8</v>
      </c>
      <c r="BH1098">
        <v>17</v>
      </c>
      <c r="BI1098">
        <v>25</v>
      </c>
      <c r="BP1098">
        <v>84</v>
      </c>
      <c r="BR1098">
        <v>52</v>
      </c>
      <c r="BS1098">
        <v>4</v>
      </c>
      <c r="BT1098">
        <v>15</v>
      </c>
      <c r="BV1098">
        <v>9</v>
      </c>
      <c r="BW1098">
        <v>164</v>
      </c>
      <c r="BX1098">
        <f t="shared" si="129"/>
        <v>110</v>
      </c>
      <c r="BY1098" s="5">
        <f t="shared" si="120"/>
        <v>0.49090909090909091</v>
      </c>
      <c r="BZ1098" s="6">
        <f t="shared" si="128"/>
        <v>0.49090909090909091</v>
      </c>
      <c r="CA1098" s="7">
        <v>42316</v>
      </c>
      <c r="CE1098">
        <v>32</v>
      </c>
      <c r="CF1098">
        <v>42</v>
      </c>
      <c r="CG1098">
        <v>49</v>
      </c>
      <c r="CH1098">
        <v>41</v>
      </c>
      <c r="CI1098">
        <f t="shared" si="126"/>
        <v>2015</v>
      </c>
      <c r="CJ1098" t="str">
        <f t="shared" si="127"/>
        <v>6222_2015</v>
      </c>
    </row>
    <row r="1099" spans="1:88" x14ac:dyDescent="0.25">
      <c r="A1099" t="s">
        <v>111</v>
      </c>
      <c r="B1099" t="s">
        <v>402</v>
      </c>
      <c r="C1099">
        <v>6222</v>
      </c>
      <c r="D1099">
        <v>-36.770325999999997</v>
      </c>
      <c r="E1099">
        <v>144.260739</v>
      </c>
      <c r="F1099">
        <v>4</v>
      </c>
      <c r="G1099" t="s">
        <v>403</v>
      </c>
      <c r="H1099">
        <v>58</v>
      </c>
      <c r="I1099">
        <v>238</v>
      </c>
      <c r="J1099">
        <v>151</v>
      </c>
      <c r="K1099">
        <v>331</v>
      </c>
      <c r="L1099">
        <v>234</v>
      </c>
      <c r="M1099">
        <v>54</v>
      </c>
      <c r="N1099">
        <v>337</v>
      </c>
      <c r="O1099">
        <v>157</v>
      </c>
      <c r="T1099">
        <v>0</v>
      </c>
      <c r="U1099">
        <v>4</v>
      </c>
      <c r="V1099">
        <v>8</v>
      </c>
      <c r="Y1099">
        <v>0</v>
      </c>
      <c r="Z1099">
        <v>0</v>
      </c>
      <c r="AA1099">
        <v>0</v>
      </c>
      <c r="AD1099">
        <v>4</v>
      </c>
      <c r="AE1099">
        <v>0</v>
      </c>
      <c r="AF1099">
        <v>0</v>
      </c>
      <c r="AI1099">
        <v>4</v>
      </c>
      <c r="AJ1099">
        <v>0</v>
      </c>
      <c r="AK1099">
        <v>0</v>
      </c>
      <c r="AX1099">
        <v>12</v>
      </c>
      <c r="AY1099">
        <v>8</v>
      </c>
      <c r="AZ1099">
        <v>20</v>
      </c>
      <c r="BA1099">
        <v>0</v>
      </c>
      <c r="BB1099">
        <v>0</v>
      </c>
      <c r="BC1099">
        <v>0</v>
      </c>
      <c r="BD1099">
        <v>4</v>
      </c>
      <c r="BE1099">
        <v>4</v>
      </c>
      <c r="BF1099">
        <v>8</v>
      </c>
      <c r="BG1099">
        <v>4</v>
      </c>
      <c r="BH1099">
        <v>8</v>
      </c>
      <c r="BI1099">
        <v>12</v>
      </c>
      <c r="BP1099">
        <v>0</v>
      </c>
      <c r="BR1099">
        <v>2</v>
      </c>
      <c r="BS1099">
        <v>5</v>
      </c>
      <c r="BT1099">
        <v>1</v>
      </c>
      <c r="BV1099">
        <v>12</v>
      </c>
      <c r="BW1099">
        <v>20</v>
      </c>
      <c r="BX1099">
        <f t="shared" si="129"/>
        <v>164</v>
      </c>
      <c r="BY1099" s="5">
        <f t="shared" si="120"/>
        <v>-0.87804878048780488</v>
      </c>
      <c r="BZ1099" s="6">
        <f t="shared" si="128"/>
        <v>-0.87804878048780488</v>
      </c>
      <c r="CA1099" s="7">
        <v>42687</v>
      </c>
      <c r="CE1099">
        <v>7</v>
      </c>
      <c r="CF1099">
        <v>8</v>
      </c>
      <c r="CG1099">
        <v>5</v>
      </c>
      <c r="CH1099">
        <v>0</v>
      </c>
      <c r="CI1099">
        <f t="shared" si="126"/>
        <v>2016</v>
      </c>
      <c r="CJ1099" t="str">
        <f t="shared" si="127"/>
        <v>6222_2016</v>
      </c>
    </row>
    <row r="1100" spans="1:88" x14ac:dyDescent="0.25">
      <c r="A1100" t="s">
        <v>111</v>
      </c>
      <c r="B1100" t="s">
        <v>402</v>
      </c>
      <c r="C1100">
        <v>6222</v>
      </c>
      <c r="D1100">
        <v>-36.770325999999997</v>
      </c>
      <c r="E1100">
        <v>144.260739</v>
      </c>
      <c r="F1100">
        <v>4</v>
      </c>
      <c r="G1100" t="s">
        <v>403</v>
      </c>
      <c r="H1100">
        <v>58</v>
      </c>
      <c r="I1100">
        <v>238</v>
      </c>
      <c r="J1100">
        <v>151</v>
      </c>
      <c r="K1100">
        <v>331</v>
      </c>
      <c r="L1100">
        <v>234</v>
      </c>
      <c r="M1100">
        <v>54</v>
      </c>
      <c r="N1100">
        <v>337</v>
      </c>
      <c r="O1100">
        <v>157</v>
      </c>
      <c r="T1100">
        <v>0</v>
      </c>
      <c r="U1100">
        <v>27</v>
      </c>
      <c r="V1100">
        <v>1</v>
      </c>
      <c r="Y1100">
        <v>2</v>
      </c>
      <c r="Z1100">
        <v>1</v>
      </c>
      <c r="AA1100">
        <v>8</v>
      </c>
      <c r="AD1100">
        <v>37</v>
      </c>
      <c r="AE1100">
        <v>6</v>
      </c>
      <c r="AF1100">
        <v>4</v>
      </c>
      <c r="AI1100">
        <v>0</v>
      </c>
      <c r="AJ1100">
        <v>3</v>
      </c>
      <c r="AK1100">
        <v>1</v>
      </c>
      <c r="AX1100">
        <v>28</v>
      </c>
      <c r="AY1100">
        <v>39</v>
      </c>
      <c r="AZ1100">
        <v>67</v>
      </c>
      <c r="BA1100">
        <v>11</v>
      </c>
      <c r="BB1100">
        <v>9</v>
      </c>
      <c r="BC1100">
        <v>20</v>
      </c>
      <c r="BD1100">
        <v>47</v>
      </c>
      <c r="BE1100">
        <v>29</v>
      </c>
      <c r="BF1100">
        <v>76</v>
      </c>
      <c r="BG1100">
        <v>4</v>
      </c>
      <c r="BH1100">
        <v>13</v>
      </c>
      <c r="BI1100">
        <v>17</v>
      </c>
      <c r="BP1100">
        <v>41</v>
      </c>
      <c r="BR1100">
        <v>30</v>
      </c>
      <c r="BS1100">
        <v>3</v>
      </c>
      <c r="BT1100">
        <v>12</v>
      </c>
      <c r="BV1100">
        <v>4</v>
      </c>
      <c r="BW1100">
        <v>90</v>
      </c>
      <c r="BX1100">
        <f t="shared" si="129"/>
        <v>20</v>
      </c>
      <c r="BY1100" s="5">
        <f t="shared" si="120"/>
        <v>3.5</v>
      </c>
      <c r="BZ1100" s="6">
        <f t="shared" si="128"/>
        <v>3.5</v>
      </c>
      <c r="CA1100" s="7">
        <v>43051</v>
      </c>
      <c r="CE1100">
        <v>19</v>
      </c>
      <c r="CF1100">
        <v>42</v>
      </c>
      <c r="CG1100">
        <v>24</v>
      </c>
      <c r="CH1100">
        <v>5</v>
      </c>
      <c r="CI1100">
        <f t="shared" si="126"/>
        <v>2017</v>
      </c>
      <c r="CJ1100" t="str">
        <f t="shared" si="127"/>
        <v>6222_2017</v>
      </c>
    </row>
    <row r="1101" spans="1:88" x14ac:dyDescent="0.25">
      <c r="A1101" t="s">
        <v>111</v>
      </c>
      <c r="B1101" t="s">
        <v>402</v>
      </c>
      <c r="C1101">
        <v>6222</v>
      </c>
      <c r="D1101">
        <v>-36.770325999999997</v>
      </c>
      <c r="E1101">
        <v>144.260739</v>
      </c>
      <c r="F1101">
        <v>4</v>
      </c>
      <c r="G1101" t="s">
        <v>403</v>
      </c>
      <c r="H1101">
        <v>58</v>
      </c>
      <c r="I1101">
        <v>238</v>
      </c>
      <c r="J1101">
        <v>151</v>
      </c>
      <c r="K1101">
        <v>331</v>
      </c>
      <c r="L1101">
        <v>234</v>
      </c>
      <c r="M1101">
        <v>54</v>
      </c>
      <c r="N1101">
        <v>337</v>
      </c>
      <c r="O1101">
        <v>157</v>
      </c>
      <c r="T1101">
        <v>7</v>
      </c>
      <c r="U1101">
        <v>38</v>
      </c>
      <c r="V1101">
        <v>5</v>
      </c>
      <c r="Y1101">
        <v>3</v>
      </c>
      <c r="Z1101">
        <v>5</v>
      </c>
      <c r="AA1101">
        <v>3</v>
      </c>
      <c r="AD1101">
        <v>37</v>
      </c>
      <c r="AE1101">
        <v>7</v>
      </c>
      <c r="AF1101">
        <v>4</v>
      </c>
      <c r="AI1101">
        <v>5</v>
      </c>
      <c r="AJ1101">
        <v>9</v>
      </c>
      <c r="AK1101">
        <v>4</v>
      </c>
      <c r="AX1101">
        <v>50</v>
      </c>
      <c r="AY1101">
        <v>45</v>
      </c>
      <c r="AZ1101">
        <v>95</v>
      </c>
      <c r="BA1101">
        <v>11</v>
      </c>
      <c r="BB1101">
        <v>23</v>
      </c>
      <c r="BC1101">
        <v>34</v>
      </c>
      <c r="BD1101">
        <v>48</v>
      </c>
      <c r="BE1101">
        <v>47</v>
      </c>
      <c r="BF1101">
        <v>95</v>
      </c>
      <c r="BG1101">
        <v>18</v>
      </c>
      <c r="BH1101">
        <v>12</v>
      </c>
      <c r="BI1101">
        <v>30</v>
      </c>
      <c r="BP1101">
        <v>56</v>
      </c>
      <c r="BR1101">
        <v>49</v>
      </c>
      <c r="BS1101">
        <v>8</v>
      </c>
      <c r="BT1101">
        <v>10</v>
      </c>
      <c r="BV1101">
        <v>4</v>
      </c>
      <c r="BW1101">
        <v>127</v>
      </c>
      <c r="BX1101">
        <f t="shared" si="129"/>
        <v>90</v>
      </c>
      <c r="BY1101" s="5">
        <f t="shared" si="120"/>
        <v>0.41111111111111109</v>
      </c>
      <c r="BZ1101" s="6">
        <f t="shared" si="128"/>
        <v>0.41111111111111109</v>
      </c>
      <c r="CA1101" s="7">
        <v>43415</v>
      </c>
      <c r="CE1101">
        <v>33</v>
      </c>
      <c r="CF1101">
        <v>29</v>
      </c>
      <c r="CG1101">
        <v>48</v>
      </c>
      <c r="CH1101">
        <v>17</v>
      </c>
      <c r="CI1101">
        <f t="shared" si="126"/>
        <v>2018</v>
      </c>
      <c r="CJ1101" t="str">
        <f t="shared" si="127"/>
        <v>6222_2018</v>
      </c>
    </row>
    <row r="1102" spans="1:88" x14ac:dyDescent="0.25">
      <c r="A1102" t="s">
        <v>111</v>
      </c>
      <c r="B1102" t="s">
        <v>402</v>
      </c>
      <c r="C1102">
        <v>6222</v>
      </c>
      <c r="D1102">
        <v>-36.770299999999999</v>
      </c>
      <c r="E1102">
        <v>144.26070000000001</v>
      </c>
      <c r="F1102">
        <v>4</v>
      </c>
      <c r="G1102" t="s">
        <v>403</v>
      </c>
      <c r="H1102">
        <v>58</v>
      </c>
      <c r="I1102">
        <v>238</v>
      </c>
      <c r="J1102">
        <v>151</v>
      </c>
      <c r="K1102">
        <v>331</v>
      </c>
      <c r="L1102">
        <v>234</v>
      </c>
      <c r="M1102">
        <v>54</v>
      </c>
      <c r="N1102">
        <v>337</v>
      </c>
      <c r="O1102">
        <v>157</v>
      </c>
      <c r="T1102">
        <v>0</v>
      </c>
      <c r="U1102">
        <v>25</v>
      </c>
      <c r="V1102">
        <v>0</v>
      </c>
      <c r="Y1102">
        <v>3</v>
      </c>
      <c r="Z1102">
        <v>4</v>
      </c>
      <c r="AA1102">
        <v>8</v>
      </c>
      <c r="AD1102">
        <v>25</v>
      </c>
      <c r="AE1102">
        <v>7</v>
      </c>
      <c r="AF1102">
        <v>7</v>
      </c>
      <c r="AI1102">
        <v>0</v>
      </c>
      <c r="AJ1102">
        <v>1</v>
      </c>
      <c r="AK1102">
        <v>1</v>
      </c>
      <c r="AX1102">
        <v>25</v>
      </c>
      <c r="AY1102">
        <v>28</v>
      </c>
      <c r="AZ1102">
        <v>53</v>
      </c>
      <c r="BA1102">
        <v>15</v>
      </c>
      <c r="BB1102">
        <v>8</v>
      </c>
      <c r="BC1102">
        <v>23</v>
      </c>
      <c r="BD1102">
        <v>39</v>
      </c>
      <c r="BE1102">
        <v>30</v>
      </c>
      <c r="BF1102">
        <v>69</v>
      </c>
      <c r="BG1102">
        <v>2</v>
      </c>
      <c r="BH1102">
        <v>15</v>
      </c>
      <c r="BI1102">
        <v>17</v>
      </c>
      <c r="BP1102">
        <v>31</v>
      </c>
      <c r="BR1102">
        <v>38</v>
      </c>
      <c r="BS1102">
        <v>0</v>
      </c>
      <c r="BT1102">
        <v>12</v>
      </c>
      <c r="BV1102">
        <v>0</v>
      </c>
      <c r="BW1102">
        <v>81</v>
      </c>
      <c r="BX1102">
        <f t="shared" si="129"/>
        <v>127</v>
      </c>
      <c r="BY1102" s="5">
        <f t="shared" si="120"/>
        <v>-0.36220472440944884</v>
      </c>
      <c r="BZ1102" s="6">
        <f t="shared" si="128"/>
        <v>-0.36220472440944884</v>
      </c>
      <c r="CA1102" s="7">
        <v>43779</v>
      </c>
      <c r="CE1102">
        <v>21</v>
      </c>
      <c r="CF1102">
        <v>19</v>
      </c>
      <c r="CG1102">
        <v>15</v>
      </c>
      <c r="CH1102">
        <v>26</v>
      </c>
      <c r="CI1102">
        <f t="shared" si="126"/>
        <v>2019</v>
      </c>
      <c r="CJ1102" t="str">
        <f t="shared" si="127"/>
        <v>6222_2019</v>
      </c>
    </row>
    <row r="1103" spans="1:88" x14ac:dyDescent="0.25">
      <c r="A1103" t="s">
        <v>111</v>
      </c>
      <c r="B1103" t="s">
        <v>402</v>
      </c>
      <c r="C1103">
        <v>6223</v>
      </c>
      <c r="D1103">
        <v>-36.802199999999999</v>
      </c>
      <c r="E1103">
        <v>144.24010000000001</v>
      </c>
      <c r="F1103">
        <v>4</v>
      </c>
      <c r="G1103" t="s">
        <v>404</v>
      </c>
      <c r="H1103">
        <v>5</v>
      </c>
      <c r="I1103">
        <v>185</v>
      </c>
      <c r="J1103">
        <v>97</v>
      </c>
      <c r="K1103">
        <v>277</v>
      </c>
      <c r="L1103">
        <v>185</v>
      </c>
      <c r="M1103">
        <v>5</v>
      </c>
      <c r="N1103">
        <v>281</v>
      </c>
      <c r="O1103">
        <v>101</v>
      </c>
      <c r="T1103">
        <v>8</v>
      </c>
      <c r="U1103">
        <v>24</v>
      </c>
      <c r="V1103">
        <v>0</v>
      </c>
      <c r="Y1103">
        <v>3</v>
      </c>
      <c r="Z1103">
        <v>6</v>
      </c>
      <c r="AA1103">
        <v>4</v>
      </c>
      <c r="AD1103">
        <v>16</v>
      </c>
      <c r="AE1103">
        <v>2</v>
      </c>
      <c r="AF1103">
        <v>0</v>
      </c>
      <c r="AI1103">
        <v>5</v>
      </c>
      <c r="AJ1103">
        <v>5</v>
      </c>
      <c r="AK1103">
        <v>0</v>
      </c>
      <c r="AX1103">
        <v>32</v>
      </c>
      <c r="AY1103">
        <v>24</v>
      </c>
      <c r="AZ1103">
        <v>56</v>
      </c>
      <c r="BA1103">
        <v>13</v>
      </c>
      <c r="BB1103">
        <v>15</v>
      </c>
      <c r="BC1103">
        <v>28</v>
      </c>
      <c r="BD1103">
        <v>18</v>
      </c>
      <c r="BE1103">
        <v>30</v>
      </c>
      <c r="BF1103">
        <v>48</v>
      </c>
      <c r="BG1103">
        <v>10</v>
      </c>
      <c r="BH1103">
        <v>4</v>
      </c>
      <c r="BI1103">
        <v>14</v>
      </c>
      <c r="BP1103">
        <v>34</v>
      </c>
      <c r="BR1103">
        <v>28</v>
      </c>
      <c r="BS1103">
        <v>2</v>
      </c>
      <c r="BT1103">
        <v>8</v>
      </c>
      <c r="BV1103">
        <v>1</v>
      </c>
      <c r="BW1103">
        <v>73</v>
      </c>
      <c r="BX1103" t="s">
        <v>82</v>
      </c>
      <c r="BY1103" s="5"/>
      <c r="BZ1103" s="6"/>
      <c r="CA1103" s="7">
        <v>41588</v>
      </c>
      <c r="CI1103">
        <f t="shared" si="126"/>
        <v>2013</v>
      </c>
      <c r="CJ1103" t="str">
        <f t="shared" si="127"/>
        <v>6223_2013</v>
      </c>
    </row>
    <row r="1104" spans="1:88" x14ac:dyDescent="0.25">
      <c r="A1104" t="s">
        <v>111</v>
      </c>
      <c r="B1104" t="s">
        <v>402</v>
      </c>
      <c r="C1104">
        <v>6223</v>
      </c>
      <c r="D1104">
        <v>-36.802199999999999</v>
      </c>
      <c r="E1104">
        <v>144.24010000000001</v>
      </c>
      <c r="F1104">
        <v>4</v>
      </c>
      <c r="G1104" t="s">
        <v>404</v>
      </c>
      <c r="H1104">
        <v>5</v>
      </c>
      <c r="I1104">
        <v>185</v>
      </c>
      <c r="J1104">
        <v>97</v>
      </c>
      <c r="K1104">
        <v>277</v>
      </c>
      <c r="L1104">
        <v>185</v>
      </c>
      <c r="M1104">
        <v>5</v>
      </c>
      <c r="N1104">
        <v>281</v>
      </c>
      <c r="O1104">
        <v>101</v>
      </c>
      <c r="T1104">
        <v>3</v>
      </c>
      <c r="U1104">
        <v>36</v>
      </c>
      <c r="V1104">
        <v>5</v>
      </c>
      <c r="Y1104">
        <v>5</v>
      </c>
      <c r="Z1104">
        <v>0</v>
      </c>
      <c r="AA1104">
        <v>13</v>
      </c>
      <c r="AD1104">
        <v>33</v>
      </c>
      <c r="AE1104">
        <v>1</v>
      </c>
      <c r="AF1104">
        <v>3</v>
      </c>
      <c r="AI1104">
        <v>2</v>
      </c>
      <c r="AJ1104">
        <v>14</v>
      </c>
      <c r="AK1104">
        <v>0</v>
      </c>
      <c r="AX1104">
        <v>44</v>
      </c>
      <c r="AY1104">
        <v>40</v>
      </c>
      <c r="AZ1104">
        <v>84</v>
      </c>
      <c r="BA1104">
        <v>18</v>
      </c>
      <c r="BB1104">
        <v>18</v>
      </c>
      <c r="BC1104">
        <v>36</v>
      </c>
      <c r="BD1104">
        <v>37</v>
      </c>
      <c r="BE1104">
        <v>36</v>
      </c>
      <c r="BF1104">
        <v>73</v>
      </c>
      <c r="BG1104">
        <v>16</v>
      </c>
      <c r="BH1104">
        <v>21</v>
      </c>
      <c r="BI1104">
        <v>37</v>
      </c>
      <c r="BP1104">
        <v>34</v>
      </c>
      <c r="BR1104">
        <v>56</v>
      </c>
      <c r="BS1104">
        <v>8</v>
      </c>
      <c r="BT1104">
        <v>17</v>
      </c>
      <c r="BV1104">
        <v>0</v>
      </c>
      <c r="BW1104">
        <v>115</v>
      </c>
      <c r="BX1104">
        <f t="shared" ref="BX1104:BX1110" si="130">IF(C1104=C1103,IF((CI1104-1)=CI1103,BW1103,"no data"))</f>
        <v>73</v>
      </c>
      <c r="BY1104" s="5">
        <f t="shared" ref="BY1104:BY1157" si="131">(BW1104-BX1104)/BX1104</f>
        <v>0.57534246575342463</v>
      </c>
      <c r="BZ1104" s="6">
        <f t="shared" si="128"/>
        <v>0.57534246575342463</v>
      </c>
      <c r="CA1104" s="7">
        <v>41952</v>
      </c>
      <c r="CI1104">
        <f t="shared" si="126"/>
        <v>2014</v>
      </c>
      <c r="CJ1104" t="str">
        <f t="shared" si="127"/>
        <v>6223_2014</v>
      </c>
    </row>
    <row r="1105" spans="1:88" x14ac:dyDescent="0.25">
      <c r="A1105" t="s">
        <v>111</v>
      </c>
      <c r="B1105" t="s">
        <v>402</v>
      </c>
      <c r="C1105">
        <v>6223</v>
      </c>
      <c r="D1105">
        <v>-36.802199999999999</v>
      </c>
      <c r="E1105">
        <v>144.24010000000001</v>
      </c>
      <c r="F1105">
        <v>4</v>
      </c>
      <c r="G1105" t="s">
        <v>404</v>
      </c>
      <c r="H1105">
        <v>5</v>
      </c>
      <c r="I1105">
        <v>185</v>
      </c>
      <c r="J1105">
        <v>97</v>
      </c>
      <c r="K1105">
        <v>277</v>
      </c>
      <c r="L1105">
        <v>185</v>
      </c>
      <c r="M1105">
        <v>5</v>
      </c>
      <c r="N1105">
        <v>281</v>
      </c>
      <c r="O1105">
        <v>101</v>
      </c>
      <c r="T1105">
        <v>8</v>
      </c>
      <c r="U1105">
        <v>45</v>
      </c>
      <c r="V1105">
        <v>0</v>
      </c>
      <c r="Y1105">
        <v>2</v>
      </c>
      <c r="Z1105">
        <v>7</v>
      </c>
      <c r="AA1105">
        <v>8</v>
      </c>
      <c r="AD1105">
        <v>32</v>
      </c>
      <c r="AE1105">
        <v>3</v>
      </c>
      <c r="AF1105">
        <v>1</v>
      </c>
      <c r="AI1105">
        <v>2</v>
      </c>
      <c r="AJ1105">
        <v>11</v>
      </c>
      <c r="AK1105">
        <v>4</v>
      </c>
      <c r="AX1105">
        <v>53</v>
      </c>
      <c r="AY1105">
        <v>36</v>
      </c>
      <c r="AZ1105">
        <v>89</v>
      </c>
      <c r="BA1105">
        <v>17</v>
      </c>
      <c r="BB1105">
        <v>22</v>
      </c>
      <c r="BC1105">
        <v>39</v>
      </c>
      <c r="BD1105">
        <v>36</v>
      </c>
      <c r="BE1105">
        <v>56</v>
      </c>
      <c r="BF1105">
        <v>92</v>
      </c>
      <c r="BG1105">
        <v>17</v>
      </c>
      <c r="BH1105">
        <v>9</v>
      </c>
      <c r="BI1105">
        <v>26</v>
      </c>
      <c r="BP1105">
        <v>58</v>
      </c>
      <c r="BR1105">
        <v>37</v>
      </c>
      <c r="BS1105">
        <v>8</v>
      </c>
      <c r="BT1105">
        <v>16</v>
      </c>
      <c r="BV1105">
        <v>4</v>
      </c>
      <c r="BW1105">
        <v>123</v>
      </c>
      <c r="BX1105">
        <f t="shared" si="130"/>
        <v>115</v>
      </c>
      <c r="BY1105" s="5">
        <f t="shared" si="131"/>
        <v>6.9565217391304349E-2</v>
      </c>
      <c r="BZ1105" s="6">
        <f t="shared" si="128"/>
        <v>6.9565217391304349E-2</v>
      </c>
      <c r="CA1105" s="7">
        <v>42316</v>
      </c>
      <c r="CE1105">
        <v>29</v>
      </c>
      <c r="CF1105">
        <v>32</v>
      </c>
      <c r="CG1105">
        <v>28</v>
      </c>
      <c r="CH1105">
        <v>34</v>
      </c>
      <c r="CI1105">
        <f t="shared" si="126"/>
        <v>2015</v>
      </c>
      <c r="CJ1105" t="str">
        <f t="shared" si="127"/>
        <v>6223_2015</v>
      </c>
    </row>
    <row r="1106" spans="1:88" x14ac:dyDescent="0.25">
      <c r="A1106" t="s">
        <v>111</v>
      </c>
      <c r="B1106" t="s">
        <v>402</v>
      </c>
      <c r="C1106">
        <v>6223</v>
      </c>
      <c r="D1106">
        <v>-36.802231999999997</v>
      </c>
      <c r="E1106">
        <v>144.240094</v>
      </c>
      <c r="F1106">
        <v>4</v>
      </c>
      <c r="G1106" t="s">
        <v>404</v>
      </c>
      <c r="H1106">
        <v>5</v>
      </c>
      <c r="I1106">
        <v>185</v>
      </c>
      <c r="J1106">
        <v>97</v>
      </c>
      <c r="K1106">
        <v>277</v>
      </c>
      <c r="L1106">
        <v>185</v>
      </c>
      <c r="M1106">
        <v>5</v>
      </c>
      <c r="N1106">
        <v>281</v>
      </c>
      <c r="O1106">
        <v>101</v>
      </c>
      <c r="T1106">
        <v>0</v>
      </c>
      <c r="U1106">
        <v>2</v>
      </c>
      <c r="V1106">
        <v>2</v>
      </c>
      <c r="Y1106">
        <v>0</v>
      </c>
      <c r="Z1106">
        <v>0</v>
      </c>
      <c r="AA1106">
        <v>0</v>
      </c>
      <c r="AD1106">
        <v>1</v>
      </c>
      <c r="AE1106">
        <v>0</v>
      </c>
      <c r="AF1106">
        <v>0</v>
      </c>
      <c r="AI1106">
        <v>0</v>
      </c>
      <c r="AJ1106">
        <v>2</v>
      </c>
      <c r="AK1106">
        <v>0</v>
      </c>
      <c r="AX1106">
        <v>4</v>
      </c>
      <c r="AY1106">
        <v>1</v>
      </c>
      <c r="AZ1106">
        <v>5</v>
      </c>
      <c r="BA1106">
        <v>0</v>
      </c>
      <c r="BB1106">
        <v>2</v>
      </c>
      <c r="BC1106">
        <v>2</v>
      </c>
      <c r="BD1106">
        <v>1</v>
      </c>
      <c r="BE1106">
        <v>2</v>
      </c>
      <c r="BF1106">
        <v>3</v>
      </c>
      <c r="BG1106">
        <v>2</v>
      </c>
      <c r="BH1106">
        <v>2</v>
      </c>
      <c r="BI1106">
        <v>4</v>
      </c>
      <c r="BP1106">
        <v>3</v>
      </c>
      <c r="BR1106">
        <v>2</v>
      </c>
      <c r="BS1106">
        <v>1</v>
      </c>
      <c r="BT1106">
        <v>1</v>
      </c>
      <c r="BV1106">
        <v>0</v>
      </c>
      <c r="BW1106">
        <v>7</v>
      </c>
      <c r="BX1106">
        <f t="shared" si="130"/>
        <v>123</v>
      </c>
      <c r="BY1106" s="5">
        <f t="shared" si="131"/>
        <v>-0.94308943089430897</v>
      </c>
      <c r="BZ1106" s="6">
        <f t="shared" si="128"/>
        <v>-0.94308943089430897</v>
      </c>
      <c r="CA1106" s="7">
        <v>42687</v>
      </c>
      <c r="CE1106">
        <v>2</v>
      </c>
      <c r="CF1106">
        <v>0</v>
      </c>
      <c r="CG1106">
        <v>0</v>
      </c>
      <c r="CH1106">
        <v>5</v>
      </c>
      <c r="CI1106">
        <f t="shared" si="126"/>
        <v>2016</v>
      </c>
      <c r="CJ1106" t="str">
        <f t="shared" si="127"/>
        <v>6223_2016</v>
      </c>
    </row>
    <row r="1107" spans="1:88" x14ac:dyDescent="0.25">
      <c r="A1107" t="s">
        <v>111</v>
      </c>
      <c r="B1107" t="s">
        <v>402</v>
      </c>
      <c r="C1107">
        <v>6223</v>
      </c>
      <c r="D1107">
        <v>-36.802231999999997</v>
      </c>
      <c r="E1107">
        <v>144.240094</v>
      </c>
      <c r="F1107">
        <v>4</v>
      </c>
      <c r="G1107" t="s">
        <v>404</v>
      </c>
      <c r="H1107">
        <v>5</v>
      </c>
      <c r="I1107">
        <v>185</v>
      </c>
      <c r="J1107">
        <v>97</v>
      </c>
      <c r="K1107">
        <v>277</v>
      </c>
      <c r="L1107">
        <v>185</v>
      </c>
      <c r="M1107">
        <v>5</v>
      </c>
      <c r="N1107">
        <v>281</v>
      </c>
      <c r="O1107">
        <v>101</v>
      </c>
      <c r="T1107">
        <v>0</v>
      </c>
      <c r="U1107">
        <v>34</v>
      </c>
      <c r="V1107">
        <v>1</v>
      </c>
      <c r="Y1107">
        <v>0</v>
      </c>
      <c r="Z1107">
        <v>0</v>
      </c>
      <c r="AA1107">
        <v>9</v>
      </c>
      <c r="AD1107">
        <v>12</v>
      </c>
      <c r="AE1107">
        <v>0</v>
      </c>
      <c r="AF1107">
        <v>5</v>
      </c>
      <c r="AI1107">
        <v>4</v>
      </c>
      <c r="AJ1107">
        <v>11</v>
      </c>
      <c r="AK1107">
        <v>1</v>
      </c>
      <c r="AX1107">
        <v>35</v>
      </c>
      <c r="AY1107">
        <v>16</v>
      </c>
      <c r="AZ1107">
        <v>51</v>
      </c>
      <c r="BA1107">
        <v>9</v>
      </c>
      <c r="BB1107">
        <v>11</v>
      </c>
      <c r="BC1107">
        <v>20</v>
      </c>
      <c r="BD1107">
        <v>17</v>
      </c>
      <c r="BE1107">
        <v>35</v>
      </c>
      <c r="BF1107">
        <v>52</v>
      </c>
      <c r="BG1107">
        <v>16</v>
      </c>
      <c r="BH1107">
        <v>15</v>
      </c>
      <c r="BI1107">
        <v>31</v>
      </c>
      <c r="BP1107">
        <v>30</v>
      </c>
      <c r="BR1107">
        <v>37</v>
      </c>
      <c r="BS1107">
        <v>1</v>
      </c>
      <c r="BT1107">
        <v>7</v>
      </c>
      <c r="BV1107">
        <v>2</v>
      </c>
      <c r="BW1107">
        <v>77</v>
      </c>
      <c r="BX1107">
        <f t="shared" si="130"/>
        <v>7</v>
      </c>
      <c r="BY1107" s="5">
        <f t="shared" si="131"/>
        <v>10</v>
      </c>
      <c r="BZ1107" s="6">
        <f t="shared" si="128"/>
        <v>10</v>
      </c>
      <c r="CA1107" s="7">
        <v>43051</v>
      </c>
      <c r="CE1107">
        <v>44</v>
      </c>
      <c r="CF1107">
        <v>23</v>
      </c>
      <c r="CG1107">
        <v>7</v>
      </c>
      <c r="CH1107">
        <v>3</v>
      </c>
      <c r="CI1107">
        <f t="shared" si="126"/>
        <v>2017</v>
      </c>
      <c r="CJ1107" t="str">
        <f t="shared" si="127"/>
        <v>6223_2017</v>
      </c>
    </row>
    <row r="1108" spans="1:88" x14ac:dyDescent="0.25">
      <c r="A1108" t="s">
        <v>111</v>
      </c>
      <c r="B1108" t="s">
        <v>402</v>
      </c>
      <c r="C1108">
        <v>6223</v>
      </c>
      <c r="D1108">
        <v>-36.802231999999997</v>
      </c>
      <c r="E1108">
        <v>144.240094</v>
      </c>
      <c r="F1108">
        <v>4</v>
      </c>
      <c r="G1108" t="s">
        <v>404</v>
      </c>
      <c r="H1108">
        <v>5</v>
      </c>
      <c r="I1108">
        <v>185</v>
      </c>
      <c r="J1108">
        <v>97</v>
      </c>
      <c r="K1108">
        <v>277</v>
      </c>
      <c r="L1108">
        <v>185</v>
      </c>
      <c r="M1108">
        <v>5</v>
      </c>
      <c r="N1108">
        <v>281</v>
      </c>
      <c r="O1108">
        <v>101</v>
      </c>
      <c r="T1108">
        <v>0</v>
      </c>
      <c r="U1108">
        <v>38</v>
      </c>
      <c r="V1108">
        <v>2</v>
      </c>
      <c r="Y1108">
        <v>1</v>
      </c>
      <c r="Z1108">
        <v>3</v>
      </c>
      <c r="AA1108">
        <v>19</v>
      </c>
      <c r="AD1108">
        <v>35</v>
      </c>
      <c r="AE1108">
        <v>2</v>
      </c>
      <c r="AF1108">
        <v>4</v>
      </c>
      <c r="AI1108">
        <v>0</v>
      </c>
      <c r="AJ1108">
        <v>19</v>
      </c>
      <c r="AK1108">
        <v>7</v>
      </c>
      <c r="AX1108">
        <v>40</v>
      </c>
      <c r="AY1108">
        <v>36</v>
      </c>
      <c r="AZ1108">
        <v>76</v>
      </c>
      <c r="BA1108">
        <v>23</v>
      </c>
      <c r="BB1108">
        <v>21</v>
      </c>
      <c r="BC1108">
        <v>44</v>
      </c>
      <c r="BD1108">
        <v>41</v>
      </c>
      <c r="BE1108">
        <v>48</v>
      </c>
      <c r="BF1108">
        <v>89</v>
      </c>
      <c r="BG1108">
        <v>26</v>
      </c>
      <c r="BH1108">
        <v>25</v>
      </c>
      <c r="BI1108">
        <v>51</v>
      </c>
      <c r="BP1108">
        <v>50</v>
      </c>
      <c r="BR1108">
        <v>58</v>
      </c>
      <c r="BS1108">
        <v>2</v>
      </c>
      <c r="BT1108">
        <v>17</v>
      </c>
      <c r="BV1108">
        <v>3</v>
      </c>
      <c r="BW1108">
        <v>130</v>
      </c>
      <c r="BX1108">
        <f t="shared" si="130"/>
        <v>77</v>
      </c>
      <c r="BY1108" s="5">
        <f t="shared" si="131"/>
        <v>0.68831168831168832</v>
      </c>
      <c r="BZ1108" s="6">
        <f t="shared" si="128"/>
        <v>0.68831168831168832</v>
      </c>
      <c r="CA1108" s="7">
        <v>43415</v>
      </c>
      <c r="CE1108">
        <v>38</v>
      </c>
      <c r="CF1108">
        <v>34</v>
      </c>
      <c r="CG1108">
        <v>33</v>
      </c>
      <c r="CH1108">
        <v>25</v>
      </c>
      <c r="CI1108">
        <f t="shared" si="126"/>
        <v>2018</v>
      </c>
      <c r="CJ1108" t="str">
        <f t="shared" si="127"/>
        <v>6223_2018</v>
      </c>
    </row>
    <row r="1109" spans="1:88" x14ac:dyDescent="0.25">
      <c r="A1109" t="s">
        <v>111</v>
      </c>
      <c r="B1109" t="s">
        <v>402</v>
      </c>
      <c r="C1109">
        <v>6223</v>
      </c>
      <c r="D1109">
        <v>-36.802199999999999</v>
      </c>
      <c r="E1109">
        <v>144.24010000000001</v>
      </c>
      <c r="F1109">
        <v>4</v>
      </c>
      <c r="G1109" t="s">
        <v>404</v>
      </c>
      <c r="H1109">
        <v>5</v>
      </c>
      <c r="I1109">
        <v>185</v>
      </c>
      <c r="J1109">
        <v>97</v>
      </c>
      <c r="K1109">
        <v>277</v>
      </c>
      <c r="L1109">
        <v>185</v>
      </c>
      <c r="M1109">
        <v>5</v>
      </c>
      <c r="N1109">
        <v>281</v>
      </c>
      <c r="O1109">
        <v>101</v>
      </c>
      <c r="T1109">
        <v>3</v>
      </c>
      <c r="U1109">
        <v>14</v>
      </c>
      <c r="V1109">
        <v>4</v>
      </c>
      <c r="Y1109">
        <v>3</v>
      </c>
      <c r="Z1109">
        <v>0</v>
      </c>
      <c r="AA1109">
        <v>12</v>
      </c>
      <c r="AD1109">
        <v>17</v>
      </c>
      <c r="AE1109">
        <v>0</v>
      </c>
      <c r="AF1109">
        <v>0</v>
      </c>
      <c r="AI1109">
        <v>6</v>
      </c>
      <c r="AJ1109">
        <v>14</v>
      </c>
      <c r="AK1109">
        <v>4</v>
      </c>
      <c r="AX1109">
        <v>21</v>
      </c>
      <c r="AY1109">
        <v>26</v>
      </c>
      <c r="AZ1109">
        <v>47</v>
      </c>
      <c r="BA1109">
        <v>15</v>
      </c>
      <c r="BB1109">
        <v>17</v>
      </c>
      <c r="BC1109">
        <v>32</v>
      </c>
      <c r="BD1109">
        <v>17</v>
      </c>
      <c r="BE1109">
        <v>18</v>
      </c>
      <c r="BF1109">
        <v>35</v>
      </c>
      <c r="BG1109">
        <v>24</v>
      </c>
      <c r="BH1109">
        <v>16</v>
      </c>
      <c r="BI1109">
        <v>40</v>
      </c>
      <c r="BP1109">
        <v>25</v>
      </c>
      <c r="BR1109">
        <v>42</v>
      </c>
      <c r="BS1109">
        <v>1</v>
      </c>
      <c r="BT1109">
        <v>9</v>
      </c>
      <c r="BV1109">
        <v>0</v>
      </c>
      <c r="BW1109">
        <v>77</v>
      </c>
      <c r="BX1109">
        <f t="shared" si="130"/>
        <v>130</v>
      </c>
      <c r="BY1109" s="5">
        <f t="shared" si="131"/>
        <v>-0.40769230769230769</v>
      </c>
      <c r="BZ1109" s="6">
        <f t="shared" si="128"/>
        <v>-0.40769230769230769</v>
      </c>
      <c r="CA1109" s="7">
        <v>43779</v>
      </c>
      <c r="CE1109">
        <v>20</v>
      </c>
      <c r="CF1109">
        <v>14</v>
      </c>
      <c r="CG1109">
        <v>22</v>
      </c>
      <c r="CH1109">
        <v>21</v>
      </c>
      <c r="CI1109">
        <f t="shared" si="126"/>
        <v>2019</v>
      </c>
      <c r="CJ1109" t="str">
        <f t="shared" si="127"/>
        <v>6223_2019</v>
      </c>
    </row>
    <row r="1110" spans="1:88" x14ac:dyDescent="0.25">
      <c r="A1110" t="s">
        <v>111</v>
      </c>
      <c r="B1110" t="s">
        <v>402</v>
      </c>
      <c r="C1110">
        <v>6223</v>
      </c>
      <c r="D1110">
        <v>-36.802231999999997</v>
      </c>
      <c r="E1110">
        <v>144.240094</v>
      </c>
      <c r="F1110">
        <v>4</v>
      </c>
      <c r="G1110" t="s">
        <v>404</v>
      </c>
      <c r="H1110">
        <v>5</v>
      </c>
      <c r="I1110">
        <v>185</v>
      </c>
      <c r="J1110">
        <v>97</v>
      </c>
      <c r="K1110">
        <v>277</v>
      </c>
      <c r="L1110">
        <v>185</v>
      </c>
      <c r="M1110">
        <v>5</v>
      </c>
      <c r="N1110">
        <v>281</v>
      </c>
      <c r="O1110">
        <v>101</v>
      </c>
      <c r="T1110">
        <v>0</v>
      </c>
      <c r="U1110">
        <v>16</v>
      </c>
      <c r="V1110">
        <v>0</v>
      </c>
      <c r="Y1110">
        <v>6</v>
      </c>
      <c r="Z1110">
        <v>5</v>
      </c>
      <c r="AA1110">
        <v>13</v>
      </c>
      <c r="AD1110">
        <v>22</v>
      </c>
      <c r="AE1110">
        <v>1</v>
      </c>
      <c r="AF1110">
        <v>1</v>
      </c>
      <c r="AI1110">
        <v>1</v>
      </c>
      <c r="AJ1110">
        <v>12</v>
      </c>
      <c r="AK1110">
        <v>2</v>
      </c>
      <c r="AX1110">
        <v>16</v>
      </c>
      <c r="AY1110">
        <v>29</v>
      </c>
      <c r="AZ1110">
        <v>45</v>
      </c>
      <c r="BA1110">
        <v>24</v>
      </c>
      <c r="BB1110">
        <v>13</v>
      </c>
      <c r="BC1110">
        <v>37</v>
      </c>
      <c r="BD1110">
        <v>24</v>
      </c>
      <c r="BE1110">
        <v>23</v>
      </c>
      <c r="BF1110">
        <v>47</v>
      </c>
      <c r="BG1110">
        <v>15</v>
      </c>
      <c r="BH1110">
        <v>14</v>
      </c>
      <c r="BI1110">
        <v>29</v>
      </c>
      <c r="BP1110">
        <v>34</v>
      </c>
      <c r="BR1110">
        <v>32</v>
      </c>
      <c r="BS1110">
        <v>4</v>
      </c>
      <c r="BT1110">
        <v>8</v>
      </c>
      <c r="BU1110">
        <v>1</v>
      </c>
      <c r="BV1110">
        <v>0</v>
      </c>
      <c r="BW1110">
        <v>79</v>
      </c>
      <c r="BX1110" t="str">
        <f t="shared" si="130"/>
        <v>no data</v>
      </c>
      <c r="BY1110" s="5"/>
      <c r="BZ1110" s="6"/>
      <c r="CA1110" s="7">
        <v>44878</v>
      </c>
      <c r="CE1110">
        <v>34</v>
      </c>
      <c r="CF1110">
        <v>20</v>
      </c>
      <c r="CG1110">
        <v>25</v>
      </c>
      <c r="CI1110">
        <f t="shared" si="126"/>
        <v>2022</v>
      </c>
      <c r="CJ1110" t="str">
        <f t="shared" si="127"/>
        <v>6223_2022</v>
      </c>
    </row>
    <row r="1111" spans="1:88" x14ac:dyDescent="0.25">
      <c r="A1111" t="s">
        <v>111</v>
      </c>
      <c r="B1111" t="s">
        <v>402</v>
      </c>
      <c r="C1111">
        <v>6224</v>
      </c>
      <c r="D1111">
        <v>-36.7239</v>
      </c>
      <c r="E1111">
        <v>144.30500000000001</v>
      </c>
      <c r="F1111">
        <v>3</v>
      </c>
      <c r="G1111" t="s">
        <v>405</v>
      </c>
      <c r="H1111">
        <v>28</v>
      </c>
      <c r="I1111">
        <v>208</v>
      </c>
      <c r="J1111">
        <v>117</v>
      </c>
      <c r="K1111">
        <v>297</v>
      </c>
      <c r="L1111">
        <v>208</v>
      </c>
      <c r="M1111">
        <v>28</v>
      </c>
      <c r="T1111">
        <v>1</v>
      </c>
      <c r="U1111">
        <v>24</v>
      </c>
      <c r="Y1111">
        <v>2</v>
      </c>
      <c r="Z1111">
        <v>10</v>
      </c>
      <c r="AD1111">
        <v>16</v>
      </c>
      <c r="AE1111">
        <v>12</v>
      </c>
      <c r="AX1111">
        <v>25</v>
      </c>
      <c r="AY1111">
        <v>18</v>
      </c>
      <c r="AZ1111">
        <v>43</v>
      </c>
      <c r="BA1111">
        <v>12</v>
      </c>
      <c r="BB1111">
        <v>13</v>
      </c>
      <c r="BC1111">
        <v>25</v>
      </c>
      <c r="BD1111">
        <v>28</v>
      </c>
      <c r="BE1111">
        <v>34</v>
      </c>
      <c r="BF1111">
        <v>62</v>
      </c>
      <c r="BP1111">
        <v>33</v>
      </c>
      <c r="BR1111">
        <v>25</v>
      </c>
      <c r="BS1111">
        <v>2</v>
      </c>
      <c r="BT1111">
        <v>5</v>
      </c>
      <c r="BV1111">
        <v>0</v>
      </c>
      <c r="BW1111">
        <v>65</v>
      </c>
      <c r="BX1111" t="s">
        <v>82</v>
      </c>
      <c r="BY1111" s="5"/>
      <c r="BZ1111" s="6"/>
      <c r="CA1111" s="7">
        <v>41588</v>
      </c>
      <c r="CI1111">
        <f t="shared" si="126"/>
        <v>2013</v>
      </c>
      <c r="CJ1111" t="str">
        <f t="shared" si="127"/>
        <v>6224_2013</v>
      </c>
    </row>
    <row r="1112" spans="1:88" x14ac:dyDescent="0.25">
      <c r="A1112" t="s">
        <v>111</v>
      </c>
      <c r="B1112" t="s">
        <v>402</v>
      </c>
      <c r="C1112">
        <v>6224</v>
      </c>
      <c r="D1112">
        <v>-36.7239</v>
      </c>
      <c r="E1112">
        <v>144.30500000000001</v>
      </c>
      <c r="F1112">
        <v>3</v>
      </c>
      <c r="G1112" t="s">
        <v>405</v>
      </c>
      <c r="H1112">
        <v>28</v>
      </c>
      <c r="I1112">
        <v>208</v>
      </c>
      <c r="J1112">
        <v>117</v>
      </c>
      <c r="K1112">
        <v>297</v>
      </c>
      <c r="L1112">
        <v>208</v>
      </c>
      <c r="M1112">
        <v>28</v>
      </c>
      <c r="T1112">
        <v>11</v>
      </c>
      <c r="U1112">
        <v>50</v>
      </c>
      <c r="Y1112">
        <v>18</v>
      </c>
      <c r="Z1112">
        <v>27</v>
      </c>
      <c r="AD1112">
        <v>39</v>
      </c>
      <c r="AE1112">
        <v>28</v>
      </c>
      <c r="AX1112">
        <v>61</v>
      </c>
      <c r="AY1112">
        <v>57</v>
      </c>
      <c r="AZ1112">
        <v>118</v>
      </c>
      <c r="BA1112">
        <v>45</v>
      </c>
      <c r="BB1112">
        <v>39</v>
      </c>
      <c r="BC1112">
        <v>84</v>
      </c>
      <c r="BD1112">
        <v>67</v>
      </c>
      <c r="BE1112">
        <v>77</v>
      </c>
      <c r="BF1112">
        <v>144</v>
      </c>
      <c r="BP1112">
        <v>98</v>
      </c>
      <c r="BR1112">
        <v>41</v>
      </c>
      <c r="BS1112">
        <v>17</v>
      </c>
      <c r="BT1112">
        <v>12</v>
      </c>
      <c r="BV1112">
        <v>5</v>
      </c>
      <c r="BW1112">
        <v>173</v>
      </c>
      <c r="BX1112">
        <f t="shared" ref="BX1112:BX1118" si="132">IF(C1112=C1111,IF((CI1112-1)=CI1111,BW1111,"no data"))</f>
        <v>65</v>
      </c>
      <c r="BY1112" s="5">
        <f t="shared" si="131"/>
        <v>1.6615384615384616</v>
      </c>
      <c r="BZ1112" s="6">
        <f t="shared" si="128"/>
        <v>1.6615384615384616</v>
      </c>
      <c r="CA1112" s="7">
        <v>41952</v>
      </c>
      <c r="CI1112">
        <f t="shared" si="126"/>
        <v>2014</v>
      </c>
      <c r="CJ1112" t="str">
        <f t="shared" si="127"/>
        <v>6224_2014</v>
      </c>
    </row>
    <row r="1113" spans="1:88" x14ac:dyDescent="0.25">
      <c r="A1113" t="s">
        <v>111</v>
      </c>
      <c r="B1113" t="s">
        <v>402</v>
      </c>
      <c r="C1113">
        <v>6224</v>
      </c>
      <c r="D1113">
        <v>-36.7239</v>
      </c>
      <c r="E1113">
        <v>144.30500000000001</v>
      </c>
      <c r="F1113">
        <v>3</v>
      </c>
      <c r="G1113" t="s">
        <v>405</v>
      </c>
      <c r="H1113">
        <v>28</v>
      </c>
      <c r="I1113">
        <v>208</v>
      </c>
      <c r="J1113">
        <v>117</v>
      </c>
      <c r="K1113">
        <v>297</v>
      </c>
      <c r="L1113">
        <v>208</v>
      </c>
      <c r="M1113">
        <v>28</v>
      </c>
      <c r="T1113">
        <v>6</v>
      </c>
      <c r="U1113">
        <v>39</v>
      </c>
      <c r="Y1113">
        <v>11</v>
      </c>
      <c r="Z1113">
        <v>63</v>
      </c>
      <c r="AD1113">
        <v>34</v>
      </c>
      <c r="AE1113">
        <v>58</v>
      </c>
      <c r="AX1113">
        <v>45</v>
      </c>
      <c r="AY1113">
        <v>45</v>
      </c>
      <c r="AZ1113">
        <v>90</v>
      </c>
      <c r="BA1113">
        <v>74</v>
      </c>
      <c r="BB1113">
        <v>64</v>
      </c>
      <c r="BC1113">
        <v>138</v>
      </c>
      <c r="BD1113">
        <v>92</v>
      </c>
      <c r="BE1113">
        <v>102</v>
      </c>
      <c r="BF1113">
        <v>194</v>
      </c>
      <c r="BP1113">
        <v>119</v>
      </c>
      <c r="BR1113">
        <v>60</v>
      </c>
      <c r="BS1113">
        <v>9</v>
      </c>
      <c r="BT1113">
        <v>17</v>
      </c>
      <c r="BV1113">
        <v>6</v>
      </c>
      <c r="BW1113">
        <v>211</v>
      </c>
      <c r="BX1113">
        <f t="shared" si="132"/>
        <v>173</v>
      </c>
      <c r="BY1113" s="5">
        <f t="shared" si="131"/>
        <v>0.21965317919075145</v>
      </c>
      <c r="BZ1113" s="6">
        <f t="shared" si="128"/>
        <v>0.21965317919075145</v>
      </c>
      <c r="CA1113" s="7">
        <v>42316</v>
      </c>
      <c r="CE1113">
        <v>41</v>
      </c>
      <c r="CF1113">
        <v>79</v>
      </c>
      <c r="CG1113">
        <v>60</v>
      </c>
      <c r="CH1113">
        <v>31</v>
      </c>
      <c r="CI1113">
        <f t="shared" si="126"/>
        <v>2015</v>
      </c>
      <c r="CJ1113" t="str">
        <f t="shared" si="127"/>
        <v>6224_2015</v>
      </c>
    </row>
    <row r="1114" spans="1:88" x14ac:dyDescent="0.25">
      <c r="A1114" t="s">
        <v>111</v>
      </c>
      <c r="B1114" t="s">
        <v>402</v>
      </c>
      <c r="C1114">
        <v>6224</v>
      </c>
      <c r="D1114">
        <v>-36.723945999999998</v>
      </c>
      <c r="E1114">
        <v>144.305046</v>
      </c>
      <c r="F1114">
        <v>3</v>
      </c>
      <c r="G1114" t="s">
        <v>405</v>
      </c>
      <c r="H1114">
        <v>28</v>
      </c>
      <c r="I1114">
        <v>208</v>
      </c>
      <c r="J1114">
        <v>117</v>
      </c>
      <c r="K1114">
        <v>297</v>
      </c>
      <c r="L1114">
        <v>208</v>
      </c>
      <c r="M1114">
        <v>28</v>
      </c>
      <c r="T1114">
        <v>0</v>
      </c>
      <c r="U1114">
        <v>1</v>
      </c>
      <c r="Y1114">
        <v>0</v>
      </c>
      <c r="Z1114">
        <v>0</v>
      </c>
      <c r="AD1114">
        <v>0</v>
      </c>
      <c r="AE1114">
        <v>3</v>
      </c>
      <c r="AX1114">
        <v>1</v>
      </c>
      <c r="AY1114">
        <v>0</v>
      </c>
      <c r="AZ1114">
        <v>1</v>
      </c>
      <c r="BA1114">
        <v>0</v>
      </c>
      <c r="BB1114">
        <v>3</v>
      </c>
      <c r="BC1114">
        <v>3</v>
      </c>
      <c r="BD1114">
        <v>3</v>
      </c>
      <c r="BE1114">
        <v>1</v>
      </c>
      <c r="BF1114">
        <v>4</v>
      </c>
      <c r="BP1114">
        <v>4</v>
      </c>
      <c r="BR1114">
        <v>0</v>
      </c>
      <c r="BS1114">
        <v>0</v>
      </c>
      <c r="BT1114">
        <v>0</v>
      </c>
      <c r="BV1114">
        <v>0</v>
      </c>
      <c r="BW1114">
        <v>4</v>
      </c>
      <c r="BX1114">
        <f t="shared" si="132"/>
        <v>211</v>
      </c>
      <c r="BY1114" s="5">
        <f t="shared" si="131"/>
        <v>-0.98104265402843605</v>
      </c>
      <c r="BZ1114" s="6">
        <f t="shared" si="128"/>
        <v>-0.98104265402843605</v>
      </c>
      <c r="CA1114" s="7">
        <v>42687</v>
      </c>
      <c r="CE1114">
        <v>0</v>
      </c>
      <c r="CF1114">
        <v>0</v>
      </c>
      <c r="CG1114">
        <v>0</v>
      </c>
      <c r="CH1114">
        <v>4</v>
      </c>
      <c r="CI1114">
        <f t="shared" si="126"/>
        <v>2016</v>
      </c>
      <c r="CJ1114" t="str">
        <f t="shared" si="127"/>
        <v>6224_2016</v>
      </c>
    </row>
    <row r="1115" spans="1:88" x14ac:dyDescent="0.25">
      <c r="A1115" t="s">
        <v>111</v>
      </c>
      <c r="B1115" t="s">
        <v>402</v>
      </c>
      <c r="C1115">
        <v>6224</v>
      </c>
      <c r="D1115">
        <v>-36.723945999999998</v>
      </c>
      <c r="E1115">
        <v>144.305046</v>
      </c>
      <c r="F1115">
        <v>3</v>
      </c>
      <c r="G1115" t="s">
        <v>405</v>
      </c>
      <c r="H1115">
        <v>28</v>
      </c>
      <c r="I1115">
        <v>208</v>
      </c>
      <c r="J1115">
        <v>117</v>
      </c>
      <c r="K1115">
        <v>297</v>
      </c>
      <c r="L1115">
        <v>208</v>
      </c>
      <c r="M1115">
        <v>28</v>
      </c>
      <c r="T1115">
        <v>26</v>
      </c>
      <c r="U1115">
        <v>30</v>
      </c>
      <c r="Y1115">
        <v>19</v>
      </c>
      <c r="Z1115">
        <v>30</v>
      </c>
      <c r="AD1115">
        <v>24</v>
      </c>
      <c r="AE1115">
        <v>37</v>
      </c>
      <c r="AX1115">
        <v>56</v>
      </c>
      <c r="AY1115">
        <v>43</v>
      </c>
      <c r="AZ1115">
        <v>99</v>
      </c>
      <c r="BA1115">
        <v>49</v>
      </c>
      <c r="BB1115">
        <v>63</v>
      </c>
      <c r="BC1115">
        <v>112</v>
      </c>
      <c r="BD1115">
        <v>61</v>
      </c>
      <c r="BE1115">
        <v>60</v>
      </c>
      <c r="BF1115">
        <v>121</v>
      </c>
      <c r="BP1115">
        <v>81</v>
      </c>
      <c r="BR1115">
        <v>43</v>
      </c>
      <c r="BS1115">
        <v>20</v>
      </c>
      <c r="BT1115">
        <v>14</v>
      </c>
      <c r="BV1115">
        <v>8</v>
      </c>
      <c r="BW1115">
        <v>166</v>
      </c>
      <c r="BX1115">
        <f t="shared" si="132"/>
        <v>4</v>
      </c>
      <c r="BY1115" s="5">
        <f t="shared" si="131"/>
        <v>40.5</v>
      </c>
      <c r="BZ1115" s="6">
        <f t="shared" si="128"/>
        <v>40.5</v>
      </c>
      <c r="CA1115" s="7">
        <v>43051</v>
      </c>
      <c r="CE1115">
        <v>53</v>
      </c>
      <c r="CF1115">
        <v>69</v>
      </c>
      <c r="CG1115">
        <v>39</v>
      </c>
      <c r="CH1115">
        <v>5</v>
      </c>
      <c r="CI1115">
        <f t="shared" si="126"/>
        <v>2017</v>
      </c>
      <c r="CJ1115" t="str">
        <f t="shared" si="127"/>
        <v>6224_2017</v>
      </c>
    </row>
    <row r="1116" spans="1:88" x14ac:dyDescent="0.25">
      <c r="A1116" t="s">
        <v>111</v>
      </c>
      <c r="B1116" t="s">
        <v>402</v>
      </c>
      <c r="C1116">
        <v>6224</v>
      </c>
      <c r="D1116">
        <v>-36.723945999999998</v>
      </c>
      <c r="E1116">
        <v>144.305046</v>
      </c>
      <c r="F1116">
        <v>3</v>
      </c>
      <c r="G1116" t="s">
        <v>405</v>
      </c>
      <c r="H1116">
        <v>28</v>
      </c>
      <c r="I1116">
        <v>208</v>
      </c>
      <c r="J1116">
        <v>117</v>
      </c>
      <c r="K1116">
        <v>297</v>
      </c>
      <c r="L1116">
        <v>208</v>
      </c>
      <c r="M1116">
        <v>28</v>
      </c>
      <c r="T1116">
        <v>17</v>
      </c>
      <c r="U1116">
        <v>68</v>
      </c>
      <c r="Y1116">
        <v>11</v>
      </c>
      <c r="Z1116">
        <v>61</v>
      </c>
      <c r="AD1116">
        <v>75</v>
      </c>
      <c r="AE1116">
        <v>44</v>
      </c>
      <c r="AX1116">
        <v>85</v>
      </c>
      <c r="AY1116">
        <v>86</v>
      </c>
      <c r="AZ1116">
        <v>171</v>
      </c>
      <c r="BA1116">
        <v>72</v>
      </c>
      <c r="BB1116">
        <v>61</v>
      </c>
      <c r="BC1116">
        <v>133</v>
      </c>
      <c r="BD1116">
        <v>119</v>
      </c>
      <c r="BE1116">
        <v>129</v>
      </c>
      <c r="BF1116">
        <v>248</v>
      </c>
      <c r="BP1116">
        <v>147</v>
      </c>
      <c r="BR1116">
        <v>87</v>
      </c>
      <c r="BS1116">
        <v>18</v>
      </c>
      <c r="BT1116">
        <v>22</v>
      </c>
      <c r="BV1116">
        <v>2</v>
      </c>
      <c r="BW1116">
        <v>276</v>
      </c>
      <c r="BX1116">
        <f t="shared" si="132"/>
        <v>166</v>
      </c>
      <c r="BY1116" s="5">
        <f t="shared" si="131"/>
        <v>0.66265060240963858</v>
      </c>
      <c r="BZ1116" s="6">
        <f t="shared" si="128"/>
        <v>0.66265060240963858</v>
      </c>
      <c r="CA1116" s="7">
        <v>43415</v>
      </c>
      <c r="CE1116">
        <v>81</v>
      </c>
      <c r="CF1116">
        <v>75</v>
      </c>
      <c r="CG1116">
        <v>56</v>
      </c>
      <c r="CH1116">
        <v>64</v>
      </c>
      <c r="CI1116">
        <f t="shared" si="126"/>
        <v>2018</v>
      </c>
      <c r="CJ1116" t="str">
        <f t="shared" si="127"/>
        <v>6224_2018</v>
      </c>
    </row>
    <row r="1117" spans="1:88" x14ac:dyDescent="0.25">
      <c r="A1117" t="s">
        <v>111</v>
      </c>
      <c r="B1117" t="s">
        <v>402</v>
      </c>
      <c r="C1117">
        <v>6224</v>
      </c>
      <c r="D1117">
        <v>-36.7239</v>
      </c>
      <c r="E1117">
        <v>144.30500000000001</v>
      </c>
      <c r="F1117">
        <v>3</v>
      </c>
      <c r="G1117" t="s">
        <v>405</v>
      </c>
      <c r="H1117">
        <v>28</v>
      </c>
      <c r="I1117">
        <v>208</v>
      </c>
      <c r="J1117">
        <v>117</v>
      </c>
      <c r="K1117">
        <v>297</v>
      </c>
      <c r="L1117">
        <v>208</v>
      </c>
      <c r="M1117">
        <v>28</v>
      </c>
      <c r="T1117">
        <v>19</v>
      </c>
      <c r="U1117">
        <v>70</v>
      </c>
      <c r="Y1117">
        <v>27</v>
      </c>
      <c r="Z1117">
        <v>40</v>
      </c>
      <c r="AD1117">
        <v>55</v>
      </c>
      <c r="AE1117">
        <v>36</v>
      </c>
      <c r="AX1117">
        <v>89</v>
      </c>
      <c r="AY1117">
        <v>82</v>
      </c>
      <c r="AZ1117">
        <v>171</v>
      </c>
      <c r="BA1117">
        <v>67</v>
      </c>
      <c r="BB1117">
        <v>55</v>
      </c>
      <c r="BC1117">
        <v>122</v>
      </c>
      <c r="BD1117">
        <v>91</v>
      </c>
      <c r="BE1117">
        <v>110</v>
      </c>
      <c r="BF1117">
        <v>201</v>
      </c>
      <c r="BP1117">
        <v>100</v>
      </c>
      <c r="BR1117">
        <v>101</v>
      </c>
      <c r="BS1117">
        <v>7</v>
      </c>
      <c r="BT1117">
        <v>29</v>
      </c>
      <c r="BV1117">
        <v>10</v>
      </c>
      <c r="BW1117">
        <v>247</v>
      </c>
      <c r="BX1117">
        <f t="shared" si="132"/>
        <v>276</v>
      </c>
      <c r="BY1117" s="5">
        <f t="shared" si="131"/>
        <v>-0.10507246376811594</v>
      </c>
      <c r="BZ1117" s="6">
        <f t="shared" si="128"/>
        <v>-0.10507246376811594</v>
      </c>
      <c r="CA1117" s="7">
        <v>43779</v>
      </c>
      <c r="CE1117">
        <v>75</v>
      </c>
      <c r="CF1117">
        <v>61</v>
      </c>
      <c r="CG1117">
        <v>66</v>
      </c>
      <c r="CH1117">
        <v>45</v>
      </c>
      <c r="CI1117">
        <f t="shared" si="126"/>
        <v>2019</v>
      </c>
      <c r="CJ1117" t="str">
        <f t="shared" si="127"/>
        <v>6224_2019</v>
      </c>
    </row>
    <row r="1118" spans="1:88" x14ac:dyDescent="0.25">
      <c r="A1118" t="s">
        <v>111</v>
      </c>
      <c r="B1118" t="s">
        <v>402</v>
      </c>
      <c r="C1118">
        <v>6224</v>
      </c>
      <c r="D1118">
        <v>-36.723945999999998</v>
      </c>
      <c r="E1118">
        <v>144.305046</v>
      </c>
      <c r="F1118">
        <v>3</v>
      </c>
      <c r="G1118" t="s">
        <v>405</v>
      </c>
      <c r="H1118">
        <v>28</v>
      </c>
      <c r="I1118">
        <v>208</v>
      </c>
      <c r="J1118">
        <v>117</v>
      </c>
      <c r="K1118">
        <v>297</v>
      </c>
      <c r="L1118">
        <v>208</v>
      </c>
      <c r="M1118">
        <v>28</v>
      </c>
      <c r="T1118">
        <v>18</v>
      </c>
      <c r="U1118">
        <v>29</v>
      </c>
      <c r="Y1118">
        <v>27</v>
      </c>
      <c r="Z1118">
        <v>24</v>
      </c>
      <c r="AD1118">
        <v>28</v>
      </c>
      <c r="AE1118">
        <v>18</v>
      </c>
      <c r="AX1118">
        <v>47</v>
      </c>
      <c r="AY1118">
        <v>55</v>
      </c>
      <c r="AZ1118">
        <v>102</v>
      </c>
      <c r="BA1118">
        <v>51</v>
      </c>
      <c r="BB1118">
        <v>36</v>
      </c>
      <c r="BC1118">
        <v>87</v>
      </c>
      <c r="BD1118">
        <v>46</v>
      </c>
      <c r="BE1118">
        <v>53</v>
      </c>
      <c r="BF1118">
        <v>99</v>
      </c>
      <c r="BP1118">
        <v>58</v>
      </c>
      <c r="BR1118">
        <v>43</v>
      </c>
      <c r="BS1118">
        <v>21</v>
      </c>
      <c r="BT1118">
        <v>20</v>
      </c>
      <c r="BU1118">
        <v>2</v>
      </c>
      <c r="BV1118">
        <v>0</v>
      </c>
      <c r="BW1118">
        <v>144</v>
      </c>
      <c r="BX1118" t="str">
        <f t="shared" si="132"/>
        <v>no data</v>
      </c>
      <c r="BY1118" s="5"/>
      <c r="BZ1118" s="6"/>
      <c r="CA1118" s="7">
        <v>44885</v>
      </c>
      <c r="CE1118">
        <v>58</v>
      </c>
      <c r="CF1118">
        <v>49</v>
      </c>
      <c r="CG1118">
        <v>37</v>
      </c>
      <c r="CI1118">
        <f t="shared" si="126"/>
        <v>2022</v>
      </c>
      <c r="CJ1118" t="str">
        <f t="shared" si="127"/>
        <v>6224_2022</v>
      </c>
    </row>
    <row r="1119" spans="1:88" x14ac:dyDescent="0.25">
      <c r="A1119" t="s">
        <v>111</v>
      </c>
      <c r="B1119" t="s">
        <v>402</v>
      </c>
      <c r="C1119">
        <v>6225</v>
      </c>
      <c r="D1119">
        <v>-36.750300000000003</v>
      </c>
      <c r="E1119">
        <v>144.28809999999999</v>
      </c>
      <c r="F1119">
        <v>3</v>
      </c>
      <c r="G1119" t="s">
        <v>406</v>
      </c>
      <c r="H1119">
        <v>146</v>
      </c>
      <c r="I1119">
        <v>326</v>
      </c>
      <c r="J1119">
        <v>267</v>
      </c>
      <c r="K1119">
        <v>87</v>
      </c>
      <c r="L1119">
        <v>337</v>
      </c>
      <c r="M1119">
        <v>157</v>
      </c>
      <c r="T1119">
        <v>25</v>
      </c>
      <c r="U1119">
        <v>13</v>
      </c>
      <c r="Y1119">
        <v>5</v>
      </c>
      <c r="Z1119">
        <v>27</v>
      </c>
      <c r="AD1119">
        <v>11</v>
      </c>
      <c r="AE1119">
        <v>40</v>
      </c>
      <c r="AX1119">
        <v>38</v>
      </c>
      <c r="AY1119">
        <v>16</v>
      </c>
      <c r="AZ1119">
        <v>54</v>
      </c>
      <c r="BA1119">
        <v>32</v>
      </c>
      <c r="BB1119">
        <v>65</v>
      </c>
      <c r="BC1119">
        <v>97</v>
      </c>
      <c r="BD1119">
        <v>51</v>
      </c>
      <c r="BE1119">
        <v>40</v>
      </c>
      <c r="BF1119">
        <v>91</v>
      </c>
      <c r="BP1119">
        <v>44</v>
      </c>
      <c r="BR1119">
        <v>45</v>
      </c>
      <c r="BS1119">
        <v>8</v>
      </c>
      <c r="BT1119">
        <v>22</v>
      </c>
      <c r="BV1119">
        <v>2</v>
      </c>
      <c r="BW1119">
        <v>121</v>
      </c>
      <c r="BX1119" t="s">
        <v>82</v>
      </c>
      <c r="BY1119" s="5"/>
      <c r="BZ1119" s="6"/>
      <c r="CA1119" s="7">
        <v>41588</v>
      </c>
      <c r="CI1119">
        <f t="shared" si="126"/>
        <v>2013</v>
      </c>
      <c r="CJ1119" t="str">
        <f t="shared" si="127"/>
        <v>6225_2013</v>
      </c>
    </row>
    <row r="1120" spans="1:88" x14ac:dyDescent="0.25">
      <c r="A1120" t="s">
        <v>111</v>
      </c>
      <c r="B1120" t="s">
        <v>402</v>
      </c>
      <c r="C1120">
        <v>6225</v>
      </c>
      <c r="D1120">
        <v>-36.750300000000003</v>
      </c>
      <c r="E1120">
        <v>144.28809999999999</v>
      </c>
      <c r="F1120">
        <v>3</v>
      </c>
      <c r="G1120" t="s">
        <v>406</v>
      </c>
      <c r="H1120">
        <v>146</v>
      </c>
      <c r="I1120">
        <v>326</v>
      </c>
      <c r="J1120">
        <v>267</v>
      </c>
      <c r="K1120">
        <v>87</v>
      </c>
      <c r="L1120">
        <v>337</v>
      </c>
      <c r="M1120">
        <v>157</v>
      </c>
      <c r="T1120">
        <v>4</v>
      </c>
      <c r="U1120">
        <v>56</v>
      </c>
      <c r="Y1120">
        <v>2</v>
      </c>
      <c r="Z1120">
        <v>47</v>
      </c>
      <c r="AD1120">
        <v>35</v>
      </c>
      <c r="AE1120">
        <v>63</v>
      </c>
      <c r="AX1120">
        <v>60</v>
      </c>
      <c r="AY1120">
        <v>37</v>
      </c>
      <c r="AZ1120">
        <v>97</v>
      </c>
      <c r="BA1120">
        <v>49</v>
      </c>
      <c r="BB1120">
        <v>67</v>
      </c>
      <c r="BC1120">
        <v>116</v>
      </c>
      <c r="BD1120">
        <v>98</v>
      </c>
      <c r="BE1120">
        <v>103</v>
      </c>
      <c r="BF1120">
        <v>201</v>
      </c>
      <c r="BP1120">
        <v>71</v>
      </c>
      <c r="BR1120">
        <v>107</v>
      </c>
      <c r="BS1120">
        <v>21</v>
      </c>
      <c r="BT1120">
        <v>5</v>
      </c>
      <c r="BV1120">
        <v>3</v>
      </c>
      <c r="BW1120">
        <v>207</v>
      </c>
      <c r="BX1120">
        <f t="shared" ref="BX1120:BX1125" si="133">IF(C1120=C1119,IF((CI1120-1)=CI1119,BW1119,"no data"))</f>
        <v>121</v>
      </c>
      <c r="BY1120" s="5">
        <f t="shared" si="131"/>
        <v>0.71074380165289253</v>
      </c>
      <c r="BZ1120" s="6">
        <f t="shared" si="128"/>
        <v>0.71074380165289253</v>
      </c>
      <c r="CA1120" s="7">
        <v>41952</v>
      </c>
      <c r="CI1120">
        <f t="shared" si="126"/>
        <v>2014</v>
      </c>
      <c r="CJ1120" t="str">
        <f t="shared" si="127"/>
        <v>6225_2014</v>
      </c>
    </row>
    <row r="1121" spans="1:88" x14ac:dyDescent="0.25">
      <c r="A1121" t="s">
        <v>111</v>
      </c>
      <c r="B1121" t="s">
        <v>402</v>
      </c>
      <c r="C1121">
        <v>6225</v>
      </c>
      <c r="D1121">
        <v>-36.750300000000003</v>
      </c>
      <c r="E1121">
        <v>144.28809999999999</v>
      </c>
      <c r="F1121">
        <v>3</v>
      </c>
      <c r="G1121" t="s">
        <v>406</v>
      </c>
      <c r="H1121">
        <v>146</v>
      </c>
      <c r="I1121">
        <v>326</v>
      </c>
      <c r="J1121">
        <v>267</v>
      </c>
      <c r="K1121">
        <v>87</v>
      </c>
      <c r="L1121">
        <v>337</v>
      </c>
      <c r="M1121">
        <v>157</v>
      </c>
      <c r="T1121">
        <v>9</v>
      </c>
      <c r="U1121">
        <v>52</v>
      </c>
      <c r="Y1121">
        <v>5</v>
      </c>
      <c r="Z1121">
        <v>75</v>
      </c>
      <c r="AD1121">
        <v>22</v>
      </c>
      <c r="AE1121">
        <v>116</v>
      </c>
      <c r="AX1121">
        <v>61</v>
      </c>
      <c r="AY1121">
        <v>27</v>
      </c>
      <c r="AZ1121">
        <v>88</v>
      </c>
      <c r="BA1121">
        <v>80</v>
      </c>
      <c r="BB1121">
        <v>125</v>
      </c>
      <c r="BC1121">
        <v>205</v>
      </c>
      <c r="BD1121">
        <v>138</v>
      </c>
      <c r="BE1121">
        <v>127</v>
      </c>
      <c r="BF1121">
        <v>265</v>
      </c>
      <c r="BP1121">
        <v>115</v>
      </c>
      <c r="BR1121">
        <v>130</v>
      </c>
      <c r="BS1121">
        <v>12</v>
      </c>
      <c r="BT1121">
        <v>20</v>
      </c>
      <c r="BV1121">
        <v>2</v>
      </c>
      <c r="BW1121">
        <v>279</v>
      </c>
      <c r="BX1121">
        <f t="shared" si="133"/>
        <v>207</v>
      </c>
      <c r="BY1121" s="5">
        <f t="shared" si="131"/>
        <v>0.34782608695652173</v>
      </c>
      <c r="BZ1121" s="6">
        <f t="shared" si="128"/>
        <v>0.34782608695652173</v>
      </c>
      <c r="CA1121" s="7">
        <v>42316</v>
      </c>
      <c r="CE1121">
        <v>71</v>
      </c>
      <c r="CF1121">
        <v>96</v>
      </c>
      <c r="CG1121">
        <v>67</v>
      </c>
      <c r="CH1121">
        <v>45</v>
      </c>
      <c r="CI1121">
        <f t="shared" si="126"/>
        <v>2015</v>
      </c>
      <c r="CJ1121" t="str">
        <f t="shared" si="127"/>
        <v>6225_2015</v>
      </c>
    </row>
    <row r="1122" spans="1:88" x14ac:dyDescent="0.25">
      <c r="A1122" t="s">
        <v>111</v>
      </c>
      <c r="B1122" t="s">
        <v>402</v>
      </c>
      <c r="C1122">
        <v>6225</v>
      </c>
      <c r="D1122">
        <v>-36.750303000000002</v>
      </c>
      <c r="E1122">
        <v>144.28808900000001</v>
      </c>
      <c r="F1122">
        <v>3</v>
      </c>
      <c r="G1122" t="s">
        <v>406</v>
      </c>
      <c r="H1122">
        <v>146</v>
      </c>
      <c r="I1122">
        <v>326</v>
      </c>
      <c r="J1122">
        <v>267</v>
      </c>
      <c r="K1122">
        <v>87</v>
      </c>
      <c r="L1122">
        <v>337</v>
      </c>
      <c r="M1122">
        <v>157</v>
      </c>
      <c r="T1122">
        <v>0</v>
      </c>
      <c r="U1122">
        <v>11</v>
      </c>
      <c r="Y1122">
        <v>0</v>
      </c>
      <c r="Z1122">
        <v>14</v>
      </c>
      <c r="AD1122">
        <v>3</v>
      </c>
      <c r="AE1122">
        <v>15</v>
      </c>
      <c r="AX1122">
        <v>11</v>
      </c>
      <c r="AY1122">
        <v>3</v>
      </c>
      <c r="AZ1122">
        <v>14</v>
      </c>
      <c r="BA1122">
        <v>14</v>
      </c>
      <c r="BB1122">
        <v>15</v>
      </c>
      <c r="BC1122">
        <v>29</v>
      </c>
      <c r="BD1122">
        <v>18</v>
      </c>
      <c r="BE1122">
        <v>25</v>
      </c>
      <c r="BF1122">
        <v>43</v>
      </c>
      <c r="BP1122">
        <v>5</v>
      </c>
      <c r="BR1122">
        <v>31</v>
      </c>
      <c r="BS1122">
        <v>5</v>
      </c>
      <c r="BT1122">
        <v>2</v>
      </c>
      <c r="BV1122">
        <v>0</v>
      </c>
      <c r="BW1122">
        <v>43</v>
      </c>
      <c r="BX1122">
        <f t="shared" si="133"/>
        <v>279</v>
      </c>
      <c r="BY1122" s="5">
        <f t="shared" si="131"/>
        <v>-0.84587813620071683</v>
      </c>
      <c r="BZ1122" s="6">
        <f t="shared" si="128"/>
        <v>-0.84587813620071683</v>
      </c>
      <c r="CA1122" s="7">
        <v>42687</v>
      </c>
      <c r="CE1122">
        <v>14</v>
      </c>
      <c r="CF1122">
        <v>12</v>
      </c>
      <c r="CG1122">
        <v>4</v>
      </c>
      <c r="CH1122">
        <v>13</v>
      </c>
      <c r="CI1122">
        <f t="shared" si="126"/>
        <v>2016</v>
      </c>
      <c r="CJ1122" t="str">
        <f t="shared" si="127"/>
        <v>6225_2016</v>
      </c>
    </row>
    <row r="1123" spans="1:88" x14ac:dyDescent="0.25">
      <c r="A1123" t="s">
        <v>111</v>
      </c>
      <c r="B1123" t="s">
        <v>402</v>
      </c>
      <c r="C1123">
        <v>6225</v>
      </c>
      <c r="D1123">
        <v>-36.750303000000002</v>
      </c>
      <c r="E1123">
        <v>144.28808900000001</v>
      </c>
      <c r="F1123">
        <v>3</v>
      </c>
      <c r="G1123" t="s">
        <v>406</v>
      </c>
      <c r="H1123">
        <v>146</v>
      </c>
      <c r="I1123">
        <v>326</v>
      </c>
      <c r="J1123">
        <v>267</v>
      </c>
      <c r="K1123">
        <v>87</v>
      </c>
      <c r="L1123">
        <v>337</v>
      </c>
      <c r="M1123">
        <v>157</v>
      </c>
      <c r="T1123">
        <v>1</v>
      </c>
      <c r="U1123">
        <v>30</v>
      </c>
      <c r="Y1123">
        <v>10</v>
      </c>
      <c r="Z1123">
        <v>46</v>
      </c>
      <c r="AD1123">
        <v>19</v>
      </c>
      <c r="AE1123">
        <v>58</v>
      </c>
      <c r="AX1123">
        <v>31</v>
      </c>
      <c r="AY1123">
        <v>29</v>
      </c>
      <c r="AZ1123">
        <v>60</v>
      </c>
      <c r="BA1123">
        <v>56</v>
      </c>
      <c r="BB1123">
        <v>59</v>
      </c>
      <c r="BC1123">
        <v>115</v>
      </c>
      <c r="BD1123">
        <v>77</v>
      </c>
      <c r="BE1123">
        <v>76</v>
      </c>
      <c r="BF1123">
        <v>153</v>
      </c>
      <c r="BP1123">
        <v>49</v>
      </c>
      <c r="BR1123">
        <v>84</v>
      </c>
      <c r="BS1123">
        <v>15</v>
      </c>
      <c r="BT1123">
        <v>11</v>
      </c>
      <c r="BV1123">
        <v>5</v>
      </c>
      <c r="BW1123">
        <v>164</v>
      </c>
      <c r="BX1123">
        <f t="shared" si="133"/>
        <v>43</v>
      </c>
      <c r="BY1123" s="5">
        <f t="shared" si="131"/>
        <v>2.8139534883720931</v>
      </c>
      <c r="BZ1123" s="6">
        <f t="shared" si="128"/>
        <v>2.8139534883720931</v>
      </c>
      <c r="CA1123" s="7">
        <v>43051</v>
      </c>
      <c r="CE1123">
        <v>58</v>
      </c>
      <c r="CF1123">
        <v>50</v>
      </c>
      <c r="CG1123">
        <v>31</v>
      </c>
      <c r="CH1123">
        <v>25</v>
      </c>
      <c r="CI1123">
        <f t="shared" si="126"/>
        <v>2017</v>
      </c>
      <c r="CJ1123" t="str">
        <f t="shared" si="127"/>
        <v>6225_2017</v>
      </c>
    </row>
    <row r="1124" spans="1:88" x14ac:dyDescent="0.25">
      <c r="A1124" t="s">
        <v>111</v>
      </c>
      <c r="B1124" t="s">
        <v>402</v>
      </c>
      <c r="C1124">
        <v>6225</v>
      </c>
      <c r="D1124">
        <v>-36.750303000000002</v>
      </c>
      <c r="E1124">
        <v>144.28808900000001</v>
      </c>
      <c r="F1124">
        <v>3</v>
      </c>
      <c r="G1124" t="s">
        <v>406</v>
      </c>
      <c r="H1124">
        <v>146</v>
      </c>
      <c r="I1124">
        <v>326</v>
      </c>
      <c r="J1124">
        <v>267</v>
      </c>
      <c r="K1124">
        <v>87</v>
      </c>
      <c r="L1124">
        <v>337</v>
      </c>
      <c r="M1124">
        <v>157</v>
      </c>
      <c r="T1124">
        <v>12</v>
      </c>
      <c r="U1124">
        <v>66</v>
      </c>
      <c r="Y1124">
        <v>12</v>
      </c>
      <c r="Z1124">
        <v>69</v>
      </c>
      <c r="AD1124">
        <v>80</v>
      </c>
      <c r="AE1124">
        <v>88</v>
      </c>
      <c r="AX1124">
        <v>78</v>
      </c>
      <c r="AY1124">
        <v>92</v>
      </c>
      <c r="AZ1124">
        <v>170</v>
      </c>
      <c r="BA1124">
        <v>81</v>
      </c>
      <c r="BB1124">
        <v>100</v>
      </c>
      <c r="BC1124">
        <v>181</v>
      </c>
      <c r="BD1124">
        <v>168</v>
      </c>
      <c r="BE1124">
        <v>135</v>
      </c>
      <c r="BF1124">
        <v>303</v>
      </c>
      <c r="BP1124">
        <v>175</v>
      </c>
      <c r="BR1124">
        <v>105</v>
      </c>
      <c r="BS1124">
        <v>22</v>
      </c>
      <c r="BT1124">
        <v>20</v>
      </c>
      <c r="BV1124">
        <v>5</v>
      </c>
      <c r="BW1124">
        <v>327</v>
      </c>
      <c r="BX1124">
        <f t="shared" si="133"/>
        <v>164</v>
      </c>
      <c r="BY1124" s="5">
        <f t="shared" si="131"/>
        <v>0.99390243902439024</v>
      </c>
      <c r="BZ1124" s="6">
        <f t="shared" si="128"/>
        <v>0.99390243902439024</v>
      </c>
      <c r="CA1124" s="7">
        <v>43415</v>
      </c>
      <c r="CE1124">
        <v>76</v>
      </c>
      <c r="CF1124">
        <v>90</v>
      </c>
      <c r="CG1124">
        <v>103</v>
      </c>
      <c r="CH1124">
        <v>58</v>
      </c>
      <c r="CI1124">
        <f t="shared" si="126"/>
        <v>2018</v>
      </c>
      <c r="CJ1124" t="str">
        <f t="shared" si="127"/>
        <v>6225_2018</v>
      </c>
    </row>
    <row r="1125" spans="1:88" x14ac:dyDescent="0.25">
      <c r="A1125" t="s">
        <v>111</v>
      </c>
      <c r="B1125" t="s">
        <v>402</v>
      </c>
      <c r="C1125">
        <v>6225</v>
      </c>
      <c r="D1125">
        <v>-36.750300000000003</v>
      </c>
      <c r="E1125">
        <v>144.28809999999999</v>
      </c>
      <c r="F1125">
        <v>3</v>
      </c>
      <c r="G1125" t="s">
        <v>406</v>
      </c>
      <c r="H1125">
        <v>146</v>
      </c>
      <c r="I1125">
        <v>326</v>
      </c>
      <c r="J1125">
        <v>267</v>
      </c>
      <c r="K1125">
        <v>87</v>
      </c>
      <c r="L1125">
        <v>337</v>
      </c>
      <c r="M1125">
        <v>157</v>
      </c>
      <c r="T1125">
        <v>2</v>
      </c>
      <c r="U1125">
        <v>11</v>
      </c>
      <c r="Y1125">
        <v>1</v>
      </c>
      <c r="Z1125">
        <v>19</v>
      </c>
      <c r="AD1125">
        <v>14</v>
      </c>
      <c r="AE1125">
        <v>25</v>
      </c>
      <c r="AX1125">
        <v>13</v>
      </c>
      <c r="AY1125">
        <v>15</v>
      </c>
      <c r="AZ1125">
        <v>28</v>
      </c>
      <c r="BA1125">
        <v>20</v>
      </c>
      <c r="BB1125">
        <v>27</v>
      </c>
      <c r="BC1125">
        <v>47</v>
      </c>
      <c r="BD1125">
        <v>39</v>
      </c>
      <c r="BE1125">
        <v>30</v>
      </c>
      <c r="BF1125">
        <v>69</v>
      </c>
      <c r="BP1125">
        <v>20</v>
      </c>
      <c r="BR1125">
        <v>34</v>
      </c>
      <c r="BS1125">
        <v>11</v>
      </c>
      <c r="BT1125">
        <v>6</v>
      </c>
      <c r="BV1125">
        <v>1</v>
      </c>
      <c r="BW1125">
        <v>72</v>
      </c>
      <c r="BX1125">
        <f t="shared" si="133"/>
        <v>327</v>
      </c>
      <c r="BY1125" s="5">
        <f t="shared" si="131"/>
        <v>-0.77981651376146788</v>
      </c>
      <c r="BZ1125" s="6">
        <f t="shared" si="128"/>
        <v>-0.77981651376146788</v>
      </c>
      <c r="CA1125" s="7">
        <v>43779</v>
      </c>
      <c r="CE1125">
        <v>16</v>
      </c>
      <c r="CF1125">
        <v>26</v>
      </c>
      <c r="CG1125">
        <v>12</v>
      </c>
      <c r="CH1125">
        <v>18</v>
      </c>
      <c r="CI1125">
        <f t="shared" si="126"/>
        <v>2019</v>
      </c>
      <c r="CJ1125" t="str">
        <f t="shared" si="127"/>
        <v>6225_2019</v>
      </c>
    </row>
    <row r="1126" spans="1:88" x14ac:dyDescent="0.25">
      <c r="A1126" t="s">
        <v>111</v>
      </c>
      <c r="B1126" t="s">
        <v>402</v>
      </c>
      <c r="C1126">
        <v>6226</v>
      </c>
      <c r="D1126">
        <v>-36.772300000000001</v>
      </c>
      <c r="E1126">
        <v>144.2878</v>
      </c>
      <c r="F1126">
        <v>6</v>
      </c>
      <c r="G1126" t="s">
        <v>407</v>
      </c>
      <c r="H1126">
        <v>5</v>
      </c>
      <c r="I1126">
        <v>185</v>
      </c>
      <c r="J1126">
        <v>29</v>
      </c>
      <c r="K1126">
        <v>209</v>
      </c>
      <c r="L1126">
        <v>100</v>
      </c>
      <c r="M1126">
        <v>280</v>
      </c>
      <c r="N1126">
        <v>183</v>
      </c>
      <c r="O1126">
        <v>3</v>
      </c>
      <c r="P1126">
        <v>207</v>
      </c>
      <c r="Q1126">
        <v>27</v>
      </c>
      <c r="R1126">
        <v>280</v>
      </c>
      <c r="S1126">
        <v>100</v>
      </c>
      <c r="T1126">
        <v>2</v>
      </c>
      <c r="U1126">
        <v>0</v>
      </c>
      <c r="V1126">
        <v>16</v>
      </c>
      <c r="W1126">
        <v>12</v>
      </c>
      <c r="X1126">
        <v>4</v>
      </c>
      <c r="Y1126">
        <v>0</v>
      </c>
      <c r="Z1126">
        <v>2</v>
      </c>
      <c r="AA1126">
        <v>13</v>
      </c>
      <c r="AB1126">
        <v>0</v>
      </c>
      <c r="AC1126">
        <v>0</v>
      </c>
      <c r="AD1126">
        <v>3</v>
      </c>
      <c r="AE1126">
        <v>4</v>
      </c>
      <c r="AF1126">
        <v>13</v>
      </c>
      <c r="AG1126">
        <v>1</v>
      </c>
      <c r="AH1126">
        <v>0</v>
      </c>
      <c r="AI1126">
        <v>3</v>
      </c>
      <c r="AJ1126">
        <v>17</v>
      </c>
      <c r="AK1126">
        <v>6</v>
      </c>
      <c r="AL1126">
        <v>5</v>
      </c>
      <c r="AM1126">
        <v>20</v>
      </c>
      <c r="AN1126">
        <v>6</v>
      </c>
      <c r="AO1126">
        <v>0</v>
      </c>
      <c r="AP1126">
        <v>2</v>
      </c>
      <c r="AQ1126">
        <v>0</v>
      </c>
      <c r="AR1126">
        <v>3</v>
      </c>
      <c r="AS1126">
        <v>4</v>
      </c>
      <c r="AT1126">
        <v>0</v>
      </c>
      <c r="AU1126">
        <v>1</v>
      </c>
      <c r="AV1126">
        <v>13</v>
      </c>
      <c r="AW1126">
        <v>1</v>
      </c>
      <c r="AX1126">
        <v>34</v>
      </c>
      <c r="AY1126">
        <v>16</v>
      </c>
      <c r="AZ1126">
        <v>50</v>
      </c>
      <c r="BA1126">
        <v>15</v>
      </c>
      <c r="BB1126">
        <v>23</v>
      </c>
      <c r="BC1126">
        <v>38</v>
      </c>
      <c r="BD1126">
        <v>21</v>
      </c>
      <c r="BE1126">
        <v>11</v>
      </c>
      <c r="BF1126">
        <v>32</v>
      </c>
      <c r="BG1126">
        <v>51</v>
      </c>
      <c r="BH1126">
        <v>55</v>
      </c>
      <c r="BI1126">
        <v>106</v>
      </c>
      <c r="BJ1126">
        <v>11</v>
      </c>
      <c r="BK1126">
        <v>19</v>
      </c>
      <c r="BL1126">
        <v>30</v>
      </c>
      <c r="BM1126">
        <v>19</v>
      </c>
      <c r="BN1126">
        <v>27</v>
      </c>
      <c r="BO1126">
        <v>46</v>
      </c>
      <c r="BP1126">
        <v>64</v>
      </c>
      <c r="BR1126">
        <v>49</v>
      </c>
      <c r="BS1126">
        <v>12</v>
      </c>
      <c r="BT1126">
        <v>25</v>
      </c>
      <c r="BV1126">
        <v>6</v>
      </c>
      <c r="BW1126">
        <v>156</v>
      </c>
      <c r="BX1126" t="s">
        <v>82</v>
      </c>
      <c r="BY1126" s="5"/>
      <c r="BZ1126" s="6"/>
      <c r="CA1126" s="7">
        <v>41588</v>
      </c>
      <c r="CI1126">
        <f t="shared" si="126"/>
        <v>2013</v>
      </c>
      <c r="CJ1126" t="str">
        <f t="shared" si="127"/>
        <v>6226_2013</v>
      </c>
    </row>
    <row r="1127" spans="1:88" x14ac:dyDescent="0.25">
      <c r="A1127" t="s">
        <v>111</v>
      </c>
      <c r="B1127" t="s">
        <v>402</v>
      </c>
      <c r="C1127">
        <v>6226</v>
      </c>
      <c r="D1127">
        <v>-36.772300000000001</v>
      </c>
      <c r="E1127">
        <v>144.2878</v>
      </c>
      <c r="F1127">
        <v>6</v>
      </c>
      <c r="G1127" t="s">
        <v>407</v>
      </c>
      <c r="H1127">
        <v>5</v>
      </c>
      <c r="I1127">
        <v>185</v>
      </c>
      <c r="J1127">
        <v>29</v>
      </c>
      <c r="K1127">
        <v>209</v>
      </c>
      <c r="L1127">
        <v>100</v>
      </c>
      <c r="M1127">
        <v>280</v>
      </c>
      <c r="N1127">
        <v>183</v>
      </c>
      <c r="O1127">
        <v>3</v>
      </c>
      <c r="P1127">
        <v>207</v>
      </c>
      <c r="Q1127">
        <v>27</v>
      </c>
      <c r="R1127">
        <v>280</v>
      </c>
      <c r="S1127">
        <v>100</v>
      </c>
      <c r="T1127">
        <v>0</v>
      </c>
      <c r="U1127">
        <v>0</v>
      </c>
      <c r="V1127">
        <v>3</v>
      </c>
      <c r="W1127">
        <v>6</v>
      </c>
      <c r="X1127">
        <v>2</v>
      </c>
      <c r="Y1127">
        <v>0</v>
      </c>
      <c r="Z1127">
        <v>3</v>
      </c>
      <c r="AA1127">
        <v>41</v>
      </c>
      <c r="AB1127">
        <v>1</v>
      </c>
      <c r="AC1127">
        <v>3</v>
      </c>
      <c r="AD1127">
        <v>0</v>
      </c>
      <c r="AE1127">
        <v>2</v>
      </c>
      <c r="AF1127">
        <v>7</v>
      </c>
      <c r="AG1127">
        <v>0</v>
      </c>
      <c r="AH1127">
        <v>3</v>
      </c>
      <c r="AI1127">
        <v>11</v>
      </c>
      <c r="AJ1127">
        <v>33</v>
      </c>
      <c r="AK1127">
        <v>11</v>
      </c>
      <c r="AL1127">
        <v>0</v>
      </c>
      <c r="AM1127">
        <v>12</v>
      </c>
      <c r="AN1127">
        <v>9</v>
      </c>
      <c r="AO1127">
        <v>4</v>
      </c>
      <c r="AP1127">
        <v>0</v>
      </c>
      <c r="AQ1127">
        <v>1</v>
      </c>
      <c r="AR1127">
        <v>4</v>
      </c>
      <c r="AS1127">
        <v>0</v>
      </c>
      <c r="AT1127">
        <v>1</v>
      </c>
      <c r="AU1127">
        <v>19</v>
      </c>
      <c r="AV1127">
        <v>21</v>
      </c>
      <c r="AW1127">
        <v>0</v>
      </c>
      <c r="AX1127">
        <v>11</v>
      </c>
      <c r="AY1127">
        <v>20</v>
      </c>
      <c r="AZ1127">
        <v>31</v>
      </c>
      <c r="BA1127">
        <v>48</v>
      </c>
      <c r="BB1127">
        <v>40</v>
      </c>
      <c r="BC1127">
        <v>88</v>
      </c>
      <c r="BD1127">
        <v>12</v>
      </c>
      <c r="BE1127">
        <v>33</v>
      </c>
      <c r="BF1127">
        <v>45</v>
      </c>
      <c r="BG1127">
        <v>67</v>
      </c>
      <c r="BH1127">
        <v>73</v>
      </c>
      <c r="BI1127">
        <v>140</v>
      </c>
      <c r="BJ1127">
        <v>18</v>
      </c>
      <c r="BK1127">
        <v>7</v>
      </c>
      <c r="BL1127">
        <v>25</v>
      </c>
      <c r="BM1127">
        <v>41</v>
      </c>
      <c r="BN1127">
        <v>24</v>
      </c>
      <c r="BO1127">
        <v>65</v>
      </c>
      <c r="BP1127">
        <v>90</v>
      </c>
      <c r="BR1127">
        <v>81</v>
      </c>
      <c r="BS1127">
        <v>19</v>
      </c>
      <c r="BT1127">
        <v>22</v>
      </c>
      <c r="BV1127">
        <v>3</v>
      </c>
      <c r="BW1127">
        <v>215</v>
      </c>
      <c r="BX1127">
        <f t="shared" ref="BX1127:BX1132" si="134">IF(C1127=C1126,IF((CI1127-1)=CI1126,BW1126,"no data"))</f>
        <v>156</v>
      </c>
      <c r="BY1127" s="5">
        <f t="shared" si="131"/>
        <v>0.37820512820512819</v>
      </c>
      <c r="BZ1127" s="6">
        <f t="shared" si="128"/>
        <v>0.37820512820512819</v>
      </c>
      <c r="CA1127" s="7">
        <v>41952</v>
      </c>
      <c r="CI1127">
        <f t="shared" si="126"/>
        <v>2014</v>
      </c>
      <c r="CJ1127" t="str">
        <f t="shared" si="127"/>
        <v>6226_2014</v>
      </c>
    </row>
    <row r="1128" spans="1:88" x14ac:dyDescent="0.25">
      <c r="A1128" t="s">
        <v>111</v>
      </c>
      <c r="B1128" t="s">
        <v>402</v>
      </c>
      <c r="C1128">
        <v>6226</v>
      </c>
      <c r="D1128">
        <v>-36.772300000000001</v>
      </c>
      <c r="E1128">
        <v>144.2878</v>
      </c>
      <c r="F1128">
        <v>6</v>
      </c>
      <c r="G1128" t="s">
        <v>407</v>
      </c>
      <c r="H1128">
        <v>5</v>
      </c>
      <c r="I1128">
        <v>185</v>
      </c>
      <c r="J1128">
        <v>29</v>
      </c>
      <c r="K1128">
        <v>209</v>
      </c>
      <c r="L1128">
        <v>100</v>
      </c>
      <c r="M1128">
        <v>280</v>
      </c>
      <c r="N1128">
        <v>183</v>
      </c>
      <c r="O1128">
        <v>3</v>
      </c>
      <c r="P1128">
        <v>207</v>
      </c>
      <c r="Q1128">
        <v>27</v>
      </c>
      <c r="R1128">
        <v>280</v>
      </c>
      <c r="S1128">
        <v>100</v>
      </c>
      <c r="T1128">
        <v>1</v>
      </c>
      <c r="U1128">
        <v>0</v>
      </c>
      <c r="V1128">
        <v>6</v>
      </c>
      <c r="W1128">
        <v>7</v>
      </c>
      <c r="X1128">
        <v>0</v>
      </c>
      <c r="Y1128">
        <v>1</v>
      </c>
      <c r="Z1128">
        <v>3</v>
      </c>
      <c r="AA1128">
        <v>26</v>
      </c>
      <c r="AB1128">
        <v>0</v>
      </c>
      <c r="AC1128">
        <v>1</v>
      </c>
      <c r="AD1128">
        <v>2</v>
      </c>
      <c r="AE1128">
        <v>1</v>
      </c>
      <c r="AF1128">
        <v>2</v>
      </c>
      <c r="AG1128">
        <v>0</v>
      </c>
      <c r="AH1128">
        <v>1</v>
      </c>
      <c r="AI1128">
        <v>4</v>
      </c>
      <c r="AJ1128">
        <v>37</v>
      </c>
      <c r="AK1128">
        <v>1</v>
      </c>
      <c r="AL1128">
        <v>2</v>
      </c>
      <c r="AM1128">
        <v>14</v>
      </c>
      <c r="AN1128">
        <v>5</v>
      </c>
      <c r="AO1128">
        <v>0</v>
      </c>
      <c r="AP1128">
        <v>2</v>
      </c>
      <c r="AQ1128">
        <v>5</v>
      </c>
      <c r="AR1128">
        <v>4</v>
      </c>
      <c r="AS1128">
        <v>6</v>
      </c>
      <c r="AT1128">
        <v>0</v>
      </c>
      <c r="AU1128">
        <v>5</v>
      </c>
      <c r="AV1128">
        <v>12</v>
      </c>
      <c r="AW1128">
        <v>7</v>
      </c>
      <c r="AX1128">
        <v>14</v>
      </c>
      <c r="AY1128">
        <v>18</v>
      </c>
      <c r="AZ1128">
        <v>32</v>
      </c>
      <c r="BA1128">
        <v>31</v>
      </c>
      <c r="BB1128">
        <v>39</v>
      </c>
      <c r="BC1128">
        <v>70</v>
      </c>
      <c r="BD1128">
        <v>6</v>
      </c>
      <c r="BE1128">
        <v>11</v>
      </c>
      <c r="BF1128">
        <v>17</v>
      </c>
      <c r="BG1128">
        <v>58</v>
      </c>
      <c r="BH1128">
        <v>51</v>
      </c>
      <c r="BI1128">
        <v>109</v>
      </c>
      <c r="BJ1128">
        <v>16</v>
      </c>
      <c r="BK1128">
        <v>16</v>
      </c>
      <c r="BL1128">
        <v>32</v>
      </c>
      <c r="BM1128">
        <v>30</v>
      </c>
      <c r="BN1128">
        <v>20</v>
      </c>
      <c r="BO1128">
        <v>50</v>
      </c>
      <c r="BP1128">
        <v>69</v>
      </c>
      <c r="BR1128">
        <v>63</v>
      </c>
      <c r="BS1128">
        <v>12</v>
      </c>
      <c r="BT1128">
        <v>16</v>
      </c>
      <c r="BV1128">
        <v>5</v>
      </c>
      <c r="BW1128">
        <v>165</v>
      </c>
      <c r="BX1128">
        <f t="shared" si="134"/>
        <v>215</v>
      </c>
      <c r="BY1128" s="5">
        <f t="shared" si="131"/>
        <v>-0.23255813953488372</v>
      </c>
      <c r="BZ1128" s="6">
        <f t="shared" si="128"/>
        <v>-0.23255813953488372</v>
      </c>
      <c r="CA1128" s="7">
        <v>42316</v>
      </c>
      <c r="CE1128">
        <v>40</v>
      </c>
      <c r="CF1128">
        <v>58</v>
      </c>
      <c r="CG1128">
        <v>51</v>
      </c>
      <c r="CH1128">
        <v>16</v>
      </c>
      <c r="CI1128">
        <f t="shared" si="126"/>
        <v>2015</v>
      </c>
      <c r="CJ1128" t="str">
        <f t="shared" si="127"/>
        <v>6226_2015</v>
      </c>
    </row>
    <row r="1129" spans="1:88" x14ac:dyDescent="0.25">
      <c r="A1129" t="s">
        <v>111</v>
      </c>
      <c r="B1129" t="s">
        <v>402</v>
      </c>
      <c r="C1129">
        <v>6226</v>
      </c>
      <c r="D1129">
        <v>-36.772264</v>
      </c>
      <c r="E1129">
        <v>144.28776199999999</v>
      </c>
      <c r="F1129">
        <v>6</v>
      </c>
      <c r="G1129" t="s">
        <v>407</v>
      </c>
      <c r="H1129">
        <v>5</v>
      </c>
      <c r="I1129">
        <v>185</v>
      </c>
      <c r="J1129">
        <v>29</v>
      </c>
      <c r="K1129">
        <v>209</v>
      </c>
      <c r="L1129">
        <v>100</v>
      </c>
      <c r="M1129">
        <v>280</v>
      </c>
      <c r="N1129">
        <v>183</v>
      </c>
      <c r="O1129">
        <v>3</v>
      </c>
      <c r="P1129">
        <v>207</v>
      </c>
      <c r="Q1129">
        <v>27</v>
      </c>
      <c r="R1129">
        <v>280</v>
      </c>
      <c r="S1129">
        <v>100</v>
      </c>
      <c r="T1129">
        <v>0</v>
      </c>
      <c r="U1129">
        <v>0</v>
      </c>
      <c r="V1129">
        <v>0</v>
      </c>
      <c r="W1129">
        <v>4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</v>
      </c>
      <c r="AE1129">
        <v>0</v>
      </c>
      <c r="AF1129">
        <v>5</v>
      </c>
      <c r="AG1129">
        <v>1</v>
      </c>
      <c r="AH1129">
        <v>0</v>
      </c>
      <c r="AI1129">
        <v>2</v>
      </c>
      <c r="AJ1129">
        <v>1</v>
      </c>
      <c r="AK1129">
        <v>7</v>
      </c>
      <c r="AL1129">
        <v>2</v>
      </c>
      <c r="AM1129">
        <v>2</v>
      </c>
      <c r="AN1129">
        <v>2</v>
      </c>
      <c r="AO1129">
        <v>0</v>
      </c>
      <c r="AP1129">
        <v>0</v>
      </c>
      <c r="AQ1129">
        <v>1</v>
      </c>
      <c r="AR1129">
        <v>0</v>
      </c>
      <c r="AS1129">
        <v>0</v>
      </c>
      <c r="AT1129">
        <v>0</v>
      </c>
      <c r="AU1129">
        <v>2</v>
      </c>
      <c r="AV1129">
        <v>1</v>
      </c>
      <c r="AW1129">
        <v>0</v>
      </c>
      <c r="AX1129">
        <v>5</v>
      </c>
      <c r="AY1129">
        <v>6</v>
      </c>
      <c r="AZ1129">
        <v>11</v>
      </c>
      <c r="BA1129">
        <v>0</v>
      </c>
      <c r="BB1129">
        <v>1</v>
      </c>
      <c r="BC1129">
        <v>1</v>
      </c>
      <c r="BD1129">
        <v>8</v>
      </c>
      <c r="BE1129">
        <v>9</v>
      </c>
      <c r="BF1129">
        <v>17</v>
      </c>
      <c r="BG1129">
        <v>14</v>
      </c>
      <c r="BH1129">
        <v>7</v>
      </c>
      <c r="BI1129">
        <v>21</v>
      </c>
      <c r="BJ1129">
        <v>3</v>
      </c>
      <c r="BK1129">
        <v>7</v>
      </c>
      <c r="BL1129">
        <v>10</v>
      </c>
      <c r="BM1129">
        <v>3</v>
      </c>
      <c r="BN1129">
        <v>3</v>
      </c>
      <c r="BO1129">
        <v>6</v>
      </c>
      <c r="BP1129">
        <v>10</v>
      </c>
      <c r="BR1129">
        <v>16</v>
      </c>
      <c r="BS1129">
        <v>6</v>
      </c>
      <c r="BT1129">
        <v>4</v>
      </c>
      <c r="BV1129">
        <v>1</v>
      </c>
      <c r="BW1129">
        <v>33</v>
      </c>
      <c r="BX1129">
        <f t="shared" si="134"/>
        <v>165</v>
      </c>
      <c r="BY1129" s="5">
        <f t="shared" si="131"/>
        <v>-0.8</v>
      </c>
      <c r="BZ1129" s="6">
        <f t="shared" si="128"/>
        <v>-0.8</v>
      </c>
      <c r="CA1129" s="7">
        <v>42687</v>
      </c>
      <c r="CE1129">
        <v>17</v>
      </c>
      <c r="CF1129">
        <v>5</v>
      </c>
      <c r="CG1129">
        <v>4</v>
      </c>
      <c r="CH1129">
        <v>11</v>
      </c>
      <c r="CI1129">
        <f t="shared" si="126"/>
        <v>2016</v>
      </c>
      <c r="CJ1129" t="str">
        <f t="shared" si="127"/>
        <v>6226_2016</v>
      </c>
    </row>
    <row r="1130" spans="1:88" x14ac:dyDescent="0.25">
      <c r="A1130" t="s">
        <v>111</v>
      </c>
      <c r="B1130" t="s">
        <v>402</v>
      </c>
      <c r="C1130">
        <v>6226</v>
      </c>
      <c r="D1130">
        <v>-36.772264</v>
      </c>
      <c r="E1130">
        <v>144.28776199999999</v>
      </c>
      <c r="F1130">
        <v>6</v>
      </c>
      <c r="G1130" t="s">
        <v>407</v>
      </c>
      <c r="H1130">
        <v>5</v>
      </c>
      <c r="I1130">
        <v>185</v>
      </c>
      <c r="J1130">
        <v>29</v>
      </c>
      <c r="K1130">
        <v>209</v>
      </c>
      <c r="L1130">
        <v>100</v>
      </c>
      <c r="M1130">
        <v>280</v>
      </c>
      <c r="N1130">
        <v>183</v>
      </c>
      <c r="O1130">
        <v>3</v>
      </c>
      <c r="P1130">
        <v>207</v>
      </c>
      <c r="Q1130">
        <v>27</v>
      </c>
      <c r="R1130">
        <v>280</v>
      </c>
      <c r="S1130">
        <v>100</v>
      </c>
      <c r="T1130">
        <v>0</v>
      </c>
      <c r="U1130">
        <v>0</v>
      </c>
      <c r="V1130">
        <v>0</v>
      </c>
      <c r="W1130">
        <v>9</v>
      </c>
      <c r="X1130">
        <v>0</v>
      </c>
      <c r="Y1130">
        <v>0</v>
      </c>
      <c r="Z1130">
        <v>0</v>
      </c>
      <c r="AA1130">
        <v>50</v>
      </c>
      <c r="AB1130">
        <v>0</v>
      </c>
      <c r="AC1130">
        <v>2</v>
      </c>
      <c r="AD1130">
        <v>2</v>
      </c>
      <c r="AE1130">
        <v>0</v>
      </c>
      <c r="AF1130">
        <v>0</v>
      </c>
      <c r="AG1130">
        <v>3</v>
      </c>
      <c r="AH1130">
        <v>2</v>
      </c>
      <c r="AI1130">
        <v>0</v>
      </c>
      <c r="AJ1130">
        <v>43</v>
      </c>
      <c r="AK1130">
        <v>3</v>
      </c>
      <c r="AL1130">
        <v>0</v>
      </c>
      <c r="AM1130">
        <v>8</v>
      </c>
      <c r="AN1130">
        <v>12</v>
      </c>
      <c r="AO1130">
        <v>1</v>
      </c>
      <c r="AP1130">
        <v>0</v>
      </c>
      <c r="AQ1130">
        <v>0</v>
      </c>
      <c r="AR1130">
        <v>3</v>
      </c>
      <c r="AS1130">
        <v>0</v>
      </c>
      <c r="AT1130">
        <v>2</v>
      </c>
      <c r="AU1130">
        <v>13</v>
      </c>
      <c r="AV1130">
        <v>6</v>
      </c>
      <c r="AW1130">
        <v>7</v>
      </c>
      <c r="AX1130">
        <v>9</v>
      </c>
      <c r="AY1130">
        <v>14</v>
      </c>
      <c r="AZ1130">
        <v>23</v>
      </c>
      <c r="BA1130">
        <v>52</v>
      </c>
      <c r="BB1130">
        <v>46</v>
      </c>
      <c r="BC1130">
        <v>98</v>
      </c>
      <c r="BD1130">
        <v>7</v>
      </c>
      <c r="BE1130">
        <v>16</v>
      </c>
      <c r="BF1130">
        <v>23</v>
      </c>
      <c r="BG1130">
        <v>54</v>
      </c>
      <c r="BH1130">
        <v>56</v>
      </c>
      <c r="BI1130">
        <v>110</v>
      </c>
      <c r="BJ1130">
        <v>16</v>
      </c>
      <c r="BK1130">
        <v>19</v>
      </c>
      <c r="BL1130">
        <v>35</v>
      </c>
      <c r="BM1130">
        <v>28</v>
      </c>
      <c r="BN1130">
        <v>15</v>
      </c>
      <c r="BO1130">
        <v>43</v>
      </c>
      <c r="BP1130">
        <v>83</v>
      </c>
      <c r="BR1130">
        <v>60</v>
      </c>
      <c r="BS1130">
        <v>22</v>
      </c>
      <c r="BT1130">
        <v>17</v>
      </c>
      <c r="BV1130">
        <v>0</v>
      </c>
      <c r="BW1130">
        <v>182</v>
      </c>
      <c r="BX1130">
        <f t="shared" si="134"/>
        <v>33</v>
      </c>
      <c r="BY1130" s="5">
        <f t="shared" si="131"/>
        <v>4.5151515151515156</v>
      </c>
      <c r="BZ1130" s="6">
        <f t="shared" si="128"/>
        <v>4.5151515151515156</v>
      </c>
      <c r="CA1130" s="7">
        <v>43051</v>
      </c>
      <c r="CE1130">
        <v>74</v>
      </c>
      <c r="CF1130">
        <v>53</v>
      </c>
      <c r="CG1130">
        <v>34</v>
      </c>
      <c r="CH1130">
        <v>21</v>
      </c>
      <c r="CI1130">
        <f t="shared" si="126"/>
        <v>2017</v>
      </c>
      <c r="CJ1130" t="str">
        <f t="shared" si="127"/>
        <v>6226_2017</v>
      </c>
    </row>
    <row r="1131" spans="1:88" x14ac:dyDescent="0.25">
      <c r="A1131" t="s">
        <v>111</v>
      </c>
      <c r="B1131" t="s">
        <v>402</v>
      </c>
      <c r="C1131">
        <v>6226</v>
      </c>
      <c r="D1131">
        <v>-36.772264</v>
      </c>
      <c r="E1131">
        <v>144.28776199999999</v>
      </c>
      <c r="F1131">
        <v>6</v>
      </c>
      <c r="G1131" t="s">
        <v>407</v>
      </c>
      <c r="H1131">
        <v>5</v>
      </c>
      <c r="I1131">
        <v>185</v>
      </c>
      <c r="J1131">
        <v>29</v>
      </c>
      <c r="K1131">
        <v>209</v>
      </c>
      <c r="L1131">
        <v>100</v>
      </c>
      <c r="M1131">
        <v>280</v>
      </c>
      <c r="N1131">
        <v>183</v>
      </c>
      <c r="O1131">
        <v>3</v>
      </c>
      <c r="P1131">
        <v>207</v>
      </c>
      <c r="Q1131">
        <v>27</v>
      </c>
      <c r="R1131">
        <v>280</v>
      </c>
      <c r="S1131">
        <v>100</v>
      </c>
      <c r="T1131">
        <v>2</v>
      </c>
      <c r="U1131">
        <v>3</v>
      </c>
      <c r="V1131">
        <v>0</v>
      </c>
      <c r="W1131">
        <v>2</v>
      </c>
      <c r="X1131">
        <v>3</v>
      </c>
      <c r="Y1131">
        <v>0</v>
      </c>
      <c r="Z1131">
        <v>6</v>
      </c>
      <c r="AA1131">
        <v>96</v>
      </c>
      <c r="AB1131">
        <v>0</v>
      </c>
      <c r="AC1131">
        <v>19</v>
      </c>
      <c r="AD1131">
        <v>5</v>
      </c>
      <c r="AE1131">
        <v>9</v>
      </c>
      <c r="AF1131">
        <v>8</v>
      </c>
      <c r="AG1131">
        <v>0</v>
      </c>
      <c r="AH1131">
        <v>19</v>
      </c>
      <c r="AI1131">
        <v>4</v>
      </c>
      <c r="AJ1131">
        <v>107</v>
      </c>
      <c r="AK1131">
        <v>14</v>
      </c>
      <c r="AL1131">
        <v>3</v>
      </c>
      <c r="AM1131">
        <v>12</v>
      </c>
      <c r="AN1131">
        <v>12</v>
      </c>
      <c r="AO1131">
        <v>0</v>
      </c>
      <c r="AP1131">
        <v>0</v>
      </c>
      <c r="AQ1131">
        <v>1</v>
      </c>
      <c r="AR1131">
        <v>7</v>
      </c>
      <c r="AS1131">
        <v>3</v>
      </c>
      <c r="AT1131">
        <v>1</v>
      </c>
      <c r="AU1131">
        <v>8</v>
      </c>
      <c r="AV1131">
        <v>13</v>
      </c>
      <c r="AW1131">
        <v>7</v>
      </c>
      <c r="AX1131">
        <v>10</v>
      </c>
      <c r="AY1131">
        <v>24</v>
      </c>
      <c r="AZ1131">
        <v>34</v>
      </c>
      <c r="BA1131">
        <v>121</v>
      </c>
      <c r="BB1131">
        <v>119</v>
      </c>
      <c r="BC1131">
        <v>240</v>
      </c>
      <c r="BD1131">
        <v>41</v>
      </c>
      <c r="BE1131">
        <v>31</v>
      </c>
      <c r="BF1131">
        <v>72</v>
      </c>
      <c r="BG1131">
        <v>140</v>
      </c>
      <c r="BH1131">
        <v>118</v>
      </c>
      <c r="BI1131">
        <v>258</v>
      </c>
      <c r="BJ1131">
        <v>20</v>
      </c>
      <c r="BK1131">
        <v>12</v>
      </c>
      <c r="BL1131">
        <v>32</v>
      </c>
      <c r="BM1131">
        <v>32</v>
      </c>
      <c r="BN1131">
        <v>60</v>
      </c>
      <c r="BO1131">
        <v>92</v>
      </c>
      <c r="BP1131">
        <v>208</v>
      </c>
      <c r="BR1131">
        <v>101</v>
      </c>
      <c r="BS1131">
        <v>13</v>
      </c>
      <c r="BT1131">
        <v>26</v>
      </c>
      <c r="BV1131">
        <v>11</v>
      </c>
      <c r="BW1131">
        <v>359</v>
      </c>
      <c r="BX1131">
        <f t="shared" si="134"/>
        <v>182</v>
      </c>
      <c r="BY1131" s="5">
        <f t="shared" si="131"/>
        <v>0.97252747252747251</v>
      </c>
      <c r="BZ1131" s="6">
        <f t="shared" si="128"/>
        <v>0.97252747252747251</v>
      </c>
      <c r="CA1131" s="7">
        <v>43415</v>
      </c>
      <c r="CE1131">
        <v>85</v>
      </c>
      <c r="CF1131">
        <v>102</v>
      </c>
      <c r="CG1131">
        <v>103</v>
      </c>
      <c r="CH1131">
        <v>69</v>
      </c>
      <c r="CI1131">
        <f t="shared" si="126"/>
        <v>2018</v>
      </c>
      <c r="CJ1131" t="str">
        <f t="shared" si="127"/>
        <v>6226_2018</v>
      </c>
    </row>
    <row r="1132" spans="1:88" x14ac:dyDescent="0.25">
      <c r="A1132" t="s">
        <v>111</v>
      </c>
      <c r="B1132" t="s">
        <v>402</v>
      </c>
      <c r="C1132">
        <v>6226</v>
      </c>
      <c r="D1132">
        <v>-36.772300000000001</v>
      </c>
      <c r="E1132">
        <v>144.2878</v>
      </c>
      <c r="F1132">
        <v>6</v>
      </c>
      <c r="G1132" t="s">
        <v>407</v>
      </c>
      <c r="H1132">
        <v>5</v>
      </c>
      <c r="I1132">
        <v>185</v>
      </c>
      <c r="J1132">
        <v>29</v>
      </c>
      <c r="K1132">
        <v>209</v>
      </c>
      <c r="L1132">
        <v>100</v>
      </c>
      <c r="M1132">
        <v>280</v>
      </c>
      <c r="N1132">
        <v>183</v>
      </c>
      <c r="O1132">
        <v>3</v>
      </c>
      <c r="P1132">
        <v>207</v>
      </c>
      <c r="Q1132">
        <v>27</v>
      </c>
      <c r="R1132">
        <v>280</v>
      </c>
      <c r="S1132">
        <v>100</v>
      </c>
      <c r="T1132">
        <v>0</v>
      </c>
      <c r="U1132">
        <v>1</v>
      </c>
      <c r="V1132">
        <v>0</v>
      </c>
      <c r="W1132">
        <v>21</v>
      </c>
      <c r="X1132">
        <v>0</v>
      </c>
      <c r="Y1132">
        <v>0</v>
      </c>
      <c r="Z1132">
        <v>2</v>
      </c>
      <c r="AA1132">
        <v>61</v>
      </c>
      <c r="AB1132">
        <v>0</v>
      </c>
      <c r="AC1132">
        <v>1</v>
      </c>
      <c r="AD1132">
        <v>1</v>
      </c>
      <c r="AE1132">
        <v>2</v>
      </c>
      <c r="AF1132">
        <v>0</v>
      </c>
      <c r="AG1132">
        <v>3</v>
      </c>
      <c r="AH1132">
        <v>1</v>
      </c>
      <c r="AI1132">
        <v>1</v>
      </c>
      <c r="AJ1132">
        <v>78</v>
      </c>
      <c r="AK1132">
        <v>0</v>
      </c>
      <c r="AL1132">
        <v>0</v>
      </c>
      <c r="AM1132">
        <v>7</v>
      </c>
      <c r="AN1132">
        <v>13</v>
      </c>
      <c r="AO1132">
        <v>2</v>
      </c>
      <c r="AP1132">
        <v>0</v>
      </c>
      <c r="AQ1132">
        <v>0</v>
      </c>
      <c r="AR1132">
        <v>2</v>
      </c>
      <c r="AS1132">
        <v>2</v>
      </c>
      <c r="AT1132">
        <v>2</v>
      </c>
      <c r="AU1132">
        <v>36</v>
      </c>
      <c r="AV1132">
        <v>5</v>
      </c>
      <c r="AW1132">
        <v>2</v>
      </c>
      <c r="AX1132">
        <v>22</v>
      </c>
      <c r="AY1132">
        <v>17</v>
      </c>
      <c r="AZ1132">
        <v>39</v>
      </c>
      <c r="BA1132">
        <v>64</v>
      </c>
      <c r="BB1132">
        <v>84</v>
      </c>
      <c r="BC1132">
        <v>148</v>
      </c>
      <c r="BD1132">
        <v>7</v>
      </c>
      <c r="BE1132">
        <v>39</v>
      </c>
      <c r="BF1132">
        <v>46</v>
      </c>
      <c r="BG1132">
        <v>86</v>
      </c>
      <c r="BH1132">
        <v>66</v>
      </c>
      <c r="BI1132">
        <v>152</v>
      </c>
      <c r="BJ1132">
        <v>17</v>
      </c>
      <c r="BK1132">
        <v>26</v>
      </c>
      <c r="BL1132">
        <v>43</v>
      </c>
      <c r="BM1132">
        <v>47</v>
      </c>
      <c r="BN1132">
        <v>11</v>
      </c>
      <c r="BO1132">
        <v>58</v>
      </c>
      <c r="BP1132">
        <v>117</v>
      </c>
      <c r="BR1132">
        <v>95</v>
      </c>
      <c r="BS1132">
        <v>26</v>
      </c>
      <c r="BT1132">
        <v>19</v>
      </c>
      <c r="BV1132">
        <v>10</v>
      </c>
      <c r="BW1132">
        <v>267</v>
      </c>
      <c r="BX1132">
        <f t="shared" si="134"/>
        <v>359</v>
      </c>
      <c r="BY1132" s="5">
        <f t="shared" si="131"/>
        <v>-0.25626740947075211</v>
      </c>
      <c r="BZ1132" s="6">
        <f t="shared" si="128"/>
        <v>-0.25626740947075211</v>
      </c>
      <c r="CA1132" s="7">
        <v>43779</v>
      </c>
      <c r="CE1132">
        <v>70</v>
      </c>
      <c r="CF1132">
        <v>65</v>
      </c>
      <c r="CG1132">
        <v>61</v>
      </c>
      <c r="CH1132">
        <v>71</v>
      </c>
      <c r="CI1132">
        <f t="shared" si="126"/>
        <v>2019</v>
      </c>
      <c r="CJ1132" t="str">
        <f t="shared" si="127"/>
        <v>6226_2019</v>
      </c>
    </row>
    <row r="1133" spans="1:88" x14ac:dyDescent="0.25">
      <c r="A1133" t="s">
        <v>111</v>
      </c>
      <c r="B1133" t="s">
        <v>402</v>
      </c>
      <c r="C1133">
        <v>6227</v>
      </c>
      <c r="D1133">
        <v>-36.782200000000003</v>
      </c>
      <c r="E1133">
        <v>144.41640000000001</v>
      </c>
      <c r="F1133">
        <v>2</v>
      </c>
      <c r="G1133" t="s">
        <v>408</v>
      </c>
      <c r="H1133">
        <v>82</v>
      </c>
      <c r="I1133">
        <v>262</v>
      </c>
      <c r="J1133">
        <v>261</v>
      </c>
      <c r="K1133">
        <v>81</v>
      </c>
      <c r="T1133">
        <v>20</v>
      </c>
      <c r="Y1133">
        <v>26</v>
      </c>
      <c r="AX1133">
        <v>20</v>
      </c>
      <c r="AY1133">
        <v>26</v>
      </c>
      <c r="AZ1133">
        <v>46</v>
      </c>
      <c r="BA1133">
        <v>26</v>
      </c>
      <c r="BB1133">
        <v>20</v>
      </c>
      <c r="BC1133">
        <v>46</v>
      </c>
      <c r="BP1133">
        <v>33</v>
      </c>
      <c r="BR1133">
        <v>4</v>
      </c>
      <c r="BS1133">
        <v>5</v>
      </c>
      <c r="BT1133">
        <v>4</v>
      </c>
      <c r="BV1133">
        <v>0</v>
      </c>
      <c r="BW1133">
        <v>46</v>
      </c>
      <c r="BX1133" t="s">
        <v>82</v>
      </c>
      <c r="BY1133" s="5"/>
      <c r="BZ1133" s="6"/>
      <c r="CA1133" s="7">
        <v>41588</v>
      </c>
      <c r="CI1133">
        <f t="shared" si="126"/>
        <v>2013</v>
      </c>
      <c r="CJ1133" t="str">
        <f t="shared" si="127"/>
        <v>6227_2013</v>
      </c>
    </row>
    <row r="1134" spans="1:88" x14ac:dyDescent="0.25">
      <c r="A1134" t="s">
        <v>111</v>
      </c>
      <c r="B1134" t="s">
        <v>402</v>
      </c>
      <c r="C1134">
        <v>6227</v>
      </c>
      <c r="D1134">
        <v>-36.782200000000003</v>
      </c>
      <c r="E1134">
        <v>144.41640000000001</v>
      </c>
      <c r="F1134">
        <v>2</v>
      </c>
      <c r="G1134" t="s">
        <v>408</v>
      </c>
      <c r="H1134">
        <v>82</v>
      </c>
      <c r="I1134">
        <v>262</v>
      </c>
      <c r="J1134">
        <v>261</v>
      </c>
      <c r="K1134">
        <v>81</v>
      </c>
      <c r="T1134">
        <v>8</v>
      </c>
      <c r="Y1134">
        <v>38</v>
      </c>
      <c r="AX1134">
        <v>8</v>
      </c>
      <c r="AY1134">
        <v>38</v>
      </c>
      <c r="AZ1134">
        <v>46</v>
      </c>
      <c r="BA1134">
        <v>38</v>
      </c>
      <c r="BB1134">
        <v>8</v>
      </c>
      <c r="BC1134">
        <v>46</v>
      </c>
      <c r="BP1134">
        <v>39</v>
      </c>
      <c r="BR1134">
        <v>2</v>
      </c>
      <c r="BS1134">
        <v>3</v>
      </c>
      <c r="BT1134">
        <v>2</v>
      </c>
      <c r="BV1134">
        <v>0</v>
      </c>
      <c r="BW1134">
        <v>46</v>
      </c>
      <c r="BX1134">
        <f t="shared" ref="BX1134:BX1140" si="135">IF(C1134=C1133,IF((CI1134-1)=CI1133,BW1133,"no data"))</f>
        <v>46</v>
      </c>
      <c r="BY1134" s="5">
        <f t="shared" si="131"/>
        <v>0</v>
      </c>
      <c r="BZ1134" s="6">
        <f t="shared" si="128"/>
        <v>0</v>
      </c>
      <c r="CA1134" s="7">
        <v>41952</v>
      </c>
      <c r="CI1134">
        <f t="shared" si="126"/>
        <v>2014</v>
      </c>
      <c r="CJ1134" t="str">
        <f t="shared" si="127"/>
        <v>6227_2014</v>
      </c>
    </row>
    <row r="1135" spans="1:88" x14ac:dyDescent="0.25">
      <c r="A1135" t="s">
        <v>111</v>
      </c>
      <c r="B1135" t="s">
        <v>402</v>
      </c>
      <c r="C1135">
        <v>6227</v>
      </c>
      <c r="D1135">
        <v>-36.782200000000003</v>
      </c>
      <c r="E1135">
        <v>144.41640000000001</v>
      </c>
      <c r="F1135">
        <v>2</v>
      </c>
      <c r="G1135" t="s">
        <v>408</v>
      </c>
      <c r="H1135">
        <v>82</v>
      </c>
      <c r="I1135">
        <v>262</v>
      </c>
      <c r="J1135">
        <v>261</v>
      </c>
      <c r="K1135">
        <v>81</v>
      </c>
      <c r="T1135">
        <v>17</v>
      </c>
      <c r="Y1135">
        <v>19</v>
      </c>
      <c r="AX1135">
        <v>17</v>
      </c>
      <c r="AY1135">
        <v>19</v>
      </c>
      <c r="AZ1135">
        <v>36</v>
      </c>
      <c r="BA1135">
        <v>19</v>
      </c>
      <c r="BB1135">
        <v>17</v>
      </c>
      <c r="BC1135">
        <v>36</v>
      </c>
      <c r="BP1135">
        <v>32</v>
      </c>
      <c r="BR1135">
        <v>0</v>
      </c>
      <c r="BS1135">
        <v>3</v>
      </c>
      <c r="BT1135">
        <v>1</v>
      </c>
      <c r="BV1135">
        <v>0</v>
      </c>
      <c r="BW1135">
        <v>36</v>
      </c>
      <c r="BX1135">
        <f t="shared" si="135"/>
        <v>46</v>
      </c>
      <c r="BY1135" s="5">
        <f t="shared" si="131"/>
        <v>-0.21739130434782608</v>
      </c>
      <c r="BZ1135" s="6">
        <f t="shared" si="128"/>
        <v>-0.21739130434782608</v>
      </c>
      <c r="CA1135" s="7">
        <v>42316</v>
      </c>
      <c r="CE1135">
        <v>8</v>
      </c>
      <c r="CF1135">
        <v>18</v>
      </c>
      <c r="CG1135">
        <v>8</v>
      </c>
      <c r="CH1135">
        <v>2</v>
      </c>
      <c r="CI1135">
        <f t="shared" si="126"/>
        <v>2015</v>
      </c>
      <c r="CJ1135" t="str">
        <f t="shared" si="127"/>
        <v>6227_2015</v>
      </c>
    </row>
    <row r="1136" spans="1:88" x14ac:dyDescent="0.25">
      <c r="A1136" t="s">
        <v>111</v>
      </c>
      <c r="B1136" t="s">
        <v>402</v>
      </c>
      <c r="C1136">
        <v>6227</v>
      </c>
      <c r="D1136">
        <v>-36.782162999999997</v>
      </c>
      <c r="E1136">
        <v>144.41638800000001</v>
      </c>
      <c r="F1136">
        <v>2</v>
      </c>
      <c r="G1136" t="s">
        <v>408</v>
      </c>
      <c r="H1136">
        <v>82</v>
      </c>
      <c r="I1136">
        <v>262</v>
      </c>
      <c r="J1136">
        <v>261</v>
      </c>
      <c r="K1136">
        <v>81</v>
      </c>
      <c r="T1136">
        <v>0</v>
      </c>
      <c r="Y1136">
        <v>2</v>
      </c>
      <c r="AX1136">
        <v>0</v>
      </c>
      <c r="AY1136">
        <v>2</v>
      </c>
      <c r="AZ1136">
        <v>2</v>
      </c>
      <c r="BA1136">
        <v>2</v>
      </c>
      <c r="BB1136">
        <v>0</v>
      </c>
      <c r="BC1136">
        <v>2</v>
      </c>
      <c r="BP1136">
        <v>0</v>
      </c>
      <c r="BR1136">
        <v>1</v>
      </c>
      <c r="BS1136">
        <v>0</v>
      </c>
      <c r="BT1136">
        <v>1</v>
      </c>
      <c r="BV1136">
        <v>0</v>
      </c>
      <c r="BW1136">
        <v>2</v>
      </c>
      <c r="BX1136">
        <f t="shared" si="135"/>
        <v>36</v>
      </c>
      <c r="BY1136" s="5">
        <f t="shared" si="131"/>
        <v>-0.94444444444444442</v>
      </c>
      <c r="BZ1136" s="6">
        <f t="shared" si="128"/>
        <v>-0.94444444444444442</v>
      </c>
      <c r="CA1136" s="7">
        <v>42687</v>
      </c>
      <c r="CE1136">
        <v>0</v>
      </c>
      <c r="CF1136">
        <v>2</v>
      </c>
      <c r="CG1136">
        <v>0</v>
      </c>
      <c r="CH1136">
        <v>0</v>
      </c>
      <c r="CI1136">
        <f t="shared" si="126"/>
        <v>2016</v>
      </c>
      <c r="CJ1136" t="str">
        <f t="shared" si="127"/>
        <v>6227_2016</v>
      </c>
    </row>
    <row r="1137" spans="1:88" x14ac:dyDescent="0.25">
      <c r="A1137" t="s">
        <v>111</v>
      </c>
      <c r="B1137" t="s">
        <v>402</v>
      </c>
      <c r="C1137">
        <v>6227</v>
      </c>
      <c r="D1137">
        <v>-36.782162999999997</v>
      </c>
      <c r="E1137">
        <v>144.41638800000001</v>
      </c>
      <c r="F1137">
        <v>2</v>
      </c>
      <c r="G1137" t="s">
        <v>408</v>
      </c>
      <c r="H1137">
        <v>82</v>
      </c>
      <c r="I1137">
        <v>262</v>
      </c>
      <c r="J1137">
        <v>261</v>
      </c>
      <c r="K1137">
        <v>81</v>
      </c>
      <c r="T1137">
        <v>29</v>
      </c>
      <c r="Y1137">
        <v>45</v>
      </c>
      <c r="AX1137">
        <v>29</v>
      </c>
      <c r="AY1137">
        <v>45</v>
      </c>
      <c r="AZ1137">
        <v>74</v>
      </c>
      <c r="BA1137">
        <v>45</v>
      </c>
      <c r="BB1137">
        <v>29</v>
      </c>
      <c r="BC1137">
        <v>74</v>
      </c>
      <c r="BP1137">
        <v>62</v>
      </c>
      <c r="BR1137">
        <v>3</v>
      </c>
      <c r="BS1137">
        <v>9</v>
      </c>
      <c r="BT1137">
        <v>0</v>
      </c>
      <c r="BV1137">
        <v>0</v>
      </c>
      <c r="BW1137">
        <v>74</v>
      </c>
      <c r="BX1137">
        <f t="shared" si="135"/>
        <v>2</v>
      </c>
      <c r="BY1137" s="5">
        <f t="shared" si="131"/>
        <v>36</v>
      </c>
      <c r="BZ1137" s="6">
        <f t="shared" si="128"/>
        <v>36</v>
      </c>
      <c r="CA1137" s="7">
        <v>43051</v>
      </c>
      <c r="CE1137">
        <v>32</v>
      </c>
      <c r="CF1137">
        <v>15</v>
      </c>
      <c r="CG1137">
        <v>13</v>
      </c>
      <c r="CH1137">
        <v>14</v>
      </c>
      <c r="CI1137">
        <f t="shared" si="126"/>
        <v>2017</v>
      </c>
      <c r="CJ1137" t="str">
        <f t="shared" si="127"/>
        <v>6227_2017</v>
      </c>
    </row>
    <row r="1138" spans="1:88" x14ac:dyDescent="0.25">
      <c r="A1138" t="s">
        <v>111</v>
      </c>
      <c r="B1138" t="s">
        <v>402</v>
      </c>
      <c r="C1138">
        <v>6227</v>
      </c>
      <c r="D1138">
        <v>-36.782162999999997</v>
      </c>
      <c r="E1138">
        <v>144.41638800000001</v>
      </c>
      <c r="F1138">
        <v>2</v>
      </c>
      <c r="G1138" t="s">
        <v>408</v>
      </c>
      <c r="H1138">
        <v>82</v>
      </c>
      <c r="I1138">
        <v>262</v>
      </c>
      <c r="J1138">
        <v>261</v>
      </c>
      <c r="K1138">
        <v>81</v>
      </c>
      <c r="T1138">
        <v>22</v>
      </c>
      <c r="Y1138">
        <v>35</v>
      </c>
      <c r="AX1138">
        <v>22</v>
      </c>
      <c r="AY1138">
        <v>35</v>
      </c>
      <c r="AZ1138">
        <v>57</v>
      </c>
      <c r="BA1138">
        <v>35</v>
      </c>
      <c r="BB1138">
        <v>22</v>
      </c>
      <c r="BC1138">
        <v>57</v>
      </c>
      <c r="BP1138">
        <v>34</v>
      </c>
      <c r="BR1138">
        <v>12</v>
      </c>
      <c r="BS1138">
        <v>2</v>
      </c>
      <c r="BT1138">
        <v>5</v>
      </c>
      <c r="BV1138">
        <v>4</v>
      </c>
      <c r="BW1138">
        <v>57</v>
      </c>
      <c r="BX1138">
        <f t="shared" si="135"/>
        <v>74</v>
      </c>
      <c r="BY1138" s="5">
        <f t="shared" si="131"/>
        <v>-0.22972972972972974</v>
      </c>
      <c r="BZ1138" s="6">
        <f t="shared" si="128"/>
        <v>-0.22972972972972974</v>
      </c>
      <c r="CA1138" s="7">
        <v>43415</v>
      </c>
      <c r="CE1138">
        <v>20</v>
      </c>
      <c r="CF1138">
        <v>6</v>
      </c>
      <c r="CG1138">
        <v>17</v>
      </c>
      <c r="CH1138">
        <v>14</v>
      </c>
      <c r="CI1138">
        <f t="shared" si="126"/>
        <v>2018</v>
      </c>
      <c r="CJ1138" t="str">
        <f t="shared" si="127"/>
        <v>6227_2018</v>
      </c>
    </row>
    <row r="1139" spans="1:88" x14ac:dyDescent="0.25">
      <c r="A1139" t="s">
        <v>111</v>
      </c>
      <c r="B1139" t="s">
        <v>402</v>
      </c>
      <c r="C1139">
        <v>6227</v>
      </c>
      <c r="D1139">
        <v>-36.782200000000003</v>
      </c>
      <c r="E1139">
        <v>144.41640000000001</v>
      </c>
      <c r="F1139">
        <v>2</v>
      </c>
      <c r="G1139" t="s">
        <v>408</v>
      </c>
      <c r="H1139">
        <v>82</v>
      </c>
      <c r="I1139">
        <v>262</v>
      </c>
      <c r="J1139">
        <v>261</v>
      </c>
      <c r="K1139">
        <v>81</v>
      </c>
      <c r="T1139">
        <v>46</v>
      </c>
      <c r="Y1139">
        <v>25</v>
      </c>
      <c r="AX1139">
        <v>46</v>
      </c>
      <c r="AY1139">
        <v>25</v>
      </c>
      <c r="AZ1139">
        <v>71</v>
      </c>
      <c r="BA1139">
        <v>25</v>
      </c>
      <c r="BB1139">
        <v>46</v>
      </c>
      <c r="BC1139">
        <v>71</v>
      </c>
      <c r="BP1139">
        <v>53</v>
      </c>
      <c r="BR1139">
        <v>4</v>
      </c>
      <c r="BS1139">
        <v>6</v>
      </c>
      <c r="BT1139">
        <v>2</v>
      </c>
      <c r="BV1139">
        <v>6</v>
      </c>
      <c r="BW1139">
        <v>71</v>
      </c>
      <c r="BX1139">
        <f t="shared" si="135"/>
        <v>57</v>
      </c>
      <c r="BY1139" s="5">
        <f t="shared" si="131"/>
        <v>0.24561403508771928</v>
      </c>
      <c r="BZ1139" s="6">
        <f t="shared" si="128"/>
        <v>0.24561403508771928</v>
      </c>
      <c r="CA1139" s="7">
        <v>43779</v>
      </c>
      <c r="CE1139">
        <v>19</v>
      </c>
      <c r="CF1139">
        <v>10</v>
      </c>
      <c r="CG1139">
        <v>27</v>
      </c>
      <c r="CH1139">
        <v>15</v>
      </c>
      <c r="CI1139">
        <f t="shared" si="126"/>
        <v>2019</v>
      </c>
      <c r="CJ1139" t="str">
        <f t="shared" si="127"/>
        <v>6227_2019</v>
      </c>
    </row>
    <row r="1140" spans="1:88" x14ac:dyDescent="0.25">
      <c r="A1140" t="s">
        <v>111</v>
      </c>
      <c r="B1140" t="s">
        <v>402</v>
      </c>
      <c r="C1140">
        <v>6227</v>
      </c>
      <c r="D1140">
        <v>-36.782162999999997</v>
      </c>
      <c r="E1140">
        <v>144.41638800000001</v>
      </c>
      <c r="F1140">
        <v>2</v>
      </c>
      <c r="G1140" t="s">
        <v>408</v>
      </c>
      <c r="H1140">
        <v>82</v>
      </c>
      <c r="I1140">
        <v>262</v>
      </c>
      <c r="J1140">
        <v>261</v>
      </c>
      <c r="K1140">
        <v>81</v>
      </c>
      <c r="T1140">
        <v>13</v>
      </c>
      <c r="Y1140">
        <v>13</v>
      </c>
      <c r="AX1140">
        <v>13</v>
      </c>
      <c r="AY1140">
        <v>13</v>
      </c>
      <c r="AZ1140">
        <v>26</v>
      </c>
      <c r="BA1140">
        <v>13</v>
      </c>
      <c r="BB1140">
        <v>13</v>
      </c>
      <c r="BC1140">
        <v>26</v>
      </c>
      <c r="BP1140">
        <v>15</v>
      </c>
      <c r="BR1140">
        <v>5</v>
      </c>
      <c r="BS1140">
        <v>1</v>
      </c>
      <c r="BT1140">
        <v>5</v>
      </c>
      <c r="BU1140">
        <v>0</v>
      </c>
      <c r="BV1140">
        <v>0</v>
      </c>
      <c r="BW1140">
        <v>26</v>
      </c>
      <c r="BX1140" t="str">
        <f t="shared" si="135"/>
        <v>no data</v>
      </c>
      <c r="BY1140" s="5"/>
      <c r="BZ1140" s="6"/>
      <c r="CA1140" s="7">
        <v>44878</v>
      </c>
      <c r="CE1140">
        <v>5</v>
      </c>
      <c r="CF1140">
        <v>16</v>
      </c>
      <c r="CG1140">
        <v>5</v>
      </c>
      <c r="CI1140">
        <f t="shared" si="126"/>
        <v>2022</v>
      </c>
      <c r="CJ1140" t="str">
        <f t="shared" si="127"/>
        <v>6227_2022</v>
      </c>
    </row>
    <row r="1141" spans="1:88" x14ac:dyDescent="0.25">
      <c r="A1141" t="s">
        <v>111</v>
      </c>
      <c r="B1141" t="s">
        <v>402</v>
      </c>
      <c r="C1141">
        <v>6228</v>
      </c>
      <c r="D1141">
        <v>-36.753999999999998</v>
      </c>
      <c r="E1141">
        <v>144.32499999999999</v>
      </c>
      <c r="F1141">
        <v>4</v>
      </c>
      <c r="G1141" t="s">
        <v>409</v>
      </c>
      <c r="H1141">
        <v>9</v>
      </c>
      <c r="I1141">
        <v>189</v>
      </c>
      <c r="J1141">
        <v>126</v>
      </c>
      <c r="K1141">
        <v>306</v>
      </c>
      <c r="L1141">
        <v>187</v>
      </c>
      <c r="M1141">
        <v>7</v>
      </c>
      <c r="N1141">
        <v>303</v>
      </c>
      <c r="O1141">
        <v>123</v>
      </c>
      <c r="U1141">
        <v>37</v>
      </c>
      <c r="V1141">
        <v>11</v>
      </c>
      <c r="AD1141">
        <v>20</v>
      </c>
      <c r="AF1141">
        <v>9</v>
      </c>
      <c r="AI1141">
        <v>5</v>
      </c>
      <c r="AK1141">
        <v>10</v>
      </c>
      <c r="AX1141">
        <v>48</v>
      </c>
      <c r="AY1141">
        <v>25</v>
      </c>
      <c r="AZ1141">
        <v>73</v>
      </c>
      <c r="BD1141">
        <v>29</v>
      </c>
      <c r="BE1141">
        <v>47</v>
      </c>
      <c r="BF1141">
        <v>76</v>
      </c>
      <c r="BG1141">
        <v>15</v>
      </c>
      <c r="BH1141">
        <v>20</v>
      </c>
      <c r="BI1141">
        <v>35</v>
      </c>
      <c r="BP1141">
        <v>62</v>
      </c>
      <c r="BR1141">
        <v>3</v>
      </c>
      <c r="BS1141">
        <v>24</v>
      </c>
      <c r="BT1141">
        <v>3</v>
      </c>
      <c r="BV1141">
        <v>0</v>
      </c>
      <c r="BW1141">
        <v>92</v>
      </c>
      <c r="BX1141" t="s">
        <v>82</v>
      </c>
      <c r="BY1141" s="5"/>
      <c r="BZ1141" s="6"/>
      <c r="CA1141" s="7">
        <v>41588</v>
      </c>
      <c r="CI1141">
        <f t="shared" si="126"/>
        <v>2013</v>
      </c>
      <c r="CJ1141" t="str">
        <f t="shared" si="127"/>
        <v>6228_2013</v>
      </c>
    </row>
    <row r="1142" spans="1:88" x14ac:dyDescent="0.25">
      <c r="A1142" t="s">
        <v>111</v>
      </c>
      <c r="B1142" t="s">
        <v>402</v>
      </c>
      <c r="C1142">
        <v>6228</v>
      </c>
      <c r="D1142">
        <v>-36.753999999999998</v>
      </c>
      <c r="E1142">
        <v>144.32499999999999</v>
      </c>
      <c r="F1142">
        <v>4</v>
      </c>
      <c r="G1142" t="s">
        <v>409</v>
      </c>
      <c r="H1142">
        <v>9</v>
      </c>
      <c r="I1142">
        <v>189</v>
      </c>
      <c r="J1142">
        <v>126</v>
      </c>
      <c r="K1142">
        <v>306</v>
      </c>
      <c r="L1142">
        <v>187</v>
      </c>
      <c r="M1142">
        <v>7</v>
      </c>
      <c r="N1142">
        <v>303</v>
      </c>
      <c r="O1142">
        <v>123</v>
      </c>
      <c r="T1142">
        <v>12</v>
      </c>
      <c r="U1142">
        <v>0</v>
      </c>
      <c r="V1142">
        <v>1</v>
      </c>
      <c r="Y1142">
        <v>20</v>
      </c>
      <c r="Z1142">
        <v>0</v>
      </c>
      <c r="AA1142">
        <v>0</v>
      </c>
      <c r="AD1142">
        <v>0</v>
      </c>
      <c r="AE1142">
        <v>0</v>
      </c>
      <c r="AF1142">
        <v>33</v>
      </c>
      <c r="AI1142">
        <v>3</v>
      </c>
      <c r="AJ1142">
        <v>0</v>
      </c>
      <c r="AK1142">
        <v>14</v>
      </c>
      <c r="AX1142">
        <v>13</v>
      </c>
      <c r="AY1142">
        <v>23</v>
      </c>
      <c r="AZ1142">
        <v>36</v>
      </c>
      <c r="BA1142">
        <v>20</v>
      </c>
      <c r="BB1142">
        <v>12</v>
      </c>
      <c r="BC1142">
        <v>32</v>
      </c>
      <c r="BD1142">
        <v>33</v>
      </c>
      <c r="BE1142">
        <v>14</v>
      </c>
      <c r="BF1142">
        <v>47</v>
      </c>
      <c r="BG1142">
        <v>17</v>
      </c>
      <c r="BH1142">
        <v>34</v>
      </c>
      <c r="BI1142">
        <v>51</v>
      </c>
      <c r="BP1142">
        <v>82</v>
      </c>
      <c r="BR1142">
        <v>0</v>
      </c>
      <c r="BS1142">
        <v>1</v>
      </c>
      <c r="BT1142">
        <v>0</v>
      </c>
      <c r="BV1142">
        <v>0</v>
      </c>
      <c r="BW1142">
        <v>83</v>
      </c>
      <c r="BX1142">
        <f t="shared" ref="BX1142:BX1147" si="136">IF(C1142=C1141,IF((CI1142-1)=CI1141,BW1141,"no data"))</f>
        <v>92</v>
      </c>
      <c r="BY1142" s="5">
        <f t="shared" si="131"/>
        <v>-9.7826086956521743E-2</v>
      </c>
      <c r="BZ1142" s="6">
        <f t="shared" si="128"/>
        <v>-9.7826086956521743E-2</v>
      </c>
      <c r="CA1142" s="7">
        <v>41952</v>
      </c>
      <c r="CI1142">
        <f t="shared" si="126"/>
        <v>2014</v>
      </c>
      <c r="CJ1142" t="str">
        <f t="shared" si="127"/>
        <v>6228_2014</v>
      </c>
    </row>
    <row r="1143" spans="1:88" x14ac:dyDescent="0.25">
      <c r="A1143" t="s">
        <v>111</v>
      </c>
      <c r="B1143" t="s">
        <v>402</v>
      </c>
      <c r="C1143">
        <v>6228</v>
      </c>
      <c r="D1143">
        <v>-36.753999999999998</v>
      </c>
      <c r="E1143">
        <v>144.32499999999999</v>
      </c>
      <c r="F1143">
        <v>4</v>
      </c>
      <c r="G1143" t="s">
        <v>409</v>
      </c>
      <c r="H1143">
        <v>9</v>
      </c>
      <c r="I1143">
        <v>189</v>
      </c>
      <c r="J1143">
        <v>126</v>
      </c>
      <c r="K1143">
        <v>306</v>
      </c>
      <c r="L1143">
        <v>187</v>
      </c>
      <c r="M1143">
        <v>7</v>
      </c>
      <c r="N1143">
        <v>303</v>
      </c>
      <c r="O1143">
        <v>123</v>
      </c>
      <c r="T1143">
        <v>0</v>
      </c>
      <c r="U1143">
        <v>7</v>
      </c>
      <c r="V1143">
        <v>2</v>
      </c>
      <c r="Y1143">
        <v>0</v>
      </c>
      <c r="Z1143">
        <v>0</v>
      </c>
      <c r="AA1143">
        <v>23</v>
      </c>
      <c r="AD1143">
        <v>34</v>
      </c>
      <c r="AE1143">
        <v>0</v>
      </c>
      <c r="AF1143">
        <v>1</v>
      </c>
      <c r="AI1143">
        <v>2</v>
      </c>
      <c r="AJ1143">
        <v>31</v>
      </c>
      <c r="AK1143">
        <v>1</v>
      </c>
      <c r="AX1143">
        <v>9</v>
      </c>
      <c r="AY1143">
        <v>36</v>
      </c>
      <c r="AZ1143">
        <v>45</v>
      </c>
      <c r="BA1143">
        <v>23</v>
      </c>
      <c r="BB1143">
        <v>31</v>
      </c>
      <c r="BC1143">
        <v>54</v>
      </c>
      <c r="BD1143">
        <v>35</v>
      </c>
      <c r="BE1143">
        <v>8</v>
      </c>
      <c r="BF1143">
        <v>43</v>
      </c>
      <c r="BG1143">
        <v>34</v>
      </c>
      <c r="BH1143">
        <v>26</v>
      </c>
      <c r="BI1143">
        <v>60</v>
      </c>
      <c r="BP1143">
        <v>93</v>
      </c>
      <c r="BR1143">
        <v>3</v>
      </c>
      <c r="BS1143">
        <v>3</v>
      </c>
      <c r="BT1143">
        <v>1</v>
      </c>
      <c r="BV1143">
        <v>1</v>
      </c>
      <c r="BW1143">
        <v>101</v>
      </c>
      <c r="BX1143">
        <f t="shared" si="136"/>
        <v>83</v>
      </c>
      <c r="BY1143" s="5">
        <f t="shared" si="131"/>
        <v>0.21686746987951808</v>
      </c>
      <c r="BZ1143" s="6">
        <f t="shared" si="128"/>
        <v>0.21686746987951808</v>
      </c>
      <c r="CA1143" s="7">
        <v>42316</v>
      </c>
      <c r="CE1143">
        <v>47</v>
      </c>
      <c r="CF1143">
        <v>19</v>
      </c>
      <c r="CG1143">
        <v>21</v>
      </c>
      <c r="CH1143">
        <v>14</v>
      </c>
      <c r="CI1143">
        <f t="shared" si="126"/>
        <v>2015</v>
      </c>
      <c r="CJ1143" t="str">
        <f t="shared" si="127"/>
        <v>6228_2015</v>
      </c>
    </row>
    <row r="1144" spans="1:88" x14ac:dyDescent="0.25">
      <c r="A1144" t="s">
        <v>111</v>
      </c>
      <c r="B1144" t="s">
        <v>402</v>
      </c>
      <c r="C1144">
        <v>6228</v>
      </c>
      <c r="D1144">
        <v>-36.754002999999997</v>
      </c>
      <c r="E1144">
        <v>144.32503399999999</v>
      </c>
      <c r="F1144">
        <v>4</v>
      </c>
      <c r="G1144" t="s">
        <v>409</v>
      </c>
      <c r="H1144">
        <v>9</v>
      </c>
      <c r="I1144">
        <v>189</v>
      </c>
      <c r="J1144">
        <v>126</v>
      </c>
      <c r="K1144">
        <v>306</v>
      </c>
      <c r="L1144">
        <v>187</v>
      </c>
      <c r="M1144">
        <v>7</v>
      </c>
      <c r="N1144">
        <v>303</v>
      </c>
      <c r="O1144">
        <v>123</v>
      </c>
      <c r="T1144">
        <v>4</v>
      </c>
      <c r="U1144">
        <v>0</v>
      </c>
      <c r="V1144">
        <v>0</v>
      </c>
      <c r="Y1144">
        <v>4</v>
      </c>
      <c r="Z1144">
        <v>0</v>
      </c>
      <c r="AA1144">
        <v>2</v>
      </c>
      <c r="AD1144">
        <v>0</v>
      </c>
      <c r="AE1144">
        <v>0</v>
      </c>
      <c r="AF1144">
        <v>0</v>
      </c>
      <c r="AI1144">
        <v>0</v>
      </c>
      <c r="AJ1144">
        <v>2</v>
      </c>
      <c r="AK1144">
        <v>0</v>
      </c>
      <c r="AX1144">
        <v>4</v>
      </c>
      <c r="AY1144">
        <v>4</v>
      </c>
      <c r="AZ1144">
        <v>8</v>
      </c>
      <c r="BA1144">
        <v>6</v>
      </c>
      <c r="BB1144">
        <v>6</v>
      </c>
      <c r="BC1144">
        <v>12</v>
      </c>
      <c r="BD1144">
        <v>0</v>
      </c>
      <c r="BE1144">
        <v>0</v>
      </c>
      <c r="BF1144">
        <v>0</v>
      </c>
      <c r="BG1144">
        <v>2</v>
      </c>
      <c r="BH1144">
        <v>2</v>
      </c>
      <c r="BI1144">
        <v>4</v>
      </c>
      <c r="BP1144">
        <v>1</v>
      </c>
      <c r="BR1144">
        <v>8</v>
      </c>
      <c r="BS1144">
        <v>3</v>
      </c>
      <c r="BT1144">
        <v>0</v>
      </c>
      <c r="BV1144">
        <v>0</v>
      </c>
      <c r="BW1144">
        <v>12</v>
      </c>
      <c r="BX1144">
        <f t="shared" si="136"/>
        <v>101</v>
      </c>
      <c r="BY1144" s="5">
        <f t="shared" si="131"/>
        <v>-0.88118811881188119</v>
      </c>
      <c r="BZ1144" s="6">
        <f t="shared" si="128"/>
        <v>-0.88118811881188119</v>
      </c>
      <c r="CA1144" s="7">
        <v>42687</v>
      </c>
      <c r="CE1144">
        <v>0</v>
      </c>
      <c r="CF1144">
        <v>10</v>
      </c>
      <c r="CG1144">
        <v>2</v>
      </c>
      <c r="CH1144">
        <v>0</v>
      </c>
      <c r="CI1144">
        <f t="shared" si="126"/>
        <v>2016</v>
      </c>
      <c r="CJ1144" t="str">
        <f t="shared" si="127"/>
        <v>6228_2016</v>
      </c>
    </row>
    <row r="1145" spans="1:88" x14ac:dyDescent="0.25">
      <c r="A1145" t="s">
        <v>111</v>
      </c>
      <c r="B1145" t="s">
        <v>402</v>
      </c>
      <c r="C1145">
        <v>6228</v>
      </c>
      <c r="D1145">
        <v>-36.754002999999997</v>
      </c>
      <c r="E1145">
        <v>144.32503399999999</v>
      </c>
      <c r="F1145">
        <v>4</v>
      </c>
      <c r="G1145" t="s">
        <v>409</v>
      </c>
      <c r="H1145">
        <v>9</v>
      </c>
      <c r="I1145">
        <v>189</v>
      </c>
      <c r="J1145">
        <v>126</v>
      </c>
      <c r="K1145">
        <v>306</v>
      </c>
      <c r="L1145">
        <v>187</v>
      </c>
      <c r="M1145">
        <v>7</v>
      </c>
      <c r="N1145">
        <v>303</v>
      </c>
      <c r="O1145">
        <v>123</v>
      </c>
      <c r="T1145">
        <v>0</v>
      </c>
      <c r="U1145">
        <v>1</v>
      </c>
      <c r="V1145">
        <v>0</v>
      </c>
      <c r="Y1145">
        <v>2</v>
      </c>
      <c r="Z1145">
        <v>6</v>
      </c>
      <c r="AA1145">
        <v>18</v>
      </c>
      <c r="AD1145">
        <v>15</v>
      </c>
      <c r="AE1145">
        <v>12</v>
      </c>
      <c r="AF1145">
        <v>3</v>
      </c>
      <c r="AI1145">
        <v>2</v>
      </c>
      <c r="AJ1145">
        <v>27</v>
      </c>
      <c r="AK1145">
        <v>3</v>
      </c>
      <c r="AX1145">
        <v>1</v>
      </c>
      <c r="AY1145">
        <v>19</v>
      </c>
      <c r="AZ1145">
        <v>20</v>
      </c>
      <c r="BA1145">
        <v>26</v>
      </c>
      <c r="BB1145">
        <v>39</v>
      </c>
      <c r="BC1145">
        <v>65</v>
      </c>
      <c r="BD1145">
        <v>30</v>
      </c>
      <c r="BE1145">
        <v>10</v>
      </c>
      <c r="BF1145">
        <v>40</v>
      </c>
      <c r="BG1145">
        <v>32</v>
      </c>
      <c r="BH1145">
        <v>21</v>
      </c>
      <c r="BI1145">
        <v>53</v>
      </c>
      <c r="BP1145">
        <v>64</v>
      </c>
      <c r="BR1145">
        <v>12</v>
      </c>
      <c r="BS1145">
        <v>9</v>
      </c>
      <c r="BT1145">
        <v>4</v>
      </c>
      <c r="BV1145">
        <v>0</v>
      </c>
      <c r="BW1145">
        <v>89</v>
      </c>
      <c r="BX1145">
        <f t="shared" si="136"/>
        <v>12</v>
      </c>
      <c r="BY1145" s="5">
        <f t="shared" si="131"/>
        <v>6.416666666666667</v>
      </c>
      <c r="BZ1145" s="6">
        <f t="shared" si="128"/>
        <v>6.416666666666667</v>
      </c>
      <c r="CA1145" s="7">
        <v>43051</v>
      </c>
      <c r="CE1145">
        <v>37</v>
      </c>
      <c r="CF1145">
        <v>33</v>
      </c>
      <c r="CG1145">
        <v>15</v>
      </c>
      <c r="CH1145">
        <v>4</v>
      </c>
      <c r="CI1145">
        <f t="shared" si="126"/>
        <v>2017</v>
      </c>
      <c r="CJ1145" t="str">
        <f t="shared" si="127"/>
        <v>6228_2017</v>
      </c>
    </row>
    <row r="1146" spans="1:88" x14ac:dyDescent="0.25">
      <c r="A1146" t="s">
        <v>111</v>
      </c>
      <c r="B1146" t="s">
        <v>402</v>
      </c>
      <c r="C1146">
        <v>6228</v>
      </c>
      <c r="D1146">
        <v>-36.754002999999997</v>
      </c>
      <c r="E1146">
        <v>144.32503399999999</v>
      </c>
      <c r="F1146">
        <v>4</v>
      </c>
      <c r="G1146" t="s">
        <v>409</v>
      </c>
      <c r="H1146">
        <v>9</v>
      </c>
      <c r="I1146">
        <v>189</v>
      </c>
      <c r="J1146">
        <v>126</v>
      </c>
      <c r="K1146">
        <v>306</v>
      </c>
      <c r="L1146">
        <v>187</v>
      </c>
      <c r="M1146">
        <v>7</v>
      </c>
      <c r="N1146">
        <v>303</v>
      </c>
      <c r="O1146">
        <v>123</v>
      </c>
      <c r="T1146">
        <v>0</v>
      </c>
      <c r="U1146">
        <v>8</v>
      </c>
      <c r="V1146">
        <v>0</v>
      </c>
      <c r="Y1146">
        <v>0</v>
      </c>
      <c r="Z1146">
        <v>0</v>
      </c>
      <c r="AA1146">
        <v>39</v>
      </c>
      <c r="AD1146">
        <v>17</v>
      </c>
      <c r="AE1146">
        <v>0</v>
      </c>
      <c r="AF1146">
        <v>0</v>
      </c>
      <c r="AI1146">
        <v>0</v>
      </c>
      <c r="AJ1146">
        <v>19</v>
      </c>
      <c r="AK1146">
        <v>0</v>
      </c>
      <c r="AX1146">
        <v>8</v>
      </c>
      <c r="AY1146">
        <v>17</v>
      </c>
      <c r="AZ1146">
        <v>25</v>
      </c>
      <c r="BA1146">
        <v>39</v>
      </c>
      <c r="BB1146">
        <v>19</v>
      </c>
      <c r="BC1146">
        <v>58</v>
      </c>
      <c r="BD1146">
        <v>17</v>
      </c>
      <c r="BE1146">
        <v>8</v>
      </c>
      <c r="BF1146">
        <v>25</v>
      </c>
      <c r="BG1146">
        <v>19</v>
      </c>
      <c r="BH1146">
        <v>39</v>
      </c>
      <c r="BI1146">
        <v>58</v>
      </c>
      <c r="BP1146">
        <v>47</v>
      </c>
      <c r="BR1146">
        <v>8</v>
      </c>
      <c r="BS1146">
        <v>19</v>
      </c>
      <c r="BT1146">
        <v>6</v>
      </c>
      <c r="BV1146">
        <v>3</v>
      </c>
      <c r="BW1146">
        <v>83</v>
      </c>
      <c r="BX1146">
        <f t="shared" si="136"/>
        <v>89</v>
      </c>
      <c r="BY1146" s="5">
        <f t="shared" si="131"/>
        <v>-6.741573033707865E-2</v>
      </c>
      <c r="BZ1146" s="6">
        <f t="shared" si="128"/>
        <v>-6.741573033707865E-2</v>
      </c>
      <c r="CA1146" s="7">
        <v>43415</v>
      </c>
      <c r="CE1146">
        <v>42</v>
      </c>
      <c r="CF1146">
        <v>22</v>
      </c>
      <c r="CG1146">
        <v>9</v>
      </c>
      <c r="CH1146">
        <v>10</v>
      </c>
      <c r="CI1146">
        <f t="shared" si="126"/>
        <v>2018</v>
      </c>
      <c r="CJ1146" t="str">
        <f t="shared" si="127"/>
        <v>6228_2018</v>
      </c>
    </row>
    <row r="1147" spans="1:88" x14ac:dyDescent="0.25">
      <c r="A1147" t="s">
        <v>111</v>
      </c>
      <c r="B1147" t="s">
        <v>402</v>
      </c>
      <c r="C1147">
        <v>6228</v>
      </c>
      <c r="D1147">
        <v>-36.753999999999998</v>
      </c>
      <c r="E1147">
        <v>144.32499999999999</v>
      </c>
      <c r="F1147">
        <v>4</v>
      </c>
      <c r="G1147" t="s">
        <v>409</v>
      </c>
      <c r="H1147">
        <v>9</v>
      </c>
      <c r="I1147">
        <v>189</v>
      </c>
      <c r="J1147">
        <v>126</v>
      </c>
      <c r="K1147">
        <v>306</v>
      </c>
      <c r="L1147">
        <v>187</v>
      </c>
      <c r="M1147">
        <v>7</v>
      </c>
      <c r="N1147">
        <v>303</v>
      </c>
      <c r="O1147">
        <v>123</v>
      </c>
      <c r="T1147">
        <v>2</v>
      </c>
      <c r="U1147">
        <v>0</v>
      </c>
      <c r="V1147">
        <v>3</v>
      </c>
      <c r="Y1147">
        <v>1</v>
      </c>
      <c r="Z1147">
        <v>1</v>
      </c>
      <c r="AA1147">
        <v>36</v>
      </c>
      <c r="AD1147">
        <v>3</v>
      </c>
      <c r="AE1147">
        <v>0</v>
      </c>
      <c r="AF1147">
        <v>3</v>
      </c>
      <c r="AI1147">
        <v>1</v>
      </c>
      <c r="AJ1147">
        <v>31</v>
      </c>
      <c r="AK1147">
        <v>1</v>
      </c>
      <c r="AX1147">
        <v>5</v>
      </c>
      <c r="AY1147">
        <v>5</v>
      </c>
      <c r="AZ1147">
        <v>10</v>
      </c>
      <c r="BA1147">
        <v>38</v>
      </c>
      <c r="BB1147">
        <v>33</v>
      </c>
      <c r="BC1147">
        <v>71</v>
      </c>
      <c r="BD1147">
        <v>6</v>
      </c>
      <c r="BE1147">
        <v>2</v>
      </c>
      <c r="BF1147">
        <v>8</v>
      </c>
      <c r="BG1147">
        <v>33</v>
      </c>
      <c r="BH1147">
        <v>42</v>
      </c>
      <c r="BI1147">
        <v>75</v>
      </c>
      <c r="BP1147">
        <v>64</v>
      </c>
      <c r="BR1147">
        <v>5</v>
      </c>
      <c r="BS1147">
        <v>7</v>
      </c>
      <c r="BT1147">
        <v>6</v>
      </c>
      <c r="BV1147">
        <v>0</v>
      </c>
      <c r="BW1147">
        <v>82</v>
      </c>
      <c r="BX1147">
        <f t="shared" si="136"/>
        <v>83</v>
      </c>
      <c r="BY1147" s="5">
        <f t="shared" si="131"/>
        <v>-1.2048192771084338E-2</v>
      </c>
      <c r="BZ1147" s="6">
        <f t="shared" si="128"/>
        <v>-1.2048192771084338E-2</v>
      </c>
      <c r="CA1147" s="7">
        <v>43779</v>
      </c>
      <c r="CE1147">
        <v>25</v>
      </c>
      <c r="CF1147">
        <v>24</v>
      </c>
      <c r="CG1147">
        <v>26</v>
      </c>
      <c r="CH1147">
        <v>7</v>
      </c>
      <c r="CI1147">
        <f t="shared" si="126"/>
        <v>2019</v>
      </c>
      <c r="CJ1147" t="str">
        <f t="shared" si="127"/>
        <v>6228_2019</v>
      </c>
    </row>
    <row r="1148" spans="1:88" x14ac:dyDescent="0.25">
      <c r="A1148" t="s">
        <v>111</v>
      </c>
      <c r="B1148" t="s">
        <v>117</v>
      </c>
      <c r="C1148">
        <v>6229</v>
      </c>
      <c r="D1148">
        <v>-38.278599999999997</v>
      </c>
      <c r="E1148">
        <v>144.42080000000001</v>
      </c>
      <c r="F1148">
        <v>4</v>
      </c>
      <c r="G1148" t="s">
        <v>410</v>
      </c>
      <c r="H1148">
        <v>10</v>
      </c>
      <c r="I1148">
        <v>190</v>
      </c>
      <c r="J1148">
        <v>104</v>
      </c>
      <c r="K1148">
        <v>284</v>
      </c>
      <c r="L1148">
        <v>190</v>
      </c>
      <c r="M1148">
        <v>10</v>
      </c>
      <c r="N1148">
        <v>285</v>
      </c>
      <c r="O1148">
        <v>105</v>
      </c>
      <c r="T1148">
        <v>165</v>
      </c>
      <c r="U1148">
        <v>7</v>
      </c>
      <c r="V1148">
        <v>3</v>
      </c>
      <c r="Y1148">
        <v>141</v>
      </c>
      <c r="Z1148">
        <v>9</v>
      </c>
      <c r="AA1148">
        <v>37</v>
      </c>
      <c r="AD1148">
        <v>6</v>
      </c>
      <c r="AE1148">
        <v>7</v>
      </c>
      <c r="AF1148">
        <v>0</v>
      </c>
      <c r="AI1148">
        <v>3</v>
      </c>
      <c r="AJ1148">
        <v>27</v>
      </c>
      <c r="AK1148">
        <v>0</v>
      </c>
      <c r="AX1148">
        <v>175</v>
      </c>
      <c r="AY1148">
        <v>150</v>
      </c>
      <c r="AZ1148">
        <v>325</v>
      </c>
      <c r="BA1148">
        <v>187</v>
      </c>
      <c r="BB1148">
        <v>199</v>
      </c>
      <c r="BC1148">
        <v>386</v>
      </c>
      <c r="BD1148">
        <v>13</v>
      </c>
      <c r="BE1148">
        <v>16</v>
      </c>
      <c r="BF1148">
        <v>29</v>
      </c>
      <c r="BG1148">
        <v>30</v>
      </c>
      <c r="BH1148">
        <v>40</v>
      </c>
      <c r="BI1148">
        <v>70</v>
      </c>
      <c r="BP1148">
        <v>321</v>
      </c>
      <c r="BR1148">
        <v>83</v>
      </c>
      <c r="BS1148">
        <v>1</v>
      </c>
      <c r="BT1148">
        <v>0</v>
      </c>
      <c r="BV1148">
        <v>0</v>
      </c>
      <c r="BW1148">
        <v>405</v>
      </c>
      <c r="BX1148" t="s">
        <v>82</v>
      </c>
      <c r="BY1148" s="5"/>
      <c r="BZ1148" s="6"/>
      <c r="CA1148" s="7">
        <v>41588</v>
      </c>
      <c r="CI1148">
        <f t="shared" si="126"/>
        <v>2013</v>
      </c>
      <c r="CJ1148" t="str">
        <f t="shared" si="127"/>
        <v>6229_2013</v>
      </c>
    </row>
    <row r="1149" spans="1:88" x14ac:dyDescent="0.25">
      <c r="A1149" t="s">
        <v>111</v>
      </c>
      <c r="B1149" t="s">
        <v>117</v>
      </c>
      <c r="C1149">
        <v>6229</v>
      </c>
      <c r="D1149">
        <v>-38.278599999999997</v>
      </c>
      <c r="E1149">
        <v>144.42080000000001</v>
      </c>
      <c r="F1149">
        <v>4</v>
      </c>
      <c r="G1149" t="s">
        <v>410</v>
      </c>
      <c r="H1149">
        <v>10</v>
      </c>
      <c r="I1149">
        <v>190</v>
      </c>
      <c r="J1149">
        <v>104</v>
      </c>
      <c r="K1149">
        <v>284</v>
      </c>
      <c r="L1149">
        <v>190</v>
      </c>
      <c r="M1149">
        <v>10</v>
      </c>
      <c r="N1149">
        <v>285</v>
      </c>
      <c r="O1149">
        <v>105</v>
      </c>
      <c r="T1149">
        <v>7</v>
      </c>
      <c r="U1149">
        <v>0</v>
      </c>
      <c r="V1149">
        <v>2</v>
      </c>
      <c r="Y1149">
        <v>3</v>
      </c>
      <c r="Z1149">
        <v>0</v>
      </c>
      <c r="AA1149">
        <v>29</v>
      </c>
      <c r="AD1149">
        <v>0</v>
      </c>
      <c r="AE1149">
        <v>5</v>
      </c>
      <c r="AF1149">
        <v>0</v>
      </c>
      <c r="AI1149">
        <v>5</v>
      </c>
      <c r="AJ1149">
        <v>44</v>
      </c>
      <c r="AK1149">
        <v>6</v>
      </c>
      <c r="AX1149">
        <v>9</v>
      </c>
      <c r="AY1149">
        <v>8</v>
      </c>
      <c r="AZ1149">
        <v>17</v>
      </c>
      <c r="BA1149">
        <v>32</v>
      </c>
      <c r="BB1149">
        <v>56</v>
      </c>
      <c r="BC1149">
        <v>88</v>
      </c>
      <c r="BD1149">
        <v>5</v>
      </c>
      <c r="BE1149">
        <v>6</v>
      </c>
      <c r="BF1149">
        <v>11</v>
      </c>
      <c r="BG1149">
        <v>55</v>
      </c>
      <c r="BH1149">
        <v>31</v>
      </c>
      <c r="BI1149">
        <v>86</v>
      </c>
      <c r="BP1149">
        <v>94</v>
      </c>
      <c r="BR1149">
        <v>4</v>
      </c>
      <c r="BS1149">
        <v>0</v>
      </c>
      <c r="BT1149">
        <v>1</v>
      </c>
      <c r="BV1149">
        <v>2</v>
      </c>
      <c r="BW1149">
        <v>101</v>
      </c>
      <c r="BX1149">
        <f>IF(C1149=C1148,IF((CI1149-1)=CI1148,BW1148,"no data"))</f>
        <v>405</v>
      </c>
      <c r="BY1149" s="5">
        <f t="shared" si="131"/>
        <v>-0.75061728395061733</v>
      </c>
      <c r="BZ1149" s="6">
        <f t="shared" si="128"/>
        <v>-0.75061728395061733</v>
      </c>
      <c r="CA1149" s="7">
        <v>41952</v>
      </c>
      <c r="CI1149">
        <f t="shared" si="126"/>
        <v>2014</v>
      </c>
      <c r="CJ1149" t="str">
        <f t="shared" si="127"/>
        <v>6229_2014</v>
      </c>
    </row>
    <row r="1150" spans="1:88" x14ac:dyDescent="0.25">
      <c r="A1150" t="s">
        <v>111</v>
      </c>
      <c r="B1150" t="s">
        <v>117</v>
      </c>
      <c r="C1150">
        <v>6229</v>
      </c>
      <c r="D1150">
        <v>-38.278599999999997</v>
      </c>
      <c r="E1150">
        <v>144.42080000000001</v>
      </c>
      <c r="F1150">
        <v>4</v>
      </c>
      <c r="G1150" t="s">
        <v>410</v>
      </c>
      <c r="H1150">
        <v>10</v>
      </c>
      <c r="I1150">
        <v>190</v>
      </c>
      <c r="J1150">
        <v>104</v>
      </c>
      <c r="K1150">
        <v>284</v>
      </c>
      <c r="L1150">
        <v>190</v>
      </c>
      <c r="M1150">
        <v>10</v>
      </c>
      <c r="N1150">
        <v>285</v>
      </c>
      <c r="O1150">
        <v>105</v>
      </c>
      <c r="T1150">
        <v>0</v>
      </c>
      <c r="U1150">
        <v>1</v>
      </c>
      <c r="V1150">
        <v>0</v>
      </c>
      <c r="Y1150">
        <v>0</v>
      </c>
      <c r="Z1150">
        <v>0</v>
      </c>
      <c r="AA1150">
        <v>67</v>
      </c>
      <c r="AD1150">
        <v>1</v>
      </c>
      <c r="AE1150">
        <v>2</v>
      </c>
      <c r="AF1150">
        <v>11</v>
      </c>
      <c r="AI1150">
        <v>1</v>
      </c>
      <c r="AJ1150">
        <v>59</v>
      </c>
      <c r="AK1150">
        <v>10</v>
      </c>
      <c r="AX1150">
        <v>1</v>
      </c>
      <c r="AY1150">
        <v>2</v>
      </c>
      <c r="AZ1150">
        <v>3</v>
      </c>
      <c r="BA1150">
        <v>67</v>
      </c>
      <c r="BB1150">
        <v>61</v>
      </c>
      <c r="BC1150">
        <v>128</v>
      </c>
      <c r="BD1150">
        <v>14</v>
      </c>
      <c r="BE1150">
        <v>11</v>
      </c>
      <c r="BF1150">
        <v>25</v>
      </c>
      <c r="BG1150">
        <v>70</v>
      </c>
      <c r="BH1150">
        <v>78</v>
      </c>
      <c r="BI1150">
        <v>148</v>
      </c>
      <c r="BP1150">
        <v>148</v>
      </c>
      <c r="BR1150">
        <v>0</v>
      </c>
      <c r="BS1150">
        <v>2</v>
      </c>
      <c r="BT1150">
        <v>0</v>
      </c>
      <c r="BV1150">
        <v>2</v>
      </c>
      <c r="BW1150">
        <v>152</v>
      </c>
      <c r="BX1150">
        <f>IF(C1150=C1149,IF((CI1150-1)=CI1149,BW1149,"no data"))</f>
        <v>101</v>
      </c>
      <c r="BY1150" s="5">
        <f t="shared" si="131"/>
        <v>0.50495049504950495</v>
      </c>
      <c r="BZ1150" s="6">
        <f t="shared" si="128"/>
        <v>0.50495049504950495</v>
      </c>
      <c r="CA1150" s="7">
        <v>42316</v>
      </c>
      <c r="CE1150">
        <v>86</v>
      </c>
      <c r="CF1150">
        <v>36</v>
      </c>
      <c r="CG1150">
        <v>20</v>
      </c>
      <c r="CH1150">
        <v>10</v>
      </c>
      <c r="CI1150">
        <f t="shared" si="126"/>
        <v>2015</v>
      </c>
      <c r="CJ1150" t="str">
        <f t="shared" si="127"/>
        <v>6229_2015</v>
      </c>
    </row>
    <row r="1151" spans="1:88" x14ac:dyDescent="0.25">
      <c r="A1151" t="s">
        <v>111</v>
      </c>
      <c r="B1151" t="s">
        <v>117</v>
      </c>
      <c r="C1151">
        <v>6229</v>
      </c>
      <c r="D1151">
        <v>-38.278607000000001</v>
      </c>
      <c r="E1151">
        <v>144.42075299999999</v>
      </c>
      <c r="F1151">
        <v>4</v>
      </c>
      <c r="G1151" t="s">
        <v>410</v>
      </c>
      <c r="H1151">
        <v>10</v>
      </c>
      <c r="I1151">
        <v>190</v>
      </c>
      <c r="J1151">
        <v>104</v>
      </c>
      <c r="K1151">
        <v>284</v>
      </c>
      <c r="L1151">
        <v>190</v>
      </c>
      <c r="M1151">
        <v>10</v>
      </c>
      <c r="N1151">
        <v>285</v>
      </c>
      <c r="O1151">
        <v>105</v>
      </c>
      <c r="T1151">
        <v>4</v>
      </c>
      <c r="U1151">
        <v>0</v>
      </c>
      <c r="V1151">
        <v>1</v>
      </c>
      <c r="Y1151">
        <v>0</v>
      </c>
      <c r="Z1151">
        <v>0</v>
      </c>
      <c r="AA1151">
        <v>9</v>
      </c>
      <c r="AD1151">
        <v>0</v>
      </c>
      <c r="AE1151">
        <v>0</v>
      </c>
      <c r="AF1151">
        <v>0</v>
      </c>
      <c r="AI1151">
        <v>0</v>
      </c>
      <c r="AJ1151">
        <v>16</v>
      </c>
      <c r="AK1151">
        <v>0</v>
      </c>
      <c r="AX1151">
        <v>5</v>
      </c>
      <c r="AY1151">
        <v>0</v>
      </c>
      <c r="AZ1151">
        <v>5</v>
      </c>
      <c r="BA1151">
        <v>9</v>
      </c>
      <c r="BB1151">
        <v>20</v>
      </c>
      <c r="BC1151">
        <v>29</v>
      </c>
      <c r="BD1151">
        <v>0</v>
      </c>
      <c r="BE1151">
        <v>0</v>
      </c>
      <c r="BF1151">
        <v>0</v>
      </c>
      <c r="BG1151">
        <v>16</v>
      </c>
      <c r="BH1151">
        <v>10</v>
      </c>
      <c r="BI1151">
        <v>26</v>
      </c>
      <c r="BP1151">
        <v>27</v>
      </c>
      <c r="BR1151">
        <v>0</v>
      </c>
      <c r="BS1151">
        <v>0</v>
      </c>
      <c r="BT1151">
        <v>0</v>
      </c>
      <c r="BV1151">
        <v>3</v>
      </c>
      <c r="BW1151">
        <v>30</v>
      </c>
      <c r="BX1151">
        <f>IF(C1151=C1150,IF((CI1151-1)=CI1150,BW1150,"no data"))</f>
        <v>152</v>
      </c>
      <c r="BY1151" s="5">
        <f t="shared" si="131"/>
        <v>-0.80263157894736847</v>
      </c>
      <c r="BZ1151" s="6">
        <f t="shared" si="128"/>
        <v>-0.80263157894736847</v>
      </c>
      <c r="CA1151" s="7">
        <v>42687</v>
      </c>
      <c r="CE1151">
        <v>16</v>
      </c>
      <c r="CF1151">
        <v>7</v>
      </c>
      <c r="CG1151">
        <v>4</v>
      </c>
      <c r="CH1151">
        <v>3</v>
      </c>
      <c r="CI1151">
        <f t="shared" si="126"/>
        <v>2016</v>
      </c>
      <c r="CJ1151" t="str">
        <f t="shared" si="127"/>
        <v>6229_2016</v>
      </c>
    </row>
    <row r="1152" spans="1:88" x14ac:dyDescent="0.25">
      <c r="A1152" t="s">
        <v>111</v>
      </c>
      <c r="B1152" t="s">
        <v>117</v>
      </c>
      <c r="C1152">
        <v>6229</v>
      </c>
      <c r="D1152">
        <v>-38.278607000000001</v>
      </c>
      <c r="E1152">
        <v>144.42075299999999</v>
      </c>
      <c r="F1152">
        <v>4</v>
      </c>
      <c r="G1152" t="s">
        <v>410</v>
      </c>
      <c r="H1152">
        <v>10</v>
      </c>
      <c r="I1152">
        <v>190</v>
      </c>
      <c r="J1152">
        <v>104</v>
      </c>
      <c r="K1152">
        <v>284</v>
      </c>
      <c r="L1152">
        <v>190</v>
      </c>
      <c r="M1152">
        <v>10</v>
      </c>
      <c r="N1152">
        <v>285</v>
      </c>
      <c r="O1152">
        <v>105</v>
      </c>
      <c r="T1152">
        <v>3</v>
      </c>
      <c r="U1152">
        <v>1</v>
      </c>
      <c r="V1152">
        <v>3</v>
      </c>
      <c r="Y1152">
        <v>14</v>
      </c>
      <c r="Z1152">
        <v>1</v>
      </c>
      <c r="AA1152">
        <v>37</v>
      </c>
      <c r="AD1152">
        <v>1</v>
      </c>
      <c r="AE1152">
        <v>0</v>
      </c>
      <c r="AF1152">
        <v>1</v>
      </c>
      <c r="AI1152">
        <v>8</v>
      </c>
      <c r="AJ1152">
        <v>41</v>
      </c>
      <c r="AK1152">
        <v>0</v>
      </c>
      <c r="AX1152">
        <v>7</v>
      </c>
      <c r="AY1152">
        <v>23</v>
      </c>
      <c r="AZ1152">
        <v>30</v>
      </c>
      <c r="BA1152">
        <v>52</v>
      </c>
      <c r="BB1152">
        <v>44</v>
      </c>
      <c r="BC1152">
        <v>96</v>
      </c>
      <c r="BD1152">
        <v>2</v>
      </c>
      <c r="BE1152">
        <v>2</v>
      </c>
      <c r="BF1152">
        <v>4</v>
      </c>
      <c r="BG1152">
        <v>49</v>
      </c>
      <c r="BH1152">
        <v>41</v>
      </c>
      <c r="BI1152">
        <v>90</v>
      </c>
      <c r="BP1152">
        <v>108</v>
      </c>
      <c r="BR1152">
        <v>0</v>
      </c>
      <c r="BS1152">
        <v>2</v>
      </c>
      <c r="BT1152">
        <v>0</v>
      </c>
      <c r="BV1152">
        <v>0</v>
      </c>
      <c r="BW1152">
        <v>110</v>
      </c>
      <c r="BX1152">
        <f>IF(C1152=C1151,IF((CI1152-1)=CI1151,BW1151,"no data"))</f>
        <v>30</v>
      </c>
      <c r="BY1152" s="5">
        <f t="shared" si="131"/>
        <v>2.6666666666666665</v>
      </c>
      <c r="BZ1152" s="6">
        <f t="shared" si="128"/>
        <v>2.6666666666666665</v>
      </c>
      <c r="CA1152" s="7">
        <v>43051</v>
      </c>
      <c r="CE1152">
        <v>47</v>
      </c>
      <c r="CF1152">
        <v>38</v>
      </c>
      <c r="CG1152">
        <v>14</v>
      </c>
      <c r="CH1152">
        <v>11</v>
      </c>
      <c r="CI1152">
        <f t="shared" si="126"/>
        <v>2017</v>
      </c>
      <c r="CJ1152" t="str">
        <f t="shared" si="127"/>
        <v>6229_2017</v>
      </c>
    </row>
    <row r="1153" spans="1:88" x14ac:dyDescent="0.25">
      <c r="A1153" t="s">
        <v>111</v>
      </c>
      <c r="B1153" t="s">
        <v>117</v>
      </c>
      <c r="C1153">
        <v>6230</v>
      </c>
      <c r="D1153">
        <v>-38.179600000000001</v>
      </c>
      <c r="E1153">
        <v>144.5558</v>
      </c>
      <c r="F1153">
        <v>4</v>
      </c>
      <c r="G1153" t="s">
        <v>411</v>
      </c>
      <c r="H1153">
        <v>60</v>
      </c>
      <c r="I1153">
        <v>240</v>
      </c>
      <c r="J1153">
        <v>107</v>
      </c>
      <c r="K1153">
        <v>287</v>
      </c>
      <c r="L1153">
        <v>240</v>
      </c>
      <c r="M1153">
        <v>60</v>
      </c>
      <c r="N1153">
        <v>290</v>
      </c>
      <c r="O1153">
        <v>110</v>
      </c>
      <c r="T1153">
        <v>0</v>
      </c>
      <c r="U1153">
        <v>15</v>
      </c>
      <c r="V1153">
        <v>0</v>
      </c>
      <c r="Y1153">
        <v>0</v>
      </c>
      <c r="Z1153">
        <v>0</v>
      </c>
      <c r="AA1153">
        <v>26</v>
      </c>
      <c r="AD1153">
        <v>16</v>
      </c>
      <c r="AE1153">
        <v>1</v>
      </c>
      <c r="AF1153">
        <v>0</v>
      </c>
      <c r="AI1153">
        <v>2</v>
      </c>
      <c r="AJ1153">
        <v>27</v>
      </c>
      <c r="AK1153">
        <v>0</v>
      </c>
      <c r="AX1153">
        <v>15</v>
      </c>
      <c r="AY1153">
        <v>18</v>
      </c>
      <c r="AZ1153">
        <v>33</v>
      </c>
      <c r="BA1153">
        <v>26</v>
      </c>
      <c r="BB1153">
        <v>28</v>
      </c>
      <c r="BC1153">
        <v>54</v>
      </c>
      <c r="BD1153">
        <v>17</v>
      </c>
      <c r="BE1153">
        <v>15</v>
      </c>
      <c r="BF1153">
        <v>32</v>
      </c>
      <c r="BG1153">
        <v>29</v>
      </c>
      <c r="BH1153">
        <v>26</v>
      </c>
      <c r="BI1153">
        <v>55</v>
      </c>
      <c r="BP1153">
        <v>87</v>
      </c>
      <c r="BR1153">
        <v>0</v>
      </c>
      <c r="BS1153">
        <v>0</v>
      </c>
      <c r="BT1153">
        <v>0</v>
      </c>
      <c r="BV1153">
        <v>0</v>
      </c>
      <c r="BW1153">
        <v>87</v>
      </c>
      <c r="BX1153" t="s">
        <v>82</v>
      </c>
      <c r="BY1153" s="5"/>
      <c r="BZ1153" s="6"/>
      <c r="CA1153" s="7">
        <v>41588</v>
      </c>
      <c r="CI1153">
        <f t="shared" si="126"/>
        <v>2013</v>
      </c>
      <c r="CJ1153" t="str">
        <f t="shared" si="127"/>
        <v>6230_2013</v>
      </c>
    </row>
    <row r="1154" spans="1:88" x14ac:dyDescent="0.25">
      <c r="A1154" t="s">
        <v>111</v>
      </c>
      <c r="B1154" t="s">
        <v>117</v>
      </c>
      <c r="C1154">
        <v>6230</v>
      </c>
      <c r="D1154">
        <v>-38.179600000000001</v>
      </c>
      <c r="E1154">
        <v>144.5558</v>
      </c>
      <c r="F1154">
        <v>4</v>
      </c>
      <c r="G1154" t="s">
        <v>411</v>
      </c>
      <c r="H1154">
        <v>60</v>
      </c>
      <c r="I1154">
        <v>240</v>
      </c>
      <c r="J1154">
        <v>107</v>
      </c>
      <c r="K1154">
        <v>287</v>
      </c>
      <c r="L1154">
        <v>240</v>
      </c>
      <c r="M1154">
        <v>60</v>
      </c>
      <c r="N1154">
        <v>290</v>
      </c>
      <c r="O1154">
        <v>110</v>
      </c>
      <c r="T1154">
        <v>0</v>
      </c>
      <c r="U1154">
        <v>13</v>
      </c>
      <c r="V1154">
        <v>13</v>
      </c>
      <c r="Y1154">
        <v>5</v>
      </c>
      <c r="Z1154">
        <v>19</v>
      </c>
      <c r="AA1154">
        <v>41</v>
      </c>
      <c r="AD1154">
        <v>3</v>
      </c>
      <c r="AE1154">
        <v>14</v>
      </c>
      <c r="AF1154">
        <v>0</v>
      </c>
      <c r="AI1154">
        <v>4</v>
      </c>
      <c r="AJ1154">
        <v>18</v>
      </c>
      <c r="AK1154">
        <v>6</v>
      </c>
      <c r="AX1154">
        <v>26</v>
      </c>
      <c r="AY1154">
        <v>12</v>
      </c>
      <c r="AZ1154">
        <v>38</v>
      </c>
      <c r="BA1154">
        <v>65</v>
      </c>
      <c r="BB1154">
        <v>32</v>
      </c>
      <c r="BC1154">
        <v>97</v>
      </c>
      <c r="BD1154">
        <v>17</v>
      </c>
      <c r="BE1154">
        <v>38</v>
      </c>
      <c r="BF1154">
        <v>55</v>
      </c>
      <c r="BG1154">
        <v>28</v>
      </c>
      <c r="BH1154">
        <v>54</v>
      </c>
      <c r="BI1154">
        <v>82</v>
      </c>
      <c r="BP1154">
        <v>82</v>
      </c>
      <c r="BR1154">
        <v>32</v>
      </c>
      <c r="BS1154">
        <v>8</v>
      </c>
      <c r="BT1154">
        <v>11</v>
      </c>
      <c r="BV1154">
        <v>3</v>
      </c>
      <c r="BW1154">
        <v>136</v>
      </c>
      <c r="BX1154">
        <f>IF(C1154=C1153,IF((CI1154-1)=CI1153,BW1153,"no data"))</f>
        <v>87</v>
      </c>
      <c r="BY1154" s="5">
        <f t="shared" si="131"/>
        <v>0.56321839080459768</v>
      </c>
      <c r="BZ1154" s="6">
        <f t="shared" si="128"/>
        <v>0.56321839080459768</v>
      </c>
      <c r="CA1154" s="7">
        <v>41952</v>
      </c>
      <c r="CI1154">
        <f t="shared" si="126"/>
        <v>2014</v>
      </c>
      <c r="CJ1154" t="str">
        <f t="shared" si="127"/>
        <v>6230_2014</v>
      </c>
    </row>
    <row r="1155" spans="1:88" x14ac:dyDescent="0.25">
      <c r="A1155" t="s">
        <v>111</v>
      </c>
      <c r="B1155" t="s">
        <v>117</v>
      </c>
      <c r="C1155">
        <v>6230</v>
      </c>
      <c r="D1155">
        <v>-38.179600000000001</v>
      </c>
      <c r="E1155">
        <v>144.5558</v>
      </c>
      <c r="F1155">
        <v>4</v>
      </c>
      <c r="G1155" t="s">
        <v>411</v>
      </c>
      <c r="H1155">
        <v>60</v>
      </c>
      <c r="I1155">
        <v>240</v>
      </c>
      <c r="J1155">
        <v>107</v>
      </c>
      <c r="K1155">
        <v>287</v>
      </c>
      <c r="L1155">
        <v>240</v>
      </c>
      <c r="M1155">
        <v>60</v>
      </c>
      <c r="N1155">
        <v>290</v>
      </c>
      <c r="O1155">
        <v>110</v>
      </c>
      <c r="T1155">
        <v>2</v>
      </c>
      <c r="U1155">
        <v>13</v>
      </c>
      <c r="V1155">
        <v>20</v>
      </c>
      <c r="Y1155">
        <v>1</v>
      </c>
      <c r="Z1155">
        <v>6</v>
      </c>
      <c r="AA1155">
        <v>81</v>
      </c>
      <c r="AD1155">
        <v>16</v>
      </c>
      <c r="AE1155">
        <v>3</v>
      </c>
      <c r="AF1155">
        <v>1</v>
      </c>
      <c r="AI1155">
        <v>7</v>
      </c>
      <c r="AJ1155">
        <v>85</v>
      </c>
      <c r="AK1155">
        <v>0</v>
      </c>
      <c r="AX1155">
        <v>35</v>
      </c>
      <c r="AY1155">
        <v>24</v>
      </c>
      <c r="AZ1155">
        <v>59</v>
      </c>
      <c r="BA1155">
        <v>88</v>
      </c>
      <c r="BB1155">
        <v>90</v>
      </c>
      <c r="BC1155">
        <v>178</v>
      </c>
      <c r="BD1155">
        <v>20</v>
      </c>
      <c r="BE1155">
        <v>19</v>
      </c>
      <c r="BF1155">
        <v>39</v>
      </c>
      <c r="BG1155">
        <v>92</v>
      </c>
      <c r="BH1155">
        <v>102</v>
      </c>
      <c r="BI1155">
        <v>194</v>
      </c>
      <c r="BP1155">
        <v>165</v>
      </c>
      <c r="BR1155">
        <v>40</v>
      </c>
      <c r="BS1155">
        <v>6</v>
      </c>
      <c r="BT1155">
        <v>17</v>
      </c>
      <c r="BV1155">
        <v>7</v>
      </c>
      <c r="BW1155">
        <v>235</v>
      </c>
      <c r="BX1155">
        <f>IF(C1155=C1154,IF((CI1155-1)=CI1154,BW1154,"no data"))</f>
        <v>136</v>
      </c>
      <c r="BY1155" s="5">
        <f t="shared" si="131"/>
        <v>0.7279411764705882</v>
      </c>
      <c r="BZ1155" s="6">
        <f t="shared" si="128"/>
        <v>0.7279411764705882</v>
      </c>
      <c r="CA1155" s="7">
        <v>42316</v>
      </c>
      <c r="CE1155">
        <v>72</v>
      </c>
      <c r="CF1155">
        <v>75</v>
      </c>
      <c r="CG1155">
        <v>59</v>
      </c>
      <c r="CH1155">
        <v>29</v>
      </c>
      <c r="CI1155">
        <f t="shared" ref="CI1155:CI1218" si="137">YEAR(CA1155)</f>
        <v>2015</v>
      </c>
      <c r="CJ1155" t="str">
        <f t="shared" ref="CJ1155:CJ1218" si="138">_xlfn.CONCAT(C1155,"_",CI1155)</f>
        <v>6230_2015</v>
      </c>
    </row>
    <row r="1156" spans="1:88" x14ac:dyDescent="0.25">
      <c r="A1156" t="s">
        <v>111</v>
      </c>
      <c r="B1156" t="s">
        <v>117</v>
      </c>
      <c r="C1156">
        <v>6230</v>
      </c>
      <c r="D1156">
        <v>-38.179566999999999</v>
      </c>
      <c r="E1156">
        <v>144.55581699999999</v>
      </c>
      <c r="F1156">
        <v>4</v>
      </c>
      <c r="G1156" t="s">
        <v>411</v>
      </c>
      <c r="H1156">
        <v>60</v>
      </c>
      <c r="I1156">
        <v>240</v>
      </c>
      <c r="J1156">
        <v>107</v>
      </c>
      <c r="K1156">
        <v>287</v>
      </c>
      <c r="L1156">
        <v>240</v>
      </c>
      <c r="M1156">
        <v>60</v>
      </c>
      <c r="N1156">
        <v>290</v>
      </c>
      <c r="O1156">
        <v>110</v>
      </c>
      <c r="T1156">
        <v>1</v>
      </c>
      <c r="U1156">
        <v>6</v>
      </c>
      <c r="V1156">
        <v>4</v>
      </c>
      <c r="Y1156">
        <v>0</v>
      </c>
      <c r="Z1156">
        <v>37</v>
      </c>
      <c r="AA1156">
        <v>23</v>
      </c>
      <c r="AD1156">
        <v>5</v>
      </c>
      <c r="AE1156">
        <v>46</v>
      </c>
      <c r="AF1156">
        <v>2</v>
      </c>
      <c r="AI1156">
        <v>5</v>
      </c>
      <c r="AJ1156">
        <v>32</v>
      </c>
      <c r="AK1156">
        <v>1</v>
      </c>
      <c r="AX1156">
        <v>11</v>
      </c>
      <c r="AY1156">
        <v>10</v>
      </c>
      <c r="AZ1156">
        <v>21</v>
      </c>
      <c r="BA1156">
        <v>60</v>
      </c>
      <c r="BB1156">
        <v>79</v>
      </c>
      <c r="BC1156">
        <v>139</v>
      </c>
      <c r="BD1156">
        <v>53</v>
      </c>
      <c r="BE1156">
        <v>44</v>
      </c>
      <c r="BF1156">
        <v>97</v>
      </c>
      <c r="BG1156">
        <v>38</v>
      </c>
      <c r="BH1156">
        <v>29</v>
      </c>
      <c r="BI1156">
        <v>67</v>
      </c>
      <c r="BP1156">
        <v>70</v>
      </c>
      <c r="BR1156">
        <v>60</v>
      </c>
      <c r="BS1156">
        <v>6</v>
      </c>
      <c r="BT1156">
        <v>26</v>
      </c>
      <c r="BV1156">
        <v>0</v>
      </c>
      <c r="BW1156">
        <v>162</v>
      </c>
      <c r="BX1156">
        <f>IF(C1156=C1155,IF((CI1156-1)=CI1155,BW1155,"no data"))</f>
        <v>235</v>
      </c>
      <c r="BY1156" s="5">
        <f t="shared" si="131"/>
        <v>-0.31063829787234043</v>
      </c>
      <c r="BZ1156" s="6">
        <f t="shared" si="128"/>
        <v>-0.31063829787234043</v>
      </c>
      <c r="CA1156" s="7">
        <v>42687</v>
      </c>
      <c r="CE1156">
        <v>25</v>
      </c>
      <c r="CF1156">
        <v>60</v>
      </c>
      <c r="CG1156">
        <v>62</v>
      </c>
      <c r="CH1156">
        <v>15</v>
      </c>
      <c r="CI1156">
        <f t="shared" si="137"/>
        <v>2016</v>
      </c>
      <c r="CJ1156" t="str">
        <f t="shared" si="138"/>
        <v>6230_2016</v>
      </c>
    </row>
    <row r="1157" spans="1:88" x14ac:dyDescent="0.25">
      <c r="A1157" t="s">
        <v>111</v>
      </c>
      <c r="B1157" t="s">
        <v>117</v>
      </c>
      <c r="C1157">
        <v>6230</v>
      </c>
      <c r="D1157">
        <v>-38.179566999999999</v>
      </c>
      <c r="E1157">
        <v>144.55581699999999</v>
      </c>
      <c r="F1157">
        <v>4</v>
      </c>
      <c r="G1157" t="s">
        <v>411</v>
      </c>
      <c r="H1157">
        <v>60</v>
      </c>
      <c r="I1157">
        <v>240</v>
      </c>
      <c r="J1157">
        <v>107</v>
      </c>
      <c r="K1157">
        <v>287</v>
      </c>
      <c r="L1157">
        <v>240</v>
      </c>
      <c r="M1157">
        <v>60</v>
      </c>
      <c r="N1157">
        <v>290</v>
      </c>
      <c r="O1157">
        <v>110</v>
      </c>
      <c r="T1157">
        <v>11</v>
      </c>
      <c r="U1157">
        <v>32</v>
      </c>
      <c r="V1157">
        <v>37</v>
      </c>
      <c r="Y1157">
        <v>17</v>
      </c>
      <c r="Z1157">
        <v>10</v>
      </c>
      <c r="AA1157">
        <v>12</v>
      </c>
      <c r="AD1157">
        <v>27</v>
      </c>
      <c r="AE1157">
        <v>9</v>
      </c>
      <c r="AF1157">
        <v>1</v>
      </c>
      <c r="AI1157">
        <v>51</v>
      </c>
      <c r="AJ1157">
        <v>21</v>
      </c>
      <c r="AK1157">
        <v>4</v>
      </c>
      <c r="AX1157">
        <v>80</v>
      </c>
      <c r="AY1157">
        <v>95</v>
      </c>
      <c r="AZ1157">
        <v>175</v>
      </c>
      <c r="BA1157">
        <v>39</v>
      </c>
      <c r="BB1157">
        <v>41</v>
      </c>
      <c r="BC1157">
        <v>80</v>
      </c>
      <c r="BD1157">
        <v>37</v>
      </c>
      <c r="BE1157">
        <v>46</v>
      </c>
      <c r="BF1157">
        <v>83</v>
      </c>
      <c r="BG1157">
        <v>76</v>
      </c>
      <c r="BH1157">
        <v>50</v>
      </c>
      <c r="BI1157">
        <v>126</v>
      </c>
      <c r="BP1157">
        <v>128</v>
      </c>
      <c r="BR1157">
        <v>65</v>
      </c>
      <c r="BS1157">
        <v>1</v>
      </c>
      <c r="BT1157">
        <v>33</v>
      </c>
      <c r="BV1157">
        <v>5</v>
      </c>
      <c r="BW1157">
        <v>232</v>
      </c>
      <c r="BX1157">
        <f>IF(C1157=C1156,IF((CI1157-1)=CI1156,BW1156,"no data"))</f>
        <v>162</v>
      </c>
      <c r="BY1157" s="5">
        <f t="shared" si="131"/>
        <v>0.43209876543209874</v>
      </c>
      <c r="BZ1157" s="6">
        <f t="shared" ref="BZ1157:BZ1220" si="139">BY1157</f>
        <v>0.43209876543209874</v>
      </c>
      <c r="CA1157" s="7">
        <v>43051</v>
      </c>
      <c r="CE1157">
        <v>73</v>
      </c>
      <c r="CF1157">
        <v>81</v>
      </c>
      <c r="CG1157">
        <v>32</v>
      </c>
      <c r="CH1157">
        <v>46</v>
      </c>
      <c r="CI1157">
        <f t="shared" si="137"/>
        <v>2017</v>
      </c>
      <c r="CJ1157" t="str">
        <f t="shared" si="138"/>
        <v>6230_2017</v>
      </c>
    </row>
    <row r="1158" spans="1:88" x14ac:dyDescent="0.25">
      <c r="A1158" t="s">
        <v>111</v>
      </c>
      <c r="B1158" t="s">
        <v>412</v>
      </c>
      <c r="C1158">
        <v>6231</v>
      </c>
      <c r="D1158">
        <v>-37.339599999999997</v>
      </c>
      <c r="E1158">
        <v>144.7414</v>
      </c>
      <c r="F1158">
        <v>4</v>
      </c>
      <c r="G1158" t="s">
        <v>413</v>
      </c>
      <c r="H1158">
        <v>90</v>
      </c>
      <c r="I1158">
        <v>270</v>
      </c>
      <c r="J1158">
        <v>175</v>
      </c>
      <c r="K1158">
        <v>355</v>
      </c>
      <c r="L1158">
        <v>270</v>
      </c>
      <c r="M1158">
        <v>90</v>
      </c>
      <c r="N1158">
        <v>354</v>
      </c>
      <c r="O1158">
        <v>174</v>
      </c>
      <c r="T1158">
        <v>0</v>
      </c>
      <c r="U1158">
        <v>0</v>
      </c>
      <c r="V1158">
        <v>0</v>
      </c>
      <c r="Y1158">
        <v>0</v>
      </c>
      <c r="Z1158">
        <v>1</v>
      </c>
      <c r="AA1158">
        <v>56</v>
      </c>
      <c r="AD1158">
        <v>0</v>
      </c>
      <c r="AE1158">
        <v>0</v>
      </c>
      <c r="AF1158">
        <v>2</v>
      </c>
      <c r="AI1158">
        <v>0</v>
      </c>
      <c r="AJ1158">
        <v>13</v>
      </c>
      <c r="AK1158">
        <v>0</v>
      </c>
      <c r="AX1158">
        <v>0</v>
      </c>
      <c r="AY1158">
        <v>0</v>
      </c>
      <c r="AZ1158">
        <v>0</v>
      </c>
      <c r="BA1158">
        <v>57</v>
      </c>
      <c r="BB1158">
        <v>13</v>
      </c>
      <c r="BC1158">
        <v>70</v>
      </c>
      <c r="BD1158">
        <v>2</v>
      </c>
      <c r="BE1158">
        <v>1</v>
      </c>
      <c r="BF1158">
        <v>3</v>
      </c>
      <c r="BG1158">
        <v>13</v>
      </c>
      <c r="BH1158">
        <v>58</v>
      </c>
      <c r="BI1158">
        <v>71</v>
      </c>
      <c r="BP1158">
        <v>57</v>
      </c>
      <c r="BR1158">
        <v>4</v>
      </c>
      <c r="BS1158">
        <v>1</v>
      </c>
      <c r="BT1158">
        <v>10</v>
      </c>
      <c r="BV1158">
        <v>0</v>
      </c>
      <c r="BW1158">
        <v>72</v>
      </c>
      <c r="BX1158" t="s">
        <v>82</v>
      </c>
      <c r="BY1158" s="5"/>
      <c r="BZ1158" s="6"/>
      <c r="CA1158" s="7">
        <v>41588</v>
      </c>
      <c r="CI1158">
        <f t="shared" si="137"/>
        <v>2013</v>
      </c>
      <c r="CJ1158" t="str">
        <f t="shared" si="138"/>
        <v>6231_2013</v>
      </c>
    </row>
    <row r="1159" spans="1:88" x14ac:dyDescent="0.25">
      <c r="A1159" t="s">
        <v>111</v>
      </c>
      <c r="B1159" t="s">
        <v>412</v>
      </c>
      <c r="C1159">
        <v>6232</v>
      </c>
      <c r="D1159">
        <v>-37.285400000000003</v>
      </c>
      <c r="E1159">
        <v>144.73650000000001</v>
      </c>
      <c r="F1159">
        <v>4</v>
      </c>
      <c r="G1159" t="s">
        <v>414</v>
      </c>
      <c r="H1159">
        <v>0</v>
      </c>
      <c r="I1159">
        <v>180</v>
      </c>
      <c r="J1159">
        <v>90</v>
      </c>
      <c r="K1159">
        <v>270</v>
      </c>
      <c r="L1159">
        <v>174</v>
      </c>
      <c r="M1159">
        <v>354</v>
      </c>
      <c r="N1159">
        <v>270</v>
      </c>
      <c r="O1159">
        <v>90</v>
      </c>
      <c r="T1159">
        <v>0</v>
      </c>
      <c r="U1159">
        <v>1</v>
      </c>
      <c r="V1159">
        <v>0</v>
      </c>
      <c r="Y1159">
        <v>0</v>
      </c>
      <c r="Z1159">
        <v>0</v>
      </c>
      <c r="AA1159">
        <v>0</v>
      </c>
      <c r="AD1159">
        <v>3</v>
      </c>
      <c r="AE1159">
        <v>0</v>
      </c>
      <c r="AF1159">
        <v>0</v>
      </c>
      <c r="AI1159">
        <v>1</v>
      </c>
      <c r="AJ1159">
        <v>0</v>
      </c>
      <c r="AK1159">
        <v>0</v>
      </c>
      <c r="AX1159">
        <v>1</v>
      </c>
      <c r="AY1159">
        <v>4</v>
      </c>
      <c r="AZ1159">
        <v>5</v>
      </c>
      <c r="BA1159">
        <v>0</v>
      </c>
      <c r="BB1159">
        <v>0</v>
      </c>
      <c r="BC1159">
        <v>0</v>
      </c>
      <c r="BD1159">
        <v>3</v>
      </c>
      <c r="BE1159">
        <v>1</v>
      </c>
      <c r="BF1159">
        <v>4</v>
      </c>
      <c r="BG1159">
        <v>1</v>
      </c>
      <c r="BH1159">
        <v>0</v>
      </c>
      <c r="BI1159">
        <v>1</v>
      </c>
      <c r="BP1159">
        <v>0</v>
      </c>
      <c r="BR1159">
        <v>0</v>
      </c>
      <c r="BS1159">
        <v>0</v>
      </c>
      <c r="BT1159">
        <v>1</v>
      </c>
      <c r="BV1159">
        <v>4</v>
      </c>
      <c r="BW1159">
        <v>5</v>
      </c>
      <c r="BX1159" t="s">
        <v>82</v>
      </c>
      <c r="BY1159" s="5"/>
      <c r="BZ1159" s="6"/>
      <c r="CA1159" s="7">
        <v>41588</v>
      </c>
      <c r="CI1159">
        <f t="shared" si="137"/>
        <v>2013</v>
      </c>
      <c r="CJ1159" t="str">
        <f t="shared" si="138"/>
        <v>6232_2013</v>
      </c>
    </row>
    <row r="1160" spans="1:88" x14ac:dyDescent="0.25">
      <c r="A1160" t="s">
        <v>111</v>
      </c>
      <c r="B1160" t="s">
        <v>412</v>
      </c>
      <c r="C1160">
        <v>6233</v>
      </c>
      <c r="D1160">
        <v>-37.354100000000003</v>
      </c>
      <c r="E1160">
        <v>144.5308</v>
      </c>
      <c r="F1160">
        <v>4</v>
      </c>
      <c r="G1160" t="s">
        <v>415</v>
      </c>
      <c r="H1160">
        <v>45</v>
      </c>
      <c r="I1160">
        <v>225</v>
      </c>
      <c r="J1160">
        <v>137</v>
      </c>
      <c r="K1160">
        <v>317</v>
      </c>
      <c r="L1160">
        <v>224</v>
      </c>
      <c r="M1160">
        <v>44</v>
      </c>
      <c r="N1160">
        <v>313</v>
      </c>
      <c r="O1160">
        <v>133</v>
      </c>
      <c r="T1160">
        <v>1</v>
      </c>
      <c r="U1160">
        <v>33</v>
      </c>
      <c r="V1160">
        <v>10</v>
      </c>
      <c r="Y1160">
        <v>2</v>
      </c>
      <c r="Z1160">
        <v>7</v>
      </c>
      <c r="AA1160">
        <v>7</v>
      </c>
      <c r="AD1160">
        <v>18</v>
      </c>
      <c r="AE1160">
        <v>6</v>
      </c>
      <c r="AF1160">
        <v>5</v>
      </c>
      <c r="AI1160">
        <v>4</v>
      </c>
      <c r="AJ1160">
        <v>38</v>
      </c>
      <c r="AK1160">
        <v>4</v>
      </c>
      <c r="AX1160">
        <v>44</v>
      </c>
      <c r="AY1160">
        <v>24</v>
      </c>
      <c r="AZ1160">
        <v>68</v>
      </c>
      <c r="BA1160">
        <v>16</v>
      </c>
      <c r="BB1160">
        <v>45</v>
      </c>
      <c r="BC1160">
        <v>61</v>
      </c>
      <c r="BD1160">
        <v>29</v>
      </c>
      <c r="BE1160">
        <v>44</v>
      </c>
      <c r="BF1160">
        <v>73</v>
      </c>
      <c r="BG1160">
        <v>46</v>
      </c>
      <c r="BH1160">
        <v>22</v>
      </c>
      <c r="BI1160">
        <v>68</v>
      </c>
      <c r="BP1160">
        <v>43</v>
      </c>
      <c r="BR1160">
        <v>65</v>
      </c>
      <c r="BS1160">
        <v>4</v>
      </c>
      <c r="BT1160">
        <v>18</v>
      </c>
      <c r="BV1160">
        <v>5</v>
      </c>
      <c r="BW1160">
        <v>135</v>
      </c>
      <c r="BX1160" t="s">
        <v>82</v>
      </c>
      <c r="BY1160" s="5"/>
      <c r="BZ1160" s="6"/>
      <c r="CA1160" s="7">
        <v>41588</v>
      </c>
      <c r="CI1160">
        <f t="shared" si="137"/>
        <v>2013</v>
      </c>
      <c r="CJ1160" t="str">
        <f t="shared" si="138"/>
        <v>6233_2013</v>
      </c>
    </row>
    <row r="1161" spans="1:88" x14ac:dyDescent="0.25">
      <c r="A1161" t="s">
        <v>111</v>
      </c>
      <c r="B1161" t="s">
        <v>412</v>
      </c>
      <c r="C1161">
        <v>6234</v>
      </c>
      <c r="D1161">
        <v>-37.484000000000002</v>
      </c>
      <c r="E1161">
        <v>144.5926</v>
      </c>
      <c r="F1161">
        <v>4</v>
      </c>
      <c r="G1161" t="s">
        <v>416</v>
      </c>
      <c r="H1161">
        <v>23</v>
      </c>
      <c r="I1161">
        <v>203</v>
      </c>
      <c r="J1161">
        <v>153</v>
      </c>
      <c r="K1161">
        <v>333</v>
      </c>
      <c r="L1161">
        <v>223</v>
      </c>
      <c r="M1161">
        <v>43</v>
      </c>
      <c r="N1161">
        <v>299</v>
      </c>
      <c r="O1161">
        <v>119</v>
      </c>
      <c r="T1161">
        <v>10</v>
      </c>
      <c r="U1161">
        <v>14</v>
      </c>
      <c r="V1161">
        <v>62</v>
      </c>
      <c r="Y1161">
        <v>7</v>
      </c>
      <c r="Z1161">
        <v>4</v>
      </c>
      <c r="AA1161">
        <v>10</v>
      </c>
      <c r="AD1161">
        <v>14</v>
      </c>
      <c r="AE1161">
        <v>2</v>
      </c>
      <c r="AF1161">
        <v>6</v>
      </c>
      <c r="AI1161">
        <v>10</v>
      </c>
      <c r="AJ1161">
        <v>83</v>
      </c>
      <c r="AK1161">
        <v>3</v>
      </c>
      <c r="AX1161">
        <v>86</v>
      </c>
      <c r="AY1161">
        <v>31</v>
      </c>
      <c r="AZ1161">
        <v>117</v>
      </c>
      <c r="BA1161">
        <v>21</v>
      </c>
      <c r="BB1161">
        <v>95</v>
      </c>
      <c r="BC1161">
        <v>116</v>
      </c>
      <c r="BD1161">
        <v>22</v>
      </c>
      <c r="BE1161">
        <v>21</v>
      </c>
      <c r="BF1161">
        <v>43</v>
      </c>
      <c r="BG1161">
        <v>96</v>
      </c>
      <c r="BH1161">
        <v>78</v>
      </c>
      <c r="BI1161">
        <v>174</v>
      </c>
      <c r="BP1161">
        <v>8</v>
      </c>
      <c r="BR1161">
        <v>51</v>
      </c>
      <c r="BS1161">
        <v>24</v>
      </c>
      <c r="BT1161">
        <v>140</v>
      </c>
      <c r="BV1161">
        <v>2</v>
      </c>
      <c r="BW1161">
        <v>225</v>
      </c>
      <c r="BX1161" t="s">
        <v>82</v>
      </c>
      <c r="BY1161" s="5"/>
      <c r="BZ1161" s="6"/>
      <c r="CA1161" s="7">
        <v>41588</v>
      </c>
      <c r="CI1161">
        <f t="shared" si="137"/>
        <v>2013</v>
      </c>
      <c r="CJ1161" t="str">
        <f t="shared" si="138"/>
        <v>6234_2013</v>
      </c>
    </row>
    <row r="1162" spans="1:88" x14ac:dyDescent="0.25">
      <c r="A1162" t="s">
        <v>111</v>
      </c>
      <c r="B1162" t="s">
        <v>412</v>
      </c>
      <c r="C1162">
        <v>6235</v>
      </c>
      <c r="D1162">
        <v>-37.2547</v>
      </c>
      <c r="E1162">
        <v>144.45150000000001</v>
      </c>
      <c r="F1162">
        <v>2</v>
      </c>
      <c r="G1162" t="s">
        <v>417</v>
      </c>
      <c r="H1162">
        <v>146</v>
      </c>
      <c r="I1162">
        <v>326</v>
      </c>
      <c r="J1162">
        <v>268</v>
      </c>
      <c r="K1162">
        <v>88</v>
      </c>
      <c r="T1162">
        <v>77</v>
      </c>
      <c r="Y1162">
        <v>42</v>
      </c>
      <c r="AX1162">
        <v>77</v>
      </c>
      <c r="AY1162">
        <v>42</v>
      </c>
      <c r="AZ1162">
        <v>119</v>
      </c>
      <c r="BA1162">
        <v>42</v>
      </c>
      <c r="BB1162">
        <v>77</v>
      </c>
      <c r="BC1162">
        <v>119</v>
      </c>
      <c r="BP1162">
        <v>51</v>
      </c>
      <c r="BR1162">
        <v>55</v>
      </c>
      <c r="BS1162">
        <v>5</v>
      </c>
      <c r="BT1162">
        <v>3</v>
      </c>
      <c r="BV1162">
        <v>5</v>
      </c>
      <c r="BW1162">
        <v>119</v>
      </c>
      <c r="BX1162" t="s">
        <v>82</v>
      </c>
      <c r="BY1162" s="5"/>
      <c r="BZ1162" s="6"/>
      <c r="CA1162" s="7">
        <v>41588</v>
      </c>
      <c r="CI1162">
        <f t="shared" si="137"/>
        <v>2013</v>
      </c>
      <c r="CJ1162" t="str">
        <f t="shared" si="138"/>
        <v>6235_2013</v>
      </c>
    </row>
    <row r="1163" spans="1:88" x14ac:dyDescent="0.25">
      <c r="A1163" t="s">
        <v>111</v>
      </c>
      <c r="B1163" t="s">
        <v>418</v>
      </c>
      <c r="C1163">
        <v>6237</v>
      </c>
      <c r="D1163">
        <v>-37.792499999999997</v>
      </c>
      <c r="E1163">
        <v>144.90479999999999</v>
      </c>
      <c r="F1163">
        <v>3</v>
      </c>
      <c r="G1163" t="s">
        <v>419</v>
      </c>
      <c r="H1163">
        <v>113</v>
      </c>
      <c r="I1163">
        <v>293</v>
      </c>
      <c r="J1163">
        <v>188</v>
      </c>
      <c r="K1163">
        <v>8</v>
      </c>
      <c r="L1163">
        <v>302</v>
      </c>
      <c r="M1163">
        <v>122</v>
      </c>
      <c r="T1163">
        <v>7</v>
      </c>
      <c r="U1163">
        <v>289</v>
      </c>
      <c r="Y1163">
        <v>1</v>
      </c>
      <c r="Z1163">
        <v>15</v>
      </c>
      <c r="AD1163">
        <v>261</v>
      </c>
      <c r="AE1163">
        <v>5</v>
      </c>
      <c r="AX1163">
        <v>296</v>
      </c>
      <c r="AY1163">
        <v>262</v>
      </c>
      <c r="AZ1163">
        <v>558</v>
      </c>
      <c r="BA1163">
        <v>16</v>
      </c>
      <c r="BB1163">
        <v>12</v>
      </c>
      <c r="BC1163">
        <v>28</v>
      </c>
      <c r="BD1163">
        <v>266</v>
      </c>
      <c r="BE1163">
        <v>304</v>
      </c>
      <c r="BF1163">
        <v>570</v>
      </c>
      <c r="BP1163">
        <v>348</v>
      </c>
      <c r="BR1163">
        <v>105</v>
      </c>
      <c r="BS1163">
        <v>114</v>
      </c>
      <c r="BT1163">
        <v>11</v>
      </c>
      <c r="BV1163">
        <v>0</v>
      </c>
      <c r="BW1163">
        <v>578</v>
      </c>
      <c r="BX1163" t="s">
        <v>82</v>
      </c>
      <c r="BY1163" s="5"/>
      <c r="BZ1163" s="6"/>
      <c r="CA1163" s="7">
        <v>41588</v>
      </c>
      <c r="CI1163">
        <f t="shared" si="137"/>
        <v>2013</v>
      </c>
      <c r="CJ1163" t="str">
        <f t="shared" si="138"/>
        <v>6237_2013</v>
      </c>
    </row>
    <row r="1164" spans="1:88" x14ac:dyDescent="0.25">
      <c r="A1164" t="s">
        <v>111</v>
      </c>
      <c r="B1164" t="s">
        <v>418</v>
      </c>
      <c r="C1164">
        <v>6237</v>
      </c>
      <c r="D1164">
        <v>-37.792496</v>
      </c>
      <c r="E1164">
        <v>144.90475900000001</v>
      </c>
      <c r="F1164">
        <v>3</v>
      </c>
      <c r="G1164" t="s">
        <v>419</v>
      </c>
      <c r="H1164">
        <v>113</v>
      </c>
      <c r="I1164">
        <v>293</v>
      </c>
      <c r="J1164">
        <v>188</v>
      </c>
      <c r="K1164">
        <v>8</v>
      </c>
      <c r="L1164">
        <v>302</v>
      </c>
      <c r="M1164">
        <v>122</v>
      </c>
      <c r="T1164">
        <v>5</v>
      </c>
      <c r="U1164">
        <v>165</v>
      </c>
      <c r="Y1164">
        <v>0</v>
      </c>
      <c r="Z1164">
        <v>6</v>
      </c>
      <c r="AD1164">
        <v>149</v>
      </c>
      <c r="AE1164">
        <v>3</v>
      </c>
      <c r="AX1164">
        <v>170</v>
      </c>
      <c r="AY1164">
        <v>149</v>
      </c>
      <c r="AZ1164">
        <v>319</v>
      </c>
      <c r="BA1164">
        <v>6</v>
      </c>
      <c r="BB1164">
        <v>8</v>
      </c>
      <c r="BC1164">
        <v>14</v>
      </c>
      <c r="BD1164">
        <v>152</v>
      </c>
      <c r="BE1164">
        <v>171</v>
      </c>
      <c r="BF1164">
        <v>323</v>
      </c>
      <c r="BP1164">
        <v>164</v>
      </c>
      <c r="BR1164">
        <v>76</v>
      </c>
      <c r="BS1164">
        <v>75</v>
      </c>
      <c r="BT1164">
        <v>10</v>
      </c>
      <c r="BV1164">
        <v>3</v>
      </c>
      <c r="BW1164">
        <v>328</v>
      </c>
      <c r="BX1164" t="str">
        <f>IF(C1164=C1163,IF((CI1164-1)=CI1163,BW1163,"no data"))</f>
        <v>no data</v>
      </c>
      <c r="BY1164" s="5"/>
      <c r="BZ1164" s="6"/>
      <c r="CA1164" s="7">
        <v>42687</v>
      </c>
      <c r="CE1164">
        <v>106</v>
      </c>
      <c r="CF1164">
        <v>73</v>
      </c>
      <c r="CG1164">
        <v>86</v>
      </c>
      <c r="CH1164">
        <v>63</v>
      </c>
      <c r="CI1164">
        <f t="shared" si="137"/>
        <v>2016</v>
      </c>
      <c r="CJ1164" t="str">
        <f t="shared" si="138"/>
        <v>6237_2016</v>
      </c>
    </row>
    <row r="1165" spans="1:88" x14ac:dyDescent="0.25">
      <c r="A1165" t="s">
        <v>111</v>
      </c>
      <c r="B1165" t="s">
        <v>418</v>
      </c>
      <c r="C1165">
        <v>6237</v>
      </c>
      <c r="D1165">
        <v>-37.792496</v>
      </c>
      <c r="E1165">
        <v>144.90475900000001</v>
      </c>
      <c r="F1165">
        <v>3</v>
      </c>
      <c r="G1165" t="s">
        <v>419</v>
      </c>
      <c r="H1165">
        <v>113</v>
      </c>
      <c r="I1165">
        <v>293</v>
      </c>
      <c r="J1165">
        <v>188</v>
      </c>
      <c r="K1165">
        <v>8</v>
      </c>
      <c r="L1165">
        <v>302</v>
      </c>
      <c r="M1165">
        <v>122</v>
      </c>
      <c r="T1165">
        <v>0</v>
      </c>
      <c r="U1165">
        <v>454</v>
      </c>
      <c r="Y1165">
        <v>8</v>
      </c>
      <c r="Z1165">
        <v>15</v>
      </c>
      <c r="AD1165">
        <v>343</v>
      </c>
      <c r="AE1165">
        <v>13</v>
      </c>
      <c r="AX1165">
        <v>454</v>
      </c>
      <c r="AY1165">
        <v>351</v>
      </c>
      <c r="AZ1165">
        <v>805</v>
      </c>
      <c r="BA1165">
        <v>23</v>
      </c>
      <c r="BB1165">
        <v>13</v>
      </c>
      <c r="BC1165">
        <v>36</v>
      </c>
      <c r="BD1165">
        <v>356</v>
      </c>
      <c r="BE1165">
        <v>469</v>
      </c>
      <c r="BF1165">
        <v>825</v>
      </c>
      <c r="BP1165">
        <v>472</v>
      </c>
      <c r="BR1165">
        <v>195</v>
      </c>
      <c r="BS1165">
        <v>137</v>
      </c>
      <c r="BT1165">
        <v>15</v>
      </c>
      <c r="BV1165">
        <v>14</v>
      </c>
      <c r="BW1165">
        <v>833</v>
      </c>
      <c r="BX1165">
        <f>IF(C1165=C1164,IF((CI1165-1)=CI1164,BW1164,"no data"))</f>
        <v>328</v>
      </c>
      <c r="BY1165" s="5">
        <f t="shared" ref="BY1165:BY1228" si="140">(BW1165-BX1165)/BX1165</f>
        <v>1.5396341463414633</v>
      </c>
      <c r="BZ1165" s="6">
        <f t="shared" si="139"/>
        <v>1.5396341463414633</v>
      </c>
      <c r="CA1165" s="7">
        <v>43051</v>
      </c>
      <c r="CE1165">
        <v>161</v>
      </c>
      <c r="CF1165">
        <v>212</v>
      </c>
      <c r="CG1165">
        <v>270</v>
      </c>
      <c r="CH1165">
        <v>190</v>
      </c>
      <c r="CI1165">
        <f t="shared" si="137"/>
        <v>2017</v>
      </c>
      <c r="CJ1165" t="str">
        <f t="shared" si="138"/>
        <v>6237_2017</v>
      </c>
    </row>
    <row r="1166" spans="1:88" x14ac:dyDescent="0.25">
      <c r="A1166" t="s">
        <v>111</v>
      </c>
      <c r="B1166" t="s">
        <v>418</v>
      </c>
      <c r="C1166">
        <v>6237</v>
      </c>
      <c r="D1166">
        <v>-37.792499999999997</v>
      </c>
      <c r="E1166">
        <v>144.90479999999999</v>
      </c>
      <c r="F1166">
        <v>3</v>
      </c>
      <c r="G1166" t="s">
        <v>419</v>
      </c>
      <c r="H1166">
        <v>113</v>
      </c>
      <c r="I1166">
        <v>293</v>
      </c>
      <c r="J1166">
        <v>188</v>
      </c>
      <c r="K1166">
        <v>8</v>
      </c>
      <c r="L1166">
        <v>302</v>
      </c>
      <c r="M1166">
        <v>122</v>
      </c>
      <c r="T1166">
        <v>8</v>
      </c>
      <c r="U1166">
        <v>424</v>
      </c>
      <c r="Y1166">
        <v>10</v>
      </c>
      <c r="Z1166">
        <v>7</v>
      </c>
      <c r="AD1166">
        <v>364</v>
      </c>
      <c r="AE1166">
        <v>5</v>
      </c>
      <c r="AX1166">
        <v>432</v>
      </c>
      <c r="AY1166">
        <v>374</v>
      </c>
      <c r="AZ1166">
        <v>806</v>
      </c>
      <c r="BA1166">
        <v>17</v>
      </c>
      <c r="BB1166">
        <v>13</v>
      </c>
      <c r="BC1166">
        <v>30</v>
      </c>
      <c r="BD1166">
        <v>369</v>
      </c>
      <c r="BE1166">
        <v>431</v>
      </c>
      <c r="BF1166">
        <v>800</v>
      </c>
      <c r="BP1166">
        <v>326</v>
      </c>
      <c r="BR1166">
        <v>270</v>
      </c>
      <c r="BS1166">
        <v>128</v>
      </c>
      <c r="BT1166">
        <v>21</v>
      </c>
      <c r="BV1166">
        <v>73</v>
      </c>
      <c r="BW1166">
        <v>818</v>
      </c>
      <c r="BX1166">
        <f>IF(C1166=C1165,IF((CI1166-1)=CI1165,BW1165,"no data"))</f>
        <v>833</v>
      </c>
      <c r="BY1166" s="5">
        <f t="shared" si="140"/>
        <v>-1.800720288115246E-2</v>
      </c>
      <c r="BZ1166" s="6">
        <f t="shared" si="139"/>
        <v>-1.800720288115246E-2</v>
      </c>
      <c r="CA1166" s="7">
        <v>43415</v>
      </c>
      <c r="CE1166">
        <v>277</v>
      </c>
      <c r="CF1166">
        <v>193</v>
      </c>
      <c r="CG1166">
        <v>170</v>
      </c>
      <c r="CH1166">
        <v>178</v>
      </c>
      <c r="CI1166">
        <f t="shared" si="137"/>
        <v>2018</v>
      </c>
      <c r="CJ1166" t="str">
        <f t="shared" si="138"/>
        <v>6237_2018</v>
      </c>
    </row>
    <row r="1167" spans="1:88" x14ac:dyDescent="0.25">
      <c r="A1167" t="s">
        <v>111</v>
      </c>
      <c r="B1167" t="s">
        <v>418</v>
      </c>
      <c r="C1167">
        <v>6237</v>
      </c>
      <c r="D1167">
        <v>-37.792499999999997</v>
      </c>
      <c r="E1167">
        <v>144.90479999999999</v>
      </c>
      <c r="F1167">
        <v>3</v>
      </c>
      <c r="G1167" t="s">
        <v>419</v>
      </c>
      <c r="H1167">
        <v>113</v>
      </c>
      <c r="I1167">
        <v>293</v>
      </c>
      <c r="J1167">
        <v>188</v>
      </c>
      <c r="K1167">
        <v>8</v>
      </c>
      <c r="L1167">
        <v>302</v>
      </c>
      <c r="M1167">
        <v>122</v>
      </c>
      <c r="T1167">
        <v>36</v>
      </c>
      <c r="U1167">
        <v>306</v>
      </c>
      <c r="Y1167">
        <v>32</v>
      </c>
      <c r="Z1167">
        <v>18</v>
      </c>
      <c r="AD1167">
        <v>244</v>
      </c>
      <c r="AE1167">
        <v>6</v>
      </c>
      <c r="AX1167">
        <v>342</v>
      </c>
      <c r="AY1167">
        <v>276</v>
      </c>
      <c r="AZ1167">
        <v>618</v>
      </c>
      <c r="BA1167">
        <v>50</v>
      </c>
      <c r="BB1167">
        <v>42</v>
      </c>
      <c r="BC1167">
        <v>92</v>
      </c>
      <c r="BD1167">
        <v>250</v>
      </c>
      <c r="BE1167">
        <v>324</v>
      </c>
      <c r="BF1167">
        <v>574</v>
      </c>
      <c r="BP1167">
        <v>298</v>
      </c>
      <c r="BR1167">
        <v>163</v>
      </c>
      <c r="BS1167">
        <v>132</v>
      </c>
      <c r="BT1167">
        <v>39</v>
      </c>
      <c r="BV1167">
        <v>10</v>
      </c>
      <c r="BW1167">
        <v>642</v>
      </c>
      <c r="BX1167">
        <f>IF(C1167=C1166,IF((CI1167-1)=CI1166,BW1166,"no data"))</f>
        <v>818</v>
      </c>
      <c r="BY1167" s="5">
        <f t="shared" si="140"/>
        <v>-0.21515892420537897</v>
      </c>
      <c r="BZ1167" s="6">
        <f t="shared" si="139"/>
        <v>-0.21515892420537897</v>
      </c>
      <c r="CA1167" s="7">
        <v>43779</v>
      </c>
      <c r="CE1167">
        <v>163</v>
      </c>
      <c r="CF1167">
        <v>168</v>
      </c>
      <c r="CG1167">
        <v>149</v>
      </c>
      <c r="CH1167">
        <v>162</v>
      </c>
      <c r="CI1167">
        <f t="shared" si="137"/>
        <v>2019</v>
      </c>
      <c r="CJ1167" t="str">
        <f t="shared" si="138"/>
        <v>6237_2019</v>
      </c>
    </row>
    <row r="1168" spans="1:88" x14ac:dyDescent="0.25">
      <c r="A1168" t="s">
        <v>111</v>
      </c>
      <c r="B1168" t="s">
        <v>418</v>
      </c>
      <c r="C1168">
        <v>6237</v>
      </c>
      <c r="D1168">
        <v>-37.792499999999997</v>
      </c>
      <c r="E1168">
        <v>144.90479999999999</v>
      </c>
      <c r="F1168">
        <v>3</v>
      </c>
      <c r="G1168" t="s">
        <v>419</v>
      </c>
      <c r="H1168">
        <v>113</v>
      </c>
      <c r="I1168">
        <v>293</v>
      </c>
      <c r="J1168">
        <v>188</v>
      </c>
      <c r="K1168">
        <v>8</v>
      </c>
      <c r="L1168">
        <v>302</v>
      </c>
      <c r="M1168">
        <v>122</v>
      </c>
      <c r="T1168">
        <v>13</v>
      </c>
      <c r="U1168">
        <v>220</v>
      </c>
      <c r="Y1168">
        <v>17</v>
      </c>
      <c r="Z1168">
        <v>7</v>
      </c>
      <c r="AD1168">
        <v>306</v>
      </c>
      <c r="AE1168">
        <v>16</v>
      </c>
      <c r="AX1168">
        <v>233</v>
      </c>
      <c r="AY1168">
        <v>323</v>
      </c>
      <c r="AZ1168">
        <v>556</v>
      </c>
      <c r="BA1168">
        <v>24</v>
      </c>
      <c r="BB1168">
        <v>29</v>
      </c>
      <c r="BC1168">
        <v>53</v>
      </c>
      <c r="BD1168">
        <v>322</v>
      </c>
      <c r="BE1168">
        <v>227</v>
      </c>
      <c r="BF1168">
        <v>549</v>
      </c>
      <c r="BP1168">
        <v>165</v>
      </c>
      <c r="BR1168">
        <v>249</v>
      </c>
      <c r="BS1168">
        <v>150</v>
      </c>
      <c r="BT1168">
        <v>15</v>
      </c>
      <c r="BV1168">
        <v>0</v>
      </c>
      <c r="BW1168">
        <v>579</v>
      </c>
      <c r="BX1168">
        <f>IF(C1168=C1167,IF((CI1168-1)=CI1167,BW1167,"no data"))</f>
        <v>642</v>
      </c>
      <c r="BY1168" s="5">
        <f t="shared" si="140"/>
        <v>-9.8130841121495324E-2</v>
      </c>
      <c r="BZ1168" s="6">
        <f t="shared" si="139"/>
        <v>-9.8130841121495324E-2</v>
      </c>
      <c r="CA1168" s="7">
        <v>44143</v>
      </c>
      <c r="CE1168">
        <v>111</v>
      </c>
      <c r="CF1168">
        <v>162</v>
      </c>
      <c r="CG1168">
        <v>174</v>
      </c>
      <c r="CH1168">
        <v>132</v>
      </c>
      <c r="CI1168">
        <f t="shared" si="137"/>
        <v>2020</v>
      </c>
      <c r="CJ1168" t="str">
        <f t="shared" si="138"/>
        <v>6237_2020</v>
      </c>
    </row>
    <row r="1169" spans="1:88" x14ac:dyDescent="0.25">
      <c r="A1169" t="s">
        <v>111</v>
      </c>
      <c r="B1169" t="s">
        <v>418</v>
      </c>
      <c r="C1169">
        <v>6238</v>
      </c>
      <c r="D1169">
        <v>-37.765000000000001</v>
      </c>
      <c r="E1169">
        <v>144.89930000000001</v>
      </c>
      <c r="F1169">
        <v>3</v>
      </c>
      <c r="G1169" t="s">
        <v>420</v>
      </c>
      <c r="H1169">
        <v>97</v>
      </c>
      <c r="I1169">
        <v>277</v>
      </c>
      <c r="J1169">
        <v>186</v>
      </c>
      <c r="K1169">
        <v>6</v>
      </c>
      <c r="L1169">
        <v>273</v>
      </c>
      <c r="M1169">
        <v>93</v>
      </c>
      <c r="T1169">
        <v>9</v>
      </c>
      <c r="U1169">
        <v>342</v>
      </c>
      <c r="Y1169">
        <v>10</v>
      </c>
      <c r="Z1169">
        <v>2</v>
      </c>
      <c r="AD1169">
        <v>763</v>
      </c>
      <c r="AE1169">
        <v>6</v>
      </c>
      <c r="AX1169">
        <v>351</v>
      </c>
      <c r="AY1169">
        <v>773</v>
      </c>
      <c r="AZ1169">
        <v>1124</v>
      </c>
      <c r="BA1169">
        <v>12</v>
      </c>
      <c r="BB1169">
        <v>15</v>
      </c>
      <c r="BC1169">
        <v>27</v>
      </c>
      <c r="BD1169">
        <v>769</v>
      </c>
      <c r="BE1169">
        <v>344</v>
      </c>
      <c r="BF1169">
        <v>1113</v>
      </c>
      <c r="BP1169">
        <v>182</v>
      </c>
      <c r="BR1169">
        <v>533</v>
      </c>
      <c r="BS1169">
        <v>313</v>
      </c>
      <c r="BT1169">
        <v>103</v>
      </c>
      <c r="BV1169">
        <v>1</v>
      </c>
      <c r="BW1169">
        <v>1132</v>
      </c>
      <c r="BX1169" t="s">
        <v>82</v>
      </c>
      <c r="BY1169" s="5"/>
      <c r="BZ1169" s="6"/>
      <c r="CA1169" s="7">
        <v>41588</v>
      </c>
      <c r="CI1169">
        <f t="shared" si="137"/>
        <v>2013</v>
      </c>
      <c r="CJ1169" t="str">
        <f t="shared" si="138"/>
        <v>6238_2013</v>
      </c>
    </row>
    <row r="1170" spans="1:88" x14ac:dyDescent="0.25">
      <c r="A1170" t="s">
        <v>111</v>
      </c>
      <c r="B1170" t="s">
        <v>418</v>
      </c>
      <c r="C1170">
        <v>6238</v>
      </c>
      <c r="D1170">
        <v>-37.765042000000001</v>
      </c>
      <c r="E1170">
        <v>144.89927399999999</v>
      </c>
      <c r="F1170">
        <v>3</v>
      </c>
      <c r="G1170" t="s">
        <v>420</v>
      </c>
      <c r="H1170">
        <v>97</v>
      </c>
      <c r="I1170">
        <v>277</v>
      </c>
      <c r="J1170">
        <v>186</v>
      </c>
      <c r="K1170">
        <v>6</v>
      </c>
      <c r="L1170">
        <v>273</v>
      </c>
      <c r="M1170">
        <v>93</v>
      </c>
      <c r="T1170">
        <v>13</v>
      </c>
      <c r="U1170">
        <v>191</v>
      </c>
      <c r="Y1170">
        <v>20</v>
      </c>
      <c r="Z1170">
        <v>11</v>
      </c>
      <c r="AD1170">
        <v>418</v>
      </c>
      <c r="AE1170">
        <v>36</v>
      </c>
      <c r="AX1170">
        <v>204</v>
      </c>
      <c r="AY1170">
        <v>438</v>
      </c>
      <c r="AZ1170">
        <v>642</v>
      </c>
      <c r="BA1170">
        <v>31</v>
      </c>
      <c r="BB1170">
        <v>49</v>
      </c>
      <c r="BC1170">
        <v>80</v>
      </c>
      <c r="BD1170">
        <v>454</v>
      </c>
      <c r="BE1170">
        <v>202</v>
      </c>
      <c r="BF1170">
        <v>656</v>
      </c>
      <c r="BP1170">
        <v>69</v>
      </c>
      <c r="BR1170">
        <v>387</v>
      </c>
      <c r="BS1170">
        <v>156</v>
      </c>
      <c r="BT1170">
        <v>65</v>
      </c>
      <c r="BV1170">
        <v>12</v>
      </c>
      <c r="BW1170">
        <v>689</v>
      </c>
      <c r="BX1170" t="str">
        <f t="shared" ref="BX1170:BX1176" si="141">IF(C1170=C1169,IF((CI1170-1)=CI1169,BW1169,"no data"))</f>
        <v>no data</v>
      </c>
      <c r="BY1170" s="5"/>
      <c r="BZ1170" s="6"/>
      <c r="CA1170" s="7">
        <v>42687</v>
      </c>
      <c r="CE1170">
        <v>198</v>
      </c>
      <c r="CF1170">
        <v>195</v>
      </c>
      <c r="CG1170">
        <v>128</v>
      </c>
      <c r="CH1170">
        <v>168</v>
      </c>
      <c r="CI1170">
        <f t="shared" si="137"/>
        <v>2016</v>
      </c>
      <c r="CJ1170" t="str">
        <f t="shared" si="138"/>
        <v>6238_2016</v>
      </c>
    </row>
    <row r="1171" spans="1:88" x14ac:dyDescent="0.25">
      <c r="A1171" t="s">
        <v>111</v>
      </c>
      <c r="B1171" t="s">
        <v>418</v>
      </c>
      <c r="C1171">
        <v>6238</v>
      </c>
      <c r="D1171">
        <v>-37.765042000000001</v>
      </c>
      <c r="E1171">
        <v>144.89927399999999</v>
      </c>
      <c r="F1171">
        <v>3</v>
      </c>
      <c r="G1171" t="s">
        <v>420</v>
      </c>
      <c r="H1171">
        <v>97</v>
      </c>
      <c r="I1171">
        <v>277</v>
      </c>
      <c r="J1171">
        <v>186</v>
      </c>
      <c r="K1171">
        <v>6</v>
      </c>
      <c r="L1171">
        <v>273</v>
      </c>
      <c r="M1171">
        <v>93</v>
      </c>
      <c r="T1171">
        <v>25</v>
      </c>
      <c r="U1171">
        <v>517</v>
      </c>
      <c r="Y1171">
        <v>42</v>
      </c>
      <c r="Z1171">
        <v>18</v>
      </c>
      <c r="AD1171">
        <v>780</v>
      </c>
      <c r="AE1171">
        <v>51</v>
      </c>
      <c r="AX1171">
        <v>542</v>
      </c>
      <c r="AY1171">
        <v>822</v>
      </c>
      <c r="AZ1171">
        <v>1364</v>
      </c>
      <c r="BA1171">
        <v>60</v>
      </c>
      <c r="BB1171">
        <v>76</v>
      </c>
      <c r="BC1171">
        <v>136</v>
      </c>
      <c r="BD1171">
        <v>831</v>
      </c>
      <c r="BE1171">
        <v>535</v>
      </c>
      <c r="BF1171">
        <v>1366</v>
      </c>
      <c r="BP1171">
        <v>189</v>
      </c>
      <c r="BR1171">
        <v>886</v>
      </c>
      <c r="BS1171">
        <v>203</v>
      </c>
      <c r="BT1171">
        <v>107</v>
      </c>
      <c r="BV1171">
        <v>48</v>
      </c>
      <c r="BW1171">
        <v>1433</v>
      </c>
      <c r="BX1171">
        <f t="shared" si="141"/>
        <v>689</v>
      </c>
      <c r="BY1171" s="5">
        <f t="shared" si="140"/>
        <v>1.0798258345428158</v>
      </c>
      <c r="BZ1171" s="6">
        <f t="shared" si="139"/>
        <v>1.0798258345428158</v>
      </c>
      <c r="CA1171" s="7">
        <v>43051</v>
      </c>
      <c r="CE1171">
        <v>416</v>
      </c>
      <c r="CF1171">
        <v>408</v>
      </c>
      <c r="CG1171">
        <v>345</v>
      </c>
      <c r="CH1171">
        <v>264</v>
      </c>
      <c r="CI1171">
        <f t="shared" si="137"/>
        <v>2017</v>
      </c>
      <c r="CJ1171" t="str">
        <f t="shared" si="138"/>
        <v>6238_2017</v>
      </c>
    </row>
    <row r="1172" spans="1:88" x14ac:dyDescent="0.25">
      <c r="A1172" t="s">
        <v>111</v>
      </c>
      <c r="B1172" t="s">
        <v>418</v>
      </c>
      <c r="C1172">
        <v>6238</v>
      </c>
      <c r="D1172">
        <v>-37.765000000000001</v>
      </c>
      <c r="E1172">
        <v>144.89930000000001</v>
      </c>
      <c r="F1172">
        <v>3</v>
      </c>
      <c r="G1172" t="s">
        <v>420</v>
      </c>
      <c r="H1172">
        <v>97</v>
      </c>
      <c r="I1172">
        <v>277</v>
      </c>
      <c r="J1172">
        <v>186</v>
      </c>
      <c r="K1172">
        <v>6</v>
      </c>
      <c r="L1172">
        <v>273</v>
      </c>
      <c r="M1172">
        <v>93</v>
      </c>
      <c r="T1172">
        <v>23</v>
      </c>
      <c r="U1172">
        <v>634</v>
      </c>
      <c r="Y1172">
        <v>46</v>
      </c>
      <c r="Z1172">
        <v>172</v>
      </c>
      <c r="AD1172">
        <v>1043</v>
      </c>
      <c r="AE1172">
        <v>34</v>
      </c>
      <c r="AX1172">
        <v>657</v>
      </c>
      <c r="AY1172">
        <v>1089</v>
      </c>
      <c r="AZ1172">
        <v>1746</v>
      </c>
      <c r="BA1172">
        <v>218</v>
      </c>
      <c r="BB1172">
        <v>57</v>
      </c>
      <c r="BC1172">
        <v>275</v>
      </c>
      <c r="BD1172">
        <v>1077</v>
      </c>
      <c r="BE1172">
        <v>806</v>
      </c>
      <c r="BF1172">
        <v>1883</v>
      </c>
      <c r="BP1172">
        <v>391</v>
      </c>
      <c r="BR1172">
        <v>1122</v>
      </c>
      <c r="BS1172">
        <v>230</v>
      </c>
      <c r="BT1172">
        <v>134</v>
      </c>
      <c r="BV1172">
        <v>75</v>
      </c>
      <c r="BW1172">
        <v>1952</v>
      </c>
      <c r="BX1172">
        <f t="shared" si="141"/>
        <v>1433</v>
      </c>
      <c r="BY1172" s="5">
        <f t="shared" si="140"/>
        <v>0.36217725052337751</v>
      </c>
      <c r="BZ1172" s="6">
        <f t="shared" si="139"/>
        <v>0.36217725052337751</v>
      </c>
      <c r="CA1172" s="7">
        <v>43415</v>
      </c>
      <c r="CE1172">
        <v>596</v>
      </c>
      <c r="CF1172">
        <v>437</v>
      </c>
      <c r="CG1172">
        <v>563</v>
      </c>
      <c r="CH1172">
        <v>356</v>
      </c>
      <c r="CI1172">
        <f t="shared" si="137"/>
        <v>2018</v>
      </c>
      <c r="CJ1172" t="str">
        <f t="shared" si="138"/>
        <v>6238_2018</v>
      </c>
    </row>
    <row r="1173" spans="1:88" x14ac:dyDescent="0.25">
      <c r="A1173" t="s">
        <v>111</v>
      </c>
      <c r="B1173" t="s">
        <v>418</v>
      </c>
      <c r="C1173">
        <v>6238</v>
      </c>
      <c r="D1173">
        <v>-37.765000000000001</v>
      </c>
      <c r="E1173">
        <v>144.89930000000001</v>
      </c>
      <c r="F1173">
        <v>3</v>
      </c>
      <c r="G1173" t="s">
        <v>420</v>
      </c>
      <c r="H1173">
        <v>97</v>
      </c>
      <c r="I1173">
        <v>277</v>
      </c>
      <c r="J1173">
        <v>186</v>
      </c>
      <c r="K1173">
        <v>6</v>
      </c>
      <c r="L1173">
        <v>273</v>
      </c>
      <c r="M1173">
        <v>93</v>
      </c>
      <c r="T1173">
        <v>62</v>
      </c>
      <c r="U1173">
        <v>534</v>
      </c>
      <c r="Y1173">
        <v>88</v>
      </c>
      <c r="Z1173">
        <v>28</v>
      </c>
      <c r="AD1173">
        <v>922</v>
      </c>
      <c r="AE1173">
        <v>48</v>
      </c>
      <c r="AX1173">
        <v>596</v>
      </c>
      <c r="AY1173">
        <v>1010</v>
      </c>
      <c r="AZ1173">
        <v>1606</v>
      </c>
      <c r="BA1173">
        <v>116</v>
      </c>
      <c r="BB1173">
        <v>110</v>
      </c>
      <c r="BC1173">
        <v>226</v>
      </c>
      <c r="BD1173">
        <v>970</v>
      </c>
      <c r="BE1173">
        <v>562</v>
      </c>
      <c r="BF1173">
        <v>1532</v>
      </c>
      <c r="BP1173">
        <v>201</v>
      </c>
      <c r="BR1173">
        <v>952</v>
      </c>
      <c r="BS1173">
        <v>237</v>
      </c>
      <c r="BT1173">
        <v>155</v>
      </c>
      <c r="BV1173">
        <v>137</v>
      </c>
      <c r="BW1173">
        <v>1682</v>
      </c>
      <c r="BX1173">
        <f t="shared" si="141"/>
        <v>1952</v>
      </c>
      <c r="BY1173" s="5">
        <f t="shared" si="140"/>
        <v>-0.13831967213114754</v>
      </c>
      <c r="BZ1173" s="6">
        <f t="shared" si="139"/>
        <v>-0.13831967213114754</v>
      </c>
      <c r="CA1173" s="7">
        <v>43779</v>
      </c>
      <c r="CE1173">
        <v>390</v>
      </c>
      <c r="CF1173">
        <v>475</v>
      </c>
      <c r="CG1173">
        <v>408</v>
      </c>
      <c r="CH1173">
        <v>409</v>
      </c>
      <c r="CI1173">
        <f t="shared" si="137"/>
        <v>2019</v>
      </c>
      <c r="CJ1173" t="str">
        <f t="shared" si="138"/>
        <v>6238_2019</v>
      </c>
    </row>
    <row r="1174" spans="1:88" x14ac:dyDescent="0.25">
      <c r="A1174" t="s">
        <v>111</v>
      </c>
      <c r="B1174" t="s">
        <v>418</v>
      </c>
      <c r="C1174">
        <v>6238</v>
      </c>
      <c r="D1174">
        <v>-37.765000000000001</v>
      </c>
      <c r="E1174">
        <v>144.89930000000001</v>
      </c>
      <c r="F1174">
        <v>3</v>
      </c>
      <c r="G1174" t="s">
        <v>420</v>
      </c>
      <c r="H1174">
        <v>97</v>
      </c>
      <c r="I1174">
        <v>277</v>
      </c>
      <c r="J1174">
        <v>186</v>
      </c>
      <c r="K1174">
        <v>6</v>
      </c>
      <c r="L1174">
        <v>273</v>
      </c>
      <c r="M1174">
        <v>93</v>
      </c>
      <c r="T1174">
        <v>14</v>
      </c>
      <c r="U1174">
        <v>1224</v>
      </c>
      <c r="Y1174">
        <v>34</v>
      </c>
      <c r="Z1174">
        <v>128</v>
      </c>
      <c r="AD1174">
        <v>1389</v>
      </c>
      <c r="AE1174">
        <v>64</v>
      </c>
      <c r="AX1174">
        <v>1238</v>
      </c>
      <c r="AY1174">
        <v>1423</v>
      </c>
      <c r="AZ1174">
        <v>2661</v>
      </c>
      <c r="BA1174">
        <v>162</v>
      </c>
      <c r="BB1174">
        <v>78</v>
      </c>
      <c r="BC1174">
        <v>240</v>
      </c>
      <c r="BD1174">
        <v>1453</v>
      </c>
      <c r="BE1174">
        <v>1352</v>
      </c>
      <c r="BF1174">
        <v>2805</v>
      </c>
      <c r="BP1174">
        <v>659</v>
      </c>
      <c r="BR1174">
        <v>1541</v>
      </c>
      <c r="BS1174">
        <v>432</v>
      </c>
      <c r="BT1174">
        <v>188</v>
      </c>
      <c r="BV1174">
        <v>33</v>
      </c>
      <c r="BW1174">
        <v>2853</v>
      </c>
      <c r="BX1174">
        <f t="shared" si="141"/>
        <v>1682</v>
      </c>
      <c r="BY1174" s="5">
        <f t="shared" si="140"/>
        <v>0.69619500594530326</v>
      </c>
      <c r="BZ1174" s="6">
        <f t="shared" si="139"/>
        <v>0.69619500594530326</v>
      </c>
      <c r="CA1174" s="7">
        <v>44143</v>
      </c>
      <c r="CE1174">
        <v>673</v>
      </c>
      <c r="CF1174">
        <v>711</v>
      </c>
      <c r="CG1174">
        <v>744</v>
      </c>
      <c r="CH1174">
        <v>725</v>
      </c>
      <c r="CI1174">
        <f t="shared" si="137"/>
        <v>2020</v>
      </c>
      <c r="CJ1174" t="str">
        <f t="shared" si="138"/>
        <v>6238_2020</v>
      </c>
    </row>
    <row r="1175" spans="1:88" x14ac:dyDescent="0.25">
      <c r="A1175" t="s">
        <v>111</v>
      </c>
      <c r="B1175" t="s">
        <v>418</v>
      </c>
      <c r="C1175">
        <v>6238</v>
      </c>
      <c r="D1175">
        <v>-37.765042000000001</v>
      </c>
      <c r="E1175">
        <v>144.89927399999999</v>
      </c>
      <c r="F1175">
        <v>3</v>
      </c>
      <c r="G1175" t="s">
        <v>420</v>
      </c>
      <c r="H1175">
        <v>97</v>
      </c>
      <c r="I1175">
        <v>277</v>
      </c>
      <c r="J1175">
        <v>186</v>
      </c>
      <c r="K1175">
        <v>6</v>
      </c>
      <c r="L1175">
        <v>273</v>
      </c>
      <c r="M1175">
        <v>93</v>
      </c>
      <c r="T1175">
        <v>11</v>
      </c>
      <c r="U1175">
        <v>328</v>
      </c>
      <c r="Y1175">
        <v>6</v>
      </c>
      <c r="Z1175">
        <v>9</v>
      </c>
      <c r="AD1175">
        <v>451</v>
      </c>
      <c r="AE1175">
        <v>12</v>
      </c>
      <c r="AX1175">
        <v>339</v>
      </c>
      <c r="AY1175">
        <v>457</v>
      </c>
      <c r="AZ1175">
        <v>796</v>
      </c>
      <c r="BA1175">
        <v>15</v>
      </c>
      <c r="BB1175">
        <v>23</v>
      </c>
      <c r="BC1175">
        <v>38</v>
      </c>
      <c r="BD1175">
        <v>463</v>
      </c>
      <c r="BE1175">
        <v>337</v>
      </c>
      <c r="BF1175">
        <v>800</v>
      </c>
      <c r="BP1175">
        <v>53</v>
      </c>
      <c r="BR1175">
        <v>517</v>
      </c>
      <c r="BS1175">
        <v>146</v>
      </c>
      <c r="BT1175">
        <v>92</v>
      </c>
      <c r="BV1175">
        <v>9</v>
      </c>
      <c r="BW1175">
        <v>817</v>
      </c>
      <c r="BX1175">
        <f t="shared" si="141"/>
        <v>2853</v>
      </c>
      <c r="BY1175" s="5">
        <f t="shared" si="140"/>
        <v>-0.71363477041710477</v>
      </c>
      <c r="BZ1175" s="6">
        <f t="shared" si="139"/>
        <v>-0.71363477041710477</v>
      </c>
      <c r="CA1175" s="7">
        <v>44528</v>
      </c>
      <c r="CE1175">
        <v>264</v>
      </c>
      <c r="CF1175">
        <v>354</v>
      </c>
      <c r="CG1175">
        <v>199</v>
      </c>
      <c r="CI1175">
        <f t="shared" si="137"/>
        <v>2021</v>
      </c>
      <c r="CJ1175" t="str">
        <f t="shared" si="138"/>
        <v>6238_2021</v>
      </c>
    </row>
    <row r="1176" spans="1:88" x14ac:dyDescent="0.25">
      <c r="A1176" t="s">
        <v>111</v>
      </c>
      <c r="B1176" t="s">
        <v>418</v>
      </c>
      <c r="C1176">
        <v>6238</v>
      </c>
      <c r="D1176">
        <v>-37.765042000000001</v>
      </c>
      <c r="E1176">
        <v>144.89927399999999</v>
      </c>
      <c r="F1176">
        <v>3</v>
      </c>
      <c r="G1176" t="s">
        <v>420</v>
      </c>
      <c r="H1176">
        <v>97</v>
      </c>
      <c r="I1176">
        <v>277</v>
      </c>
      <c r="J1176">
        <v>186</v>
      </c>
      <c r="K1176">
        <v>6</v>
      </c>
      <c r="L1176">
        <v>273</v>
      </c>
      <c r="M1176">
        <v>93</v>
      </c>
      <c r="T1176">
        <v>0</v>
      </c>
      <c r="U1176">
        <v>406</v>
      </c>
      <c r="Y1176">
        <v>1</v>
      </c>
      <c r="Z1176">
        <v>2</v>
      </c>
      <c r="AD1176">
        <v>656</v>
      </c>
      <c r="AE1176">
        <v>2</v>
      </c>
      <c r="AX1176">
        <v>406</v>
      </c>
      <c r="AY1176">
        <v>657</v>
      </c>
      <c r="AZ1176">
        <v>1063</v>
      </c>
      <c r="BA1176">
        <v>3</v>
      </c>
      <c r="BB1176">
        <v>2</v>
      </c>
      <c r="BC1176">
        <v>5</v>
      </c>
      <c r="BD1176">
        <v>658</v>
      </c>
      <c r="BE1176">
        <v>408</v>
      </c>
      <c r="BF1176">
        <v>1066</v>
      </c>
      <c r="BP1176">
        <v>157</v>
      </c>
      <c r="BR1176">
        <v>609</v>
      </c>
      <c r="BS1176">
        <v>161</v>
      </c>
      <c r="BT1176">
        <v>132</v>
      </c>
      <c r="BU1176">
        <v>3</v>
      </c>
      <c r="BV1176">
        <v>5</v>
      </c>
      <c r="BW1176">
        <v>1067</v>
      </c>
      <c r="BX1176">
        <f t="shared" si="141"/>
        <v>817</v>
      </c>
      <c r="BY1176" s="5">
        <f t="shared" si="140"/>
        <v>0.30599755201958384</v>
      </c>
      <c r="BZ1176" s="6">
        <f t="shared" si="139"/>
        <v>0.30599755201958384</v>
      </c>
      <c r="CA1176" s="7">
        <v>44878</v>
      </c>
      <c r="CE1176">
        <v>397</v>
      </c>
      <c r="CF1176">
        <v>402</v>
      </c>
      <c r="CG1176">
        <v>268</v>
      </c>
      <c r="CI1176">
        <f t="shared" si="137"/>
        <v>2022</v>
      </c>
      <c r="CJ1176" t="str">
        <f t="shared" si="138"/>
        <v>6238_2022</v>
      </c>
    </row>
    <row r="1177" spans="1:88" x14ac:dyDescent="0.25">
      <c r="A1177" t="s">
        <v>111</v>
      </c>
      <c r="B1177" t="s">
        <v>259</v>
      </c>
      <c r="C1177">
        <v>6239</v>
      </c>
      <c r="D1177">
        <v>-37.872300000000003</v>
      </c>
      <c r="E1177">
        <v>145.0924</v>
      </c>
      <c r="F1177">
        <v>4</v>
      </c>
      <c r="G1177" t="s">
        <v>421</v>
      </c>
      <c r="H1177">
        <v>41</v>
      </c>
      <c r="I1177">
        <v>221</v>
      </c>
      <c r="J1177">
        <v>126</v>
      </c>
      <c r="K1177">
        <v>306</v>
      </c>
      <c r="L1177">
        <v>235</v>
      </c>
      <c r="M1177">
        <v>55</v>
      </c>
      <c r="N1177">
        <v>334</v>
      </c>
      <c r="O1177">
        <v>154</v>
      </c>
      <c r="U1177">
        <v>20</v>
      </c>
      <c r="V1177">
        <v>104</v>
      </c>
      <c r="AD1177">
        <v>22</v>
      </c>
      <c r="AF1177">
        <v>6</v>
      </c>
      <c r="AI1177">
        <v>96</v>
      </c>
      <c r="AK1177">
        <v>4</v>
      </c>
      <c r="AX1177">
        <v>124</v>
      </c>
      <c r="AY1177">
        <v>118</v>
      </c>
      <c r="AZ1177">
        <v>242</v>
      </c>
      <c r="BD1177">
        <v>28</v>
      </c>
      <c r="BE1177">
        <v>24</v>
      </c>
      <c r="BF1177">
        <v>52</v>
      </c>
      <c r="BG1177">
        <v>100</v>
      </c>
      <c r="BH1177">
        <v>110</v>
      </c>
      <c r="BI1177">
        <v>210</v>
      </c>
      <c r="BP1177">
        <v>161</v>
      </c>
      <c r="BR1177">
        <v>36</v>
      </c>
      <c r="BS1177">
        <v>24</v>
      </c>
      <c r="BT1177">
        <v>21</v>
      </c>
      <c r="BV1177">
        <v>10</v>
      </c>
      <c r="BW1177">
        <v>252</v>
      </c>
      <c r="BX1177" t="s">
        <v>82</v>
      </c>
      <c r="BY1177" s="5"/>
      <c r="BZ1177" s="6"/>
      <c r="CA1177" s="7">
        <v>41588</v>
      </c>
      <c r="CI1177">
        <f t="shared" si="137"/>
        <v>2013</v>
      </c>
      <c r="CJ1177" t="str">
        <f t="shared" si="138"/>
        <v>6239_2013</v>
      </c>
    </row>
    <row r="1178" spans="1:88" x14ac:dyDescent="0.25">
      <c r="A1178" t="s">
        <v>111</v>
      </c>
      <c r="B1178" t="s">
        <v>259</v>
      </c>
      <c r="C1178">
        <v>6239</v>
      </c>
      <c r="D1178">
        <v>-37.872300000000003</v>
      </c>
      <c r="E1178">
        <v>145.0924</v>
      </c>
      <c r="F1178">
        <v>4</v>
      </c>
      <c r="G1178" t="s">
        <v>421</v>
      </c>
      <c r="H1178">
        <v>41</v>
      </c>
      <c r="I1178">
        <v>221</v>
      </c>
      <c r="J1178">
        <v>126</v>
      </c>
      <c r="K1178">
        <v>306</v>
      </c>
      <c r="L1178">
        <v>235</v>
      </c>
      <c r="M1178">
        <v>55</v>
      </c>
      <c r="N1178">
        <v>334</v>
      </c>
      <c r="O1178">
        <v>154</v>
      </c>
      <c r="U1178">
        <v>31</v>
      </c>
      <c r="V1178">
        <v>140</v>
      </c>
      <c r="AD1178">
        <v>24</v>
      </c>
      <c r="AF1178">
        <v>12</v>
      </c>
      <c r="AI1178">
        <v>154</v>
      </c>
      <c r="AK1178">
        <v>12</v>
      </c>
      <c r="AX1178">
        <v>171</v>
      </c>
      <c r="AY1178">
        <v>178</v>
      </c>
      <c r="AZ1178">
        <v>349</v>
      </c>
      <c r="BD1178">
        <v>36</v>
      </c>
      <c r="BE1178">
        <v>43</v>
      </c>
      <c r="BF1178">
        <v>79</v>
      </c>
      <c r="BG1178">
        <v>166</v>
      </c>
      <c r="BH1178">
        <v>152</v>
      </c>
      <c r="BI1178">
        <v>318</v>
      </c>
      <c r="BP1178">
        <v>199</v>
      </c>
      <c r="BR1178">
        <v>84</v>
      </c>
      <c r="BS1178">
        <v>20</v>
      </c>
      <c r="BT1178">
        <v>29</v>
      </c>
      <c r="BV1178">
        <v>41</v>
      </c>
      <c r="BW1178">
        <v>373</v>
      </c>
      <c r="BX1178">
        <f t="shared" ref="BX1178:BX1185" si="142">IF(C1178=C1177,IF((CI1178-1)=CI1177,BW1177,"no data"))</f>
        <v>252</v>
      </c>
      <c r="BY1178" s="5">
        <f t="shared" si="140"/>
        <v>0.48015873015873017</v>
      </c>
      <c r="BZ1178" s="6">
        <f t="shared" si="139"/>
        <v>0.48015873015873017</v>
      </c>
      <c r="CA1178" s="7">
        <v>41952</v>
      </c>
      <c r="CI1178">
        <f t="shared" si="137"/>
        <v>2014</v>
      </c>
      <c r="CJ1178" t="str">
        <f t="shared" si="138"/>
        <v>6239_2014</v>
      </c>
    </row>
    <row r="1179" spans="1:88" x14ac:dyDescent="0.25">
      <c r="A1179" t="s">
        <v>111</v>
      </c>
      <c r="B1179" t="s">
        <v>259</v>
      </c>
      <c r="C1179">
        <v>6239</v>
      </c>
      <c r="D1179">
        <v>-37.872300000000003</v>
      </c>
      <c r="E1179">
        <v>145.0924</v>
      </c>
      <c r="F1179">
        <v>4</v>
      </c>
      <c r="G1179" t="s">
        <v>421</v>
      </c>
      <c r="H1179">
        <v>41</v>
      </c>
      <c r="I1179">
        <v>221</v>
      </c>
      <c r="J1179">
        <v>126</v>
      </c>
      <c r="K1179">
        <v>306</v>
      </c>
      <c r="L1179">
        <v>235</v>
      </c>
      <c r="M1179">
        <v>55</v>
      </c>
      <c r="N1179">
        <v>334</v>
      </c>
      <c r="O1179">
        <v>154</v>
      </c>
      <c r="U1179">
        <v>11</v>
      </c>
      <c r="V1179">
        <v>29</v>
      </c>
      <c r="AD1179">
        <v>12</v>
      </c>
      <c r="AF1179">
        <v>21</v>
      </c>
      <c r="AI1179">
        <v>25</v>
      </c>
      <c r="AK1179">
        <v>17</v>
      </c>
      <c r="AX1179">
        <v>40</v>
      </c>
      <c r="AY1179">
        <v>37</v>
      </c>
      <c r="AZ1179">
        <v>77</v>
      </c>
      <c r="BD1179">
        <v>33</v>
      </c>
      <c r="BE1179">
        <v>28</v>
      </c>
      <c r="BF1179">
        <v>61</v>
      </c>
      <c r="BG1179">
        <v>42</v>
      </c>
      <c r="BH1179">
        <v>50</v>
      </c>
      <c r="BI1179">
        <v>92</v>
      </c>
      <c r="BP1179">
        <v>32</v>
      </c>
      <c r="BR1179">
        <v>44</v>
      </c>
      <c r="BS1179">
        <v>21</v>
      </c>
      <c r="BT1179">
        <v>17</v>
      </c>
      <c r="BV1179">
        <v>1</v>
      </c>
      <c r="BW1179">
        <v>115</v>
      </c>
      <c r="BX1179">
        <f t="shared" si="142"/>
        <v>373</v>
      </c>
      <c r="BY1179" s="5">
        <f t="shared" si="140"/>
        <v>-0.69168900804289546</v>
      </c>
      <c r="BZ1179" s="6">
        <f t="shared" si="139"/>
        <v>-0.69168900804289546</v>
      </c>
      <c r="CA1179" s="7">
        <v>42316</v>
      </c>
      <c r="CE1179">
        <v>37</v>
      </c>
      <c r="CF1179">
        <v>20</v>
      </c>
      <c r="CG1179">
        <v>26</v>
      </c>
      <c r="CH1179">
        <v>32</v>
      </c>
      <c r="CI1179">
        <f t="shared" si="137"/>
        <v>2015</v>
      </c>
      <c r="CJ1179" t="str">
        <f t="shared" si="138"/>
        <v>6239_2015</v>
      </c>
    </row>
    <row r="1180" spans="1:88" x14ac:dyDescent="0.25">
      <c r="A1180" t="s">
        <v>111</v>
      </c>
      <c r="B1180" t="s">
        <v>259</v>
      </c>
      <c r="C1180">
        <v>6239</v>
      </c>
      <c r="D1180">
        <v>-37.872267999999998</v>
      </c>
      <c r="E1180">
        <v>145.09244000000001</v>
      </c>
      <c r="F1180">
        <v>3</v>
      </c>
      <c r="G1180" t="s">
        <v>422</v>
      </c>
      <c r="H1180">
        <v>41</v>
      </c>
      <c r="I1180">
        <v>221</v>
      </c>
      <c r="J1180">
        <v>235</v>
      </c>
      <c r="K1180">
        <v>55</v>
      </c>
      <c r="L1180">
        <v>334</v>
      </c>
      <c r="M1180">
        <v>154</v>
      </c>
      <c r="T1180">
        <v>11</v>
      </c>
      <c r="U1180">
        <v>29</v>
      </c>
      <c r="Y1180">
        <v>12</v>
      </c>
      <c r="Z1180">
        <v>21</v>
      </c>
      <c r="AD1180">
        <v>25</v>
      </c>
      <c r="AE1180">
        <v>17</v>
      </c>
      <c r="AX1180">
        <v>40</v>
      </c>
      <c r="AY1180">
        <v>37</v>
      </c>
      <c r="AZ1180">
        <v>77</v>
      </c>
      <c r="BA1180">
        <v>33</v>
      </c>
      <c r="BB1180">
        <v>28</v>
      </c>
      <c r="BC1180">
        <v>61</v>
      </c>
      <c r="BD1180">
        <v>42</v>
      </c>
      <c r="BE1180">
        <v>50</v>
      </c>
      <c r="BF1180">
        <v>92</v>
      </c>
      <c r="BP1180">
        <v>32</v>
      </c>
      <c r="BR1180">
        <v>44</v>
      </c>
      <c r="BS1180">
        <v>21</v>
      </c>
      <c r="BT1180">
        <v>17</v>
      </c>
      <c r="BV1180">
        <v>1</v>
      </c>
      <c r="BW1180">
        <v>115</v>
      </c>
      <c r="BX1180">
        <f t="shared" si="142"/>
        <v>115</v>
      </c>
      <c r="BY1180" s="5">
        <f t="shared" si="140"/>
        <v>0</v>
      </c>
      <c r="BZ1180" s="6">
        <f t="shared" si="139"/>
        <v>0</v>
      </c>
      <c r="CA1180" s="7">
        <v>42687</v>
      </c>
      <c r="CE1180">
        <v>37</v>
      </c>
      <c r="CF1180">
        <v>20</v>
      </c>
      <c r="CG1180">
        <v>26</v>
      </c>
      <c r="CH1180">
        <v>32</v>
      </c>
      <c r="CI1180">
        <f t="shared" si="137"/>
        <v>2016</v>
      </c>
      <c r="CJ1180" t="str">
        <f t="shared" si="138"/>
        <v>6239_2016</v>
      </c>
    </row>
    <row r="1181" spans="1:88" x14ac:dyDescent="0.25">
      <c r="A1181" t="s">
        <v>111</v>
      </c>
      <c r="B1181" t="s">
        <v>259</v>
      </c>
      <c r="C1181">
        <v>6239</v>
      </c>
      <c r="D1181">
        <v>-37.872267999999998</v>
      </c>
      <c r="E1181">
        <v>145.09244000000001</v>
      </c>
      <c r="F1181">
        <v>3</v>
      </c>
      <c r="G1181" t="s">
        <v>422</v>
      </c>
      <c r="H1181">
        <v>41</v>
      </c>
      <c r="I1181">
        <v>221</v>
      </c>
      <c r="J1181">
        <v>235</v>
      </c>
      <c r="K1181">
        <v>55</v>
      </c>
      <c r="L1181">
        <v>334</v>
      </c>
      <c r="M1181">
        <v>154</v>
      </c>
      <c r="T1181">
        <v>21</v>
      </c>
      <c r="U1181">
        <v>144</v>
      </c>
      <c r="Y1181">
        <v>7</v>
      </c>
      <c r="Z1181">
        <v>6</v>
      </c>
      <c r="AD1181">
        <v>129</v>
      </c>
      <c r="AE1181">
        <v>5</v>
      </c>
      <c r="AX1181">
        <v>165</v>
      </c>
      <c r="AY1181">
        <v>136</v>
      </c>
      <c r="AZ1181">
        <v>301</v>
      </c>
      <c r="BA1181">
        <v>13</v>
      </c>
      <c r="BB1181">
        <v>26</v>
      </c>
      <c r="BC1181">
        <v>39</v>
      </c>
      <c r="BD1181">
        <v>134</v>
      </c>
      <c r="BE1181">
        <v>150</v>
      </c>
      <c r="BF1181">
        <v>284</v>
      </c>
      <c r="BP1181">
        <v>202</v>
      </c>
      <c r="BR1181">
        <v>75</v>
      </c>
      <c r="BS1181">
        <v>26</v>
      </c>
      <c r="BT1181">
        <v>8</v>
      </c>
      <c r="BV1181">
        <v>1</v>
      </c>
      <c r="BW1181">
        <v>312</v>
      </c>
      <c r="BX1181">
        <f t="shared" si="142"/>
        <v>115</v>
      </c>
      <c r="BY1181" s="5">
        <f t="shared" si="140"/>
        <v>1.7130434782608697</v>
      </c>
      <c r="BZ1181" s="6">
        <f t="shared" si="139"/>
        <v>1.7130434782608697</v>
      </c>
      <c r="CA1181" s="7">
        <v>43051</v>
      </c>
      <c r="CE1181">
        <v>137</v>
      </c>
      <c r="CF1181">
        <v>67</v>
      </c>
      <c r="CG1181">
        <v>66</v>
      </c>
      <c r="CH1181">
        <v>42</v>
      </c>
      <c r="CI1181">
        <f t="shared" si="137"/>
        <v>2017</v>
      </c>
      <c r="CJ1181" t="str">
        <f t="shared" si="138"/>
        <v>6239_2017</v>
      </c>
    </row>
    <row r="1182" spans="1:88" x14ac:dyDescent="0.25">
      <c r="A1182" t="s">
        <v>111</v>
      </c>
      <c r="B1182" t="s">
        <v>259</v>
      </c>
      <c r="C1182">
        <v>6239</v>
      </c>
      <c r="D1182">
        <v>-37.872300000000003</v>
      </c>
      <c r="E1182">
        <v>145.0924</v>
      </c>
      <c r="F1182">
        <v>4</v>
      </c>
      <c r="G1182" t="s">
        <v>421</v>
      </c>
      <c r="H1182">
        <v>41</v>
      </c>
      <c r="I1182">
        <v>221</v>
      </c>
      <c r="J1182">
        <v>126</v>
      </c>
      <c r="K1182">
        <v>306</v>
      </c>
      <c r="L1182">
        <v>235</v>
      </c>
      <c r="M1182">
        <v>55</v>
      </c>
      <c r="N1182">
        <v>334</v>
      </c>
      <c r="O1182">
        <v>154</v>
      </c>
      <c r="T1182">
        <v>4</v>
      </c>
      <c r="U1182">
        <v>14</v>
      </c>
      <c r="V1182">
        <v>90</v>
      </c>
      <c r="Y1182">
        <v>7</v>
      </c>
      <c r="Z1182">
        <v>0</v>
      </c>
      <c r="AA1182">
        <v>24</v>
      </c>
      <c r="AD1182">
        <v>14</v>
      </c>
      <c r="AE1182">
        <v>1</v>
      </c>
      <c r="AF1182">
        <v>2</v>
      </c>
      <c r="AI1182">
        <v>119</v>
      </c>
      <c r="AJ1182">
        <v>25</v>
      </c>
      <c r="AK1182">
        <v>3</v>
      </c>
      <c r="AX1182">
        <v>108</v>
      </c>
      <c r="AY1182">
        <v>140</v>
      </c>
      <c r="AZ1182">
        <v>248</v>
      </c>
      <c r="BA1182">
        <v>31</v>
      </c>
      <c r="BB1182">
        <v>30</v>
      </c>
      <c r="BC1182">
        <v>61</v>
      </c>
      <c r="BD1182">
        <v>17</v>
      </c>
      <c r="BE1182">
        <v>17</v>
      </c>
      <c r="BF1182">
        <v>34</v>
      </c>
      <c r="BG1182">
        <v>147</v>
      </c>
      <c r="BH1182">
        <v>116</v>
      </c>
      <c r="BI1182">
        <v>263</v>
      </c>
      <c r="BP1182">
        <v>184</v>
      </c>
      <c r="BR1182">
        <v>72</v>
      </c>
      <c r="BS1182">
        <v>32</v>
      </c>
      <c r="BT1182">
        <v>12</v>
      </c>
      <c r="BV1182">
        <v>3</v>
      </c>
      <c r="BW1182">
        <v>303</v>
      </c>
      <c r="BX1182">
        <f t="shared" si="142"/>
        <v>312</v>
      </c>
      <c r="BY1182" s="5">
        <f t="shared" si="140"/>
        <v>-2.8846153846153848E-2</v>
      </c>
      <c r="BZ1182" s="6">
        <f t="shared" si="139"/>
        <v>-2.8846153846153848E-2</v>
      </c>
      <c r="CA1182" s="7">
        <v>43415</v>
      </c>
      <c r="CE1182">
        <v>68</v>
      </c>
      <c r="CF1182">
        <v>74</v>
      </c>
      <c r="CG1182">
        <v>88</v>
      </c>
      <c r="CH1182">
        <v>73</v>
      </c>
      <c r="CI1182">
        <f t="shared" si="137"/>
        <v>2018</v>
      </c>
      <c r="CJ1182" t="str">
        <f t="shared" si="138"/>
        <v>6239_2018</v>
      </c>
    </row>
    <row r="1183" spans="1:88" x14ac:dyDescent="0.25">
      <c r="A1183" t="s">
        <v>111</v>
      </c>
      <c r="B1183" t="s">
        <v>259</v>
      </c>
      <c r="C1183">
        <v>6239</v>
      </c>
      <c r="D1183">
        <v>-37.872300000000003</v>
      </c>
      <c r="E1183">
        <v>145.0924</v>
      </c>
      <c r="F1183">
        <v>4</v>
      </c>
      <c r="G1183" t="s">
        <v>421</v>
      </c>
      <c r="H1183">
        <v>41</v>
      </c>
      <c r="I1183">
        <v>221</v>
      </c>
      <c r="J1183">
        <v>126</v>
      </c>
      <c r="K1183">
        <v>306</v>
      </c>
      <c r="L1183">
        <v>235</v>
      </c>
      <c r="M1183">
        <v>55</v>
      </c>
      <c r="N1183">
        <v>334</v>
      </c>
      <c r="O1183">
        <v>154</v>
      </c>
      <c r="T1183">
        <v>20</v>
      </c>
      <c r="U1183">
        <v>15</v>
      </c>
      <c r="V1183">
        <v>104</v>
      </c>
      <c r="Y1183">
        <v>13</v>
      </c>
      <c r="Z1183">
        <v>0</v>
      </c>
      <c r="AA1183">
        <v>23</v>
      </c>
      <c r="AD1183">
        <v>12</v>
      </c>
      <c r="AE1183">
        <v>1</v>
      </c>
      <c r="AF1183">
        <v>1</v>
      </c>
      <c r="AI1183">
        <v>79</v>
      </c>
      <c r="AJ1183">
        <v>29</v>
      </c>
      <c r="AK1183">
        <v>0</v>
      </c>
      <c r="AX1183">
        <v>139</v>
      </c>
      <c r="AY1183">
        <v>104</v>
      </c>
      <c r="AZ1183">
        <v>243</v>
      </c>
      <c r="BA1183">
        <v>36</v>
      </c>
      <c r="BB1183">
        <v>50</v>
      </c>
      <c r="BC1183">
        <v>86</v>
      </c>
      <c r="BD1183">
        <v>14</v>
      </c>
      <c r="BE1183">
        <v>15</v>
      </c>
      <c r="BF1183">
        <v>29</v>
      </c>
      <c r="BG1183">
        <v>108</v>
      </c>
      <c r="BH1183">
        <v>128</v>
      </c>
      <c r="BI1183">
        <v>236</v>
      </c>
      <c r="BP1183">
        <v>147</v>
      </c>
      <c r="BR1183">
        <v>92</v>
      </c>
      <c r="BS1183">
        <v>35</v>
      </c>
      <c r="BT1183">
        <v>17</v>
      </c>
      <c r="BV1183">
        <v>6</v>
      </c>
      <c r="BW1183">
        <v>297</v>
      </c>
      <c r="BX1183">
        <f t="shared" si="142"/>
        <v>303</v>
      </c>
      <c r="BY1183" s="5">
        <f t="shared" si="140"/>
        <v>-1.9801980198019802E-2</v>
      </c>
      <c r="BZ1183" s="6">
        <f t="shared" si="139"/>
        <v>-1.9801980198019802E-2</v>
      </c>
      <c r="CA1183" s="7">
        <v>43779</v>
      </c>
      <c r="CE1183">
        <v>94</v>
      </c>
      <c r="CF1183">
        <v>79</v>
      </c>
      <c r="CG1183">
        <v>58</v>
      </c>
      <c r="CH1183">
        <v>66</v>
      </c>
      <c r="CI1183">
        <f t="shared" si="137"/>
        <v>2019</v>
      </c>
      <c r="CJ1183" t="str">
        <f t="shared" si="138"/>
        <v>6239_2019</v>
      </c>
    </row>
    <row r="1184" spans="1:88" x14ac:dyDescent="0.25">
      <c r="A1184" t="s">
        <v>111</v>
      </c>
      <c r="B1184" t="s">
        <v>259</v>
      </c>
      <c r="C1184">
        <v>6239</v>
      </c>
      <c r="D1184">
        <v>-37.872300000000003</v>
      </c>
      <c r="E1184">
        <v>145.0924</v>
      </c>
      <c r="F1184">
        <v>4</v>
      </c>
      <c r="G1184" t="s">
        <v>421</v>
      </c>
      <c r="H1184">
        <v>41</v>
      </c>
      <c r="I1184">
        <v>221</v>
      </c>
      <c r="J1184">
        <v>126</v>
      </c>
      <c r="K1184">
        <v>306</v>
      </c>
      <c r="L1184">
        <v>235</v>
      </c>
      <c r="M1184">
        <v>55</v>
      </c>
      <c r="N1184">
        <v>334</v>
      </c>
      <c r="O1184">
        <v>154</v>
      </c>
      <c r="T1184">
        <v>38</v>
      </c>
      <c r="U1184">
        <v>43</v>
      </c>
      <c r="V1184">
        <v>270</v>
      </c>
      <c r="Y1184">
        <v>10</v>
      </c>
      <c r="Z1184">
        <v>1</v>
      </c>
      <c r="AA1184">
        <v>47</v>
      </c>
      <c r="AD1184">
        <v>25</v>
      </c>
      <c r="AE1184">
        <v>3</v>
      </c>
      <c r="AF1184">
        <v>11</v>
      </c>
      <c r="AI1184">
        <v>284</v>
      </c>
      <c r="AJ1184">
        <v>46</v>
      </c>
      <c r="AK1184">
        <v>3</v>
      </c>
      <c r="AX1184">
        <v>351</v>
      </c>
      <c r="AY1184">
        <v>319</v>
      </c>
      <c r="AZ1184">
        <v>670</v>
      </c>
      <c r="BA1184">
        <v>58</v>
      </c>
      <c r="BB1184">
        <v>87</v>
      </c>
      <c r="BC1184">
        <v>145</v>
      </c>
      <c r="BD1184">
        <v>39</v>
      </c>
      <c r="BE1184">
        <v>47</v>
      </c>
      <c r="BF1184">
        <v>86</v>
      </c>
      <c r="BG1184">
        <v>333</v>
      </c>
      <c r="BH1184">
        <v>328</v>
      </c>
      <c r="BI1184">
        <v>661</v>
      </c>
      <c r="BP1184">
        <v>425</v>
      </c>
      <c r="BR1184">
        <v>234</v>
      </c>
      <c r="BS1184">
        <v>81</v>
      </c>
      <c r="BT1184">
        <v>39</v>
      </c>
      <c r="BV1184">
        <v>2</v>
      </c>
      <c r="BW1184">
        <v>781</v>
      </c>
      <c r="BX1184">
        <f t="shared" si="142"/>
        <v>297</v>
      </c>
      <c r="BY1184" s="5">
        <f t="shared" si="140"/>
        <v>1.6296296296296295</v>
      </c>
      <c r="BZ1184" s="6">
        <f t="shared" si="139"/>
        <v>1.6296296296296295</v>
      </c>
      <c r="CA1184" s="7">
        <v>44143</v>
      </c>
      <c r="CE1184">
        <v>203</v>
      </c>
      <c r="CF1184">
        <v>184</v>
      </c>
      <c r="CG1184">
        <v>209</v>
      </c>
      <c r="CH1184">
        <v>185</v>
      </c>
      <c r="CI1184">
        <f t="shared" si="137"/>
        <v>2020</v>
      </c>
      <c r="CJ1184" t="str">
        <f t="shared" si="138"/>
        <v>6239_2020</v>
      </c>
    </row>
    <row r="1185" spans="1:88" x14ac:dyDescent="0.25">
      <c r="A1185" t="s">
        <v>111</v>
      </c>
      <c r="B1185" t="s">
        <v>259</v>
      </c>
      <c r="C1185">
        <v>6239</v>
      </c>
      <c r="D1185">
        <v>-37.872267999999998</v>
      </c>
      <c r="E1185">
        <v>145.09244000000001</v>
      </c>
      <c r="F1185">
        <v>4</v>
      </c>
      <c r="G1185" t="s">
        <v>421</v>
      </c>
      <c r="H1185">
        <v>41</v>
      </c>
      <c r="I1185">
        <v>221</v>
      </c>
      <c r="J1185">
        <v>126</v>
      </c>
      <c r="K1185">
        <v>306</v>
      </c>
      <c r="L1185">
        <v>235</v>
      </c>
      <c r="M1185">
        <v>55</v>
      </c>
      <c r="N1185">
        <v>334</v>
      </c>
      <c r="O1185">
        <v>154</v>
      </c>
      <c r="T1185">
        <v>12</v>
      </c>
      <c r="U1185">
        <v>24</v>
      </c>
      <c r="V1185">
        <v>132</v>
      </c>
      <c r="Y1185">
        <v>5</v>
      </c>
      <c r="Z1185">
        <v>1</v>
      </c>
      <c r="AA1185">
        <v>22</v>
      </c>
      <c r="AD1185">
        <v>14</v>
      </c>
      <c r="AE1185">
        <v>2</v>
      </c>
      <c r="AF1185">
        <v>10</v>
      </c>
      <c r="AI1185">
        <v>85</v>
      </c>
      <c r="AJ1185">
        <v>21</v>
      </c>
      <c r="AK1185">
        <v>10</v>
      </c>
      <c r="AX1185">
        <v>168</v>
      </c>
      <c r="AY1185">
        <v>104</v>
      </c>
      <c r="AZ1185">
        <v>272</v>
      </c>
      <c r="BA1185">
        <v>28</v>
      </c>
      <c r="BB1185">
        <v>35</v>
      </c>
      <c r="BC1185">
        <v>63</v>
      </c>
      <c r="BD1185">
        <v>26</v>
      </c>
      <c r="BE1185">
        <v>35</v>
      </c>
      <c r="BF1185">
        <v>61</v>
      </c>
      <c r="BG1185">
        <v>116</v>
      </c>
      <c r="BH1185">
        <v>164</v>
      </c>
      <c r="BI1185">
        <v>280</v>
      </c>
      <c r="BP1185">
        <v>128</v>
      </c>
      <c r="BR1185">
        <v>135</v>
      </c>
      <c r="BS1185">
        <v>37</v>
      </c>
      <c r="BT1185">
        <v>33</v>
      </c>
      <c r="BU1185">
        <v>5</v>
      </c>
      <c r="BV1185">
        <v>0</v>
      </c>
      <c r="BW1185">
        <v>338</v>
      </c>
      <c r="BX1185" t="str">
        <f t="shared" si="142"/>
        <v>no data</v>
      </c>
      <c r="BY1185" s="5"/>
      <c r="BZ1185" s="6"/>
      <c r="CA1185" s="7">
        <v>44878</v>
      </c>
      <c r="CE1185">
        <v>89</v>
      </c>
      <c r="CF1185">
        <v>107</v>
      </c>
      <c r="CG1185">
        <v>142</v>
      </c>
      <c r="CI1185">
        <f t="shared" si="137"/>
        <v>2022</v>
      </c>
      <c r="CJ1185" t="str">
        <f t="shared" si="138"/>
        <v>6239_2022</v>
      </c>
    </row>
    <row r="1186" spans="1:88" x14ac:dyDescent="0.25">
      <c r="A1186" t="s">
        <v>111</v>
      </c>
      <c r="B1186" t="s">
        <v>423</v>
      </c>
      <c r="C1186">
        <v>6240</v>
      </c>
      <c r="D1186">
        <v>-36.235399999999998</v>
      </c>
      <c r="E1186">
        <v>147.0934</v>
      </c>
      <c r="F1186">
        <v>2</v>
      </c>
      <c r="G1186" t="s">
        <v>424</v>
      </c>
      <c r="H1186">
        <v>50</v>
      </c>
      <c r="I1186">
        <v>230</v>
      </c>
      <c r="J1186">
        <v>234</v>
      </c>
      <c r="K1186">
        <v>54</v>
      </c>
      <c r="T1186">
        <v>35</v>
      </c>
      <c r="Y1186">
        <v>41</v>
      </c>
      <c r="AX1186">
        <v>35</v>
      </c>
      <c r="AY1186">
        <v>41</v>
      </c>
      <c r="AZ1186">
        <v>76</v>
      </c>
      <c r="BA1186">
        <v>41</v>
      </c>
      <c r="BB1186">
        <v>35</v>
      </c>
      <c r="BC1186">
        <v>76</v>
      </c>
      <c r="BP1186">
        <v>41</v>
      </c>
      <c r="BR1186">
        <v>24</v>
      </c>
      <c r="BS1186">
        <v>5</v>
      </c>
      <c r="BT1186">
        <v>6</v>
      </c>
      <c r="BV1186">
        <v>0</v>
      </c>
      <c r="BW1186">
        <v>76</v>
      </c>
      <c r="BX1186" t="s">
        <v>82</v>
      </c>
      <c r="BY1186" s="5"/>
      <c r="BZ1186" s="6"/>
      <c r="CA1186" s="7">
        <v>41588</v>
      </c>
      <c r="CI1186">
        <f t="shared" si="137"/>
        <v>2013</v>
      </c>
      <c r="CJ1186" t="str">
        <f t="shared" si="138"/>
        <v>6240_2013</v>
      </c>
    </row>
    <row r="1187" spans="1:88" x14ac:dyDescent="0.25">
      <c r="A1187" t="s">
        <v>111</v>
      </c>
      <c r="B1187" t="s">
        <v>425</v>
      </c>
      <c r="C1187">
        <v>6241</v>
      </c>
      <c r="D1187">
        <v>-36.045000000000002</v>
      </c>
      <c r="E1187">
        <v>146.45689999999999</v>
      </c>
      <c r="F1187">
        <v>4</v>
      </c>
      <c r="G1187" t="s">
        <v>426</v>
      </c>
      <c r="H1187">
        <v>100</v>
      </c>
      <c r="I1187">
        <v>280</v>
      </c>
      <c r="J1187">
        <v>153</v>
      </c>
      <c r="K1187">
        <v>333</v>
      </c>
      <c r="L1187">
        <v>281</v>
      </c>
      <c r="M1187">
        <v>101</v>
      </c>
      <c r="N1187">
        <v>333</v>
      </c>
      <c r="O1187">
        <v>153</v>
      </c>
      <c r="T1187">
        <v>5</v>
      </c>
      <c r="Y1187">
        <v>0</v>
      </c>
      <c r="AX1187">
        <v>5</v>
      </c>
      <c r="AY1187">
        <v>0</v>
      </c>
      <c r="AZ1187">
        <v>5</v>
      </c>
      <c r="BA1187">
        <v>0</v>
      </c>
      <c r="BB1187">
        <v>5</v>
      </c>
      <c r="BC1187">
        <v>5</v>
      </c>
      <c r="BP1187">
        <v>0</v>
      </c>
      <c r="BR1187">
        <v>5</v>
      </c>
      <c r="BS1187">
        <v>0</v>
      </c>
      <c r="BT1187">
        <v>0</v>
      </c>
      <c r="BV1187">
        <v>0</v>
      </c>
      <c r="BW1187">
        <v>5</v>
      </c>
      <c r="BX1187" t="s">
        <v>82</v>
      </c>
      <c r="BY1187" s="5"/>
      <c r="BZ1187" s="6"/>
      <c r="CA1187" s="7">
        <v>41588</v>
      </c>
      <c r="CI1187">
        <f t="shared" si="137"/>
        <v>2013</v>
      </c>
      <c r="CJ1187" t="str">
        <f t="shared" si="138"/>
        <v>6241_2013</v>
      </c>
    </row>
    <row r="1188" spans="1:88" x14ac:dyDescent="0.25">
      <c r="A1188" t="s">
        <v>111</v>
      </c>
      <c r="B1188" t="s">
        <v>425</v>
      </c>
      <c r="C1188">
        <v>6242</v>
      </c>
      <c r="D1188">
        <v>-36.367600000000003</v>
      </c>
      <c r="E1188">
        <v>146.6859</v>
      </c>
      <c r="F1188">
        <v>4</v>
      </c>
      <c r="G1188" t="s">
        <v>427</v>
      </c>
      <c r="H1188">
        <v>25</v>
      </c>
      <c r="I1188">
        <v>205</v>
      </c>
      <c r="J1188">
        <v>116</v>
      </c>
      <c r="K1188">
        <v>296</v>
      </c>
      <c r="L1188">
        <v>204</v>
      </c>
      <c r="M1188">
        <v>24</v>
      </c>
      <c r="N1188">
        <v>297</v>
      </c>
      <c r="O1188">
        <v>117</v>
      </c>
      <c r="T1188">
        <v>10</v>
      </c>
      <c r="U1188">
        <v>145</v>
      </c>
      <c r="V1188">
        <v>25</v>
      </c>
      <c r="Y1188">
        <v>15</v>
      </c>
      <c r="Z1188">
        <v>5</v>
      </c>
      <c r="AA1188">
        <v>10</v>
      </c>
      <c r="AD1188">
        <v>80</v>
      </c>
      <c r="AE1188">
        <v>15</v>
      </c>
      <c r="AF1188">
        <v>0</v>
      </c>
      <c r="AI1188">
        <v>40</v>
      </c>
      <c r="AJ1188">
        <v>15</v>
      </c>
      <c r="AK1188">
        <v>10</v>
      </c>
      <c r="AX1188">
        <v>180</v>
      </c>
      <c r="AY1188">
        <v>135</v>
      </c>
      <c r="AZ1188">
        <v>315</v>
      </c>
      <c r="BA1188">
        <v>30</v>
      </c>
      <c r="BB1188">
        <v>40</v>
      </c>
      <c r="BC1188">
        <v>70</v>
      </c>
      <c r="BD1188">
        <v>95</v>
      </c>
      <c r="BE1188">
        <v>160</v>
      </c>
      <c r="BF1188">
        <v>255</v>
      </c>
      <c r="BG1188">
        <v>65</v>
      </c>
      <c r="BH1188">
        <v>35</v>
      </c>
      <c r="BI1188">
        <v>100</v>
      </c>
      <c r="BP1188">
        <v>195</v>
      </c>
      <c r="BR1188">
        <v>130</v>
      </c>
      <c r="BS1188">
        <v>5</v>
      </c>
      <c r="BT1188">
        <v>15</v>
      </c>
      <c r="BV1188">
        <v>25</v>
      </c>
      <c r="BW1188">
        <v>370</v>
      </c>
      <c r="BX1188" t="s">
        <v>82</v>
      </c>
      <c r="BY1188" s="5"/>
      <c r="BZ1188" s="6"/>
      <c r="CA1188" s="7">
        <v>41588</v>
      </c>
      <c r="CI1188">
        <f t="shared" si="137"/>
        <v>2013</v>
      </c>
      <c r="CJ1188" t="str">
        <f t="shared" si="138"/>
        <v>6242_2013</v>
      </c>
    </row>
    <row r="1189" spans="1:88" x14ac:dyDescent="0.25">
      <c r="A1189" t="s">
        <v>111</v>
      </c>
      <c r="B1189" t="s">
        <v>428</v>
      </c>
      <c r="C1189">
        <v>6243</v>
      </c>
      <c r="D1189">
        <v>-36.718200000000003</v>
      </c>
      <c r="E1189">
        <v>146.94390000000001</v>
      </c>
      <c r="F1189">
        <v>2</v>
      </c>
      <c r="G1189" t="s">
        <v>429</v>
      </c>
      <c r="H1189">
        <v>158</v>
      </c>
      <c r="I1189">
        <v>338</v>
      </c>
      <c r="J1189">
        <v>338</v>
      </c>
      <c r="K1189">
        <v>158</v>
      </c>
      <c r="T1189">
        <v>45</v>
      </c>
      <c r="Y1189">
        <v>37</v>
      </c>
      <c r="AX1189">
        <v>45</v>
      </c>
      <c r="AY1189">
        <v>37</v>
      </c>
      <c r="AZ1189">
        <v>82</v>
      </c>
      <c r="BA1189">
        <v>37</v>
      </c>
      <c r="BB1189">
        <v>45</v>
      </c>
      <c r="BC1189">
        <v>82</v>
      </c>
      <c r="BP1189">
        <v>60</v>
      </c>
      <c r="BR1189">
        <v>13</v>
      </c>
      <c r="BS1189">
        <v>5</v>
      </c>
      <c r="BT1189">
        <v>4</v>
      </c>
      <c r="BV1189">
        <v>0</v>
      </c>
      <c r="BW1189">
        <v>82</v>
      </c>
      <c r="BX1189" t="s">
        <v>82</v>
      </c>
      <c r="BY1189" s="5"/>
      <c r="BZ1189" s="6"/>
      <c r="CA1189" s="7">
        <v>41588</v>
      </c>
      <c r="CI1189">
        <f t="shared" si="137"/>
        <v>2013</v>
      </c>
      <c r="CJ1189" t="str">
        <f t="shared" si="138"/>
        <v>6243_2013</v>
      </c>
    </row>
    <row r="1190" spans="1:88" x14ac:dyDescent="0.25">
      <c r="A1190" t="s">
        <v>111</v>
      </c>
      <c r="B1190" t="s">
        <v>152</v>
      </c>
      <c r="C1190">
        <v>6246</v>
      </c>
      <c r="D1190">
        <v>-37.668300000000002</v>
      </c>
      <c r="E1190">
        <v>145.03880000000001</v>
      </c>
      <c r="F1190">
        <v>4</v>
      </c>
      <c r="G1190" t="s">
        <v>430</v>
      </c>
      <c r="H1190">
        <v>33</v>
      </c>
      <c r="I1190">
        <v>213</v>
      </c>
      <c r="J1190">
        <v>100</v>
      </c>
      <c r="K1190">
        <v>280</v>
      </c>
      <c r="L1190">
        <v>206</v>
      </c>
      <c r="M1190">
        <v>26</v>
      </c>
      <c r="N1190">
        <v>293</v>
      </c>
      <c r="O1190">
        <v>113</v>
      </c>
      <c r="T1190">
        <v>0</v>
      </c>
      <c r="U1190">
        <v>5</v>
      </c>
      <c r="V1190">
        <v>6</v>
      </c>
      <c r="Y1190">
        <v>0</v>
      </c>
      <c r="Z1190">
        <v>0</v>
      </c>
      <c r="AA1190">
        <v>3</v>
      </c>
      <c r="AD1190">
        <v>1</v>
      </c>
      <c r="AE1190">
        <v>1</v>
      </c>
      <c r="AF1190">
        <v>2</v>
      </c>
      <c r="AI1190">
        <v>3</v>
      </c>
      <c r="AJ1190">
        <v>0</v>
      </c>
      <c r="AK1190">
        <v>5</v>
      </c>
      <c r="AX1190">
        <v>11</v>
      </c>
      <c r="AY1190">
        <v>4</v>
      </c>
      <c r="AZ1190">
        <v>15</v>
      </c>
      <c r="BA1190">
        <v>3</v>
      </c>
      <c r="BB1190">
        <v>1</v>
      </c>
      <c r="BC1190">
        <v>4</v>
      </c>
      <c r="BD1190">
        <v>4</v>
      </c>
      <c r="BE1190">
        <v>10</v>
      </c>
      <c r="BF1190">
        <v>14</v>
      </c>
      <c r="BG1190">
        <v>8</v>
      </c>
      <c r="BH1190">
        <v>11</v>
      </c>
      <c r="BI1190">
        <v>19</v>
      </c>
      <c r="BP1190">
        <v>2</v>
      </c>
      <c r="BR1190">
        <v>8</v>
      </c>
      <c r="BS1190">
        <v>3</v>
      </c>
      <c r="BT1190">
        <v>13</v>
      </c>
      <c r="BV1190">
        <v>0</v>
      </c>
      <c r="BW1190">
        <v>26</v>
      </c>
      <c r="BX1190" t="s">
        <v>82</v>
      </c>
      <c r="BY1190" s="5"/>
      <c r="BZ1190" s="6"/>
      <c r="CA1190" s="7">
        <v>41588</v>
      </c>
      <c r="CI1190">
        <f t="shared" si="137"/>
        <v>2013</v>
      </c>
      <c r="CJ1190" t="str">
        <f t="shared" si="138"/>
        <v>6246_2013</v>
      </c>
    </row>
    <row r="1191" spans="1:88" x14ac:dyDescent="0.25">
      <c r="A1191" t="s">
        <v>111</v>
      </c>
      <c r="B1191" t="s">
        <v>152</v>
      </c>
      <c r="C1191">
        <v>6246</v>
      </c>
      <c r="D1191">
        <v>-37.668300000000002</v>
      </c>
      <c r="E1191">
        <v>145.03880000000001</v>
      </c>
      <c r="F1191">
        <v>4</v>
      </c>
      <c r="G1191" t="s">
        <v>430</v>
      </c>
      <c r="H1191">
        <v>33</v>
      </c>
      <c r="I1191">
        <v>213</v>
      </c>
      <c r="J1191">
        <v>100</v>
      </c>
      <c r="K1191">
        <v>280</v>
      </c>
      <c r="L1191">
        <v>206</v>
      </c>
      <c r="M1191">
        <v>26</v>
      </c>
      <c r="N1191">
        <v>293</v>
      </c>
      <c r="O1191">
        <v>113</v>
      </c>
      <c r="T1191">
        <v>7</v>
      </c>
      <c r="U1191">
        <v>7</v>
      </c>
      <c r="V1191">
        <v>15</v>
      </c>
      <c r="Y1191">
        <v>2</v>
      </c>
      <c r="Z1191">
        <v>6</v>
      </c>
      <c r="AA1191">
        <v>14</v>
      </c>
      <c r="AD1191">
        <v>2</v>
      </c>
      <c r="AE1191">
        <v>8</v>
      </c>
      <c r="AF1191">
        <v>7</v>
      </c>
      <c r="AI1191">
        <v>6</v>
      </c>
      <c r="AJ1191">
        <v>7</v>
      </c>
      <c r="AK1191">
        <v>20</v>
      </c>
      <c r="AX1191">
        <v>29</v>
      </c>
      <c r="AY1191">
        <v>10</v>
      </c>
      <c r="AZ1191">
        <v>39</v>
      </c>
      <c r="BA1191">
        <v>22</v>
      </c>
      <c r="BB1191">
        <v>22</v>
      </c>
      <c r="BC1191">
        <v>44</v>
      </c>
      <c r="BD1191">
        <v>17</v>
      </c>
      <c r="BE1191">
        <v>33</v>
      </c>
      <c r="BF1191">
        <v>50</v>
      </c>
      <c r="BG1191">
        <v>33</v>
      </c>
      <c r="BH1191">
        <v>36</v>
      </c>
      <c r="BI1191">
        <v>69</v>
      </c>
      <c r="BP1191">
        <v>27</v>
      </c>
      <c r="BR1191">
        <v>49</v>
      </c>
      <c r="BS1191">
        <v>1</v>
      </c>
      <c r="BT1191">
        <v>21</v>
      </c>
      <c r="BV1191">
        <v>3</v>
      </c>
      <c r="BW1191">
        <v>101</v>
      </c>
      <c r="BX1191">
        <f t="shared" ref="BX1191:BX1196" si="143">IF(C1191=C1190,IF((CI1191-1)=CI1190,BW1190,"no data"))</f>
        <v>26</v>
      </c>
      <c r="BY1191" s="5">
        <f t="shared" si="140"/>
        <v>2.8846153846153846</v>
      </c>
      <c r="BZ1191" s="6">
        <f t="shared" si="139"/>
        <v>2.8846153846153846</v>
      </c>
      <c r="CA1191" s="7">
        <v>41952</v>
      </c>
      <c r="CI1191">
        <f t="shared" si="137"/>
        <v>2014</v>
      </c>
      <c r="CJ1191" t="str">
        <f t="shared" si="138"/>
        <v>6246_2014</v>
      </c>
    </row>
    <row r="1192" spans="1:88" x14ac:dyDescent="0.25">
      <c r="A1192" t="s">
        <v>111</v>
      </c>
      <c r="B1192" t="s">
        <v>152</v>
      </c>
      <c r="C1192">
        <v>6246</v>
      </c>
      <c r="D1192">
        <v>-37.668300000000002</v>
      </c>
      <c r="E1192">
        <v>145.03880000000001</v>
      </c>
      <c r="F1192">
        <v>4</v>
      </c>
      <c r="G1192" t="s">
        <v>430</v>
      </c>
      <c r="H1192">
        <v>33</v>
      </c>
      <c r="I1192">
        <v>213</v>
      </c>
      <c r="J1192">
        <v>100</v>
      </c>
      <c r="K1192">
        <v>280</v>
      </c>
      <c r="L1192">
        <v>206</v>
      </c>
      <c r="M1192">
        <v>26</v>
      </c>
      <c r="N1192">
        <v>293</v>
      </c>
      <c r="O1192">
        <v>113</v>
      </c>
      <c r="T1192">
        <v>0</v>
      </c>
      <c r="U1192">
        <v>21</v>
      </c>
      <c r="V1192">
        <v>11</v>
      </c>
      <c r="Y1192">
        <v>2</v>
      </c>
      <c r="Z1192">
        <v>0</v>
      </c>
      <c r="AA1192">
        <v>14</v>
      </c>
      <c r="AD1192">
        <v>13</v>
      </c>
      <c r="AE1192">
        <v>0</v>
      </c>
      <c r="AF1192">
        <v>9</v>
      </c>
      <c r="AI1192">
        <v>25</v>
      </c>
      <c r="AJ1192">
        <v>12</v>
      </c>
      <c r="AK1192">
        <v>10</v>
      </c>
      <c r="AX1192">
        <v>32</v>
      </c>
      <c r="AY1192">
        <v>40</v>
      </c>
      <c r="AZ1192">
        <v>72</v>
      </c>
      <c r="BA1192">
        <v>16</v>
      </c>
      <c r="BB1192">
        <v>12</v>
      </c>
      <c r="BC1192">
        <v>28</v>
      </c>
      <c r="BD1192">
        <v>22</v>
      </c>
      <c r="BE1192">
        <v>31</v>
      </c>
      <c r="BF1192">
        <v>53</v>
      </c>
      <c r="BG1192">
        <v>47</v>
      </c>
      <c r="BH1192">
        <v>34</v>
      </c>
      <c r="BI1192">
        <v>81</v>
      </c>
      <c r="BP1192">
        <v>21</v>
      </c>
      <c r="BR1192">
        <v>59</v>
      </c>
      <c r="BS1192">
        <v>2</v>
      </c>
      <c r="BT1192">
        <v>35</v>
      </c>
      <c r="BV1192">
        <v>0</v>
      </c>
      <c r="BW1192">
        <v>117</v>
      </c>
      <c r="BX1192">
        <f t="shared" si="143"/>
        <v>101</v>
      </c>
      <c r="BY1192" s="5">
        <f t="shared" si="140"/>
        <v>0.15841584158415842</v>
      </c>
      <c r="BZ1192" s="6">
        <f t="shared" si="139"/>
        <v>0.15841584158415842</v>
      </c>
      <c r="CA1192" s="7">
        <v>42316</v>
      </c>
      <c r="CE1192">
        <v>14</v>
      </c>
      <c r="CF1192">
        <v>52</v>
      </c>
      <c r="CG1192">
        <v>39</v>
      </c>
      <c r="CH1192">
        <v>12</v>
      </c>
      <c r="CI1192">
        <f t="shared" si="137"/>
        <v>2015</v>
      </c>
      <c r="CJ1192" t="str">
        <f t="shared" si="138"/>
        <v>6246_2015</v>
      </c>
    </row>
    <row r="1193" spans="1:88" x14ac:dyDescent="0.25">
      <c r="A1193" t="s">
        <v>111</v>
      </c>
      <c r="B1193" t="s">
        <v>152</v>
      </c>
      <c r="C1193">
        <v>6246</v>
      </c>
      <c r="D1193">
        <v>-37.668301</v>
      </c>
      <c r="E1193">
        <v>145.03884199999999</v>
      </c>
      <c r="F1193">
        <v>4</v>
      </c>
      <c r="G1193" t="s">
        <v>430</v>
      </c>
      <c r="H1193">
        <v>33</v>
      </c>
      <c r="I1193">
        <v>213</v>
      </c>
      <c r="J1193">
        <v>100</v>
      </c>
      <c r="K1193">
        <v>280</v>
      </c>
      <c r="L1193">
        <v>206</v>
      </c>
      <c r="M1193">
        <v>26</v>
      </c>
      <c r="N1193">
        <v>293</v>
      </c>
      <c r="O1193">
        <v>113</v>
      </c>
      <c r="T1193">
        <v>0</v>
      </c>
      <c r="U1193">
        <v>1</v>
      </c>
      <c r="V1193">
        <v>0</v>
      </c>
      <c r="Y1193">
        <v>9</v>
      </c>
      <c r="Z1193">
        <v>7</v>
      </c>
      <c r="AA1193">
        <v>7</v>
      </c>
      <c r="AD1193">
        <v>7</v>
      </c>
      <c r="AE1193">
        <v>5</v>
      </c>
      <c r="AF1193">
        <v>3</v>
      </c>
      <c r="AI1193">
        <v>2</v>
      </c>
      <c r="AJ1193">
        <v>0</v>
      </c>
      <c r="AK1193">
        <v>4</v>
      </c>
      <c r="AX1193">
        <v>1</v>
      </c>
      <c r="AY1193">
        <v>18</v>
      </c>
      <c r="AZ1193">
        <v>19</v>
      </c>
      <c r="BA1193">
        <v>23</v>
      </c>
      <c r="BB1193">
        <v>5</v>
      </c>
      <c r="BC1193">
        <v>28</v>
      </c>
      <c r="BD1193">
        <v>15</v>
      </c>
      <c r="BE1193">
        <v>12</v>
      </c>
      <c r="BF1193">
        <v>27</v>
      </c>
      <c r="BG1193">
        <v>6</v>
      </c>
      <c r="BH1193">
        <v>10</v>
      </c>
      <c r="BI1193">
        <v>16</v>
      </c>
      <c r="BP1193">
        <v>6</v>
      </c>
      <c r="BR1193">
        <v>23</v>
      </c>
      <c r="BS1193">
        <v>2</v>
      </c>
      <c r="BT1193">
        <v>14</v>
      </c>
      <c r="BV1193">
        <v>0</v>
      </c>
      <c r="BW1193">
        <v>45</v>
      </c>
      <c r="BX1193">
        <f t="shared" si="143"/>
        <v>117</v>
      </c>
      <c r="BY1193" s="5">
        <f t="shared" si="140"/>
        <v>-0.61538461538461542</v>
      </c>
      <c r="BZ1193" s="6">
        <f t="shared" si="139"/>
        <v>-0.61538461538461542</v>
      </c>
      <c r="CA1193" s="7">
        <v>42687</v>
      </c>
      <c r="CE1193">
        <v>7</v>
      </c>
      <c r="CF1193">
        <v>29</v>
      </c>
      <c r="CG1193">
        <v>5</v>
      </c>
      <c r="CH1193">
        <v>4</v>
      </c>
      <c r="CI1193">
        <f t="shared" si="137"/>
        <v>2016</v>
      </c>
      <c r="CJ1193" t="str">
        <f t="shared" si="138"/>
        <v>6246_2016</v>
      </c>
    </row>
    <row r="1194" spans="1:88" x14ac:dyDescent="0.25">
      <c r="A1194" t="s">
        <v>111</v>
      </c>
      <c r="B1194" t="s">
        <v>152</v>
      </c>
      <c r="C1194">
        <v>6246</v>
      </c>
      <c r="D1194">
        <v>-37.668301</v>
      </c>
      <c r="E1194">
        <v>145.03884199999999</v>
      </c>
      <c r="F1194">
        <v>4</v>
      </c>
      <c r="G1194" t="s">
        <v>430</v>
      </c>
      <c r="H1194">
        <v>33</v>
      </c>
      <c r="I1194">
        <v>213</v>
      </c>
      <c r="J1194">
        <v>100</v>
      </c>
      <c r="K1194">
        <v>280</v>
      </c>
      <c r="L1194">
        <v>206</v>
      </c>
      <c r="M1194">
        <v>26</v>
      </c>
      <c r="N1194">
        <v>293</v>
      </c>
      <c r="O1194">
        <v>113</v>
      </c>
      <c r="T1194">
        <v>7</v>
      </c>
      <c r="U1194">
        <v>17</v>
      </c>
      <c r="V1194">
        <v>11</v>
      </c>
      <c r="Y1194">
        <v>8</v>
      </c>
      <c r="Z1194">
        <v>6</v>
      </c>
      <c r="AA1194">
        <v>7</v>
      </c>
      <c r="AD1194">
        <v>28</v>
      </c>
      <c r="AE1194">
        <v>1</v>
      </c>
      <c r="AF1194">
        <v>5</v>
      </c>
      <c r="AI1194">
        <v>3</v>
      </c>
      <c r="AJ1194">
        <v>4</v>
      </c>
      <c r="AK1194">
        <v>10</v>
      </c>
      <c r="AX1194">
        <v>35</v>
      </c>
      <c r="AY1194">
        <v>39</v>
      </c>
      <c r="AZ1194">
        <v>74</v>
      </c>
      <c r="BA1194">
        <v>21</v>
      </c>
      <c r="BB1194">
        <v>12</v>
      </c>
      <c r="BC1194">
        <v>33</v>
      </c>
      <c r="BD1194">
        <v>34</v>
      </c>
      <c r="BE1194">
        <v>33</v>
      </c>
      <c r="BF1194">
        <v>67</v>
      </c>
      <c r="BG1194">
        <v>17</v>
      </c>
      <c r="BH1194">
        <v>23</v>
      </c>
      <c r="BI1194">
        <v>40</v>
      </c>
      <c r="BP1194">
        <v>37</v>
      </c>
      <c r="BR1194">
        <v>44</v>
      </c>
      <c r="BS1194">
        <v>8</v>
      </c>
      <c r="BT1194">
        <v>15</v>
      </c>
      <c r="BV1194">
        <v>3</v>
      </c>
      <c r="BW1194">
        <v>107</v>
      </c>
      <c r="BX1194">
        <f t="shared" si="143"/>
        <v>45</v>
      </c>
      <c r="BY1194" s="5">
        <f t="shared" si="140"/>
        <v>1.3777777777777778</v>
      </c>
      <c r="BZ1194" s="6">
        <f t="shared" si="139"/>
        <v>1.3777777777777778</v>
      </c>
      <c r="CA1194" s="7">
        <v>43051</v>
      </c>
      <c r="CE1194">
        <v>30</v>
      </c>
      <c r="CF1194">
        <v>28</v>
      </c>
      <c r="CG1194">
        <v>31</v>
      </c>
      <c r="CH1194">
        <v>18</v>
      </c>
      <c r="CI1194">
        <f t="shared" si="137"/>
        <v>2017</v>
      </c>
      <c r="CJ1194" t="str">
        <f t="shared" si="138"/>
        <v>6246_2017</v>
      </c>
    </row>
    <row r="1195" spans="1:88" x14ac:dyDescent="0.25">
      <c r="A1195" t="s">
        <v>111</v>
      </c>
      <c r="B1195" t="s">
        <v>152</v>
      </c>
      <c r="C1195">
        <v>6246</v>
      </c>
      <c r="D1195">
        <v>-37.668301</v>
      </c>
      <c r="E1195">
        <v>145.03884199999999</v>
      </c>
      <c r="F1195">
        <v>4</v>
      </c>
      <c r="G1195" t="s">
        <v>430</v>
      </c>
      <c r="H1195">
        <v>33</v>
      </c>
      <c r="I1195">
        <v>213</v>
      </c>
      <c r="J1195">
        <v>100</v>
      </c>
      <c r="K1195">
        <v>280</v>
      </c>
      <c r="L1195">
        <v>206</v>
      </c>
      <c r="M1195">
        <v>26</v>
      </c>
      <c r="N1195">
        <v>293</v>
      </c>
      <c r="O1195">
        <v>113</v>
      </c>
      <c r="T1195">
        <v>3</v>
      </c>
      <c r="U1195">
        <v>50</v>
      </c>
      <c r="V1195">
        <v>16</v>
      </c>
      <c r="Y1195">
        <v>8</v>
      </c>
      <c r="Z1195">
        <v>2</v>
      </c>
      <c r="AA1195">
        <v>10</v>
      </c>
      <c r="AD1195">
        <v>34</v>
      </c>
      <c r="AE1195">
        <v>0</v>
      </c>
      <c r="AF1195">
        <v>25</v>
      </c>
      <c r="AI1195">
        <v>9</v>
      </c>
      <c r="AJ1195">
        <v>8</v>
      </c>
      <c r="AK1195">
        <v>19</v>
      </c>
      <c r="AX1195">
        <v>69</v>
      </c>
      <c r="AY1195">
        <v>51</v>
      </c>
      <c r="AZ1195">
        <v>120</v>
      </c>
      <c r="BA1195">
        <v>20</v>
      </c>
      <c r="BB1195">
        <v>11</v>
      </c>
      <c r="BC1195">
        <v>31</v>
      </c>
      <c r="BD1195">
        <v>59</v>
      </c>
      <c r="BE1195">
        <v>71</v>
      </c>
      <c r="BF1195">
        <v>130</v>
      </c>
      <c r="BG1195">
        <v>36</v>
      </c>
      <c r="BH1195">
        <v>51</v>
      </c>
      <c r="BI1195">
        <v>87</v>
      </c>
      <c r="BP1195">
        <v>61</v>
      </c>
      <c r="BR1195">
        <v>79</v>
      </c>
      <c r="BS1195">
        <v>13</v>
      </c>
      <c r="BT1195">
        <v>31</v>
      </c>
      <c r="BV1195">
        <v>0</v>
      </c>
      <c r="BW1195">
        <v>184</v>
      </c>
      <c r="BX1195">
        <f t="shared" si="143"/>
        <v>107</v>
      </c>
      <c r="BY1195" s="5">
        <f t="shared" si="140"/>
        <v>0.71962616822429903</v>
      </c>
      <c r="BZ1195" s="6">
        <f t="shared" si="139"/>
        <v>0.71962616822429903</v>
      </c>
      <c r="CA1195" s="7">
        <v>43415</v>
      </c>
      <c r="CE1195">
        <v>53</v>
      </c>
      <c r="CF1195">
        <v>55</v>
      </c>
      <c r="CG1195">
        <v>50</v>
      </c>
      <c r="CH1195">
        <v>26</v>
      </c>
      <c r="CI1195">
        <f t="shared" si="137"/>
        <v>2018</v>
      </c>
      <c r="CJ1195" t="str">
        <f t="shared" si="138"/>
        <v>6246_2018</v>
      </c>
    </row>
    <row r="1196" spans="1:88" x14ac:dyDescent="0.25">
      <c r="A1196" t="s">
        <v>111</v>
      </c>
      <c r="B1196" t="s">
        <v>152</v>
      </c>
      <c r="C1196">
        <v>6246</v>
      </c>
      <c r="D1196">
        <v>-37.668300000000002</v>
      </c>
      <c r="E1196">
        <v>145.03880000000001</v>
      </c>
      <c r="F1196">
        <v>4</v>
      </c>
      <c r="G1196" t="s">
        <v>430</v>
      </c>
      <c r="H1196">
        <v>33</v>
      </c>
      <c r="I1196">
        <v>213</v>
      </c>
      <c r="J1196">
        <v>100</v>
      </c>
      <c r="K1196">
        <v>280</v>
      </c>
      <c r="L1196">
        <v>206</v>
      </c>
      <c r="M1196">
        <v>26</v>
      </c>
      <c r="N1196">
        <v>293</v>
      </c>
      <c r="O1196">
        <v>113</v>
      </c>
      <c r="AK1196">
        <v>7</v>
      </c>
      <c r="BG1196">
        <v>7</v>
      </c>
      <c r="BH1196">
        <v>0</v>
      </c>
      <c r="BI1196">
        <v>7</v>
      </c>
      <c r="BP1196">
        <v>0</v>
      </c>
      <c r="BR1196">
        <v>0</v>
      </c>
      <c r="BS1196">
        <v>1</v>
      </c>
      <c r="BT1196">
        <v>6</v>
      </c>
      <c r="BV1196">
        <v>0</v>
      </c>
      <c r="BW1196">
        <v>7</v>
      </c>
      <c r="BX1196">
        <f t="shared" si="143"/>
        <v>184</v>
      </c>
      <c r="BY1196" s="5">
        <f t="shared" si="140"/>
        <v>-0.96195652173913049</v>
      </c>
      <c r="BZ1196" s="6">
        <f t="shared" si="139"/>
        <v>-0.96195652173913049</v>
      </c>
      <c r="CA1196" s="7">
        <v>43779</v>
      </c>
      <c r="CE1196">
        <v>2</v>
      </c>
      <c r="CF1196">
        <v>2</v>
      </c>
      <c r="CG1196">
        <v>1</v>
      </c>
      <c r="CH1196">
        <v>2</v>
      </c>
      <c r="CI1196">
        <f t="shared" si="137"/>
        <v>2019</v>
      </c>
      <c r="CJ1196" t="str">
        <f t="shared" si="138"/>
        <v>6246_2019</v>
      </c>
    </row>
    <row r="1197" spans="1:88" x14ac:dyDescent="0.25">
      <c r="A1197" t="s">
        <v>111</v>
      </c>
      <c r="B1197" t="s">
        <v>152</v>
      </c>
      <c r="C1197">
        <v>6247</v>
      </c>
      <c r="D1197">
        <v>-37.644300000000001</v>
      </c>
      <c r="E1197">
        <v>145.06049999999999</v>
      </c>
      <c r="F1197">
        <v>4</v>
      </c>
      <c r="G1197" t="s">
        <v>431</v>
      </c>
      <c r="H1197">
        <v>32</v>
      </c>
      <c r="I1197">
        <v>212</v>
      </c>
      <c r="J1197">
        <v>112</v>
      </c>
      <c r="K1197">
        <v>292</v>
      </c>
      <c r="L1197">
        <v>249</v>
      </c>
      <c r="M1197">
        <v>69</v>
      </c>
      <c r="N1197">
        <v>295</v>
      </c>
      <c r="O1197">
        <v>115</v>
      </c>
      <c r="T1197">
        <v>6</v>
      </c>
      <c r="U1197">
        <v>1</v>
      </c>
      <c r="V1197">
        <v>7</v>
      </c>
      <c r="Y1197">
        <v>0</v>
      </c>
      <c r="Z1197">
        <v>0</v>
      </c>
      <c r="AA1197">
        <v>17</v>
      </c>
      <c r="AD1197">
        <v>2</v>
      </c>
      <c r="AE1197">
        <v>1</v>
      </c>
      <c r="AF1197">
        <v>2</v>
      </c>
      <c r="AI1197">
        <v>3</v>
      </c>
      <c r="AJ1197">
        <v>30</v>
      </c>
      <c r="AK1197">
        <v>1</v>
      </c>
      <c r="AX1197">
        <v>14</v>
      </c>
      <c r="AY1197">
        <v>5</v>
      </c>
      <c r="AZ1197">
        <v>19</v>
      </c>
      <c r="BA1197">
        <v>17</v>
      </c>
      <c r="BB1197">
        <v>37</v>
      </c>
      <c r="BC1197">
        <v>54</v>
      </c>
      <c r="BD1197">
        <v>5</v>
      </c>
      <c r="BE1197">
        <v>2</v>
      </c>
      <c r="BF1197">
        <v>7</v>
      </c>
      <c r="BG1197">
        <v>34</v>
      </c>
      <c r="BH1197">
        <v>26</v>
      </c>
      <c r="BI1197">
        <v>60</v>
      </c>
      <c r="BP1197">
        <v>10</v>
      </c>
      <c r="BR1197">
        <v>46</v>
      </c>
      <c r="BS1197">
        <v>6</v>
      </c>
      <c r="BT1197">
        <v>7</v>
      </c>
      <c r="BV1197">
        <v>1</v>
      </c>
      <c r="BW1197">
        <v>70</v>
      </c>
      <c r="BX1197" t="s">
        <v>82</v>
      </c>
      <c r="BY1197" s="5"/>
      <c r="BZ1197" s="6"/>
      <c r="CA1197" s="7">
        <v>41588</v>
      </c>
      <c r="CI1197">
        <f t="shared" si="137"/>
        <v>2013</v>
      </c>
      <c r="CJ1197" t="str">
        <f t="shared" si="138"/>
        <v>6247_2013</v>
      </c>
    </row>
    <row r="1198" spans="1:88" x14ac:dyDescent="0.25">
      <c r="A1198" t="s">
        <v>111</v>
      </c>
      <c r="B1198" t="s">
        <v>152</v>
      </c>
      <c r="C1198">
        <v>6248</v>
      </c>
      <c r="D1198">
        <v>-37.5871</v>
      </c>
      <c r="E1198">
        <v>145.1251</v>
      </c>
      <c r="F1198">
        <v>4</v>
      </c>
      <c r="G1198" t="s">
        <v>432</v>
      </c>
      <c r="H1198">
        <v>0</v>
      </c>
      <c r="I1198">
        <v>180</v>
      </c>
      <c r="J1198">
        <v>90</v>
      </c>
      <c r="K1198">
        <v>270</v>
      </c>
      <c r="L1198">
        <v>178</v>
      </c>
      <c r="M1198">
        <v>358</v>
      </c>
      <c r="N1198">
        <v>270</v>
      </c>
      <c r="O1198">
        <v>90</v>
      </c>
      <c r="T1198">
        <v>25</v>
      </c>
      <c r="U1198">
        <v>2</v>
      </c>
      <c r="V1198">
        <v>10</v>
      </c>
      <c r="Y1198">
        <v>18</v>
      </c>
      <c r="Z1198">
        <v>3</v>
      </c>
      <c r="AA1198">
        <v>58</v>
      </c>
      <c r="AD1198">
        <v>4</v>
      </c>
      <c r="AE1198">
        <v>3</v>
      </c>
      <c r="AF1198">
        <v>49</v>
      </c>
      <c r="AI1198">
        <v>6</v>
      </c>
      <c r="AJ1198">
        <v>79</v>
      </c>
      <c r="AK1198">
        <v>31</v>
      </c>
      <c r="AX1198">
        <v>37</v>
      </c>
      <c r="AY1198">
        <v>28</v>
      </c>
      <c r="AZ1198">
        <v>65</v>
      </c>
      <c r="BA1198">
        <v>79</v>
      </c>
      <c r="BB1198">
        <v>107</v>
      </c>
      <c r="BC1198">
        <v>186</v>
      </c>
      <c r="BD1198">
        <v>56</v>
      </c>
      <c r="BE1198">
        <v>36</v>
      </c>
      <c r="BF1198">
        <v>92</v>
      </c>
      <c r="BG1198">
        <v>116</v>
      </c>
      <c r="BH1198">
        <v>117</v>
      </c>
      <c r="BI1198">
        <v>233</v>
      </c>
      <c r="BP1198">
        <v>56</v>
      </c>
      <c r="BR1198">
        <v>165</v>
      </c>
      <c r="BS1198">
        <v>20</v>
      </c>
      <c r="BT1198">
        <v>37</v>
      </c>
      <c r="BV1198">
        <v>10</v>
      </c>
      <c r="BW1198">
        <v>288</v>
      </c>
      <c r="BX1198" t="s">
        <v>82</v>
      </c>
      <c r="BY1198" s="5"/>
      <c r="BZ1198" s="6"/>
      <c r="CA1198" s="7">
        <v>41588</v>
      </c>
      <c r="CI1198">
        <f t="shared" si="137"/>
        <v>2013</v>
      </c>
      <c r="CJ1198" t="str">
        <f t="shared" si="138"/>
        <v>6248_2013</v>
      </c>
    </row>
    <row r="1199" spans="1:88" x14ac:dyDescent="0.25">
      <c r="A1199" t="s">
        <v>111</v>
      </c>
      <c r="B1199" t="s">
        <v>157</v>
      </c>
      <c r="C1199">
        <v>6250</v>
      </c>
      <c r="D1199">
        <v>-37.820599999999999</v>
      </c>
      <c r="E1199">
        <v>144.82509999999999</v>
      </c>
      <c r="F1199">
        <v>3</v>
      </c>
      <c r="G1199" t="s">
        <v>433</v>
      </c>
      <c r="H1199">
        <v>70</v>
      </c>
      <c r="I1199">
        <v>250</v>
      </c>
      <c r="J1199">
        <v>238</v>
      </c>
      <c r="K1199">
        <v>58</v>
      </c>
      <c r="L1199">
        <v>344</v>
      </c>
      <c r="M1199">
        <v>164</v>
      </c>
      <c r="T1199">
        <v>17</v>
      </c>
      <c r="U1199">
        <v>1</v>
      </c>
      <c r="Y1199">
        <v>20</v>
      </c>
      <c r="Z1199">
        <v>1</v>
      </c>
      <c r="AD1199">
        <v>2</v>
      </c>
      <c r="AE1199">
        <v>2</v>
      </c>
      <c r="AX1199">
        <v>18</v>
      </c>
      <c r="AY1199">
        <v>22</v>
      </c>
      <c r="AZ1199">
        <v>40</v>
      </c>
      <c r="BA1199">
        <v>21</v>
      </c>
      <c r="BB1199">
        <v>19</v>
      </c>
      <c r="BC1199">
        <v>40</v>
      </c>
      <c r="BD1199">
        <v>4</v>
      </c>
      <c r="BE1199">
        <v>2</v>
      </c>
      <c r="BF1199">
        <v>6</v>
      </c>
      <c r="BP1199">
        <v>28</v>
      </c>
      <c r="BR1199">
        <v>5</v>
      </c>
      <c r="BS1199">
        <v>5</v>
      </c>
      <c r="BT1199">
        <v>4</v>
      </c>
      <c r="BV1199">
        <v>1</v>
      </c>
      <c r="BW1199">
        <v>43</v>
      </c>
      <c r="BX1199" t="s">
        <v>82</v>
      </c>
      <c r="BY1199" s="5"/>
      <c r="BZ1199" s="6"/>
      <c r="CA1199" s="7">
        <v>41588</v>
      </c>
      <c r="CI1199">
        <f t="shared" si="137"/>
        <v>2013</v>
      </c>
      <c r="CJ1199" t="str">
        <f t="shared" si="138"/>
        <v>6250_2013</v>
      </c>
    </row>
    <row r="1200" spans="1:88" x14ac:dyDescent="0.25">
      <c r="A1200" t="s">
        <v>111</v>
      </c>
      <c r="B1200" t="s">
        <v>157</v>
      </c>
      <c r="C1200">
        <v>6250</v>
      </c>
      <c r="D1200">
        <v>-37.820599999999999</v>
      </c>
      <c r="E1200">
        <v>144.82509999999999</v>
      </c>
      <c r="F1200">
        <v>3</v>
      </c>
      <c r="G1200" t="s">
        <v>433</v>
      </c>
      <c r="H1200">
        <v>70</v>
      </c>
      <c r="I1200">
        <v>250</v>
      </c>
      <c r="J1200">
        <v>238</v>
      </c>
      <c r="K1200">
        <v>58</v>
      </c>
      <c r="L1200">
        <v>344</v>
      </c>
      <c r="M1200">
        <v>164</v>
      </c>
      <c r="T1200">
        <v>21</v>
      </c>
      <c r="U1200">
        <v>4</v>
      </c>
      <c r="Y1200">
        <v>35</v>
      </c>
      <c r="Z1200">
        <v>3</v>
      </c>
      <c r="AD1200">
        <v>5</v>
      </c>
      <c r="AE1200">
        <v>14</v>
      </c>
      <c r="AX1200">
        <v>25</v>
      </c>
      <c r="AY1200">
        <v>40</v>
      </c>
      <c r="AZ1200">
        <v>65</v>
      </c>
      <c r="BA1200">
        <v>38</v>
      </c>
      <c r="BB1200">
        <v>35</v>
      </c>
      <c r="BC1200">
        <v>73</v>
      </c>
      <c r="BD1200">
        <v>19</v>
      </c>
      <c r="BE1200">
        <v>7</v>
      </c>
      <c r="BF1200">
        <v>26</v>
      </c>
      <c r="BP1200">
        <v>76</v>
      </c>
      <c r="BR1200">
        <v>3</v>
      </c>
      <c r="BS1200">
        <v>1</v>
      </c>
      <c r="BT1200">
        <v>2</v>
      </c>
      <c r="BV1200">
        <v>0</v>
      </c>
      <c r="BW1200">
        <v>82</v>
      </c>
      <c r="BX1200">
        <f t="shared" ref="BX1200:BX1207" si="144">IF(C1200=C1199,IF((CI1200-1)=CI1199,BW1199,"no data"))</f>
        <v>43</v>
      </c>
      <c r="BY1200" s="5">
        <f t="shared" si="140"/>
        <v>0.90697674418604646</v>
      </c>
      <c r="BZ1200" s="6">
        <f t="shared" si="139"/>
        <v>0.90697674418604646</v>
      </c>
      <c r="CA1200" s="7">
        <v>41952</v>
      </c>
      <c r="CI1200">
        <f t="shared" si="137"/>
        <v>2014</v>
      </c>
      <c r="CJ1200" t="str">
        <f t="shared" si="138"/>
        <v>6250_2014</v>
      </c>
    </row>
    <row r="1201" spans="1:88" x14ac:dyDescent="0.25">
      <c r="A1201" t="s">
        <v>111</v>
      </c>
      <c r="B1201" t="s">
        <v>157</v>
      </c>
      <c r="C1201">
        <v>6250</v>
      </c>
      <c r="D1201">
        <v>-37.820599999999999</v>
      </c>
      <c r="E1201">
        <v>144.82509999999999</v>
      </c>
      <c r="F1201">
        <v>3</v>
      </c>
      <c r="G1201" t="s">
        <v>433</v>
      </c>
      <c r="H1201">
        <v>70</v>
      </c>
      <c r="I1201">
        <v>250</v>
      </c>
      <c r="J1201">
        <v>238</v>
      </c>
      <c r="K1201">
        <v>58</v>
      </c>
      <c r="L1201">
        <v>344</v>
      </c>
      <c r="M1201">
        <v>164</v>
      </c>
      <c r="T1201">
        <v>54</v>
      </c>
      <c r="U1201">
        <v>5</v>
      </c>
      <c r="Y1201">
        <v>45</v>
      </c>
      <c r="Z1201">
        <v>4</v>
      </c>
      <c r="AD1201">
        <v>3</v>
      </c>
      <c r="AE1201">
        <v>6</v>
      </c>
      <c r="AX1201">
        <v>59</v>
      </c>
      <c r="AY1201">
        <v>48</v>
      </c>
      <c r="AZ1201">
        <v>107</v>
      </c>
      <c r="BA1201">
        <v>49</v>
      </c>
      <c r="BB1201">
        <v>60</v>
      </c>
      <c r="BC1201">
        <v>109</v>
      </c>
      <c r="BD1201">
        <v>9</v>
      </c>
      <c r="BE1201">
        <v>9</v>
      </c>
      <c r="BF1201">
        <v>18</v>
      </c>
      <c r="BP1201">
        <v>117</v>
      </c>
      <c r="BR1201">
        <v>0</v>
      </c>
      <c r="BS1201">
        <v>0</v>
      </c>
      <c r="BT1201">
        <v>0</v>
      </c>
      <c r="BV1201">
        <v>0</v>
      </c>
      <c r="BW1201">
        <v>117</v>
      </c>
      <c r="BX1201">
        <f t="shared" si="144"/>
        <v>82</v>
      </c>
      <c r="BY1201" s="5">
        <f t="shared" si="140"/>
        <v>0.42682926829268292</v>
      </c>
      <c r="BZ1201" s="6">
        <f t="shared" si="139"/>
        <v>0.42682926829268292</v>
      </c>
      <c r="CA1201" s="7">
        <v>42316</v>
      </c>
      <c r="CE1201">
        <v>25</v>
      </c>
      <c r="CF1201">
        <v>39</v>
      </c>
      <c r="CG1201">
        <v>32</v>
      </c>
      <c r="CH1201">
        <v>21</v>
      </c>
      <c r="CI1201">
        <f t="shared" si="137"/>
        <v>2015</v>
      </c>
      <c r="CJ1201" t="str">
        <f t="shared" si="138"/>
        <v>6250_2015</v>
      </c>
    </row>
    <row r="1202" spans="1:88" x14ac:dyDescent="0.25">
      <c r="A1202" t="s">
        <v>111</v>
      </c>
      <c r="B1202" t="s">
        <v>157</v>
      </c>
      <c r="C1202">
        <v>6250</v>
      </c>
      <c r="D1202">
        <v>-37.820585000000001</v>
      </c>
      <c r="E1202">
        <v>144.825098</v>
      </c>
      <c r="F1202">
        <v>3</v>
      </c>
      <c r="G1202" t="s">
        <v>433</v>
      </c>
      <c r="H1202">
        <v>70</v>
      </c>
      <c r="I1202">
        <v>250</v>
      </c>
      <c r="J1202">
        <v>238</v>
      </c>
      <c r="K1202">
        <v>58</v>
      </c>
      <c r="L1202">
        <v>344</v>
      </c>
      <c r="M1202">
        <v>164</v>
      </c>
      <c r="T1202">
        <v>3</v>
      </c>
      <c r="U1202">
        <v>4</v>
      </c>
      <c r="Y1202">
        <v>8</v>
      </c>
      <c r="Z1202">
        <v>0</v>
      </c>
      <c r="AD1202">
        <v>4</v>
      </c>
      <c r="AE1202">
        <v>2</v>
      </c>
      <c r="AX1202">
        <v>7</v>
      </c>
      <c r="AY1202">
        <v>12</v>
      </c>
      <c r="AZ1202">
        <v>19</v>
      </c>
      <c r="BA1202">
        <v>8</v>
      </c>
      <c r="BB1202">
        <v>5</v>
      </c>
      <c r="BC1202">
        <v>13</v>
      </c>
      <c r="BD1202">
        <v>6</v>
      </c>
      <c r="BE1202">
        <v>4</v>
      </c>
      <c r="BF1202">
        <v>10</v>
      </c>
      <c r="BP1202">
        <v>17</v>
      </c>
      <c r="BR1202">
        <v>4</v>
      </c>
      <c r="BS1202">
        <v>0</v>
      </c>
      <c r="BT1202">
        <v>0</v>
      </c>
      <c r="BV1202">
        <v>0</v>
      </c>
      <c r="BW1202">
        <v>21</v>
      </c>
      <c r="BX1202">
        <f t="shared" si="144"/>
        <v>117</v>
      </c>
      <c r="BY1202" s="5">
        <f t="shared" si="140"/>
        <v>-0.82051282051282048</v>
      </c>
      <c r="BZ1202" s="6">
        <f t="shared" si="139"/>
        <v>-0.82051282051282048</v>
      </c>
      <c r="CA1202" s="7">
        <v>42687</v>
      </c>
      <c r="CE1202">
        <v>3</v>
      </c>
      <c r="CF1202">
        <v>9</v>
      </c>
      <c r="CG1202">
        <v>5</v>
      </c>
      <c r="CH1202">
        <v>4</v>
      </c>
      <c r="CI1202">
        <f t="shared" si="137"/>
        <v>2016</v>
      </c>
      <c r="CJ1202" t="str">
        <f t="shared" si="138"/>
        <v>6250_2016</v>
      </c>
    </row>
    <row r="1203" spans="1:88" x14ac:dyDescent="0.25">
      <c r="A1203" t="s">
        <v>111</v>
      </c>
      <c r="B1203" t="s">
        <v>157</v>
      </c>
      <c r="C1203">
        <v>6250</v>
      </c>
      <c r="D1203">
        <v>-37.820585000000001</v>
      </c>
      <c r="E1203">
        <v>144.825098</v>
      </c>
      <c r="F1203">
        <v>3</v>
      </c>
      <c r="G1203" t="s">
        <v>433</v>
      </c>
      <c r="H1203">
        <v>70</v>
      </c>
      <c r="I1203">
        <v>250</v>
      </c>
      <c r="J1203">
        <v>238</v>
      </c>
      <c r="K1203">
        <v>58</v>
      </c>
      <c r="L1203">
        <v>344</v>
      </c>
      <c r="M1203">
        <v>164</v>
      </c>
      <c r="T1203">
        <v>25</v>
      </c>
      <c r="U1203">
        <v>7</v>
      </c>
      <c r="Y1203">
        <v>43</v>
      </c>
      <c r="Z1203">
        <v>0</v>
      </c>
      <c r="AD1203">
        <v>10</v>
      </c>
      <c r="AE1203">
        <v>7</v>
      </c>
      <c r="AX1203">
        <v>32</v>
      </c>
      <c r="AY1203">
        <v>53</v>
      </c>
      <c r="AZ1203">
        <v>85</v>
      </c>
      <c r="BA1203">
        <v>43</v>
      </c>
      <c r="BB1203">
        <v>32</v>
      </c>
      <c r="BC1203">
        <v>75</v>
      </c>
      <c r="BD1203">
        <v>17</v>
      </c>
      <c r="BE1203">
        <v>7</v>
      </c>
      <c r="BF1203">
        <v>24</v>
      </c>
      <c r="BP1203">
        <v>86</v>
      </c>
      <c r="BR1203">
        <v>5</v>
      </c>
      <c r="BS1203">
        <v>0</v>
      </c>
      <c r="BT1203">
        <v>1</v>
      </c>
      <c r="BV1203">
        <v>0</v>
      </c>
      <c r="BW1203">
        <v>92</v>
      </c>
      <c r="BX1203">
        <f t="shared" si="144"/>
        <v>21</v>
      </c>
      <c r="BY1203" s="5">
        <f t="shared" si="140"/>
        <v>3.3809523809523809</v>
      </c>
      <c r="BZ1203" s="6">
        <f t="shared" si="139"/>
        <v>3.3809523809523809</v>
      </c>
      <c r="CA1203" s="7">
        <v>43051</v>
      </c>
      <c r="CE1203">
        <v>32</v>
      </c>
      <c r="CF1203">
        <v>19</v>
      </c>
      <c r="CG1203">
        <v>16</v>
      </c>
      <c r="CH1203">
        <v>25</v>
      </c>
      <c r="CI1203">
        <f t="shared" si="137"/>
        <v>2017</v>
      </c>
      <c r="CJ1203" t="str">
        <f t="shared" si="138"/>
        <v>6250_2017</v>
      </c>
    </row>
    <row r="1204" spans="1:88" x14ac:dyDescent="0.25">
      <c r="A1204" t="s">
        <v>111</v>
      </c>
      <c r="B1204" t="s">
        <v>157</v>
      </c>
      <c r="C1204">
        <v>6250</v>
      </c>
      <c r="D1204">
        <v>-37.820585000000001</v>
      </c>
      <c r="E1204">
        <v>144.825098</v>
      </c>
      <c r="F1204">
        <v>3</v>
      </c>
      <c r="G1204" t="s">
        <v>433</v>
      </c>
      <c r="H1204">
        <v>70</v>
      </c>
      <c r="I1204">
        <v>250</v>
      </c>
      <c r="J1204">
        <v>238</v>
      </c>
      <c r="K1204">
        <v>58</v>
      </c>
      <c r="L1204">
        <v>344</v>
      </c>
      <c r="M1204">
        <v>164</v>
      </c>
      <c r="T1204">
        <v>27</v>
      </c>
      <c r="U1204">
        <v>14</v>
      </c>
      <c r="Y1204">
        <v>41</v>
      </c>
      <c r="Z1204">
        <v>4</v>
      </c>
      <c r="AD1204">
        <v>1</v>
      </c>
      <c r="AE1204">
        <v>2</v>
      </c>
      <c r="AX1204">
        <v>41</v>
      </c>
      <c r="AY1204">
        <v>42</v>
      </c>
      <c r="AZ1204">
        <v>83</v>
      </c>
      <c r="BA1204">
        <v>45</v>
      </c>
      <c r="BB1204">
        <v>29</v>
      </c>
      <c r="BC1204">
        <v>74</v>
      </c>
      <c r="BD1204">
        <v>3</v>
      </c>
      <c r="BE1204">
        <v>18</v>
      </c>
      <c r="BF1204">
        <v>21</v>
      </c>
      <c r="BP1204">
        <v>89</v>
      </c>
      <c r="BR1204">
        <v>0</v>
      </c>
      <c r="BS1204">
        <v>0</v>
      </c>
      <c r="BT1204">
        <v>0</v>
      </c>
      <c r="BV1204">
        <v>0</v>
      </c>
      <c r="BW1204">
        <v>89</v>
      </c>
      <c r="BX1204">
        <f t="shared" si="144"/>
        <v>92</v>
      </c>
      <c r="BY1204" s="5">
        <f t="shared" si="140"/>
        <v>-3.2608695652173912E-2</v>
      </c>
      <c r="BZ1204" s="6">
        <f t="shared" si="139"/>
        <v>-3.2608695652173912E-2</v>
      </c>
      <c r="CA1204" s="7">
        <v>43415</v>
      </c>
      <c r="CE1204">
        <v>39</v>
      </c>
      <c r="CF1204">
        <v>25</v>
      </c>
      <c r="CG1204">
        <v>16</v>
      </c>
      <c r="CH1204">
        <v>9</v>
      </c>
      <c r="CI1204">
        <f t="shared" si="137"/>
        <v>2018</v>
      </c>
      <c r="CJ1204" t="str">
        <f t="shared" si="138"/>
        <v>6250_2018</v>
      </c>
    </row>
    <row r="1205" spans="1:88" x14ac:dyDescent="0.25">
      <c r="A1205" t="s">
        <v>111</v>
      </c>
      <c r="B1205" t="s">
        <v>157</v>
      </c>
      <c r="C1205">
        <v>6250</v>
      </c>
      <c r="D1205">
        <v>-37.820599999999999</v>
      </c>
      <c r="E1205">
        <v>144.82509999999999</v>
      </c>
      <c r="F1205">
        <v>3</v>
      </c>
      <c r="G1205" t="s">
        <v>433</v>
      </c>
      <c r="H1205">
        <v>70</v>
      </c>
      <c r="I1205">
        <v>250</v>
      </c>
      <c r="J1205">
        <v>238</v>
      </c>
      <c r="K1205">
        <v>58</v>
      </c>
      <c r="L1205">
        <v>344</v>
      </c>
      <c r="M1205">
        <v>164</v>
      </c>
      <c r="T1205">
        <v>17</v>
      </c>
      <c r="U1205">
        <v>4</v>
      </c>
      <c r="Y1205">
        <v>14</v>
      </c>
      <c r="Z1205">
        <v>0</v>
      </c>
      <c r="AD1205">
        <v>7</v>
      </c>
      <c r="AE1205">
        <v>1</v>
      </c>
      <c r="AX1205">
        <v>21</v>
      </c>
      <c r="AY1205">
        <v>21</v>
      </c>
      <c r="AZ1205">
        <v>42</v>
      </c>
      <c r="BA1205">
        <v>14</v>
      </c>
      <c r="BB1205">
        <v>18</v>
      </c>
      <c r="BC1205">
        <v>32</v>
      </c>
      <c r="BD1205">
        <v>8</v>
      </c>
      <c r="BE1205">
        <v>4</v>
      </c>
      <c r="BF1205">
        <v>12</v>
      </c>
      <c r="BP1205">
        <v>27</v>
      </c>
      <c r="BR1205">
        <v>7</v>
      </c>
      <c r="BS1205">
        <v>5</v>
      </c>
      <c r="BT1205">
        <v>3</v>
      </c>
      <c r="BV1205">
        <v>1</v>
      </c>
      <c r="BW1205">
        <v>43</v>
      </c>
      <c r="BX1205">
        <f t="shared" si="144"/>
        <v>89</v>
      </c>
      <c r="BY1205" s="5">
        <f t="shared" si="140"/>
        <v>-0.5168539325842697</v>
      </c>
      <c r="BZ1205" s="6">
        <f t="shared" si="139"/>
        <v>-0.5168539325842697</v>
      </c>
      <c r="CA1205" s="7">
        <v>43779</v>
      </c>
      <c r="CE1205">
        <v>14</v>
      </c>
      <c r="CF1205">
        <v>13</v>
      </c>
      <c r="CG1205">
        <v>7</v>
      </c>
      <c r="CH1205">
        <v>9</v>
      </c>
      <c r="CI1205">
        <f t="shared" si="137"/>
        <v>2019</v>
      </c>
      <c r="CJ1205" t="str">
        <f t="shared" si="138"/>
        <v>6250_2019</v>
      </c>
    </row>
    <row r="1206" spans="1:88" x14ac:dyDescent="0.25">
      <c r="A1206" t="s">
        <v>111</v>
      </c>
      <c r="B1206" t="s">
        <v>157</v>
      </c>
      <c r="C1206">
        <v>6250</v>
      </c>
      <c r="D1206">
        <v>-37.820585000000001</v>
      </c>
      <c r="E1206">
        <v>144.825098</v>
      </c>
      <c r="F1206">
        <v>3</v>
      </c>
      <c r="G1206" t="s">
        <v>433</v>
      </c>
      <c r="H1206">
        <v>70</v>
      </c>
      <c r="I1206">
        <v>250</v>
      </c>
      <c r="J1206">
        <v>238</v>
      </c>
      <c r="K1206">
        <v>58</v>
      </c>
      <c r="L1206">
        <v>344</v>
      </c>
      <c r="M1206">
        <v>164</v>
      </c>
      <c r="T1206">
        <v>20</v>
      </c>
      <c r="U1206">
        <v>8</v>
      </c>
      <c r="Y1206">
        <v>18</v>
      </c>
      <c r="Z1206">
        <v>4</v>
      </c>
      <c r="AD1206">
        <v>10</v>
      </c>
      <c r="AE1206">
        <v>6</v>
      </c>
      <c r="AX1206">
        <v>28</v>
      </c>
      <c r="AY1206">
        <v>28</v>
      </c>
      <c r="AZ1206">
        <v>56</v>
      </c>
      <c r="BA1206">
        <v>22</v>
      </c>
      <c r="BB1206">
        <v>26</v>
      </c>
      <c r="BC1206">
        <v>48</v>
      </c>
      <c r="BD1206">
        <v>16</v>
      </c>
      <c r="BE1206">
        <v>12</v>
      </c>
      <c r="BF1206">
        <v>28</v>
      </c>
      <c r="BP1206">
        <v>57</v>
      </c>
      <c r="BR1206">
        <v>8</v>
      </c>
      <c r="BS1206">
        <v>1</v>
      </c>
      <c r="BT1206">
        <v>0</v>
      </c>
      <c r="BV1206">
        <v>0</v>
      </c>
      <c r="BW1206">
        <v>66</v>
      </c>
      <c r="BX1206" t="str">
        <f t="shared" si="144"/>
        <v>no data</v>
      </c>
      <c r="BY1206" s="5"/>
      <c r="BZ1206" s="6"/>
      <c r="CA1206" s="7">
        <v>44528</v>
      </c>
      <c r="CE1206">
        <v>26</v>
      </c>
      <c r="CF1206">
        <v>19</v>
      </c>
      <c r="CG1206">
        <v>21</v>
      </c>
      <c r="CI1206">
        <f t="shared" si="137"/>
        <v>2021</v>
      </c>
      <c r="CJ1206" t="str">
        <f t="shared" si="138"/>
        <v>6250_2021</v>
      </c>
    </row>
    <row r="1207" spans="1:88" x14ac:dyDescent="0.25">
      <c r="A1207" t="s">
        <v>111</v>
      </c>
      <c r="B1207" t="s">
        <v>157</v>
      </c>
      <c r="C1207">
        <v>6250</v>
      </c>
      <c r="D1207">
        <v>-37.820585000000001</v>
      </c>
      <c r="E1207">
        <v>144.825098</v>
      </c>
      <c r="F1207">
        <v>3</v>
      </c>
      <c r="G1207" t="s">
        <v>433</v>
      </c>
      <c r="H1207">
        <v>70</v>
      </c>
      <c r="I1207">
        <v>250</v>
      </c>
      <c r="J1207">
        <v>238</v>
      </c>
      <c r="K1207">
        <v>58</v>
      </c>
      <c r="L1207">
        <v>344</v>
      </c>
      <c r="M1207">
        <v>164</v>
      </c>
      <c r="T1207">
        <v>11</v>
      </c>
      <c r="U1207">
        <v>6</v>
      </c>
      <c r="Y1207">
        <v>12</v>
      </c>
      <c r="Z1207">
        <v>1</v>
      </c>
      <c r="AD1207">
        <v>4</v>
      </c>
      <c r="AE1207">
        <v>1</v>
      </c>
      <c r="AX1207">
        <v>17</v>
      </c>
      <c r="AY1207">
        <v>16</v>
      </c>
      <c r="AZ1207">
        <v>33</v>
      </c>
      <c r="BA1207">
        <v>13</v>
      </c>
      <c r="BB1207">
        <v>12</v>
      </c>
      <c r="BC1207">
        <v>25</v>
      </c>
      <c r="BD1207">
        <v>5</v>
      </c>
      <c r="BE1207">
        <v>7</v>
      </c>
      <c r="BF1207">
        <v>12</v>
      </c>
      <c r="BP1207">
        <v>33</v>
      </c>
      <c r="BR1207">
        <v>2</v>
      </c>
      <c r="BS1207">
        <v>0</v>
      </c>
      <c r="BT1207">
        <v>0</v>
      </c>
      <c r="BU1207">
        <v>0</v>
      </c>
      <c r="BV1207">
        <v>0</v>
      </c>
      <c r="BW1207">
        <v>35</v>
      </c>
      <c r="BX1207">
        <f t="shared" si="144"/>
        <v>66</v>
      </c>
      <c r="BY1207" s="5">
        <f t="shared" si="140"/>
        <v>-0.46969696969696972</v>
      </c>
      <c r="BZ1207" s="6">
        <f t="shared" si="139"/>
        <v>-0.46969696969696972</v>
      </c>
      <c r="CA1207" s="7">
        <v>44878</v>
      </c>
      <c r="CE1207">
        <v>12</v>
      </c>
      <c r="CF1207">
        <v>16</v>
      </c>
      <c r="CG1207">
        <v>7</v>
      </c>
      <c r="CI1207">
        <f t="shared" si="137"/>
        <v>2022</v>
      </c>
      <c r="CJ1207" t="str">
        <f t="shared" si="138"/>
        <v>6250_2022</v>
      </c>
    </row>
    <row r="1208" spans="1:88" x14ac:dyDescent="0.25">
      <c r="A1208" t="s">
        <v>79</v>
      </c>
      <c r="B1208" t="s">
        <v>434</v>
      </c>
      <c r="C1208">
        <v>6251</v>
      </c>
      <c r="D1208">
        <v>-33.872100000000003</v>
      </c>
      <c r="E1208">
        <v>151.15049999999999</v>
      </c>
      <c r="F1208">
        <v>5</v>
      </c>
      <c r="G1208" t="s">
        <v>435</v>
      </c>
      <c r="H1208">
        <v>42</v>
      </c>
      <c r="I1208">
        <v>222</v>
      </c>
      <c r="J1208">
        <v>108</v>
      </c>
      <c r="K1208">
        <v>288</v>
      </c>
      <c r="L1208">
        <v>189</v>
      </c>
      <c r="M1208">
        <v>9</v>
      </c>
      <c r="N1208">
        <v>219</v>
      </c>
      <c r="O1208">
        <v>39</v>
      </c>
      <c r="P1208">
        <v>305</v>
      </c>
      <c r="Q1208">
        <v>125</v>
      </c>
      <c r="T1208">
        <v>21</v>
      </c>
      <c r="U1208">
        <v>182</v>
      </c>
      <c r="V1208">
        <v>2</v>
      </c>
      <c r="W1208">
        <v>471</v>
      </c>
      <c r="Y1208">
        <v>10</v>
      </c>
      <c r="Z1208">
        <v>22</v>
      </c>
      <c r="AA1208">
        <v>0</v>
      </c>
      <c r="AB1208">
        <v>90</v>
      </c>
      <c r="AD1208">
        <v>172</v>
      </c>
      <c r="AE1208">
        <v>23</v>
      </c>
      <c r="AF1208">
        <v>0</v>
      </c>
      <c r="AG1208">
        <v>51</v>
      </c>
      <c r="AI1208">
        <v>0</v>
      </c>
      <c r="AJ1208">
        <v>0</v>
      </c>
      <c r="AK1208">
        <v>0</v>
      </c>
      <c r="AL1208">
        <v>72</v>
      </c>
      <c r="AN1208">
        <v>807</v>
      </c>
      <c r="AO1208">
        <v>55</v>
      </c>
      <c r="AP1208">
        <v>3</v>
      </c>
      <c r="AQ1208">
        <v>91</v>
      </c>
      <c r="AX1208">
        <v>676</v>
      </c>
      <c r="AY1208">
        <v>989</v>
      </c>
      <c r="AZ1208">
        <v>1665</v>
      </c>
      <c r="BA1208">
        <v>122</v>
      </c>
      <c r="BB1208">
        <v>99</v>
      </c>
      <c r="BC1208">
        <v>221</v>
      </c>
      <c r="BD1208">
        <v>246</v>
      </c>
      <c r="BE1208">
        <v>207</v>
      </c>
      <c r="BF1208">
        <v>453</v>
      </c>
      <c r="BG1208">
        <v>72</v>
      </c>
      <c r="BH1208">
        <v>93</v>
      </c>
      <c r="BI1208">
        <v>165</v>
      </c>
      <c r="BJ1208">
        <v>956</v>
      </c>
      <c r="BK1208">
        <v>684</v>
      </c>
      <c r="BL1208">
        <v>1640</v>
      </c>
      <c r="BP1208">
        <v>482</v>
      </c>
      <c r="BR1208">
        <v>1064</v>
      </c>
      <c r="BS1208">
        <v>343</v>
      </c>
      <c r="BT1208">
        <v>120</v>
      </c>
      <c r="BV1208">
        <v>63</v>
      </c>
      <c r="BW1208">
        <v>2072</v>
      </c>
      <c r="BX1208" t="s">
        <v>82</v>
      </c>
      <c r="BY1208" s="5"/>
      <c r="BZ1208" s="6"/>
      <c r="CA1208" s="7">
        <v>41588</v>
      </c>
      <c r="CI1208">
        <f t="shared" si="137"/>
        <v>2013</v>
      </c>
      <c r="CJ1208" t="str">
        <f t="shared" si="138"/>
        <v>6251_2013</v>
      </c>
    </row>
    <row r="1209" spans="1:88" x14ac:dyDescent="0.25">
      <c r="A1209" t="s">
        <v>79</v>
      </c>
      <c r="B1209" t="s">
        <v>80</v>
      </c>
      <c r="C1209">
        <v>6252</v>
      </c>
      <c r="D1209">
        <v>-33.8782</v>
      </c>
      <c r="E1209">
        <v>151.14750000000001</v>
      </c>
      <c r="F1209">
        <v>2</v>
      </c>
      <c r="G1209" t="s">
        <v>436</v>
      </c>
      <c r="H1209">
        <v>26</v>
      </c>
      <c r="I1209">
        <v>206</v>
      </c>
      <c r="J1209">
        <v>199</v>
      </c>
      <c r="K1209">
        <v>19</v>
      </c>
      <c r="Y1209">
        <v>962</v>
      </c>
      <c r="BA1209">
        <v>962</v>
      </c>
      <c r="BB1209">
        <v>0</v>
      </c>
      <c r="BC1209">
        <v>962</v>
      </c>
      <c r="BP1209">
        <v>0</v>
      </c>
      <c r="BR1209">
        <v>0</v>
      </c>
      <c r="BS1209">
        <v>0</v>
      </c>
      <c r="BT1209">
        <v>0</v>
      </c>
      <c r="BV1209">
        <v>962</v>
      </c>
      <c r="BW1209">
        <v>962</v>
      </c>
      <c r="BX1209" t="s">
        <v>82</v>
      </c>
      <c r="BY1209" s="5"/>
      <c r="BZ1209" s="6"/>
      <c r="CA1209" s="7">
        <v>41588</v>
      </c>
      <c r="CI1209">
        <f t="shared" si="137"/>
        <v>2013</v>
      </c>
      <c r="CJ1209" t="str">
        <f t="shared" si="138"/>
        <v>6252_2013</v>
      </c>
    </row>
    <row r="1210" spans="1:88" x14ac:dyDescent="0.25">
      <c r="A1210" t="s">
        <v>79</v>
      </c>
      <c r="B1210" t="s">
        <v>80</v>
      </c>
      <c r="C1210">
        <v>6252</v>
      </c>
      <c r="D1210">
        <v>-33.8782</v>
      </c>
      <c r="E1210">
        <v>151.14750000000001</v>
      </c>
      <c r="F1210">
        <v>2</v>
      </c>
      <c r="G1210" t="s">
        <v>436</v>
      </c>
      <c r="H1210">
        <v>26</v>
      </c>
      <c r="I1210">
        <v>206</v>
      </c>
      <c r="J1210">
        <v>199</v>
      </c>
      <c r="K1210">
        <v>19</v>
      </c>
      <c r="Y1210">
        <v>354</v>
      </c>
      <c r="BA1210">
        <v>354</v>
      </c>
      <c r="BB1210">
        <v>0</v>
      </c>
      <c r="BC1210">
        <v>354</v>
      </c>
      <c r="BP1210">
        <v>0</v>
      </c>
      <c r="BR1210">
        <v>0</v>
      </c>
      <c r="BS1210">
        <v>0</v>
      </c>
      <c r="BT1210">
        <v>0</v>
      </c>
      <c r="BV1210">
        <v>354</v>
      </c>
      <c r="BW1210">
        <v>354</v>
      </c>
      <c r="BX1210">
        <f t="shared" ref="BX1210:BX1215" si="145">IF(C1210=C1209,IF((CI1210-1)=CI1209,BW1209,"no data"))</f>
        <v>962</v>
      </c>
      <c r="BY1210" s="5">
        <f t="shared" si="140"/>
        <v>-0.63201663201663205</v>
      </c>
      <c r="BZ1210" s="6">
        <f t="shared" si="139"/>
        <v>-0.63201663201663205</v>
      </c>
      <c r="CA1210" s="7">
        <v>41952</v>
      </c>
      <c r="CI1210">
        <f t="shared" si="137"/>
        <v>2014</v>
      </c>
      <c r="CJ1210" t="str">
        <f t="shared" si="138"/>
        <v>6252_2014</v>
      </c>
    </row>
    <row r="1211" spans="1:88" x14ac:dyDescent="0.25">
      <c r="A1211" t="s">
        <v>79</v>
      </c>
      <c r="B1211" t="s">
        <v>80</v>
      </c>
      <c r="C1211">
        <v>6252</v>
      </c>
      <c r="D1211">
        <v>-33.8782</v>
      </c>
      <c r="E1211">
        <v>151.14750000000001</v>
      </c>
      <c r="F1211">
        <v>2</v>
      </c>
      <c r="G1211" t="s">
        <v>436</v>
      </c>
      <c r="H1211">
        <v>26</v>
      </c>
      <c r="I1211">
        <v>206</v>
      </c>
      <c r="J1211">
        <v>199</v>
      </c>
      <c r="K1211">
        <v>19</v>
      </c>
      <c r="T1211">
        <v>833</v>
      </c>
      <c r="Y1211">
        <v>457</v>
      </c>
      <c r="AX1211">
        <v>833</v>
      </c>
      <c r="AY1211">
        <v>457</v>
      </c>
      <c r="AZ1211">
        <v>1290</v>
      </c>
      <c r="BA1211">
        <v>457</v>
      </c>
      <c r="BB1211">
        <v>833</v>
      </c>
      <c r="BC1211">
        <v>1290</v>
      </c>
      <c r="BP1211">
        <v>53</v>
      </c>
      <c r="BR1211">
        <v>802</v>
      </c>
      <c r="BS1211">
        <v>26</v>
      </c>
      <c r="BT1211">
        <v>391</v>
      </c>
      <c r="BV1211">
        <v>18</v>
      </c>
      <c r="BW1211">
        <v>1290</v>
      </c>
      <c r="BX1211">
        <f t="shared" si="145"/>
        <v>354</v>
      </c>
      <c r="BY1211" s="5">
        <f t="shared" si="140"/>
        <v>2.6440677966101696</v>
      </c>
      <c r="BZ1211" s="6">
        <f t="shared" si="139"/>
        <v>2.6440677966101696</v>
      </c>
      <c r="CA1211" s="7">
        <v>42316</v>
      </c>
      <c r="CE1211">
        <v>440</v>
      </c>
      <c r="CF1211">
        <v>316</v>
      </c>
      <c r="CG1211">
        <v>324</v>
      </c>
      <c r="CH1211">
        <v>210</v>
      </c>
      <c r="CI1211">
        <f t="shared" si="137"/>
        <v>2015</v>
      </c>
      <c r="CJ1211" t="str">
        <f t="shared" si="138"/>
        <v>6252_2015</v>
      </c>
    </row>
    <row r="1212" spans="1:88" x14ac:dyDescent="0.25">
      <c r="A1212" t="s">
        <v>79</v>
      </c>
      <c r="B1212" t="s">
        <v>80</v>
      </c>
      <c r="C1212">
        <v>6252</v>
      </c>
      <c r="D1212">
        <v>-33.878152</v>
      </c>
      <c r="E1212">
        <v>151.14751799999999</v>
      </c>
      <c r="F1212">
        <v>2</v>
      </c>
      <c r="G1212" t="s">
        <v>436</v>
      </c>
      <c r="H1212">
        <v>26</v>
      </c>
      <c r="I1212">
        <v>206</v>
      </c>
      <c r="J1212">
        <v>199</v>
      </c>
      <c r="K1212">
        <v>19</v>
      </c>
      <c r="T1212">
        <v>279</v>
      </c>
      <c r="Y1212">
        <v>462</v>
      </c>
      <c r="AX1212">
        <v>279</v>
      </c>
      <c r="AY1212">
        <v>462</v>
      </c>
      <c r="AZ1212">
        <v>741</v>
      </c>
      <c r="BA1212">
        <v>462</v>
      </c>
      <c r="BB1212">
        <v>279</v>
      </c>
      <c r="BC1212">
        <v>741</v>
      </c>
      <c r="BP1212">
        <v>35</v>
      </c>
      <c r="BR1212">
        <v>452</v>
      </c>
      <c r="BS1212">
        <v>11</v>
      </c>
      <c r="BT1212">
        <v>226</v>
      </c>
      <c r="BV1212">
        <v>17</v>
      </c>
      <c r="BW1212">
        <v>741</v>
      </c>
      <c r="BX1212">
        <f t="shared" si="145"/>
        <v>1290</v>
      </c>
      <c r="BY1212" s="5">
        <f t="shared" si="140"/>
        <v>-0.42558139534883721</v>
      </c>
      <c r="BZ1212" s="6">
        <f t="shared" si="139"/>
        <v>-0.42558139534883721</v>
      </c>
      <c r="CA1212" s="7">
        <v>42687</v>
      </c>
      <c r="CE1212">
        <v>291</v>
      </c>
      <c r="CF1212">
        <v>201</v>
      </c>
      <c r="CG1212">
        <v>145</v>
      </c>
      <c r="CH1212">
        <v>104</v>
      </c>
      <c r="CI1212">
        <f t="shared" si="137"/>
        <v>2016</v>
      </c>
      <c r="CJ1212" t="str">
        <f t="shared" si="138"/>
        <v>6252_2016</v>
      </c>
    </row>
    <row r="1213" spans="1:88" x14ac:dyDescent="0.25">
      <c r="A1213" t="s">
        <v>79</v>
      </c>
      <c r="B1213" t="s">
        <v>80</v>
      </c>
      <c r="C1213">
        <v>6252</v>
      </c>
      <c r="D1213">
        <v>-33.878152</v>
      </c>
      <c r="E1213">
        <v>151.14751799999999</v>
      </c>
      <c r="F1213">
        <v>2</v>
      </c>
      <c r="G1213" t="s">
        <v>436</v>
      </c>
      <c r="H1213">
        <v>26</v>
      </c>
      <c r="I1213">
        <v>206</v>
      </c>
      <c r="J1213">
        <v>199</v>
      </c>
      <c r="K1213">
        <v>19</v>
      </c>
      <c r="T1213">
        <v>338</v>
      </c>
      <c r="Y1213">
        <v>451</v>
      </c>
      <c r="AX1213">
        <v>338</v>
      </c>
      <c r="AY1213">
        <v>451</v>
      </c>
      <c r="AZ1213">
        <v>789</v>
      </c>
      <c r="BA1213">
        <v>451</v>
      </c>
      <c r="BB1213">
        <v>338</v>
      </c>
      <c r="BC1213">
        <v>789</v>
      </c>
      <c r="BP1213">
        <v>44</v>
      </c>
      <c r="BR1213">
        <v>456</v>
      </c>
      <c r="BS1213">
        <v>24</v>
      </c>
      <c r="BT1213">
        <v>229</v>
      </c>
      <c r="BV1213">
        <v>36</v>
      </c>
      <c r="BW1213">
        <v>789</v>
      </c>
      <c r="BX1213">
        <f t="shared" si="145"/>
        <v>741</v>
      </c>
      <c r="BY1213" s="5">
        <f t="shared" si="140"/>
        <v>6.4777327935222673E-2</v>
      </c>
      <c r="BZ1213" s="6">
        <f t="shared" si="139"/>
        <v>6.4777327935222673E-2</v>
      </c>
      <c r="CA1213" s="7">
        <v>43051</v>
      </c>
      <c r="CE1213">
        <v>228</v>
      </c>
      <c r="CF1213">
        <v>194</v>
      </c>
      <c r="CG1213">
        <v>201</v>
      </c>
      <c r="CH1213">
        <v>166</v>
      </c>
      <c r="CI1213">
        <f t="shared" si="137"/>
        <v>2017</v>
      </c>
      <c r="CJ1213" t="str">
        <f t="shared" si="138"/>
        <v>6252_2017</v>
      </c>
    </row>
    <row r="1214" spans="1:88" x14ac:dyDescent="0.25">
      <c r="A1214" t="s">
        <v>79</v>
      </c>
      <c r="B1214" t="s">
        <v>80</v>
      </c>
      <c r="C1214">
        <v>6252</v>
      </c>
      <c r="D1214">
        <v>-33.878152</v>
      </c>
      <c r="E1214">
        <v>151.14751799999999</v>
      </c>
      <c r="F1214">
        <v>2</v>
      </c>
      <c r="G1214" t="s">
        <v>436</v>
      </c>
      <c r="H1214">
        <v>26</v>
      </c>
      <c r="I1214">
        <v>206</v>
      </c>
      <c r="J1214">
        <v>199</v>
      </c>
      <c r="K1214">
        <v>19</v>
      </c>
      <c r="T1214">
        <v>452</v>
      </c>
      <c r="Y1214">
        <v>645</v>
      </c>
      <c r="AX1214">
        <v>452</v>
      </c>
      <c r="AY1214">
        <v>645</v>
      </c>
      <c r="AZ1214">
        <v>1097</v>
      </c>
      <c r="BA1214">
        <v>645</v>
      </c>
      <c r="BB1214">
        <v>452</v>
      </c>
      <c r="BC1214">
        <v>1097</v>
      </c>
      <c r="BP1214">
        <v>44</v>
      </c>
      <c r="BR1214">
        <v>712</v>
      </c>
      <c r="BS1214">
        <v>25</v>
      </c>
      <c r="BT1214">
        <v>316</v>
      </c>
      <c r="BV1214">
        <v>0</v>
      </c>
      <c r="BW1214">
        <v>1097</v>
      </c>
      <c r="BX1214">
        <f t="shared" si="145"/>
        <v>789</v>
      </c>
      <c r="BY1214" s="5">
        <f t="shared" si="140"/>
        <v>0.39036755386565275</v>
      </c>
      <c r="BZ1214" s="6">
        <f t="shared" si="139"/>
        <v>0.39036755386565275</v>
      </c>
      <c r="CA1214" s="7">
        <v>43415</v>
      </c>
      <c r="CE1214">
        <v>344</v>
      </c>
      <c r="CF1214">
        <v>364</v>
      </c>
      <c r="CG1214">
        <v>238</v>
      </c>
      <c r="CH1214">
        <v>151</v>
      </c>
      <c r="CI1214">
        <f t="shared" si="137"/>
        <v>2018</v>
      </c>
      <c r="CJ1214" t="str">
        <f t="shared" si="138"/>
        <v>6252_2018</v>
      </c>
    </row>
    <row r="1215" spans="1:88" x14ac:dyDescent="0.25">
      <c r="A1215" t="s">
        <v>79</v>
      </c>
      <c r="B1215" t="s">
        <v>80</v>
      </c>
      <c r="C1215">
        <v>6252</v>
      </c>
      <c r="D1215">
        <v>-33.8782</v>
      </c>
      <c r="E1215">
        <v>151.14750000000001</v>
      </c>
      <c r="F1215">
        <v>2</v>
      </c>
      <c r="G1215" t="s">
        <v>436</v>
      </c>
      <c r="H1215">
        <v>26</v>
      </c>
      <c r="I1215">
        <v>206</v>
      </c>
      <c r="J1215">
        <v>199</v>
      </c>
      <c r="K1215">
        <v>19</v>
      </c>
      <c r="T1215">
        <v>448</v>
      </c>
      <c r="Y1215">
        <v>380</v>
      </c>
      <c r="AX1215">
        <v>448</v>
      </c>
      <c r="AY1215">
        <v>380</v>
      </c>
      <c r="AZ1215">
        <v>828</v>
      </c>
      <c r="BA1215">
        <v>380</v>
      </c>
      <c r="BB1215">
        <v>448</v>
      </c>
      <c r="BC1215">
        <v>828</v>
      </c>
      <c r="BP1215">
        <v>21</v>
      </c>
      <c r="BR1215">
        <v>650</v>
      </c>
      <c r="BS1215">
        <v>20</v>
      </c>
      <c r="BT1215">
        <v>135</v>
      </c>
      <c r="BV1215">
        <v>2</v>
      </c>
      <c r="BW1215">
        <v>828</v>
      </c>
      <c r="BX1215">
        <f t="shared" si="145"/>
        <v>1097</v>
      </c>
      <c r="BY1215" s="5">
        <f t="shared" si="140"/>
        <v>-0.24521422060164083</v>
      </c>
      <c r="BZ1215" s="6">
        <f t="shared" si="139"/>
        <v>-0.24521422060164083</v>
      </c>
      <c r="CA1215" s="7">
        <v>43779</v>
      </c>
      <c r="CE1215">
        <v>204</v>
      </c>
      <c r="CF1215">
        <v>260</v>
      </c>
      <c r="CG1215">
        <v>211</v>
      </c>
      <c r="CH1215">
        <v>153</v>
      </c>
      <c r="CI1215">
        <f t="shared" si="137"/>
        <v>2019</v>
      </c>
      <c r="CJ1215" t="str">
        <f t="shared" si="138"/>
        <v>6252_2019</v>
      </c>
    </row>
    <row r="1216" spans="1:88" x14ac:dyDescent="0.25">
      <c r="A1216" t="s">
        <v>79</v>
      </c>
      <c r="B1216" t="s">
        <v>80</v>
      </c>
      <c r="C1216">
        <v>6253</v>
      </c>
      <c r="D1216">
        <v>-33.886299999999999</v>
      </c>
      <c r="E1216">
        <v>151.1448</v>
      </c>
      <c r="F1216">
        <v>4</v>
      </c>
      <c r="G1216" t="s">
        <v>437</v>
      </c>
      <c r="H1216">
        <v>0</v>
      </c>
      <c r="I1216">
        <v>180</v>
      </c>
      <c r="J1216">
        <v>89</v>
      </c>
      <c r="K1216">
        <v>269</v>
      </c>
      <c r="L1216">
        <v>183</v>
      </c>
      <c r="M1216">
        <v>3</v>
      </c>
      <c r="N1216">
        <v>274</v>
      </c>
      <c r="O1216">
        <v>94</v>
      </c>
      <c r="T1216">
        <v>19</v>
      </c>
      <c r="U1216">
        <v>0</v>
      </c>
      <c r="V1216">
        <v>35</v>
      </c>
      <c r="Y1216">
        <v>25</v>
      </c>
      <c r="Z1216">
        <v>0</v>
      </c>
      <c r="AA1216">
        <v>28</v>
      </c>
      <c r="AD1216">
        <v>0</v>
      </c>
      <c r="AE1216">
        <v>0</v>
      </c>
      <c r="AF1216">
        <v>0</v>
      </c>
      <c r="AI1216">
        <v>36</v>
      </c>
      <c r="AJ1216">
        <v>21</v>
      </c>
      <c r="AK1216">
        <v>0</v>
      </c>
      <c r="AX1216">
        <v>54</v>
      </c>
      <c r="AY1216">
        <v>61</v>
      </c>
      <c r="AZ1216">
        <v>115</v>
      </c>
      <c r="BA1216">
        <v>53</v>
      </c>
      <c r="BB1216">
        <v>40</v>
      </c>
      <c r="BC1216">
        <v>93</v>
      </c>
      <c r="BD1216">
        <v>0</v>
      </c>
      <c r="BE1216">
        <v>0</v>
      </c>
      <c r="BF1216">
        <v>0</v>
      </c>
      <c r="BG1216">
        <v>57</v>
      </c>
      <c r="BH1216">
        <v>63</v>
      </c>
      <c r="BI1216">
        <v>120</v>
      </c>
      <c r="BP1216">
        <v>66</v>
      </c>
      <c r="BR1216">
        <v>70</v>
      </c>
      <c r="BS1216">
        <v>15</v>
      </c>
      <c r="BT1216">
        <v>10</v>
      </c>
      <c r="BV1216">
        <v>3</v>
      </c>
      <c r="BW1216">
        <v>164</v>
      </c>
      <c r="BX1216" t="s">
        <v>82</v>
      </c>
      <c r="BY1216" s="5"/>
      <c r="BZ1216" s="6"/>
      <c r="CA1216" s="7">
        <v>41588</v>
      </c>
      <c r="CI1216">
        <f t="shared" si="137"/>
        <v>2013</v>
      </c>
      <c r="CJ1216" t="str">
        <f t="shared" si="138"/>
        <v>6253_2013</v>
      </c>
    </row>
    <row r="1217" spans="1:88" x14ac:dyDescent="0.25">
      <c r="A1217" t="s">
        <v>79</v>
      </c>
      <c r="B1217" t="s">
        <v>80</v>
      </c>
      <c r="C1217">
        <v>6253</v>
      </c>
      <c r="D1217">
        <v>-33.886299999999999</v>
      </c>
      <c r="E1217">
        <v>151.1448</v>
      </c>
      <c r="F1217">
        <v>4</v>
      </c>
      <c r="G1217" t="s">
        <v>437</v>
      </c>
      <c r="H1217">
        <v>0</v>
      </c>
      <c r="I1217">
        <v>180</v>
      </c>
      <c r="J1217">
        <v>89</v>
      </c>
      <c r="K1217">
        <v>269</v>
      </c>
      <c r="L1217">
        <v>183</v>
      </c>
      <c r="M1217">
        <v>3</v>
      </c>
      <c r="N1217">
        <v>274</v>
      </c>
      <c r="O1217">
        <v>94</v>
      </c>
      <c r="T1217">
        <v>20</v>
      </c>
      <c r="U1217">
        <v>70</v>
      </c>
      <c r="V1217">
        <v>16</v>
      </c>
      <c r="Y1217">
        <v>45</v>
      </c>
      <c r="Z1217">
        <v>8</v>
      </c>
      <c r="AA1217">
        <v>29</v>
      </c>
      <c r="AD1217">
        <v>66</v>
      </c>
      <c r="AE1217">
        <v>6</v>
      </c>
      <c r="AF1217">
        <v>1</v>
      </c>
      <c r="AI1217">
        <v>13</v>
      </c>
      <c r="AJ1217">
        <v>34</v>
      </c>
      <c r="AK1217">
        <v>1</v>
      </c>
      <c r="AX1217">
        <v>106</v>
      </c>
      <c r="AY1217">
        <v>124</v>
      </c>
      <c r="AZ1217">
        <v>230</v>
      </c>
      <c r="BA1217">
        <v>82</v>
      </c>
      <c r="BB1217">
        <v>60</v>
      </c>
      <c r="BC1217">
        <v>142</v>
      </c>
      <c r="BD1217">
        <v>73</v>
      </c>
      <c r="BE1217">
        <v>79</v>
      </c>
      <c r="BF1217">
        <v>152</v>
      </c>
      <c r="BG1217">
        <v>48</v>
      </c>
      <c r="BH1217">
        <v>46</v>
      </c>
      <c r="BI1217">
        <v>94</v>
      </c>
      <c r="BP1217">
        <v>108</v>
      </c>
      <c r="BR1217">
        <v>123</v>
      </c>
      <c r="BS1217">
        <v>17</v>
      </c>
      <c r="BT1217">
        <v>47</v>
      </c>
      <c r="BV1217">
        <v>14</v>
      </c>
      <c r="BW1217">
        <v>309</v>
      </c>
      <c r="BX1217">
        <f t="shared" ref="BX1217:BX1222" si="146">IF(C1217=C1216,IF((CI1217-1)=CI1216,BW1216,"no data"))</f>
        <v>164</v>
      </c>
      <c r="BY1217" s="5">
        <f t="shared" si="140"/>
        <v>0.88414634146341464</v>
      </c>
      <c r="BZ1217" s="6">
        <f t="shared" si="139"/>
        <v>0.88414634146341464</v>
      </c>
      <c r="CA1217" s="7">
        <v>41952</v>
      </c>
      <c r="CI1217">
        <f t="shared" si="137"/>
        <v>2014</v>
      </c>
      <c r="CJ1217" t="str">
        <f t="shared" si="138"/>
        <v>6253_2014</v>
      </c>
    </row>
    <row r="1218" spans="1:88" x14ac:dyDescent="0.25">
      <c r="A1218" t="s">
        <v>79</v>
      </c>
      <c r="B1218" t="s">
        <v>80</v>
      </c>
      <c r="C1218">
        <v>6253</v>
      </c>
      <c r="D1218">
        <v>-33.886299999999999</v>
      </c>
      <c r="E1218">
        <v>151.1448</v>
      </c>
      <c r="F1218">
        <v>4</v>
      </c>
      <c r="G1218" t="s">
        <v>437</v>
      </c>
      <c r="H1218">
        <v>0</v>
      </c>
      <c r="I1218">
        <v>180</v>
      </c>
      <c r="J1218">
        <v>89</v>
      </c>
      <c r="K1218">
        <v>269</v>
      </c>
      <c r="L1218">
        <v>183</v>
      </c>
      <c r="M1218">
        <v>3</v>
      </c>
      <c r="N1218">
        <v>274</v>
      </c>
      <c r="O1218">
        <v>94</v>
      </c>
      <c r="T1218">
        <v>24</v>
      </c>
      <c r="U1218">
        <v>91</v>
      </c>
      <c r="V1218">
        <v>11</v>
      </c>
      <c r="Y1218">
        <v>32</v>
      </c>
      <c r="Z1218">
        <v>9</v>
      </c>
      <c r="AA1218">
        <v>31</v>
      </c>
      <c r="AD1218">
        <v>99</v>
      </c>
      <c r="AE1218">
        <v>6</v>
      </c>
      <c r="AF1218">
        <v>8</v>
      </c>
      <c r="AI1218">
        <v>23</v>
      </c>
      <c r="AJ1218">
        <v>41</v>
      </c>
      <c r="AK1218">
        <v>12</v>
      </c>
      <c r="AX1218">
        <v>126</v>
      </c>
      <c r="AY1218">
        <v>154</v>
      </c>
      <c r="AZ1218">
        <v>280</v>
      </c>
      <c r="BA1218">
        <v>72</v>
      </c>
      <c r="BB1218">
        <v>71</v>
      </c>
      <c r="BC1218">
        <v>143</v>
      </c>
      <c r="BD1218">
        <v>113</v>
      </c>
      <c r="BE1218">
        <v>112</v>
      </c>
      <c r="BF1218">
        <v>225</v>
      </c>
      <c r="BG1218">
        <v>76</v>
      </c>
      <c r="BH1218">
        <v>50</v>
      </c>
      <c r="BI1218">
        <v>126</v>
      </c>
      <c r="BP1218">
        <v>114</v>
      </c>
      <c r="BR1218">
        <v>172</v>
      </c>
      <c r="BS1218">
        <v>35</v>
      </c>
      <c r="BT1218">
        <v>58</v>
      </c>
      <c r="BV1218">
        <v>8</v>
      </c>
      <c r="BW1218">
        <v>387</v>
      </c>
      <c r="BX1218">
        <f t="shared" si="146"/>
        <v>309</v>
      </c>
      <c r="BY1218" s="5">
        <f t="shared" si="140"/>
        <v>0.25242718446601942</v>
      </c>
      <c r="BZ1218" s="6">
        <f t="shared" si="139"/>
        <v>0.25242718446601942</v>
      </c>
      <c r="CA1218" s="7">
        <v>42316</v>
      </c>
      <c r="CE1218">
        <v>76</v>
      </c>
      <c r="CF1218">
        <v>125</v>
      </c>
      <c r="CG1218">
        <v>101</v>
      </c>
      <c r="CH1218">
        <v>85</v>
      </c>
      <c r="CI1218">
        <f t="shared" si="137"/>
        <v>2015</v>
      </c>
      <c r="CJ1218" t="str">
        <f t="shared" si="138"/>
        <v>6253_2015</v>
      </c>
    </row>
    <row r="1219" spans="1:88" x14ac:dyDescent="0.25">
      <c r="A1219" t="s">
        <v>79</v>
      </c>
      <c r="B1219" t="s">
        <v>80</v>
      </c>
      <c r="C1219">
        <v>6253</v>
      </c>
      <c r="D1219">
        <v>-33.886288999999998</v>
      </c>
      <c r="E1219">
        <v>151.144758</v>
      </c>
      <c r="F1219">
        <v>4</v>
      </c>
      <c r="G1219" t="s">
        <v>437</v>
      </c>
      <c r="H1219">
        <v>0</v>
      </c>
      <c r="I1219">
        <v>180</v>
      </c>
      <c r="J1219">
        <v>89</v>
      </c>
      <c r="K1219">
        <v>269</v>
      </c>
      <c r="L1219">
        <v>183</v>
      </c>
      <c r="M1219">
        <v>3</v>
      </c>
      <c r="N1219">
        <v>274</v>
      </c>
      <c r="O1219">
        <v>94</v>
      </c>
      <c r="T1219">
        <v>28</v>
      </c>
      <c r="U1219">
        <v>63</v>
      </c>
      <c r="V1219">
        <v>10</v>
      </c>
      <c r="Y1219">
        <v>36</v>
      </c>
      <c r="Z1219">
        <v>6</v>
      </c>
      <c r="AA1219">
        <v>14</v>
      </c>
      <c r="AD1219">
        <v>62</v>
      </c>
      <c r="AE1219">
        <v>6</v>
      </c>
      <c r="AF1219">
        <v>7</v>
      </c>
      <c r="AI1219">
        <v>16</v>
      </c>
      <c r="AJ1219">
        <v>17</v>
      </c>
      <c r="AK1219">
        <v>6</v>
      </c>
      <c r="AX1219">
        <v>101</v>
      </c>
      <c r="AY1219">
        <v>114</v>
      </c>
      <c r="AZ1219">
        <v>215</v>
      </c>
      <c r="BA1219">
        <v>56</v>
      </c>
      <c r="BB1219">
        <v>51</v>
      </c>
      <c r="BC1219">
        <v>107</v>
      </c>
      <c r="BD1219">
        <v>75</v>
      </c>
      <c r="BE1219">
        <v>75</v>
      </c>
      <c r="BF1219">
        <v>150</v>
      </c>
      <c r="BG1219">
        <v>39</v>
      </c>
      <c r="BH1219">
        <v>31</v>
      </c>
      <c r="BI1219">
        <v>70</v>
      </c>
      <c r="BP1219">
        <v>64</v>
      </c>
      <c r="BR1219">
        <v>128</v>
      </c>
      <c r="BS1219">
        <v>20</v>
      </c>
      <c r="BT1219">
        <v>51</v>
      </c>
      <c r="BV1219">
        <v>8</v>
      </c>
      <c r="BW1219">
        <v>271</v>
      </c>
      <c r="BX1219">
        <f t="shared" si="146"/>
        <v>387</v>
      </c>
      <c r="BY1219" s="5">
        <f t="shared" si="140"/>
        <v>-0.29974160206718348</v>
      </c>
      <c r="BZ1219" s="6">
        <f t="shared" si="139"/>
        <v>-0.29974160206718348</v>
      </c>
      <c r="CA1219" s="7">
        <v>42687</v>
      </c>
      <c r="CE1219">
        <v>96</v>
      </c>
      <c r="CF1219">
        <v>77</v>
      </c>
      <c r="CG1219">
        <v>48</v>
      </c>
      <c r="CH1219">
        <v>50</v>
      </c>
      <c r="CI1219">
        <f t="shared" ref="CI1219:CI1282" si="147">YEAR(CA1219)</f>
        <v>2016</v>
      </c>
      <c r="CJ1219" t="str">
        <f t="shared" ref="CJ1219:CJ1282" si="148">_xlfn.CONCAT(C1219,"_",CI1219)</f>
        <v>6253_2016</v>
      </c>
    </row>
    <row r="1220" spans="1:88" x14ac:dyDescent="0.25">
      <c r="A1220" t="s">
        <v>79</v>
      </c>
      <c r="B1220" t="s">
        <v>80</v>
      </c>
      <c r="C1220">
        <v>6253</v>
      </c>
      <c r="D1220">
        <v>-33.886288999999998</v>
      </c>
      <c r="E1220">
        <v>151.144758</v>
      </c>
      <c r="F1220">
        <v>4</v>
      </c>
      <c r="G1220" t="s">
        <v>437</v>
      </c>
      <c r="H1220">
        <v>0</v>
      </c>
      <c r="I1220">
        <v>180</v>
      </c>
      <c r="J1220">
        <v>89</v>
      </c>
      <c r="K1220">
        <v>269</v>
      </c>
      <c r="L1220">
        <v>183</v>
      </c>
      <c r="M1220">
        <v>3</v>
      </c>
      <c r="N1220">
        <v>274</v>
      </c>
      <c r="O1220">
        <v>94</v>
      </c>
      <c r="T1220">
        <v>33</v>
      </c>
      <c r="U1220">
        <v>99</v>
      </c>
      <c r="V1220">
        <v>18</v>
      </c>
      <c r="Y1220">
        <v>53</v>
      </c>
      <c r="Z1220">
        <v>12</v>
      </c>
      <c r="AA1220">
        <v>20</v>
      </c>
      <c r="AD1220">
        <v>97</v>
      </c>
      <c r="AE1220">
        <v>18</v>
      </c>
      <c r="AF1220">
        <v>9</v>
      </c>
      <c r="AI1220">
        <v>27</v>
      </c>
      <c r="AJ1220">
        <v>22</v>
      </c>
      <c r="AK1220">
        <v>5</v>
      </c>
      <c r="AX1220">
        <v>150</v>
      </c>
      <c r="AY1220">
        <v>177</v>
      </c>
      <c r="AZ1220">
        <v>327</v>
      </c>
      <c r="BA1220">
        <v>85</v>
      </c>
      <c r="BB1220">
        <v>73</v>
      </c>
      <c r="BC1220">
        <v>158</v>
      </c>
      <c r="BD1220">
        <v>124</v>
      </c>
      <c r="BE1220">
        <v>116</v>
      </c>
      <c r="BF1220">
        <v>240</v>
      </c>
      <c r="BG1220">
        <v>54</v>
      </c>
      <c r="BH1220">
        <v>47</v>
      </c>
      <c r="BI1220">
        <v>101</v>
      </c>
      <c r="BP1220">
        <v>147</v>
      </c>
      <c r="BR1220">
        <v>169</v>
      </c>
      <c r="BS1220">
        <v>40</v>
      </c>
      <c r="BT1220">
        <v>47</v>
      </c>
      <c r="BV1220">
        <v>10</v>
      </c>
      <c r="BW1220">
        <v>413</v>
      </c>
      <c r="BX1220">
        <f t="shared" si="146"/>
        <v>271</v>
      </c>
      <c r="BY1220" s="5">
        <f t="shared" si="140"/>
        <v>0.52398523985239853</v>
      </c>
      <c r="BZ1220" s="6">
        <f t="shared" si="139"/>
        <v>0.52398523985239853</v>
      </c>
      <c r="CA1220" s="7">
        <v>43051</v>
      </c>
      <c r="CE1220">
        <v>115</v>
      </c>
      <c r="CF1220">
        <v>134</v>
      </c>
      <c r="CG1220">
        <v>108</v>
      </c>
      <c r="CH1220">
        <v>56</v>
      </c>
      <c r="CI1220">
        <f t="shared" si="147"/>
        <v>2017</v>
      </c>
      <c r="CJ1220" t="str">
        <f t="shared" si="148"/>
        <v>6253_2017</v>
      </c>
    </row>
    <row r="1221" spans="1:88" x14ac:dyDescent="0.25">
      <c r="A1221" t="s">
        <v>79</v>
      </c>
      <c r="B1221" t="s">
        <v>80</v>
      </c>
      <c r="C1221">
        <v>6253</v>
      </c>
      <c r="D1221">
        <v>-33.886288999999998</v>
      </c>
      <c r="E1221">
        <v>151.144758</v>
      </c>
      <c r="F1221">
        <v>4</v>
      </c>
      <c r="G1221" t="s">
        <v>437</v>
      </c>
      <c r="H1221">
        <v>0</v>
      </c>
      <c r="I1221">
        <v>180</v>
      </c>
      <c r="J1221">
        <v>89</v>
      </c>
      <c r="K1221">
        <v>269</v>
      </c>
      <c r="L1221">
        <v>183</v>
      </c>
      <c r="M1221">
        <v>3</v>
      </c>
      <c r="N1221">
        <v>274</v>
      </c>
      <c r="O1221">
        <v>94</v>
      </c>
      <c r="T1221">
        <v>46</v>
      </c>
      <c r="U1221">
        <v>107</v>
      </c>
      <c r="V1221">
        <v>36</v>
      </c>
      <c r="Y1221">
        <v>27</v>
      </c>
      <c r="Z1221">
        <v>15</v>
      </c>
      <c r="AA1221">
        <v>24</v>
      </c>
      <c r="AD1221">
        <v>133</v>
      </c>
      <c r="AE1221">
        <v>15</v>
      </c>
      <c r="AF1221">
        <v>4</v>
      </c>
      <c r="AI1221">
        <v>26</v>
      </c>
      <c r="AJ1221">
        <v>27</v>
      </c>
      <c r="AK1221">
        <v>4</v>
      </c>
      <c r="AX1221">
        <v>189</v>
      </c>
      <c r="AY1221">
        <v>186</v>
      </c>
      <c r="AZ1221">
        <v>375</v>
      </c>
      <c r="BA1221">
        <v>66</v>
      </c>
      <c r="BB1221">
        <v>88</v>
      </c>
      <c r="BC1221">
        <v>154</v>
      </c>
      <c r="BD1221">
        <v>152</v>
      </c>
      <c r="BE1221">
        <v>126</v>
      </c>
      <c r="BF1221">
        <v>278</v>
      </c>
      <c r="BG1221">
        <v>57</v>
      </c>
      <c r="BH1221">
        <v>64</v>
      </c>
      <c r="BI1221">
        <v>121</v>
      </c>
      <c r="BP1221">
        <v>127</v>
      </c>
      <c r="BR1221">
        <v>222</v>
      </c>
      <c r="BS1221">
        <v>52</v>
      </c>
      <c r="BT1221">
        <v>43</v>
      </c>
      <c r="BV1221">
        <v>20</v>
      </c>
      <c r="BW1221">
        <v>464</v>
      </c>
      <c r="BX1221">
        <f t="shared" si="146"/>
        <v>413</v>
      </c>
      <c r="BY1221" s="5">
        <f t="shared" si="140"/>
        <v>0.12348668280871671</v>
      </c>
      <c r="BZ1221" s="6">
        <f t="shared" ref="BZ1221:BZ1282" si="149">BY1221</f>
        <v>0.12348668280871671</v>
      </c>
      <c r="CA1221" s="7">
        <v>43415</v>
      </c>
      <c r="CE1221">
        <v>134</v>
      </c>
      <c r="CF1221">
        <v>156</v>
      </c>
      <c r="CG1221">
        <v>88</v>
      </c>
      <c r="CH1221">
        <v>86</v>
      </c>
      <c r="CI1221">
        <f t="shared" si="147"/>
        <v>2018</v>
      </c>
      <c r="CJ1221" t="str">
        <f t="shared" si="148"/>
        <v>6253_2018</v>
      </c>
    </row>
    <row r="1222" spans="1:88" x14ac:dyDescent="0.25">
      <c r="A1222" t="s">
        <v>79</v>
      </c>
      <c r="B1222" t="s">
        <v>80</v>
      </c>
      <c r="C1222">
        <v>6253</v>
      </c>
      <c r="D1222">
        <v>-33.886299999999999</v>
      </c>
      <c r="E1222">
        <v>151.1448</v>
      </c>
      <c r="F1222">
        <v>4</v>
      </c>
      <c r="G1222" t="s">
        <v>437</v>
      </c>
      <c r="H1222">
        <v>0</v>
      </c>
      <c r="I1222">
        <v>180</v>
      </c>
      <c r="J1222">
        <v>89</v>
      </c>
      <c r="K1222">
        <v>269</v>
      </c>
      <c r="L1222">
        <v>183</v>
      </c>
      <c r="M1222">
        <v>3</v>
      </c>
      <c r="N1222">
        <v>274</v>
      </c>
      <c r="O1222">
        <v>94</v>
      </c>
      <c r="T1222">
        <v>64</v>
      </c>
      <c r="U1222">
        <v>112</v>
      </c>
      <c r="V1222">
        <v>40</v>
      </c>
      <c r="Y1222">
        <v>61</v>
      </c>
      <c r="Z1222">
        <v>25</v>
      </c>
      <c r="AA1222">
        <v>11</v>
      </c>
      <c r="AD1222">
        <v>126</v>
      </c>
      <c r="AE1222">
        <v>17</v>
      </c>
      <c r="AF1222">
        <v>8</v>
      </c>
      <c r="AI1222">
        <v>28</v>
      </c>
      <c r="AJ1222">
        <v>29</v>
      </c>
      <c r="AK1222">
        <v>9</v>
      </c>
      <c r="AX1222">
        <v>216</v>
      </c>
      <c r="AY1222">
        <v>215</v>
      </c>
      <c r="AZ1222">
        <v>431</v>
      </c>
      <c r="BA1222">
        <v>97</v>
      </c>
      <c r="BB1222">
        <v>110</v>
      </c>
      <c r="BC1222">
        <v>207</v>
      </c>
      <c r="BD1222">
        <v>151</v>
      </c>
      <c r="BE1222">
        <v>146</v>
      </c>
      <c r="BF1222">
        <v>297</v>
      </c>
      <c r="BG1222">
        <v>66</v>
      </c>
      <c r="BH1222">
        <v>59</v>
      </c>
      <c r="BI1222">
        <v>125</v>
      </c>
      <c r="BP1222">
        <v>138</v>
      </c>
      <c r="BR1222">
        <v>257</v>
      </c>
      <c r="BS1222">
        <v>47</v>
      </c>
      <c r="BT1222">
        <v>69</v>
      </c>
      <c r="BV1222">
        <v>19</v>
      </c>
      <c r="BW1222">
        <v>530</v>
      </c>
      <c r="BX1222">
        <f t="shared" si="146"/>
        <v>464</v>
      </c>
      <c r="BY1222" s="5">
        <f t="shared" si="140"/>
        <v>0.14224137931034483</v>
      </c>
      <c r="BZ1222" s="6">
        <f t="shared" si="149"/>
        <v>0.14224137931034483</v>
      </c>
      <c r="CA1222" s="7">
        <v>43779</v>
      </c>
      <c r="CE1222">
        <v>138</v>
      </c>
      <c r="CF1222">
        <v>150</v>
      </c>
      <c r="CG1222">
        <v>146</v>
      </c>
      <c r="CH1222">
        <v>96</v>
      </c>
      <c r="CI1222">
        <f t="shared" si="147"/>
        <v>2019</v>
      </c>
      <c r="CJ1222" t="str">
        <f t="shared" si="148"/>
        <v>6253_2019</v>
      </c>
    </row>
    <row r="1223" spans="1:88" x14ac:dyDescent="0.25">
      <c r="A1223" t="s">
        <v>79</v>
      </c>
      <c r="B1223" t="s">
        <v>80</v>
      </c>
      <c r="C1223">
        <v>6254</v>
      </c>
      <c r="D1223">
        <v>-33.891800000000003</v>
      </c>
      <c r="E1223">
        <v>151.14439999999999</v>
      </c>
      <c r="F1223">
        <v>3</v>
      </c>
      <c r="G1223" t="s">
        <v>438</v>
      </c>
      <c r="H1223">
        <v>14</v>
      </c>
      <c r="I1223">
        <v>194</v>
      </c>
      <c r="J1223">
        <v>115</v>
      </c>
      <c r="K1223">
        <v>295</v>
      </c>
      <c r="L1223">
        <v>326</v>
      </c>
      <c r="M1223">
        <v>146</v>
      </c>
      <c r="T1223">
        <v>3</v>
      </c>
      <c r="U1223">
        <v>22</v>
      </c>
      <c r="Y1223">
        <v>3</v>
      </c>
      <c r="Z1223">
        <v>8</v>
      </c>
      <c r="AD1223">
        <v>19</v>
      </c>
      <c r="AE1223">
        <v>8</v>
      </c>
      <c r="AX1223">
        <v>25</v>
      </c>
      <c r="AY1223">
        <v>22</v>
      </c>
      <c r="AZ1223">
        <v>47</v>
      </c>
      <c r="BA1223">
        <v>11</v>
      </c>
      <c r="BB1223">
        <v>11</v>
      </c>
      <c r="BC1223">
        <v>22</v>
      </c>
      <c r="BD1223">
        <v>27</v>
      </c>
      <c r="BE1223">
        <v>30</v>
      </c>
      <c r="BF1223">
        <v>57</v>
      </c>
      <c r="BP1223">
        <v>28</v>
      </c>
      <c r="BR1223">
        <v>11</v>
      </c>
      <c r="BS1223">
        <v>2</v>
      </c>
      <c r="BT1223">
        <v>22</v>
      </c>
      <c r="BV1223">
        <v>0</v>
      </c>
      <c r="BW1223">
        <v>63</v>
      </c>
      <c r="BX1223" t="s">
        <v>82</v>
      </c>
      <c r="BY1223" s="5"/>
      <c r="BZ1223" s="6"/>
      <c r="CA1223" s="7">
        <v>41588</v>
      </c>
      <c r="CI1223">
        <f t="shared" si="147"/>
        <v>2013</v>
      </c>
      <c r="CJ1223" t="str">
        <f t="shared" si="148"/>
        <v>6254_2013</v>
      </c>
    </row>
    <row r="1224" spans="1:88" x14ac:dyDescent="0.25">
      <c r="A1224" t="s">
        <v>79</v>
      </c>
      <c r="B1224" t="s">
        <v>80</v>
      </c>
      <c r="C1224">
        <v>6254</v>
      </c>
      <c r="D1224">
        <v>-33.891800000000003</v>
      </c>
      <c r="E1224">
        <v>151.14439999999999</v>
      </c>
      <c r="F1224">
        <v>3</v>
      </c>
      <c r="G1224" t="s">
        <v>438</v>
      </c>
      <c r="H1224">
        <v>14</v>
      </c>
      <c r="I1224">
        <v>194</v>
      </c>
      <c r="J1224">
        <v>115</v>
      </c>
      <c r="K1224">
        <v>295</v>
      </c>
      <c r="L1224">
        <v>326</v>
      </c>
      <c r="M1224">
        <v>146</v>
      </c>
      <c r="T1224">
        <v>55</v>
      </c>
      <c r="U1224">
        <v>2</v>
      </c>
      <c r="Y1224">
        <v>22</v>
      </c>
      <c r="Z1224">
        <v>18</v>
      </c>
      <c r="AD1224">
        <v>6</v>
      </c>
      <c r="AE1224">
        <v>11</v>
      </c>
      <c r="AX1224">
        <v>57</v>
      </c>
      <c r="AY1224">
        <v>28</v>
      </c>
      <c r="AZ1224">
        <v>85</v>
      </c>
      <c r="BA1224">
        <v>40</v>
      </c>
      <c r="BB1224">
        <v>66</v>
      </c>
      <c r="BC1224">
        <v>106</v>
      </c>
      <c r="BD1224">
        <v>17</v>
      </c>
      <c r="BE1224">
        <v>20</v>
      </c>
      <c r="BF1224">
        <v>37</v>
      </c>
      <c r="BP1224">
        <v>77</v>
      </c>
      <c r="BR1224">
        <v>14</v>
      </c>
      <c r="BS1224">
        <v>13</v>
      </c>
      <c r="BT1224">
        <v>10</v>
      </c>
      <c r="BV1224">
        <v>0</v>
      </c>
      <c r="BW1224">
        <v>114</v>
      </c>
      <c r="BX1224">
        <f t="shared" ref="BX1224:BX1229" si="150">IF(C1224=C1223,IF((CI1224-1)=CI1223,BW1223,"no data"))</f>
        <v>63</v>
      </c>
      <c r="BY1224" s="5">
        <f t="shared" si="140"/>
        <v>0.80952380952380953</v>
      </c>
      <c r="BZ1224" s="6">
        <f t="shared" si="149"/>
        <v>0.80952380952380953</v>
      </c>
      <c r="CA1224" s="7">
        <v>41952</v>
      </c>
      <c r="CI1224">
        <f t="shared" si="147"/>
        <v>2014</v>
      </c>
      <c r="CJ1224" t="str">
        <f t="shared" si="148"/>
        <v>6254_2014</v>
      </c>
    </row>
    <row r="1225" spans="1:88" x14ac:dyDescent="0.25">
      <c r="A1225" t="s">
        <v>79</v>
      </c>
      <c r="B1225" t="s">
        <v>80</v>
      </c>
      <c r="C1225">
        <v>6254</v>
      </c>
      <c r="D1225">
        <v>-33.891800000000003</v>
      </c>
      <c r="E1225">
        <v>151.14439999999999</v>
      </c>
      <c r="F1225">
        <v>3</v>
      </c>
      <c r="G1225" t="s">
        <v>438</v>
      </c>
      <c r="H1225">
        <v>14</v>
      </c>
      <c r="I1225">
        <v>194</v>
      </c>
      <c r="J1225">
        <v>115</v>
      </c>
      <c r="K1225">
        <v>295</v>
      </c>
      <c r="L1225">
        <v>326</v>
      </c>
      <c r="M1225">
        <v>146</v>
      </c>
      <c r="T1225">
        <v>53</v>
      </c>
      <c r="U1225">
        <v>11</v>
      </c>
      <c r="Y1225">
        <v>62</v>
      </c>
      <c r="Z1225">
        <v>22</v>
      </c>
      <c r="AD1225">
        <v>20</v>
      </c>
      <c r="AE1225">
        <v>26</v>
      </c>
      <c r="AX1225">
        <v>64</v>
      </c>
      <c r="AY1225">
        <v>82</v>
      </c>
      <c r="AZ1225">
        <v>146</v>
      </c>
      <c r="BA1225">
        <v>84</v>
      </c>
      <c r="BB1225">
        <v>79</v>
      </c>
      <c r="BC1225">
        <v>163</v>
      </c>
      <c r="BD1225">
        <v>46</v>
      </c>
      <c r="BE1225">
        <v>33</v>
      </c>
      <c r="BF1225">
        <v>79</v>
      </c>
      <c r="BP1225">
        <v>83</v>
      </c>
      <c r="BR1225">
        <v>71</v>
      </c>
      <c r="BS1225">
        <v>11</v>
      </c>
      <c r="BT1225">
        <v>26</v>
      </c>
      <c r="BV1225">
        <v>3</v>
      </c>
      <c r="BW1225">
        <v>194</v>
      </c>
      <c r="BX1225">
        <f t="shared" si="150"/>
        <v>114</v>
      </c>
      <c r="BY1225" s="5">
        <f t="shared" si="140"/>
        <v>0.70175438596491224</v>
      </c>
      <c r="BZ1225" s="6">
        <f t="shared" si="149"/>
        <v>0.70175438596491224</v>
      </c>
      <c r="CA1225" s="7">
        <v>42316</v>
      </c>
      <c r="CE1225">
        <v>36</v>
      </c>
      <c r="CF1225">
        <v>55</v>
      </c>
      <c r="CG1225">
        <v>50</v>
      </c>
      <c r="CH1225">
        <v>53</v>
      </c>
      <c r="CI1225">
        <f t="shared" si="147"/>
        <v>2015</v>
      </c>
      <c r="CJ1225" t="str">
        <f t="shared" si="148"/>
        <v>6254_2015</v>
      </c>
    </row>
    <row r="1226" spans="1:88" x14ac:dyDescent="0.25">
      <c r="A1226" t="s">
        <v>79</v>
      </c>
      <c r="B1226" t="s">
        <v>80</v>
      </c>
      <c r="C1226">
        <v>6254</v>
      </c>
      <c r="D1226">
        <v>-33.891784999999999</v>
      </c>
      <c r="E1226">
        <v>151.14439200000001</v>
      </c>
      <c r="F1226">
        <v>3</v>
      </c>
      <c r="G1226" t="s">
        <v>438</v>
      </c>
      <c r="H1226">
        <v>14</v>
      </c>
      <c r="I1226">
        <v>194</v>
      </c>
      <c r="J1226">
        <v>115</v>
      </c>
      <c r="K1226">
        <v>295</v>
      </c>
      <c r="L1226">
        <v>326</v>
      </c>
      <c r="M1226">
        <v>146</v>
      </c>
      <c r="T1226">
        <v>47</v>
      </c>
      <c r="U1226">
        <v>5</v>
      </c>
      <c r="Y1226">
        <v>48</v>
      </c>
      <c r="Z1226">
        <v>19</v>
      </c>
      <c r="AD1226">
        <v>23</v>
      </c>
      <c r="AE1226">
        <v>30</v>
      </c>
      <c r="AX1226">
        <v>52</v>
      </c>
      <c r="AY1226">
        <v>71</v>
      </c>
      <c r="AZ1226">
        <v>123</v>
      </c>
      <c r="BA1226">
        <v>67</v>
      </c>
      <c r="BB1226">
        <v>77</v>
      </c>
      <c r="BC1226">
        <v>144</v>
      </c>
      <c r="BD1226">
        <v>53</v>
      </c>
      <c r="BE1226">
        <v>24</v>
      </c>
      <c r="BF1226">
        <v>77</v>
      </c>
      <c r="BP1226">
        <v>83</v>
      </c>
      <c r="BR1226">
        <v>55</v>
      </c>
      <c r="BS1226">
        <v>10</v>
      </c>
      <c r="BT1226">
        <v>24</v>
      </c>
      <c r="BV1226">
        <v>0</v>
      </c>
      <c r="BW1226">
        <v>172</v>
      </c>
      <c r="BX1226">
        <f t="shared" si="150"/>
        <v>194</v>
      </c>
      <c r="BY1226" s="5">
        <f t="shared" si="140"/>
        <v>-0.1134020618556701</v>
      </c>
      <c r="BZ1226" s="6">
        <f t="shared" si="149"/>
        <v>-0.1134020618556701</v>
      </c>
      <c r="CA1226" s="7">
        <v>42687</v>
      </c>
      <c r="CE1226">
        <v>42</v>
      </c>
      <c r="CF1226">
        <v>57</v>
      </c>
      <c r="CG1226">
        <v>48</v>
      </c>
      <c r="CH1226">
        <v>25</v>
      </c>
      <c r="CI1226">
        <f t="shared" si="147"/>
        <v>2016</v>
      </c>
      <c r="CJ1226" t="str">
        <f t="shared" si="148"/>
        <v>6254_2016</v>
      </c>
    </row>
    <row r="1227" spans="1:88" x14ac:dyDescent="0.25">
      <c r="A1227" t="s">
        <v>79</v>
      </c>
      <c r="B1227" t="s">
        <v>80</v>
      </c>
      <c r="C1227">
        <v>6254</v>
      </c>
      <c r="D1227">
        <v>-33.891784999999999</v>
      </c>
      <c r="E1227">
        <v>151.14439200000001</v>
      </c>
      <c r="F1227">
        <v>3</v>
      </c>
      <c r="G1227" t="s">
        <v>438</v>
      </c>
      <c r="H1227">
        <v>14</v>
      </c>
      <c r="I1227">
        <v>194</v>
      </c>
      <c r="J1227">
        <v>115</v>
      </c>
      <c r="K1227">
        <v>295</v>
      </c>
      <c r="L1227">
        <v>326</v>
      </c>
      <c r="M1227">
        <v>146</v>
      </c>
      <c r="T1227">
        <v>17</v>
      </c>
      <c r="U1227">
        <v>442</v>
      </c>
      <c r="Y1227">
        <v>9</v>
      </c>
      <c r="Z1227">
        <v>27</v>
      </c>
      <c r="AD1227">
        <v>49</v>
      </c>
      <c r="AE1227">
        <v>28</v>
      </c>
      <c r="AX1227">
        <v>459</v>
      </c>
      <c r="AY1227">
        <v>58</v>
      </c>
      <c r="AZ1227">
        <v>517</v>
      </c>
      <c r="BA1227">
        <v>36</v>
      </c>
      <c r="BB1227">
        <v>45</v>
      </c>
      <c r="BC1227">
        <v>81</v>
      </c>
      <c r="BD1227">
        <v>77</v>
      </c>
      <c r="BE1227">
        <v>469</v>
      </c>
      <c r="BF1227">
        <v>546</v>
      </c>
      <c r="BP1227">
        <v>33</v>
      </c>
      <c r="BR1227">
        <v>488</v>
      </c>
      <c r="BS1227">
        <v>6</v>
      </c>
      <c r="BT1227">
        <v>28</v>
      </c>
      <c r="BV1227">
        <v>17</v>
      </c>
      <c r="BW1227">
        <v>572</v>
      </c>
      <c r="BX1227">
        <f t="shared" si="150"/>
        <v>172</v>
      </c>
      <c r="BY1227" s="5">
        <f t="shared" si="140"/>
        <v>2.3255813953488373</v>
      </c>
      <c r="BZ1227" s="6">
        <f t="shared" si="149"/>
        <v>2.3255813953488373</v>
      </c>
      <c r="CA1227" s="7">
        <v>43051</v>
      </c>
      <c r="CE1227">
        <v>158</v>
      </c>
      <c r="CF1227">
        <v>156</v>
      </c>
      <c r="CG1227">
        <v>139</v>
      </c>
      <c r="CH1227">
        <v>119</v>
      </c>
      <c r="CI1227">
        <f t="shared" si="147"/>
        <v>2017</v>
      </c>
      <c r="CJ1227" t="str">
        <f t="shared" si="148"/>
        <v>6254_2017</v>
      </c>
    </row>
    <row r="1228" spans="1:88" x14ac:dyDescent="0.25">
      <c r="A1228" t="s">
        <v>79</v>
      </c>
      <c r="B1228" t="s">
        <v>80</v>
      </c>
      <c r="C1228">
        <v>6254</v>
      </c>
      <c r="D1228">
        <v>-33.891784999999999</v>
      </c>
      <c r="E1228">
        <v>151.14439200000001</v>
      </c>
      <c r="F1228">
        <v>3</v>
      </c>
      <c r="G1228" t="s">
        <v>438</v>
      </c>
      <c r="H1228">
        <v>14</v>
      </c>
      <c r="I1228">
        <v>194</v>
      </c>
      <c r="J1228">
        <v>115</v>
      </c>
      <c r="K1228">
        <v>295</v>
      </c>
      <c r="L1228">
        <v>326</v>
      </c>
      <c r="M1228">
        <v>146</v>
      </c>
      <c r="T1228">
        <v>55</v>
      </c>
      <c r="U1228">
        <v>12</v>
      </c>
      <c r="Y1228">
        <v>54</v>
      </c>
      <c r="Z1228">
        <v>33</v>
      </c>
      <c r="AD1228">
        <v>26</v>
      </c>
      <c r="AE1228">
        <v>27</v>
      </c>
      <c r="AX1228">
        <v>67</v>
      </c>
      <c r="AY1228">
        <v>80</v>
      </c>
      <c r="AZ1228">
        <v>147</v>
      </c>
      <c r="BA1228">
        <v>87</v>
      </c>
      <c r="BB1228">
        <v>82</v>
      </c>
      <c r="BC1228">
        <v>169</v>
      </c>
      <c r="BD1228">
        <v>53</v>
      </c>
      <c r="BE1228">
        <v>45</v>
      </c>
      <c r="BF1228">
        <v>98</v>
      </c>
      <c r="BP1228">
        <v>68</v>
      </c>
      <c r="BR1228">
        <v>99</v>
      </c>
      <c r="BS1228">
        <v>16</v>
      </c>
      <c r="BT1228">
        <v>20</v>
      </c>
      <c r="BV1228">
        <v>4</v>
      </c>
      <c r="BW1228">
        <v>207</v>
      </c>
      <c r="BX1228">
        <f t="shared" si="150"/>
        <v>572</v>
      </c>
      <c r="BY1228" s="5">
        <f t="shared" si="140"/>
        <v>-0.63811188811188813</v>
      </c>
      <c r="BZ1228" s="6">
        <f t="shared" si="149"/>
        <v>-0.63811188811188813</v>
      </c>
      <c r="CA1228" s="7">
        <v>43415</v>
      </c>
      <c r="CE1228">
        <v>63</v>
      </c>
      <c r="CF1228">
        <v>67</v>
      </c>
      <c r="CG1228">
        <v>32</v>
      </c>
      <c r="CH1228">
        <v>45</v>
      </c>
      <c r="CI1228">
        <f t="shared" si="147"/>
        <v>2018</v>
      </c>
      <c r="CJ1228" t="str">
        <f t="shared" si="148"/>
        <v>6254_2018</v>
      </c>
    </row>
    <row r="1229" spans="1:88" x14ac:dyDescent="0.25">
      <c r="A1229" t="s">
        <v>79</v>
      </c>
      <c r="B1229" t="s">
        <v>80</v>
      </c>
      <c r="C1229">
        <v>6254</v>
      </c>
      <c r="D1229">
        <v>-33.891800000000003</v>
      </c>
      <c r="E1229">
        <v>151.14439999999999</v>
      </c>
      <c r="F1229">
        <v>3</v>
      </c>
      <c r="G1229" t="s">
        <v>438</v>
      </c>
      <c r="H1229">
        <v>14</v>
      </c>
      <c r="I1229">
        <v>194</v>
      </c>
      <c r="J1229">
        <v>115</v>
      </c>
      <c r="K1229">
        <v>295</v>
      </c>
      <c r="L1229">
        <v>326</v>
      </c>
      <c r="M1229">
        <v>146</v>
      </c>
      <c r="T1229">
        <v>94</v>
      </c>
      <c r="U1229">
        <v>36</v>
      </c>
      <c r="Y1229">
        <v>105</v>
      </c>
      <c r="Z1229">
        <v>46</v>
      </c>
      <c r="AD1229">
        <v>22</v>
      </c>
      <c r="AE1229">
        <v>55</v>
      </c>
      <c r="AX1229">
        <v>130</v>
      </c>
      <c r="AY1229">
        <v>127</v>
      </c>
      <c r="AZ1229">
        <v>257</v>
      </c>
      <c r="BA1229">
        <v>151</v>
      </c>
      <c r="BB1229">
        <v>149</v>
      </c>
      <c r="BC1229">
        <v>300</v>
      </c>
      <c r="BD1229">
        <v>77</v>
      </c>
      <c r="BE1229">
        <v>82</v>
      </c>
      <c r="BF1229">
        <v>159</v>
      </c>
      <c r="BP1229">
        <v>95</v>
      </c>
      <c r="BR1229">
        <v>195</v>
      </c>
      <c r="BS1229">
        <v>34</v>
      </c>
      <c r="BT1229">
        <v>29</v>
      </c>
      <c r="BV1229">
        <v>5</v>
      </c>
      <c r="BW1229">
        <v>358</v>
      </c>
      <c r="BX1229">
        <f t="shared" si="150"/>
        <v>207</v>
      </c>
      <c r="BY1229" s="5">
        <f t="shared" ref="BY1229:BY1282" si="151">(BW1229-BX1229)/BX1229</f>
        <v>0.72946859903381644</v>
      </c>
      <c r="BZ1229" s="6">
        <f t="shared" si="149"/>
        <v>0.72946859903381644</v>
      </c>
      <c r="CA1229" s="7">
        <v>43779</v>
      </c>
      <c r="CE1229">
        <v>80</v>
      </c>
      <c r="CF1229">
        <v>95</v>
      </c>
      <c r="CG1229">
        <v>105</v>
      </c>
      <c r="CH1229">
        <v>78</v>
      </c>
      <c r="CI1229">
        <f t="shared" si="147"/>
        <v>2019</v>
      </c>
      <c r="CJ1229" t="str">
        <f t="shared" si="148"/>
        <v>6254_2019</v>
      </c>
    </row>
    <row r="1230" spans="1:88" x14ac:dyDescent="0.25">
      <c r="A1230" t="s">
        <v>79</v>
      </c>
      <c r="B1230" t="s">
        <v>439</v>
      </c>
      <c r="C1230">
        <v>6255</v>
      </c>
      <c r="D1230">
        <v>-33.915100000000002</v>
      </c>
      <c r="E1230">
        <v>151.13489999999999</v>
      </c>
      <c r="F1230">
        <v>5</v>
      </c>
      <c r="G1230" t="s">
        <v>440</v>
      </c>
      <c r="H1230">
        <v>56</v>
      </c>
      <c r="I1230">
        <v>236</v>
      </c>
      <c r="J1230">
        <v>76</v>
      </c>
      <c r="K1230">
        <v>256</v>
      </c>
      <c r="L1230">
        <v>150</v>
      </c>
      <c r="M1230">
        <v>330</v>
      </c>
      <c r="N1230">
        <v>236</v>
      </c>
      <c r="O1230">
        <v>56</v>
      </c>
      <c r="P1230">
        <v>324</v>
      </c>
      <c r="Q1230">
        <v>144</v>
      </c>
      <c r="T1230">
        <v>1</v>
      </c>
      <c r="U1230">
        <v>2</v>
      </c>
      <c r="V1230">
        <v>14</v>
      </c>
      <c r="W1230">
        <v>3</v>
      </c>
      <c r="Y1230">
        <v>2</v>
      </c>
      <c r="Z1230">
        <v>2</v>
      </c>
      <c r="AA1230">
        <v>8</v>
      </c>
      <c r="AB1230">
        <v>45</v>
      </c>
      <c r="AD1230">
        <v>6</v>
      </c>
      <c r="AE1230">
        <v>0</v>
      </c>
      <c r="AF1230">
        <v>2</v>
      </c>
      <c r="AG1230">
        <v>5</v>
      </c>
      <c r="AI1230">
        <v>14</v>
      </c>
      <c r="AJ1230">
        <v>4</v>
      </c>
      <c r="AK1230">
        <v>1</v>
      </c>
      <c r="AL1230">
        <v>2</v>
      </c>
      <c r="AN1230">
        <v>3</v>
      </c>
      <c r="AO1230">
        <v>20</v>
      </c>
      <c r="AP1230">
        <v>4</v>
      </c>
      <c r="AQ1230">
        <v>1</v>
      </c>
      <c r="AX1230">
        <v>20</v>
      </c>
      <c r="AY1230">
        <v>25</v>
      </c>
      <c r="AZ1230">
        <v>45</v>
      </c>
      <c r="BA1230">
        <v>57</v>
      </c>
      <c r="BB1230">
        <v>25</v>
      </c>
      <c r="BC1230">
        <v>82</v>
      </c>
      <c r="BD1230">
        <v>13</v>
      </c>
      <c r="BE1230">
        <v>9</v>
      </c>
      <c r="BF1230">
        <v>22</v>
      </c>
      <c r="BG1230">
        <v>21</v>
      </c>
      <c r="BH1230">
        <v>25</v>
      </c>
      <c r="BI1230">
        <v>46</v>
      </c>
      <c r="BJ1230">
        <v>28</v>
      </c>
      <c r="BK1230">
        <v>55</v>
      </c>
      <c r="BL1230">
        <v>83</v>
      </c>
      <c r="BP1230">
        <v>62</v>
      </c>
      <c r="BR1230">
        <v>45</v>
      </c>
      <c r="BS1230">
        <v>17</v>
      </c>
      <c r="BT1230">
        <v>5</v>
      </c>
      <c r="BV1230">
        <v>10</v>
      </c>
      <c r="BW1230">
        <v>139</v>
      </c>
      <c r="BX1230" t="s">
        <v>82</v>
      </c>
      <c r="BY1230" s="5"/>
      <c r="BZ1230" s="6"/>
      <c r="CA1230" s="7">
        <v>41588</v>
      </c>
      <c r="CI1230">
        <f t="shared" si="147"/>
        <v>2013</v>
      </c>
      <c r="CJ1230" t="str">
        <f t="shared" si="148"/>
        <v>6255_2013</v>
      </c>
    </row>
    <row r="1231" spans="1:88" x14ac:dyDescent="0.25">
      <c r="A1231" t="s">
        <v>79</v>
      </c>
      <c r="B1231" t="s">
        <v>439</v>
      </c>
      <c r="C1231">
        <v>6255</v>
      </c>
      <c r="D1231">
        <v>-33.915100000000002</v>
      </c>
      <c r="E1231">
        <v>151.13489999999999</v>
      </c>
      <c r="F1231">
        <v>5</v>
      </c>
      <c r="G1231" t="s">
        <v>440</v>
      </c>
      <c r="H1231">
        <v>56</v>
      </c>
      <c r="I1231">
        <v>236</v>
      </c>
      <c r="J1231">
        <v>76</v>
      </c>
      <c r="K1231">
        <v>256</v>
      </c>
      <c r="L1231">
        <v>150</v>
      </c>
      <c r="M1231">
        <v>330</v>
      </c>
      <c r="N1231">
        <v>236</v>
      </c>
      <c r="O1231">
        <v>56</v>
      </c>
      <c r="P1231">
        <v>324</v>
      </c>
      <c r="Q1231">
        <v>144</v>
      </c>
      <c r="T1231">
        <v>25</v>
      </c>
      <c r="U1231">
        <v>6</v>
      </c>
      <c r="V1231">
        <v>24</v>
      </c>
      <c r="W1231">
        <v>22</v>
      </c>
      <c r="Y1231">
        <v>17</v>
      </c>
      <c r="Z1231">
        <v>10</v>
      </c>
      <c r="AA1231">
        <v>27</v>
      </c>
      <c r="AB1231">
        <v>212</v>
      </c>
      <c r="AD1231">
        <v>8</v>
      </c>
      <c r="AE1231">
        <v>5</v>
      </c>
      <c r="AF1231">
        <v>0</v>
      </c>
      <c r="AG1231">
        <v>8</v>
      </c>
      <c r="AI1231">
        <v>45</v>
      </c>
      <c r="AJ1231">
        <v>9</v>
      </c>
      <c r="AK1231">
        <v>4</v>
      </c>
      <c r="AL1231">
        <v>9</v>
      </c>
      <c r="AN1231">
        <v>19</v>
      </c>
      <c r="AO1231">
        <v>194</v>
      </c>
      <c r="AP1231">
        <v>16</v>
      </c>
      <c r="AQ1231">
        <v>8</v>
      </c>
      <c r="AX1231">
        <v>77</v>
      </c>
      <c r="AY1231">
        <v>89</v>
      </c>
      <c r="AZ1231">
        <v>166</v>
      </c>
      <c r="BA1231">
        <v>266</v>
      </c>
      <c r="BB1231">
        <v>233</v>
      </c>
      <c r="BC1231">
        <v>499</v>
      </c>
      <c r="BD1231">
        <v>21</v>
      </c>
      <c r="BE1231">
        <v>36</v>
      </c>
      <c r="BF1231">
        <v>57</v>
      </c>
      <c r="BG1231">
        <v>67</v>
      </c>
      <c r="BH1231">
        <v>59</v>
      </c>
      <c r="BI1231">
        <v>126</v>
      </c>
      <c r="BJ1231">
        <v>237</v>
      </c>
      <c r="BK1231">
        <v>251</v>
      </c>
      <c r="BL1231">
        <v>488</v>
      </c>
      <c r="BP1231">
        <v>422</v>
      </c>
      <c r="BR1231">
        <v>166</v>
      </c>
      <c r="BS1231">
        <v>43</v>
      </c>
      <c r="BT1231">
        <v>19</v>
      </c>
      <c r="BV1231">
        <v>18</v>
      </c>
      <c r="BW1231">
        <v>668</v>
      </c>
      <c r="BX1231">
        <f t="shared" ref="BX1231:BX1239" si="152">IF(C1231=C1230,IF((CI1231-1)=CI1230,BW1230,"no data"))</f>
        <v>139</v>
      </c>
      <c r="BY1231" s="5">
        <f t="shared" si="151"/>
        <v>3.8057553956834531</v>
      </c>
      <c r="BZ1231" s="6">
        <f t="shared" si="149"/>
        <v>3.8057553956834531</v>
      </c>
      <c r="CA1231" s="7">
        <v>41952</v>
      </c>
      <c r="CI1231">
        <f t="shared" si="147"/>
        <v>2014</v>
      </c>
      <c r="CJ1231" t="str">
        <f t="shared" si="148"/>
        <v>6255_2014</v>
      </c>
    </row>
    <row r="1232" spans="1:88" x14ac:dyDescent="0.25">
      <c r="A1232" t="s">
        <v>79</v>
      </c>
      <c r="B1232" t="s">
        <v>439</v>
      </c>
      <c r="C1232">
        <v>6255</v>
      </c>
      <c r="D1232">
        <v>-33.915100000000002</v>
      </c>
      <c r="E1232">
        <v>151.13489999999999</v>
      </c>
      <c r="F1232">
        <v>5</v>
      </c>
      <c r="G1232" t="s">
        <v>440</v>
      </c>
      <c r="H1232">
        <v>56</v>
      </c>
      <c r="I1232">
        <v>236</v>
      </c>
      <c r="J1232">
        <v>76</v>
      </c>
      <c r="K1232">
        <v>256</v>
      </c>
      <c r="L1232">
        <v>150</v>
      </c>
      <c r="M1232">
        <v>330</v>
      </c>
      <c r="N1232">
        <v>236</v>
      </c>
      <c r="O1232">
        <v>56</v>
      </c>
      <c r="P1232">
        <v>324</v>
      </c>
      <c r="Q1232">
        <v>144</v>
      </c>
      <c r="T1232">
        <v>17</v>
      </c>
      <c r="U1232">
        <v>8</v>
      </c>
      <c r="V1232">
        <v>23</v>
      </c>
      <c r="W1232">
        <v>15</v>
      </c>
      <c r="Y1232">
        <v>29</v>
      </c>
      <c r="Z1232">
        <v>19</v>
      </c>
      <c r="AA1232">
        <v>10</v>
      </c>
      <c r="AB1232">
        <v>208</v>
      </c>
      <c r="AD1232">
        <v>2</v>
      </c>
      <c r="AE1232">
        <v>12</v>
      </c>
      <c r="AF1232">
        <v>5</v>
      </c>
      <c r="AG1232">
        <v>10</v>
      </c>
      <c r="AI1232">
        <v>17</v>
      </c>
      <c r="AJ1232">
        <v>4</v>
      </c>
      <c r="AK1232">
        <v>0</v>
      </c>
      <c r="AL1232">
        <v>10</v>
      </c>
      <c r="AN1232">
        <v>11</v>
      </c>
      <c r="AO1232">
        <v>167</v>
      </c>
      <c r="AP1232">
        <v>16</v>
      </c>
      <c r="AQ1232">
        <v>5</v>
      </c>
      <c r="AX1232">
        <v>63</v>
      </c>
      <c r="AY1232">
        <v>59</v>
      </c>
      <c r="AZ1232">
        <v>122</v>
      </c>
      <c r="BA1232">
        <v>266</v>
      </c>
      <c r="BB1232">
        <v>200</v>
      </c>
      <c r="BC1232">
        <v>466</v>
      </c>
      <c r="BD1232">
        <v>29</v>
      </c>
      <c r="BE1232">
        <v>43</v>
      </c>
      <c r="BF1232">
        <v>72</v>
      </c>
      <c r="BG1232">
        <v>31</v>
      </c>
      <c r="BH1232">
        <v>43</v>
      </c>
      <c r="BI1232">
        <v>74</v>
      </c>
      <c r="BJ1232">
        <v>199</v>
      </c>
      <c r="BK1232">
        <v>243</v>
      </c>
      <c r="BL1232">
        <v>442</v>
      </c>
      <c r="BP1232">
        <v>330</v>
      </c>
      <c r="BR1232">
        <v>180</v>
      </c>
      <c r="BS1232">
        <v>39</v>
      </c>
      <c r="BT1232">
        <v>29</v>
      </c>
      <c r="BV1232">
        <v>10</v>
      </c>
      <c r="BW1232">
        <v>588</v>
      </c>
      <c r="BX1232">
        <f t="shared" si="152"/>
        <v>668</v>
      </c>
      <c r="BY1232" s="5">
        <f t="shared" si="151"/>
        <v>-0.11976047904191617</v>
      </c>
      <c r="BZ1232" s="6">
        <f t="shared" si="149"/>
        <v>-0.11976047904191617</v>
      </c>
      <c r="CA1232" s="7">
        <v>42316</v>
      </c>
      <c r="CE1232">
        <v>176</v>
      </c>
      <c r="CF1232">
        <v>172</v>
      </c>
      <c r="CG1232">
        <v>131</v>
      </c>
      <c r="CH1232">
        <v>109</v>
      </c>
      <c r="CI1232">
        <f t="shared" si="147"/>
        <v>2015</v>
      </c>
      <c r="CJ1232" t="str">
        <f t="shared" si="148"/>
        <v>6255_2015</v>
      </c>
    </row>
    <row r="1233" spans="1:88" x14ac:dyDescent="0.25">
      <c r="A1233" t="s">
        <v>79</v>
      </c>
      <c r="B1233" t="s">
        <v>439</v>
      </c>
      <c r="C1233">
        <v>6255</v>
      </c>
      <c r="D1233">
        <v>-33.915100000000002</v>
      </c>
      <c r="E1233">
        <v>151.13485299999999</v>
      </c>
      <c r="F1233">
        <v>5</v>
      </c>
      <c r="G1233" t="s">
        <v>440</v>
      </c>
      <c r="H1233">
        <v>56</v>
      </c>
      <c r="I1233">
        <v>236</v>
      </c>
      <c r="J1233">
        <v>76</v>
      </c>
      <c r="K1233">
        <v>256</v>
      </c>
      <c r="L1233">
        <v>150</v>
      </c>
      <c r="M1233">
        <v>330</v>
      </c>
      <c r="N1233">
        <v>236</v>
      </c>
      <c r="O1233">
        <v>56</v>
      </c>
      <c r="P1233">
        <v>324</v>
      </c>
      <c r="Q1233">
        <v>144</v>
      </c>
      <c r="T1233">
        <v>507</v>
      </c>
      <c r="U1233">
        <v>3</v>
      </c>
      <c r="V1233">
        <v>13</v>
      </c>
      <c r="W1233">
        <v>15</v>
      </c>
      <c r="Y1233">
        <v>15</v>
      </c>
      <c r="Z1233">
        <v>14</v>
      </c>
      <c r="AA1233">
        <v>17</v>
      </c>
      <c r="AB1233">
        <v>188</v>
      </c>
      <c r="AD1233">
        <v>3</v>
      </c>
      <c r="AE1233">
        <v>10</v>
      </c>
      <c r="AF1233">
        <v>2</v>
      </c>
      <c r="AG1233">
        <v>13</v>
      </c>
      <c r="AI1233">
        <v>16</v>
      </c>
      <c r="AJ1233">
        <v>14</v>
      </c>
      <c r="AK1233">
        <v>1</v>
      </c>
      <c r="AL1233">
        <v>5</v>
      </c>
      <c r="AN1233">
        <v>19</v>
      </c>
      <c r="AO1233">
        <v>149</v>
      </c>
      <c r="AP1233">
        <v>20</v>
      </c>
      <c r="AQ1233">
        <v>7</v>
      </c>
      <c r="AX1233">
        <v>538</v>
      </c>
      <c r="AY1233">
        <v>53</v>
      </c>
      <c r="AZ1233">
        <v>591</v>
      </c>
      <c r="BA1233">
        <v>234</v>
      </c>
      <c r="BB1233">
        <v>680</v>
      </c>
      <c r="BC1233">
        <v>914</v>
      </c>
      <c r="BD1233">
        <v>28</v>
      </c>
      <c r="BE1233">
        <v>38</v>
      </c>
      <c r="BF1233">
        <v>66</v>
      </c>
      <c r="BG1233">
        <v>36</v>
      </c>
      <c r="BH1233">
        <v>39</v>
      </c>
      <c r="BI1233">
        <v>75</v>
      </c>
      <c r="BJ1233">
        <v>195</v>
      </c>
      <c r="BK1233">
        <v>221</v>
      </c>
      <c r="BL1233">
        <v>416</v>
      </c>
      <c r="BP1233">
        <v>659</v>
      </c>
      <c r="BR1233">
        <v>277</v>
      </c>
      <c r="BS1233">
        <v>53</v>
      </c>
      <c r="BT1233">
        <v>34</v>
      </c>
      <c r="BV1233">
        <v>8</v>
      </c>
      <c r="BW1233">
        <v>1031</v>
      </c>
      <c r="BX1233">
        <f t="shared" si="152"/>
        <v>588</v>
      </c>
      <c r="BY1233" s="5">
        <f t="shared" si="151"/>
        <v>0.75340136054421769</v>
      </c>
      <c r="BZ1233" s="6">
        <f t="shared" si="149"/>
        <v>0.75340136054421769</v>
      </c>
      <c r="CA1233" s="7">
        <v>42715</v>
      </c>
      <c r="CE1233">
        <v>469</v>
      </c>
      <c r="CF1233">
        <v>325</v>
      </c>
      <c r="CG1233">
        <v>156</v>
      </c>
      <c r="CH1233">
        <v>81</v>
      </c>
      <c r="CI1233">
        <f t="shared" si="147"/>
        <v>2016</v>
      </c>
      <c r="CJ1233" t="str">
        <f t="shared" si="148"/>
        <v>6255_2016</v>
      </c>
    </row>
    <row r="1234" spans="1:88" x14ac:dyDescent="0.25">
      <c r="A1234" t="s">
        <v>79</v>
      </c>
      <c r="B1234" t="s">
        <v>439</v>
      </c>
      <c r="C1234">
        <v>6255</v>
      </c>
      <c r="D1234">
        <v>-33.915100000000002</v>
      </c>
      <c r="E1234">
        <v>151.13485299999999</v>
      </c>
      <c r="F1234">
        <v>5</v>
      </c>
      <c r="G1234" t="s">
        <v>440</v>
      </c>
      <c r="H1234">
        <v>56</v>
      </c>
      <c r="I1234">
        <v>236</v>
      </c>
      <c r="J1234">
        <v>76</v>
      </c>
      <c r="K1234">
        <v>256</v>
      </c>
      <c r="L1234">
        <v>150</v>
      </c>
      <c r="M1234">
        <v>330</v>
      </c>
      <c r="N1234">
        <v>236</v>
      </c>
      <c r="O1234">
        <v>56</v>
      </c>
      <c r="P1234">
        <v>324</v>
      </c>
      <c r="Q1234">
        <v>144</v>
      </c>
      <c r="T1234">
        <v>30</v>
      </c>
      <c r="U1234">
        <v>7</v>
      </c>
      <c r="V1234">
        <v>26</v>
      </c>
      <c r="W1234">
        <v>29</v>
      </c>
      <c r="Y1234">
        <v>18</v>
      </c>
      <c r="Z1234">
        <v>10</v>
      </c>
      <c r="AA1234">
        <v>23</v>
      </c>
      <c r="AB1234">
        <v>240</v>
      </c>
      <c r="AD1234">
        <v>6</v>
      </c>
      <c r="AE1234">
        <v>9</v>
      </c>
      <c r="AF1234">
        <v>3</v>
      </c>
      <c r="AG1234">
        <v>13</v>
      </c>
      <c r="AI1234">
        <v>27</v>
      </c>
      <c r="AJ1234">
        <v>18</v>
      </c>
      <c r="AK1234">
        <v>2</v>
      </c>
      <c r="AL1234">
        <v>3</v>
      </c>
      <c r="AN1234">
        <v>15</v>
      </c>
      <c r="AO1234">
        <v>218</v>
      </c>
      <c r="AP1234">
        <v>17</v>
      </c>
      <c r="AQ1234">
        <v>11</v>
      </c>
      <c r="AX1234">
        <v>92</v>
      </c>
      <c r="AY1234">
        <v>66</v>
      </c>
      <c r="AZ1234">
        <v>158</v>
      </c>
      <c r="BA1234">
        <v>291</v>
      </c>
      <c r="BB1234">
        <v>275</v>
      </c>
      <c r="BC1234">
        <v>566</v>
      </c>
      <c r="BD1234">
        <v>31</v>
      </c>
      <c r="BE1234">
        <v>36</v>
      </c>
      <c r="BF1234">
        <v>67</v>
      </c>
      <c r="BG1234">
        <v>50</v>
      </c>
      <c r="BH1234">
        <v>63</v>
      </c>
      <c r="BI1234">
        <v>113</v>
      </c>
      <c r="BJ1234">
        <v>261</v>
      </c>
      <c r="BK1234">
        <v>285</v>
      </c>
      <c r="BL1234">
        <v>546</v>
      </c>
      <c r="BP1234">
        <v>408</v>
      </c>
      <c r="BR1234">
        <v>225</v>
      </c>
      <c r="BS1234">
        <v>63</v>
      </c>
      <c r="BT1234">
        <v>29</v>
      </c>
      <c r="BV1234">
        <v>0</v>
      </c>
      <c r="BW1234">
        <v>725</v>
      </c>
      <c r="BX1234">
        <f t="shared" si="152"/>
        <v>1031</v>
      </c>
      <c r="BY1234" s="5">
        <f t="shared" si="151"/>
        <v>-0.29679922405431619</v>
      </c>
      <c r="BZ1234" s="6">
        <f t="shared" si="149"/>
        <v>-0.29679922405431619</v>
      </c>
      <c r="CA1234" s="7">
        <v>43051</v>
      </c>
      <c r="CE1234">
        <v>234</v>
      </c>
      <c r="CF1234">
        <v>197</v>
      </c>
      <c r="CG1234">
        <v>176</v>
      </c>
      <c r="CH1234">
        <v>118</v>
      </c>
      <c r="CI1234">
        <f t="shared" si="147"/>
        <v>2017</v>
      </c>
      <c r="CJ1234" t="str">
        <f t="shared" si="148"/>
        <v>6255_2017</v>
      </c>
    </row>
    <row r="1235" spans="1:88" x14ac:dyDescent="0.25">
      <c r="A1235" t="s">
        <v>79</v>
      </c>
      <c r="B1235" t="s">
        <v>439</v>
      </c>
      <c r="C1235">
        <v>6255</v>
      </c>
      <c r="D1235">
        <v>-33.915100000000002</v>
      </c>
      <c r="E1235">
        <v>151.13485299999999</v>
      </c>
      <c r="F1235">
        <v>5</v>
      </c>
      <c r="G1235" t="s">
        <v>440</v>
      </c>
      <c r="H1235">
        <v>56</v>
      </c>
      <c r="I1235">
        <v>236</v>
      </c>
      <c r="J1235">
        <v>76</v>
      </c>
      <c r="K1235">
        <v>256</v>
      </c>
      <c r="L1235">
        <v>150</v>
      </c>
      <c r="M1235">
        <v>330</v>
      </c>
      <c r="N1235">
        <v>236</v>
      </c>
      <c r="O1235">
        <v>56</v>
      </c>
      <c r="P1235">
        <v>324</v>
      </c>
      <c r="Q1235">
        <v>144</v>
      </c>
      <c r="T1235">
        <v>21</v>
      </c>
      <c r="U1235">
        <v>8</v>
      </c>
      <c r="V1235">
        <v>20</v>
      </c>
      <c r="W1235">
        <v>35</v>
      </c>
      <c r="Y1235">
        <v>23</v>
      </c>
      <c r="Z1235">
        <v>28</v>
      </c>
      <c r="AA1235">
        <v>11</v>
      </c>
      <c r="AB1235">
        <v>258</v>
      </c>
      <c r="AD1235">
        <v>5</v>
      </c>
      <c r="AE1235">
        <v>8</v>
      </c>
      <c r="AF1235">
        <v>1</v>
      </c>
      <c r="AG1235">
        <v>8</v>
      </c>
      <c r="AI1235">
        <v>41</v>
      </c>
      <c r="AJ1235">
        <v>9</v>
      </c>
      <c r="AK1235">
        <v>1</v>
      </c>
      <c r="AL1235">
        <v>14</v>
      </c>
      <c r="AN1235">
        <v>28</v>
      </c>
      <c r="AO1235">
        <v>240</v>
      </c>
      <c r="AP1235">
        <v>25</v>
      </c>
      <c r="AQ1235">
        <v>16</v>
      </c>
      <c r="AX1235">
        <v>84</v>
      </c>
      <c r="AY1235">
        <v>97</v>
      </c>
      <c r="AZ1235">
        <v>181</v>
      </c>
      <c r="BA1235">
        <v>320</v>
      </c>
      <c r="BB1235">
        <v>278</v>
      </c>
      <c r="BC1235">
        <v>598</v>
      </c>
      <c r="BD1235">
        <v>22</v>
      </c>
      <c r="BE1235">
        <v>62</v>
      </c>
      <c r="BF1235">
        <v>84</v>
      </c>
      <c r="BG1235">
        <v>65</v>
      </c>
      <c r="BH1235">
        <v>48</v>
      </c>
      <c r="BI1235">
        <v>113</v>
      </c>
      <c r="BJ1235">
        <v>309</v>
      </c>
      <c r="BK1235">
        <v>315</v>
      </c>
      <c r="BL1235">
        <v>624</v>
      </c>
      <c r="BP1235">
        <v>466</v>
      </c>
      <c r="BR1235">
        <v>243</v>
      </c>
      <c r="BS1235">
        <v>53</v>
      </c>
      <c r="BT1235">
        <v>31</v>
      </c>
      <c r="BV1235">
        <v>7</v>
      </c>
      <c r="BW1235">
        <v>800</v>
      </c>
      <c r="BX1235">
        <f t="shared" si="152"/>
        <v>725</v>
      </c>
      <c r="BY1235" s="5">
        <f t="shared" si="151"/>
        <v>0.10344827586206896</v>
      </c>
      <c r="BZ1235" s="6">
        <f t="shared" si="149"/>
        <v>0.10344827586206896</v>
      </c>
      <c r="CA1235" s="7">
        <v>43415</v>
      </c>
      <c r="CE1235">
        <v>250</v>
      </c>
      <c r="CF1235">
        <v>183</v>
      </c>
      <c r="CG1235">
        <v>214</v>
      </c>
      <c r="CH1235">
        <v>153</v>
      </c>
      <c r="CI1235">
        <f t="shared" si="147"/>
        <v>2018</v>
      </c>
      <c r="CJ1235" t="str">
        <f t="shared" si="148"/>
        <v>6255_2018</v>
      </c>
    </row>
    <row r="1236" spans="1:88" x14ac:dyDescent="0.25">
      <c r="A1236" t="s">
        <v>79</v>
      </c>
      <c r="B1236" t="s">
        <v>439</v>
      </c>
      <c r="C1236">
        <v>6255</v>
      </c>
      <c r="D1236">
        <v>-33.915100000000002</v>
      </c>
      <c r="E1236">
        <v>151.13489999999999</v>
      </c>
      <c r="F1236">
        <v>5</v>
      </c>
      <c r="G1236" t="s">
        <v>440</v>
      </c>
      <c r="H1236">
        <v>56</v>
      </c>
      <c r="I1236">
        <v>236</v>
      </c>
      <c r="J1236">
        <v>76</v>
      </c>
      <c r="K1236">
        <v>256</v>
      </c>
      <c r="L1236">
        <v>150</v>
      </c>
      <c r="M1236">
        <v>330</v>
      </c>
      <c r="N1236">
        <v>236</v>
      </c>
      <c r="O1236">
        <v>56</v>
      </c>
      <c r="P1236">
        <v>324</v>
      </c>
      <c r="Q1236">
        <v>144</v>
      </c>
      <c r="T1236">
        <v>20</v>
      </c>
      <c r="U1236">
        <v>3</v>
      </c>
      <c r="V1236">
        <v>21</v>
      </c>
      <c r="W1236">
        <v>19</v>
      </c>
      <c r="Y1236">
        <v>11</v>
      </c>
      <c r="Z1236">
        <v>13</v>
      </c>
      <c r="AA1236">
        <v>25</v>
      </c>
      <c r="AB1236">
        <v>229</v>
      </c>
      <c r="AD1236">
        <v>3</v>
      </c>
      <c r="AE1236">
        <v>5</v>
      </c>
      <c r="AF1236">
        <v>0</v>
      </c>
      <c r="AG1236">
        <v>18</v>
      </c>
      <c r="AI1236">
        <v>27</v>
      </c>
      <c r="AJ1236">
        <v>24</v>
      </c>
      <c r="AK1236">
        <v>3</v>
      </c>
      <c r="AL1236">
        <v>1</v>
      </c>
      <c r="AN1236">
        <v>38</v>
      </c>
      <c r="AO1236">
        <v>230</v>
      </c>
      <c r="AP1236">
        <v>11</v>
      </c>
      <c r="AQ1236">
        <v>3</v>
      </c>
      <c r="AX1236">
        <v>63</v>
      </c>
      <c r="AY1236">
        <v>79</v>
      </c>
      <c r="AZ1236">
        <v>142</v>
      </c>
      <c r="BA1236">
        <v>278</v>
      </c>
      <c r="BB1236">
        <v>279</v>
      </c>
      <c r="BC1236">
        <v>557</v>
      </c>
      <c r="BD1236">
        <v>26</v>
      </c>
      <c r="BE1236">
        <v>30</v>
      </c>
      <c r="BF1236">
        <v>56</v>
      </c>
      <c r="BG1236">
        <v>55</v>
      </c>
      <c r="BH1236">
        <v>49</v>
      </c>
      <c r="BI1236">
        <v>104</v>
      </c>
      <c r="BJ1236">
        <v>282</v>
      </c>
      <c r="BK1236">
        <v>267</v>
      </c>
      <c r="BL1236">
        <v>549</v>
      </c>
      <c r="BP1236">
        <v>373</v>
      </c>
      <c r="BR1236">
        <v>227</v>
      </c>
      <c r="BS1236">
        <v>74</v>
      </c>
      <c r="BT1236">
        <v>30</v>
      </c>
      <c r="BV1236">
        <v>0</v>
      </c>
      <c r="BW1236">
        <v>704</v>
      </c>
      <c r="BX1236">
        <f t="shared" si="152"/>
        <v>800</v>
      </c>
      <c r="BY1236" s="5">
        <f t="shared" si="151"/>
        <v>-0.12</v>
      </c>
      <c r="BZ1236" s="6">
        <f t="shared" si="149"/>
        <v>-0.12</v>
      </c>
      <c r="CA1236" s="7">
        <v>43779</v>
      </c>
      <c r="CE1236">
        <v>214</v>
      </c>
      <c r="CF1236">
        <v>177</v>
      </c>
      <c r="CG1236">
        <v>199</v>
      </c>
      <c r="CH1236">
        <v>114</v>
      </c>
      <c r="CI1236">
        <f t="shared" si="147"/>
        <v>2019</v>
      </c>
      <c r="CJ1236" t="str">
        <f t="shared" si="148"/>
        <v>6255_2019</v>
      </c>
    </row>
    <row r="1237" spans="1:88" x14ac:dyDescent="0.25">
      <c r="A1237" t="s">
        <v>79</v>
      </c>
      <c r="B1237" t="s">
        <v>439</v>
      </c>
      <c r="C1237">
        <v>6255</v>
      </c>
      <c r="D1237">
        <v>-33.915100000000002</v>
      </c>
      <c r="E1237">
        <v>151.13489999999999</v>
      </c>
      <c r="F1237">
        <v>5</v>
      </c>
      <c r="G1237" t="s">
        <v>440</v>
      </c>
      <c r="H1237">
        <v>56</v>
      </c>
      <c r="I1237">
        <v>236</v>
      </c>
      <c r="J1237">
        <v>76</v>
      </c>
      <c r="K1237">
        <v>256</v>
      </c>
      <c r="L1237">
        <v>150</v>
      </c>
      <c r="M1237">
        <v>330</v>
      </c>
      <c r="N1237">
        <v>236</v>
      </c>
      <c r="O1237">
        <v>56</v>
      </c>
      <c r="P1237">
        <v>324</v>
      </c>
      <c r="Q1237">
        <v>144</v>
      </c>
      <c r="T1237">
        <v>54</v>
      </c>
      <c r="U1237">
        <v>2</v>
      </c>
      <c r="V1237">
        <v>52</v>
      </c>
      <c r="W1237">
        <v>54</v>
      </c>
      <c r="Y1237">
        <v>49</v>
      </c>
      <c r="Z1237">
        <v>14</v>
      </c>
      <c r="AA1237">
        <v>82</v>
      </c>
      <c r="AB1237">
        <v>151</v>
      </c>
      <c r="AD1237">
        <v>4</v>
      </c>
      <c r="AE1237">
        <v>7</v>
      </c>
      <c r="AF1237">
        <v>0</v>
      </c>
      <c r="AG1237">
        <v>17</v>
      </c>
      <c r="AI1237">
        <v>25</v>
      </c>
      <c r="AJ1237">
        <v>59</v>
      </c>
      <c r="AK1237">
        <v>2</v>
      </c>
      <c r="AL1237">
        <v>66</v>
      </c>
      <c r="AN1237">
        <v>69</v>
      </c>
      <c r="AO1237">
        <v>126</v>
      </c>
      <c r="AP1237">
        <v>25</v>
      </c>
      <c r="AQ1237">
        <v>72</v>
      </c>
      <c r="AX1237">
        <v>162</v>
      </c>
      <c r="AY1237">
        <v>147</v>
      </c>
      <c r="AZ1237">
        <v>309</v>
      </c>
      <c r="BA1237">
        <v>296</v>
      </c>
      <c r="BB1237">
        <v>246</v>
      </c>
      <c r="BC1237">
        <v>542</v>
      </c>
      <c r="BD1237">
        <v>28</v>
      </c>
      <c r="BE1237">
        <v>43</v>
      </c>
      <c r="BF1237">
        <v>71</v>
      </c>
      <c r="BG1237">
        <v>152</v>
      </c>
      <c r="BH1237">
        <v>206</v>
      </c>
      <c r="BI1237">
        <v>358</v>
      </c>
      <c r="BJ1237">
        <v>292</v>
      </c>
      <c r="BK1237">
        <v>288</v>
      </c>
      <c r="BL1237">
        <v>580</v>
      </c>
      <c r="BP1237">
        <v>361</v>
      </c>
      <c r="BR1237">
        <v>459</v>
      </c>
      <c r="BS1237">
        <v>65</v>
      </c>
      <c r="BT1237">
        <v>43</v>
      </c>
      <c r="BV1237">
        <v>2</v>
      </c>
      <c r="BW1237">
        <v>930</v>
      </c>
      <c r="BX1237">
        <f t="shared" si="152"/>
        <v>704</v>
      </c>
      <c r="BY1237" s="5">
        <f t="shared" si="151"/>
        <v>0.32102272727272729</v>
      </c>
      <c r="BZ1237" s="6">
        <f t="shared" si="149"/>
        <v>0.32102272727272729</v>
      </c>
      <c r="CA1237" s="7">
        <v>44143</v>
      </c>
      <c r="CE1237">
        <v>251</v>
      </c>
      <c r="CF1237">
        <v>251</v>
      </c>
      <c r="CG1237">
        <v>219</v>
      </c>
      <c r="CH1237">
        <v>209</v>
      </c>
      <c r="CI1237">
        <f t="shared" si="147"/>
        <v>2020</v>
      </c>
      <c r="CJ1237" t="str">
        <f t="shared" si="148"/>
        <v>6255_2020</v>
      </c>
    </row>
    <row r="1238" spans="1:88" x14ac:dyDescent="0.25">
      <c r="A1238" t="s">
        <v>79</v>
      </c>
      <c r="B1238" t="s">
        <v>439</v>
      </c>
      <c r="C1238">
        <v>6255</v>
      </c>
      <c r="D1238">
        <v>-33.915100000000002</v>
      </c>
      <c r="E1238">
        <v>151.13489999999999</v>
      </c>
      <c r="F1238">
        <v>5</v>
      </c>
      <c r="G1238" t="s">
        <v>440</v>
      </c>
      <c r="H1238">
        <v>56</v>
      </c>
      <c r="I1238">
        <v>236</v>
      </c>
      <c r="J1238">
        <v>76</v>
      </c>
      <c r="K1238">
        <v>256</v>
      </c>
      <c r="L1238">
        <v>150</v>
      </c>
      <c r="M1238">
        <v>330</v>
      </c>
      <c r="N1238">
        <v>236</v>
      </c>
      <c r="O1238">
        <v>56</v>
      </c>
      <c r="P1238">
        <v>324</v>
      </c>
      <c r="Q1238">
        <v>144</v>
      </c>
      <c r="T1238">
        <v>56</v>
      </c>
      <c r="U1238">
        <v>5</v>
      </c>
      <c r="V1238">
        <v>19</v>
      </c>
      <c r="W1238">
        <v>28</v>
      </c>
      <c r="Y1238">
        <v>22</v>
      </c>
      <c r="Z1238">
        <v>19</v>
      </c>
      <c r="AA1238">
        <v>17</v>
      </c>
      <c r="AB1238">
        <v>181</v>
      </c>
      <c r="AD1238">
        <v>2</v>
      </c>
      <c r="AE1238">
        <v>5</v>
      </c>
      <c r="AF1238">
        <v>7</v>
      </c>
      <c r="AG1238">
        <v>31</v>
      </c>
      <c r="AI1238">
        <v>18</v>
      </c>
      <c r="AJ1238">
        <v>13</v>
      </c>
      <c r="AK1238">
        <v>0</v>
      </c>
      <c r="AL1238">
        <v>23</v>
      </c>
      <c r="AN1238">
        <v>32</v>
      </c>
      <c r="AO1238">
        <v>177</v>
      </c>
      <c r="AP1238">
        <v>19</v>
      </c>
      <c r="AQ1238">
        <v>14</v>
      </c>
      <c r="AX1238">
        <v>108</v>
      </c>
      <c r="AY1238">
        <v>74</v>
      </c>
      <c r="AZ1238">
        <v>182</v>
      </c>
      <c r="BA1238">
        <v>239</v>
      </c>
      <c r="BB1238">
        <v>251</v>
      </c>
      <c r="BC1238">
        <v>490</v>
      </c>
      <c r="BD1238">
        <v>45</v>
      </c>
      <c r="BE1238">
        <v>43</v>
      </c>
      <c r="BF1238">
        <v>88</v>
      </c>
      <c r="BG1238">
        <v>54</v>
      </c>
      <c r="BH1238">
        <v>57</v>
      </c>
      <c r="BI1238">
        <v>111</v>
      </c>
      <c r="BJ1238">
        <v>242</v>
      </c>
      <c r="BK1238">
        <v>263</v>
      </c>
      <c r="BL1238">
        <v>505</v>
      </c>
      <c r="BP1238">
        <v>246</v>
      </c>
      <c r="BR1238">
        <v>296</v>
      </c>
      <c r="BS1238">
        <v>91</v>
      </c>
      <c r="BT1238">
        <v>41</v>
      </c>
      <c r="BV1238">
        <v>14</v>
      </c>
      <c r="BW1238">
        <v>688</v>
      </c>
      <c r="BX1238">
        <f t="shared" si="152"/>
        <v>930</v>
      </c>
      <c r="BY1238" s="5">
        <f t="shared" si="151"/>
        <v>-0.26021505376344084</v>
      </c>
      <c r="BZ1238" s="6">
        <f t="shared" si="149"/>
        <v>-0.26021505376344084</v>
      </c>
      <c r="CA1238" s="7">
        <v>44528</v>
      </c>
      <c r="CE1238">
        <v>208</v>
      </c>
      <c r="CF1238">
        <v>233</v>
      </c>
      <c r="CG1238">
        <v>247</v>
      </c>
      <c r="CI1238">
        <f t="shared" si="147"/>
        <v>2021</v>
      </c>
      <c r="CJ1238" t="str">
        <f t="shared" si="148"/>
        <v>6255_2021</v>
      </c>
    </row>
    <row r="1239" spans="1:88" x14ac:dyDescent="0.25">
      <c r="A1239" t="s">
        <v>79</v>
      </c>
      <c r="B1239" t="s">
        <v>439</v>
      </c>
      <c r="C1239">
        <v>6255</v>
      </c>
      <c r="D1239">
        <v>-33.915100000000002</v>
      </c>
      <c r="E1239">
        <v>151.13485299999999</v>
      </c>
      <c r="F1239">
        <v>5</v>
      </c>
      <c r="G1239" t="s">
        <v>440</v>
      </c>
      <c r="H1239">
        <v>56</v>
      </c>
      <c r="I1239">
        <v>236</v>
      </c>
      <c r="J1239">
        <v>76</v>
      </c>
      <c r="K1239">
        <v>256</v>
      </c>
      <c r="L1239">
        <v>150</v>
      </c>
      <c r="M1239">
        <v>330</v>
      </c>
      <c r="N1239">
        <v>236</v>
      </c>
      <c r="O1239">
        <v>56</v>
      </c>
      <c r="P1239">
        <v>324</v>
      </c>
      <c r="Q1239">
        <v>144</v>
      </c>
      <c r="T1239">
        <v>10</v>
      </c>
      <c r="U1239">
        <v>11</v>
      </c>
      <c r="V1239">
        <v>13</v>
      </c>
      <c r="W1239">
        <v>34</v>
      </c>
      <c r="Y1239">
        <v>15</v>
      </c>
      <c r="Z1239">
        <v>10</v>
      </c>
      <c r="AA1239">
        <v>9</v>
      </c>
      <c r="AB1239">
        <v>159</v>
      </c>
      <c r="AD1239">
        <v>8</v>
      </c>
      <c r="AE1239">
        <v>7</v>
      </c>
      <c r="AF1239">
        <v>0</v>
      </c>
      <c r="AG1239">
        <v>23</v>
      </c>
      <c r="AI1239">
        <v>22</v>
      </c>
      <c r="AJ1239">
        <v>9</v>
      </c>
      <c r="AK1239">
        <v>4</v>
      </c>
      <c r="AL1239">
        <v>15</v>
      </c>
      <c r="AN1239">
        <v>39</v>
      </c>
      <c r="AO1239">
        <v>134</v>
      </c>
      <c r="AP1239">
        <v>14</v>
      </c>
      <c r="AQ1239">
        <v>10</v>
      </c>
      <c r="AX1239">
        <v>68</v>
      </c>
      <c r="AY1239">
        <v>84</v>
      </c>
      <c r="AZ1239">
        <v>152</v>
      </c>
      <c r="BA1239">
        <v>193</v>
      </c>
      <c r="BB1239">
        <v>160</v>
      </c>
      <c r="BC1239">
        <v>353</v>
      </c>
      <c r="BD1239">
        <v>38</v>
      </c>
      <c r="BE1239">
        <v>39</v>
      </c>
      <c r="BF1239">
        <v>77</v>
      </c>
      <c r="BG1239">
        <v>50</v>
      </c>
      <c r="BH1239">
        <v>32</v>
      </c>
      <c r="BI1239">
        <v>82</v>
      </c>
      <c r="BJ1239">
        <v>197</v>
      </c>
      <c r="BK1239">
        <v>231</v>
      </c>
      <c r="BL1239">
        <v>428</v>
      </c>
      <c r="BP1239">
        <v>230</v>
      </c>
      <c r="BR1239">
        <v>201</v>
      </c>
      <c r="BS1239">
        <v>69</v>
      </c>
      <c r="BT1239">
        <v>34</v>
      </c>
      <c r="BU1239">
        <v>2</v>
      </c>
      <c r="BV1239">
        <v>10</v>
      </c>
      <c r="BW1239">
        <v>546</v>
      </c>
      <c r="BX1239">
        <f t="shared" si="152"/>
        <v>688</v>
      </c>
      <c r="BY1239" s="5">
        <f t="shared" si="151"/>
        <v>-0.20639534883720931</v>
      </c>
      <c r="BZ1239" s="6">
        <f t="shared" si="149"/>
        <v>-0.20639534883720931</v>
      </c>
      <c r="CA1239" s="7">
        <v>44885</v>
      </c>
      <c r="CE1239">
        <v>198</v>
      </c>
      <c r="CF1239">
        <v>196</v>
      </c>
      <c r="CG1239">
        <v>152</v>
      </c>
      <c r="CI1239">
        <f t="shared" si="147"/>
        <v>2022</v>
      </c>
      <c r="CJ1239" t="str">
        <f t="shared" si="148"/>
        <v>6255_2022</v>
      </c>
    </row>
    <row r="1240" spans="1:88" x14ac:dyDescent="0.25">
      <c r="A1240" t="s">
        <v>79</v>
      </c>
      <c r="B1240" t="s">
        <v>439</v>
      </c>
      <c r="C1240">
        <v>6256</v>
      </c>
      <c r="D1240">
        <v>-33.914200000000001</v>
      </c>
      <c r="E1240">
        <v>151.12209999999999</v>
      </c>
      <c r="F1240">
        <v>4</v>
      </c>
      <c r="G1240" t="s">
        <v>441</v>
      </c>
      <c r="H1240">
        <v>61</v>
      </c>
      <c r="I1240">
        <v>241</v>
      </c>
      <c r="J1240">
        <v>163</v>
      </c>
      <c r="K1240">
        <v>343</v>
      </c>
      <c r="L1240">
        <v>264</v>
      </c>
      <c r="M1240">
        <v>84</v>
      </c>
      <c r="N1240">
        <v>347</v>
      </c>
      <c r="O1240">
        <v>167</v>
      </c>
      <c r="T1240">
        <v>57</v>
      </c>
      <c r="U1240">
        <v>223</v>
      </c>
      <c r="V1240">
        <v>5</v>
      </c>
      <c r="Y1240">
        <v>38</v>
      </c>
      <c r="Z1240">
        <v>31</v>
      </c>
      <c r="AA1240">
        <v>12</v>
      </c>
      <c r="AD1240">
        <v>219</v>
      </c>
      <c r="AE1240">
        <v>24</v>
      </c>
      <c r="AF1240">
        <v>3</v>
      </c>
      <c r="AI1240">
        <v>12</v>
      </c>
      <c r="AJ1240">
        <v>12</v>
      </c>
      <c r="AK1240">
        <v>8</v>
      </c>
      <c r="AX1240">
        <v>285</v>
      </c>
      <c r="AY1240">
        <v>269</v>
      </c>
      <c r="AZ1240">
        <v>554</v>
      </c>
      <c r="BA1240">
        <v>81</v>
      </c>
      <c r="BB1240">
        <v>93</v>
      </c>
      <c r="BC1240">
        <v>174</v>
      </c>
      <c r="BD1240">
        <v>246</v>
      </c>
      <c r="BE1240">
        <v>262</v>
      </c>
      <c r="BF1240">
        <v>508</v>
      </c>
      <c r="BG1240">
        <v>32</v>
      </c>
      <c r="BH1240">
        <v>20</v>
      </c>
      <c r="BI1240">
        <v>52</v>
      </c>
      <c r="BP1240">
        <v>427</v>
      </c>
      <c r="BR1240">
        <v>137</v>
      </c>
      <c r="BS1240">
        <v>31</v>
      </c>
      <c r="BT1240">
        <v>49</v>
      </c>
      <c r="BV1240">
        <v>0</v>
      </c>
      <c r="BW1240">
        <v>644</v>
      </c>
      <c r="BX1240" t="s">
        <v>82</v>
      </c>
      <c r="BY1240" s="5"/>
      <c r="BZ1240" s="6"/>
      <c r="CA1240" s="7">
        <v>41588</v>
      </c>
      <c r="CI1240">
        <f t="shared" si="147"/>
        <v>2013</v>
      </c>
      <c r="CJ1240" t="str">
        <f t="shared" si="148"/>
        <v>6256_2013</v>
      </c>
    </row>
    <row r="1241" spans="1:88" x14ac:dyDescent="0.25">
      <c r="A1241" t="s">
        <v>79</v>
      </c>
      <c r="B1241" t="s">
        <v>439</v>
      </c>
      <c r="C1241">
        <v>6256</v>
      </c>
      <c r="D1241">
        <v>-33.914200000000001</v>
      </c>
      <c r="E1241">
        <v>151.12209999999999</v>
      </c>
      <c r="F1241">
        <v>4</v>
      </c>
      <c r="G1241" t="s">
        <v>441</v>
      </c>
      <c r="H1241">
        <v>61</v>
      </c>
      <c r="I1241">
        <v>241</v>
      </c>
      <c r="J1241">
        <v>163</v>
      </c>
      <c r="K1241">
        <v>343</v>
      </c>
      <c r="L1241">
        <v>264</v>
      </c>
      <c r="M1241">
        <v>84</v>
      </c>
      <c r="N1241">
        <v>347</v>
      </c>
      <c r="O1241">
        <v>167</v>
      </c>
      <c r="T1241">
        <v>87</v>
      </c>
      <c r="U1241">
        <v>227</v>
      </c>
      <c r="V1241">
        <v>15</v>
      </c>
      <c r="Y1241">
        <v>66</v>
      </c>
      <c r="Z1241">
        <v>22</v>
      </c>
      <c r="AA1241">
        <v>26</v>
      </c>
      <c r="AD1241">
        <v>200</v>
      </c>
      <c r="AE1241">
        <v>11</v>
      </c>
      <c r="AF1241">
        <v>6</v>
      </c>
      <c r="AI1241">
        <v>19</v>
      </c>
      <c r="AJ1241">
        <v>11</v>
      </c>
      <c r="AK1241">
        <v>8</v>
      </c>
      <c r="AX1241">
        <v>329</v>
      </c>
      <c r="AY1241">
        <v>285</v>
      </c>
      <c r="AZ1241">
        <v>614</v>
      </c>
      <c r="BA1241">
        <v>114</v>
      </c>
      <c r="BB1241">
        <v>109</v>
      </c>
      <c r="BC1241">
        <v>223</v>
      </c>
      <c r="BD1241">
        <v>217</v>
      </c>
      <c r="BE1241">
        <v>257</v>
      </c>
      <c r="BF1241">
        <v>474</v>
      </c>
      <c r="BG1241">
        <v>38</v>
      </c>
      <c r="BH1241">
        <v>47</v>
      </c>
      <c r="BI1241">
        <v>85</v>
      </c>
      <c r="BP1241">
        <v>367</v>
      </c>
      <c r="BR1241">
        <v>227</v>
      </c>
      <c r="BS1241">
        <v>47</v>
      </c>
      <c r="BT1241">
        <v>51</v>
      </c>
      <c r="BV1241">
        <v>6</v>
      </c>
      <c r="BW1241">
        <v>698</v>
      </c>
      <c r="BX1241">
        <f t="shared" ref="BX1241:BX1249" si="153">IF(C1241=C1240,IF((CI1241-1)=CI1240,BW1240,"no data"))</f>
        <v>644</v>
      </c>
      <c r="BY1241" s="5">
        <f t="shared" si="151"/>
        <v>8.3850931677018639E-2</v>
      </c>
      <c r="BZ1241" s="6">
        <f t="shared" si="149"/>
        <v>8.3850931677018639E-2</v>
      </c>
      <c r="CA1241" s="7">
        <v>41952</v>
      </c>
      <c r="CI1241">
        <f t="shared" si="147"/>
        <v>2014</v>
      </c>
      <c r="CJ1241" t="str">
        <f t="shared" si="148"/>
        <v>6256_2014</v>
      </c>
    </row>
    <row r="1242" spans="1:88" x14ac:dyDescent="0.25">
      <c r="A1242" t="s">
        <v>79</v>
      </c>
      <c r="B1242" t="s">
        <v>439</v>
      </c>
      <c r="C1242">
        <v>6256</v>
      </c>
      <c r="D1242">
        <v>-33.914200000000001</v>
      </c>
      <c r="E1242">
        <v>151.12209999999999</v>
      </c>
      <c r="F1242">
        <v>4</v>
      </c>
      <c r="G1242" t="s">
        <v>441</v>
      </c>
      <c r="H1242">
        <v>61</v>
      </c>
      <c r="I1242">
        <v>241</v>
      </c>
      <c r="J1242">
        <v>163</v>
      </c>
      <c r="K1242">
        <v>343</v>
      </c>
      <c r="L1242">
        <v>264</v>
      </c>
      <c r="M1242">
        <v>84</v>
      </c>
      <c r="N1242">
        <v>347</v>
      </c>
      <c r="O1242">
        <v>167</v>
      </c>
      <c r="T1242">
        <v>56</v>
      </c>
      <c r="U1242">
        <v>182</v>
      </c>
      <c r="V1242">
        <v>14</v>
      </c>
      <c r="Y1242">
        <v>44</v>
      </c>
      <c r="Z1242">
        <v>23</v>
      </c>
      <c r="AA1242">
        <v>30</v>
      </c>
      <c r="AD1242">
        <v>154</v>
      </c>
      <c r="AE1242">
        <v>16</v>
      </c>
      <c r="AF1242">
        <v>4</v>
      </c>
      <c r="AI1242">
        <v>6</v>
      </c>
      <c r="AJ1242">
        <v>36</v>
      </c>
      <c r="AK1242">
        <v>5</v>
      </c>
      <c r="AX1242">
        <v>252</v>
      </c>
      <c r="AY1242">
        <v>204</v>
      </c>
      <c r="AZ1242">
        <v>456</v>
      </c>
      <c r="BA1242">
        <v>97</v>
      </c>
      <c r="BB1242">
        <v>108</v>
      </c>
      <c r="BC1242">
        <v>205</v>
      </c>
      <c r="BD1242">
        <v>174</v>
      </c>
      <c r="BE1242">
        <v>210</v>
      </c>
      <c r="BF1242">
        <v>384</v>
      </c>
      <c r="BG1242">
        <v>47</v>
      </c>
      <c r="BH1242">
        <v>48</v>
      </c>
      <c r="BI1242">
        <v>95</v>
      </c>
      <c r="BP1242">
        <v>278</v>
      </c>
      <c r="BR1242">
        <v>204</v>
      </c>
      <c r="BS1242">
        <v>42</v>
      </c>
      <c r="BT1242">
        <v>39</v>
      </c>
      <c r="BV1242">
        <v>7</v>
      </c>
      <c r="BW1242">
        <v>570</v>
      </c>
      <c r="BX1242">
        <f t="shared" si="153"/>
        <v>698</v>
      </c>
      <c r="BY1242" s="5">
        <f t="shared" si="151"/>
        <v>-0.18338108882521489</v>
      </c>
      <c r="BZ1242" s="6">
        <f t="shared" si="149"/>
        <v>-0.18338108882521489</v>
      </c>
      <c r="CA1242" s="7">
        <v>42316</v>
      </c>
      <c r="CE1242">
        <v>189</v>
      </c>
      <c r="CF1242">
        <v>158</v>
      </c>
      <c r="CG1242">
        <v>99</v>
      </c>
      <c r="CH1242">
        <v>124</v>
      </c>
      <c r="CI1242">
        <f t="shared" si="147"/>
        <v>2015</v>
      </c>
      <c r="CJ1242" t="str">
        <f t="shared" si="148"/>
        <v>6256_2015</v>
      </c>
    </row>
    <row r="1243" spans="1:88" x14ac:dyDescent="0.25">
      <c r="A1243" t="s">
        <v>79</v>
      </c>
      <c r="B1243" t="s">
        <v>439</v>
      </c>
      <c r="C1243">
        <v>6256</v>
      </c>
      <c r="D1243">
        <v>-33.914243999999997</v>
      </c>
      <c r="E1243">
        <v>151.12210400000001</v>
      </c>
      <c r="F1243">
        <v>4</v>
      </c>
      <c r="G1243" t="s">
        <v>441</v>
      </c>
      <c r="H1243">
        <v>61</v>
      </c>
      <c r="I1243">
        <v>241</v>
      </c>
      <c r="J1243">
        <v>163</v>
      </c>
      <c r="K1243">
        <v>343</v>
      </c>
      <c r="L1243">
        <v>264</v>
      </c>
      <c r="M1243">
        <v>84</v>
      </c>
      <c r="N1243">
        <v>347</v>
      </c>
      <c r="O1243">
        <v>167</v>
      </c>
      <c r="T1243">
        <v>73</v>
      </c>
      <c r="U1243">
        <v>207</v>
      </c>
      <c r="V1243">
        <v>12</v>
      </c>
      <c r="Y1243">
        <v>59</v>
      </c>
      <c r="Z1243">
        <v>40</v>
      </c>
      <c r="AA1243">
        <v>52</v>
      </c>
      <c r="AD1243">
        <v>196</v>
      </c>
      <c r="AE1243">
        <v>21</v>
      </c>
      <c r="AF1243">
        <v>5</v>
      </c>
      <c r="AI1243">
        <v>12</v>
      </c>
      <c r="AJ1243">
        <v>30</v>
      </c>
      <c r="AK1243">
        <v>12</v>
      </c>
      <c r="AX1243">
        <v>292</v>
      </c>
      <c r="AY1243">
        <v>267</v>
      </c>
      <c r="AZ1243">
        <v>559</v>
      </c>
      <c r="BA1243">
        <v>151</v>
      </c>
      <c r="BB1243">
        <v>124</v>
      </c>
      <c r="BC1243">
        <v>275</v>
      </c>
      <c r="BD1243">
        <v>222</v>
      </c>
      <c r="BE1243">
        <v>259</v>
      </c>
      <c r="BF1243">
        <v>481</v>
      </c>
      <c r="BG1243">
        <v>54</v>
      </c>
      <c r="BH1243">
        <v>69</v>
      </c>
      <c r="BI1243">
        <v>123</v>
      </c>
      <c r="BP1243">
        <v>357</v>
      </c>
      <c r="BR1243">
        <v>242</v>
      </c>
      <c r="BS1243">
        <v>43</v>
      </c>
      <c r="BT1243">
        <v>75</v>
      </c>
      <c r="BV1243">
        <v>2</v>
      </c>
      <c r="BW1243">
        <v>719</v>
      </c>
      <c r="BX1243">
        <f t="shared" si="153"/>
        <v>570</v>
      </c>
      <c r="BY1243" s="5">
        <f t="shared" si="151"/>
        <v>0.2614035087719298</v>
      </c>
      <c r="BZ1243" s="6">
        <f t="shared" si="149"/>
        <v>0.2614035087719298</v>
      </c>
      <c r="CA1243" s="7">
        <v>42687</v>
      </c>
      <c r="CE1243">
        <v>282</v>
      </c>
      <c r="CF1243">
        <v>202</v>
      </c>
      <c r="CG1243">
        <v>146</v>
      </c>
      <c r="CH1243">
        <v>89</v>
      </c>
      <c r="CI1243">
        <f t="shared" si="147"/>
        <v>2016</v>
      </c>
      <c r="CJ1243" t="str">
        <f t="shared" si="148"/>
        <v>6256_2016</v>
      </c>
    </row>
    <row r="1244" spans="1:88" x14ac:dyDescent="0.25">
      <c r="A1244" t="s">
        <v>79</v>
      </c>
      <c r="B1244" t="s">
        <v>439</v>
      </c>
      <c r="C1244">
        <v>6256</v>
      </c>
      <c r="D1244">
        <v>-33.914243999999997</v>
      </c>
      <c r="E1244">
        <v>151.12210400000001</v>
      </c>
      <c r="F1244">
        <v>4</v>
      </c>
      <c r="G1244" t="s">
        <v>441</v>
      </c>
      <c r="H1244">
        <v>61</v>
      </c>
      <c r="I1244">
        <v>241</v>
      </c>
      <c r="J1244">
        <v>163</v>
      </c>
      <c r="K1244">
        <v>343</v>
      </c>
      <c r="L1244">
        <v>264</v>
      </c>
      <c r="M1244">
        <v>84</v>
      </c>
      <c r="N1244">
        <v>347</v>
      </c>
      <c r="O1244">
        <v>167</v>
      </c>
      <c r="T1244">
        <v>69</v>
      </c>
      <c r="U1244">
        <v>112</v>
      </c>
      <c r="V1244">
        <v>26</v>
      </c>
      <c r="Y1244">
        <v>40</v>
      </c>
      <c r="Z1244">
        <v>48</v>
      </c>
      <c r="AA1244">
        <v>46</v>
      </c>
      <c r="AD1244">
        <v>87</v>
      </c>
      <c r="AE1244">
        <v>37</v>
      </c>
      <c r="AF1244">
        <v>37</v>
      </c>
      <c r="AI1244">
        <v>49</v>
      </c>
      <c r="AJ1244">
        <v>48</v>
      </c>
      <c r="AK1244">
        <v>94</v>
      </c>
      <c r="AX1244">
        <v>207</v>
      </c>
      <c r="AY1244">
        <v>176</v>
      </c>
      <c r="AZ1244">
        <v>383</v>
      </c>
      <c r="BA1244">
        <v>134</v>
      </c>
      <c r="BB1244">
        <v>154</v>
      </c>
      <c r="BC1244">
        <v>288</v>
      </c>
      <c r="BD1244">
        <v>161</v>
      </c>
      <c r="BE1244">
        <v>254</v>
      </c>
      <c r="BF1244">
        <v>415</v>
      </c>
      <c r="BG1244">
        <v>191</v>
      </c>
      <c r="BH1244">
        <v>109</v>
      </c>
      <c r="BI1244">
        <v>300</v>
      </c>
      <c r="BP1244">
        <v>346</v>
      </c>
      <c r="BR1244">
        <v>224</v>
      </c>
      <c r="BS1244">
        <v>60</v>
      </c>
      <c r="BT1244">
        <v>57</v>
      </c>
      <c r="BV1244">
        <v>6</v>
      </c>
      <c r="BW1244">
        <v>693</v>
      </c>
      <c r="BX1244">
        <f t="shared" si="153"/>
        <v>719</v>
      </c>
      <c r="BY1244" s="5">
        <f t="shared" si="151"/>
        <v>-3.6161335187760782E-2</v>
      </c>
      <c r="BZ1244" s="6">
        <f t="shared" si="149"/>
        <v>-3.6161335187760782E-2</v>
      </c>
      <c r="CA1244" s="7">
        <v>43051</v>
      </c>
      <c r="CE1244">
        <v>208</v>
      </c>
      <c r="CF1244">
        <v>226</v>
      </c>
      <c r="CG1244">
        <v>166</v>
      </c>
      <c r="CH1244">
        <v>93</v>
      </c>
      <c r="CI1244">
        <f t="shared" si="147"/>
        <v>2017</v>
      </c>
      <c r="CJ1244" t="str">
        <f t="shared" si="148"/>
        <v>6256_2017</v>
      </c>
    </row>
    <row r="1245" spans="1:88" x14ac:dyDescent="0.25">
      <c r="A1245" t="s">
        <v>79</v>
      </c>
      <c r="B1245" t="s">
        <v>439</v>
      </c>
      <c r="C1245">
        <v>6256</v>
      </c>
      <c r="D1245">
        <v>-33.914243999999997</v>
      </c>
      <c r="E1245">
        <v>151.12210400000001</v>
      </c>
      <c r="F1245">
        <v>4</v>
      </c>
      <c r="G1245" t="s">
        <v>441</v>
      </c>
      <c r="H1245">
        <v>61</v>
      </c>
      <c r="I1245">
        <v>241</v>
      </c>
      <c r="J1245">
        <v>163</v>
      </c>
      <c r="K1245">
        <v>343</v>
      </c>
      <c r="L1245">
        <v>264</v>
      </c>
      <c r="M1245">
        <v>84</v>
      </c>
      <c r="N1245">
        <v>347</v>
      </c>
      <c r="O1245">
        <v>167</v>
      </c>
      <c r="T1245">
        <v>75</v>
      </c>
      <c r="U1245">
        <v>232</v>
      </c>
      <c r="V1245">
        <v>18</v>
      </c>
      <c r="Y1245">
        <v>74</v>
      </c>
      <c r="Z1245">
        <v>24</v>
      </c>
      <c r="AA1245">
        <v>46</v>
      </c>
      <c r="AD1245">
        <v>240</v>
      </c>
      <c r="AE1245">
        <v>29</v>
      </c>
      <c r="AF1245">
        <v>9</v>
      </c>
      <c r="AI1245">
        <v>26</v>
      </c>
      <c r="AJ1245">
        <v>48</v>
      </c>
      <c r="AK1245">
        <v>7</v>
      </c>
      <c r="AX1245">
        <v>325</v>
      </c>
      <c r="AY1245">
        <v>340</v>
      </c>
      <c r="AZ1245">
        <v>665</v>
      </c>
      <c r="BA1245">
        <v>144</v>
      </c>
      <c r="BB1245">
        <v>152</v>
      </c>
      <c r="BC1245">
        <v>296</v>
      </c>
      <c r="BD1245">
        <v>278</v>
      </c>
      <c r="BE1245">
        <v>263</v>
      </c>
      <c r="BF1245">
        <v>541</v>
      </c>
      <c r="BG1245">
        <v>81</v>
      </c>
      <c r="BH1245">
        <v>73</v>
      </c>
      <c r="BI1245">
        <v>154</v>
      </c>
      <c r="BP1245">
        <v>418</v>
      </c>
      <c r="BR1245">
        <v>300</v>
      </c>
      <c r="BS1245">
        <v>55</v>
      </c>
      <c r="BT1245">
        <v>55</v>
      </c>
      <c r="BV1245">
        <v>0</v>
      </c>
      <c r="BW1245">
        <v>828</v>
      </c>
      <c r="BX1245">
        <f t="shared" si="153"/>
        <v>693</v>
      </c>
      <c r="BY1245" s="5">
        <f t="shared" si="151"/>
        <v>0.19480519480519481</v>
      </c>
      <c r="BZ1245" s="6">
        <f t="shared" si="149"/>
        <v>0.19480519480519481</v>
      </c>
      <c r="CA1245" s="7">
        <v>43415</v>
      </c>
      <c r="CE1245">
        <v>287</v>
      </c>
      <c r="CF1245">
        <v>217</v>
      </c>
      <c r="CG1245">
        <v>168</v>
      </c>
      <c r="CH1245">
        <v>156</v>
      </c>
      <c r="CI1245">
        <f t="shared" si="147"/>
        <v>2018</v>
      </c>
      <c r="CJ1245" t="str">
        <f t="shared" si="148"/>
        <v>6256_2018</v>
      </c>
    </row>
    <row r="1246" spans="1:88" x14ac:dyDescent="0.25">
      <c r="A1246" t="s">
        <v>79</v>
      </c>
      <c r="B1246" t="s">
        <v>439</v>
      </c>
      <c r="C1246">
        <v>6256</v>
      </c>
      <c r="D1246">
        <v>-33.914200000000001</v>
      </c>
      <c r="E1246">
        <v>151.12209999999999</v>
      </c>
      <c r="F1246">
        <v>4</v>
      </c>
      <c r="G1246" t="s">
        <v>441</v>
      </c>
      <c r="H1246">
        <v>61</v>
      </c>
      <c r="I1246">
        <v>241</v>
      </c>
      <c r="J1246">
        <v>163</v>
      </c>
      <c r="K1246">
        <v>343</v>
      </c>
      <c r="L1246">
        <v>264</v>
      </c>
      <c r="M1246">
        <v>84</v>
      </c>
      <c r="N1246">
        <v>347</v>
      </c>
      <c r="O1246">
        <v>167</v>
      </c>
      <c r="T1246">
        <v>71</v>
      </c>
      <c r="U1246">
        <v>223</v>
      </c>
      <c r="V1246">
        <v>15</v>
      </c>
      <c r="Y1246">
        <v>53</v>
      </c>
      <c r="Z1246">
        <v>46</v>
      </c>
      <c r="AA1246">
        <v>28</v>
      </c>
      <c r="AD1246">
        <v>223</v>
      </c>
      <c r="AE1246">
        <v>35</v>
      </c>
      <c r="AF1246">
        <v>4</v>
      </c>
      <c r="AI1246">
        <v>14</v>
      </c>
      <c r="AJ1246">
        <v>25</v>
      </c>
      <c r="AK1246">
        <v>7</v>
      </c>
      <c r="AX1246">
        <v>309</v>
      </c>
      <c r="AY1246">
        <v>290</v>
      </c>
      <c r="AZ1246">
        <v>599</v>
      </c>
      <c r="BA1246">
        <v>127</v>
      </c>
      <c r="BB1246">
        <v>131</v>
      </c>
      <c r="BC1246">
        <v>258</v>
      </c>
      <c r="BD1246">
        <v>262</v>
      </c>
      <c r="BE1246">
        <v>276</v>
      </c>
      <c r="BF1246">
        <v>538</v>
      </c>
      <c r="BG1246">
        <v>46</v>
      </c>
      <c r="BH1246">
        <v>47</v>
      </c>
      <c r="BI1246">
        <v>93</v>
      </c>
      <c r="BP1246">
        <v>341</v>
      </c>
      <c r="BR1246">
        <v>275</v>
      </c>
      <c r="BS1246">
        <v>60</v>
      </c>
      <c r="BT1246">
        <v>57</v>
      </c>
      <c r="BV1246">
        <v>11</v>
      </c>
      <c r="BW1246">
        <v>744</v>
      </c>
      <c r="BX1246">
        <f t="shared" si="153"/>
        <v>828</v>
      </c>
      <c r="BY1246" s="5">
        <f t="shared" si="151"/>
        <v>-0.10144927536231885</v>
      </c>
      <c r="BZ1246" s="6">
        <f t="shared" si="149"/>
        <v>-0.10144927536231885</v>
      </c>
      <c r="CA1246" s="7">
        <v>43779</v>
      </c>
      <c r="CE1246">
        <v>230</v>
      </c>
      <c r="CF1246">
        <v>225</v>
      </c>
      <c r="CG1246">
        <v>173</v>
      </c>
      <c r="CH1246">
        <v>116</v>
      </c>
      <c r="CI1246">
        <f t="shared" si="147"/>
        <v>2019</v>
      </c>
      <c r="CJ1246" t="str">
        <f t="shared" si="148"/>
        <v>6256_2019</v>
      </c>
    </row>
    <row r="1247" spans="1:88" x14ac:dyDescent="0.25">
      <c r="A1247" t="s">
        <v>79</v>
      </c>
      <c r="B1247" t="s">
        <v>439</v>
      </c>
      <c r="C1247">
        <v>6256</v>
      </c>
      <c r="D1247">
        <v>-33.914200000000001</v>
      </c>
      <c r="E1247">
        <v>151.12209999999999</v>
      </c>
      <c r="F1247">
        <v>4</v>
      </c>
      <c r="G1247" t="s">
        <v>441</v>
      </c>
      <c r="H1247">
        <v>61</v>
      </c>
      <c r="I1247">
        <v>241</v>
      </c>
      <c r="J1247">
        <v>163</v>
      </c>
      <c r="K1247">
        <v>343</v>
      </c>
      <c r="L1247">
        <v>264</v>
      </c>
      <c r="M1247">
        <v>84</v>
      </c>
      <c r="N1247">
        <v>347</v>
      </c>
      <c r="O1247">
        <v>167</v>
      </c>
      <c r="T1247">
        <v>92</v>
      </c>
      <c r="U1247">
        <v>275</v>
      </c>
      <c r="V1247">
        <v>16</v>
      </c>
      <c r="Y1247">
        <v>94</v>
      </c>
      <c r="Z1247">
        <v>35</v>
      </c>
      <c r="AA1247">
        <v>43</v>
      </c>
      <c r="AD1247">
        <v>279</v>
      </c>
      <c r="AE1247">
        <v>48</v>
      </c>
      <c r="AF1247">
        <v>4</v>
      </c>
      <c r="AI1247">
        <v>14</v>
      </c>
      <c r="AJ1247">
        <v>42</v>
      </c>
      <c r="AK1247">
        <v>5</v>
      </c>
      <c r="AX1247">
        <v>383</v>
      </c>
      <c r="AY1247">
        <v>387</v>
      </c>
      <c r="AZ1247">
        <v>770</v>
      </c>
      <c r="BA1247">
        <v>172</v>
      </c>
      <c r="BB1247">
        <v>182</v>
      </c>
      <c r="BC1247">
        <v>354</v>
      </c>
      <c r="BD1247">
        <v>331</v>
      </c>
      <c r="BE1247">
        <v>315</v>
      </c>
      <c r="BF1247">
        <v>646</v>
      </c>
      <c r="BG1247">
        <v>61</v>
      </c>
      <c r="BH1247">
        <v>63</v>
      </c>
      <c r="BI1247">
        <v>124</v>
      </c>
      <c r="BP1247">
        <v>408</v>
      </c>
      <c r="BR1247">
        <v>399</v>
      </c>
      <c r="BS1247">
        <v>69</v>
      </c>
      <c r="BT1247">
        <v>70</v>
      </c>
      <c r="BV1247">
        <v>1</v>
      </c>
      <c r="BW1247">
        <v>947</v>
      </c>
      <c r="BX1247">
        <f t="shared" si="153"/>
        <v>744</v>
      </c>
      <c r="BY1247" s="5">
        <f t="shared" si="151"/>
        <v>0.27284946236559138</v>
      </c>
      <c r="BZ1247" s="6">
        <f t="shared" si="149"/>
        <v>0.27284946236559138</v>
      </c>
      <c r="CA1247" s="7">
        <v>44143</v>
      </c>
      <c r="CE1247">
        <v>274</v>
      </c>
      <c r="CF1247">
        <v>246</v>
      </c>
      <c r="CG1247">
        <v>245</v>
      </c>
      <c r="CH1247">
        <v>182</v>
      </c>
      <c r="CI1247">
        <f t="shared" si="147"/>
        <v>2020</v>
      </c>
      <c r="CJ1247" t="str">
        <f t="shared" si="148"/>
        <v>6256_2020</v>
      </c>
    </row>
    <row r="1248" spans="1:88" x14ac:dyDescent="0.25">
      <c r="A1248" t="s">
        <v>79</v>
      </c>
      <c r="B1248" t="s">
        <v>439</v>
      </c>
      <c r="C1248">
        <v>6256</v>
      </c>
      <c r="D1248">
        <v>-33.914200000000001</v>
      </c>
      <c r="E1248">
        <v>151.12209999999999</v>
      </c>
      <c r="F1248">
        <v>4</v>
      </c>
      <c r="G1248" t="s">
        <v>441</v>
      </c>
      <c r="H1248">
        <v>61</v>
      </c>
      <c r="I1248">
        <v>241</v>
      </c>
      <c r="J1248">
        <v>163</v>
      </c>
      <c r="K1248">
        <v>343</v>
      </c>
      <c r="L1248">
        <v>264</v>
      </c>
      <c r="M1248">
        <v>84</v>
      </c>
      <c r="N1248">
        <v>347</v>
      </c>
      <c r="O1248">
        <v>167</v>
      </c>
      <c r="T1248">
        <v>100</v>
      </c>
      <c r="U1248">
        <v>118</v>
      </c>
      <c r="V1248">
        <v>24</v>
      </c>
      <c r="Y1248">
        <v>42</v>
      </c>
      <c r="Z1248">
        <v>56</v>
      </c>
      <c r="AA1248">
        <v>12</v>
      </c>
      <c r="AD1248">
        <v>136</v>
      </c>
      <c r="AE1248">
        <v>38</v>
      </c>
      <c r="AF1248">
        <v>8</v>
      </c>
      <c r="AI1248">
        <v>9</v>
      </c>
      <c r="AJ1248">
        <v>23</v>
      </c>
      <c r="AK1248">
        <v>9</v>
      </c>
      <c r="AX1248">
        <v>242</v>
      </c>
      <c r="AY1248">
        <v>187</v>
      </c>
      <c r="AZ1248">
        <v>429</v>
      </c>
      <c r="BA1248">
        <v>110</v>
      </c>
      <c r="BB1248">
        <v>161</v>
      </c>
      <c r="BC1248">
        <v>271</v>
      </c>
      <c r="BD1248">
        <v>182</v>
      </c>
      <c r="BE1248">
        <v>183</v>
      </c>
      <c r="BF1248">
        <v>365</v>
      </c>
      <c r="BG1248">
        <v>41</v>
      </c>
      <c r="BH1248">
        <v>44</v>
      </c>
      <c r="BI1248">
        <v>85</v>
      </c>
      <c r="BP1248">
        <v>169</v>
      </c>
      <c r="BR1248">
        <v>280</v>
      </c>
      <c r="BS1248">
        <v>55</v>
      </c>
      <c r="BT1248">
        <v>56</v>
      </c>
      <c r="BV1248">
        <v>15</v>
      </c>
      <c r="BW1248">
        <v>575</v>
      </c>
      <c r="BX1248">
        <f t="shared" si="153"/>
        <v>947</v>
      </c>
      <c r="BY1248" s="5">
        <f t="shared" si="151"/>
        <v>-0.39281942977824708</v>
      </c>
      <c r="BZ1248" s="6">
        <f t="shared" si="149"/>
        <v>-0.39281942977824708</v>
      </c>
      <c r="CA1248" s="7">
        <v>44528</v>
      </c>
      <c r="CE1248">
        <v>202</v>
      </c>
      <c r="CF1248">
        <v>220</v>
      </c>
      <c r="CG1248">
        <v>153</v>
      </c>
      <c r="CI1248">
        <f t="shared" si="147"/>
        <v>2021</v>
      </c>
      <c r="CJ1248" t="str">
        <f t="shared" si="148"/>
        <v>6256_2021</v>
      </c>
    </row>
    <row r="1249" spans="1:88" x14ac:dyDescent="0.25">
      <c r="A1249" t="s">
        <v>79</v>
      </c>
      <c r="B1249" t="s">
        <v>439</v>
      </c>
      <c r="C1249">
        <v>6256</v>
      </c>
      <c r="D1249">
        <v>-33.914243999999997</v>
      </c>
      <c r="E1249">
        <v>151.12210400000001</v>
      </c>
      <c r="F1249">
        <v>4</v>
      </c>
      <c r="G1249" t="s">
        <v>441</v>
      </c>
      <c r="H1249">
        <v>61</v>
      </c>
      <c r="I1249">
        <v>241</v>
      </c>
      <c r="J1249">
        <v>163</v>
      </c>
      <c r="K1249">
        <v>343</v>
      </c>
      <c r="L1249">
        <v>264</v>
      </c>
      <c r="M1249">
        <v>84</v>
      </c>
      <c r="N1249">
        <v>347</v>
      </c>
      <c r="O1249">
        <v>167</v>
      </c>
      <c r="T1249">
        <v>108</v>
      </c>
      <c r="U1249">
        <v>71</v>
      </c>
      <c r="V1249">
        <v>13</v>
      </c>
      <c r="Y1249">
        <v>99</v>
      </c>
      <c r="Z1249">
        <v>8</v>
      </c>
      <c r="AA1249">
        <v>32</v>
      </c>
      <c r="AD1249">
        <v>60</v>
      </c>
      <c r="AE1249">
        <v>9</v>
      </c>
      <c r="AF1249">
        <v>1</v>
      </c>
      <c r="AI1249">
        <v>9</v>
      </c>
      <c r="AJ1249">
        <v>26</v>
      </c>
      <c r="AK1249">
        <v>1</v>
      </c>
      <c r="AX1249">
        <v>192</v>
      </c>
      <c r="AY1249">
        <v>168</v>
      </c>
      <c r="AZ1249">
        <v>360</v>
      </c>
      <c r="BA1249">
        <v>139</v>
      </c>
      <c r="BB1249">
        <v>143</v>
      </c>
      <c r="BC1249">
        <v>282</v>
      </c>
      <c r="BD1249">
        <v>70</v>
      </c>
      <c r="BE1249">
        <v>80</v>
      </c>
      <c r="BF1249">
        <v>150</v>
      </c>
      <c r="BG1249">
        <v>36</v>
      </c>
      <c r="BH1249">
        <v>46</v>
      </c>
      <c r="BI1249">
        <v>82</v>
      </c>
      <c r="BP1249">
        <v>152</v>
      </c>
      <c r="BR1249">
        <v>177</v>
      </c>
      <c r="BS1249">
        <v>58</v>
      </c>
      <c r="BT1249">
        <v>48</v>
      </c>
      <c r="BU1249">
        <v>2</v>
      </c>
      <c r="BV1249">
        <v>0</v>
      </c>
      <c r="BW1249">
        <v>437</v>
      </c>
      <c r="BX1249">
        <f t="shared" si="153"/>
        <v>575</v>
      </c>
      <c r="BY1249" s="5">
        <f t="shared" si="151"/>
        <v>-0.24</v>
      </c>
      <c r="BZ1249" s="6">
        <f t="shared" si="149"/>
        <v>-0.24</v>
      </c>
      <c r="CA1249" s="7">
        <v>44885</v>
      </c>
      <c r="CE1249">
        <v>172</v>
      </c>
      <c r="CF1249">
        <v>160</v>
      </c>
      <c r="CG1249">
        <v>105</v>
      </c>
      <c r="CI1249">
        <f t="shared" si="147"/>
        <v>2022</v>
      </c>
      <c r="CJ1249" t="str">
        <f t="shared" si="148"/>
        <v>6256_2022</v>
      </c>
    </row>
    <row r="1250" spans="1:88" x14ac:dyDescent="0.25">
      <c r="A1250" t="s">
        <v>79</v>
      </c>
      <c r="B1250" t="s">
        <v>80</v>
      </c>
      <c r="C1250">
        <v>6257</v>
      </c>
      <c r="D1250">
        <v>-33.901499999999999</v>
      </c>
      <c r="E1250">
        <v>151.1379</v>
      </c>
      <c r="F1250">
        <v>3</v>
      </c>
      <c r="G1250" t="s">
        <v>442</v>
      </c>
      <c r="H1250">
        <v>7</v>
      </c>
      <c r="I1250">
        <v>187</v>
      </c>
      <c r="J1250">
        <v>180</v>
      </c>
      <c r="K1250">
        <v>360</v>
      </c>
      <c r="L1250">
        <v>291</v>
      </c>
      <c r="M1250">
        <v>111</v>
      </c>
      <c r="T1250">
        <v>88</v>
      </c>
      <c r="U1250">
        <v>3</v>
      </c>
      <c r="Y1250">
        <v>85</v>
      </c>
      <c r="Z1250">
        <v>5</v>
      </c>
      <c r="AD1250">
        <v>0</v>
      </c>
      <c r="AE1250">
        <v>0</v>
      </c>
      <c r="AX1250">
        <v>91</v>
      </c>
      <c r="AY1250">
        <v>85</v>
      </c>
      <c r="AZ1250">
        <v>176</v>
      </c>
      <c r="BA1250">
        <v>90</v>
      </c>
      <c r="BB1250">
        <v>88</v>
      </c>
      <c r="BC1250">
        <v>178</v>
      </c>
      <c r="BD1250">
        <v>0</v>
      </c>
      <c r="BE1250">
        <v>8</v>
      </c>
      <c r="BF1250">
        <v>8</v>
      </c>
      <c r="BP1250">
        <v>14</v>
      </c>
      <c r="BR1250">
        <v>146</v>
      </c>
      <c r="BS1250">
        <v>4</v>
      </c>
      <c r="BT1250">
        <v>17</v>
      </c>
      <c r="BV1250">
        <v>0</v>
      </c>
      <c r="BW1250">
        <v>181</v>
      </c>
      <c r="BX1250" t="s">
        <v>82</v>
      </c>
      <c r="BY1250" s="5"/>
      <c r="BZ1250" s="6"/>
      <c r="CA1250" s="7">
        <v>41588</v>
      </c>
      <c r="CI1250">
        <f t="shared" si="147"/>
        <v>2013</v>
      </c>
      <c r="CJ1250" t="str">
        <f t="shared" si="148"/>
        <v>6257_2013</v>
      </c>
    </row>
    <row r="1251" spans="1:88" x14ac:dyDescent="0.25">
      <c r="A1251" t="s">
        <v>79</v>
      </c>
      <c r="B1251" t="s">
        <v>80</v>
      </c>
      <c r="C1251">
        <v>6257</v>
      </c>
      <c r="D1251">
        <v>-33.901499999999999</v>
      </c>
      <c r="E1251">
        <v>151.1379</v>
      </c>
      <c r="F1251">
        <v>3</v>
      </c>
      <c r="G1251" t="s">
        <v>442</v>
      </c>
      <c r="H1251">
        <v>7</v>
      </c>
      <c r="I1251">
        <v>187</v>
      </c>
      <c r="J1251">
        <v>180</v>
      </c>
      <c r="K1251">
        <v>360</v>
      </c>
      <c r="L1251">
        <v>291</v>
      </c>
      <c r="M1251">
        <v>111</v>
      </c>
      <c r="T1251">
        <v>133</v>
      </c>
      <c r="U1251">
        <v>40</v>
      </c>
      <c r="Y1251">
        <v>155</v>
      </c>
      <c r="Z1251">
        <v>46</v>
      </c>
      <c r="AD1251">
        <v>52</v>
      </c>
      <c r="AE1251">
        <v>59</v>
      </c>
      <c r="AX1251">
        <v>173</v>
      </c>
      <c r="AY1251">
        <v>207</v>
      </c>
      <c r="AZ1251">
        <v>380</v>
      </c>
      <c r="BA1251">
        <v>201</v>
      </c>
      <c r="BB1251">
        <v>192</v>
      </c>
      <c r="BC1251">
        <v>393</v>
      </c>
      <c r="BD1251">
        <v>111</v>
      </c>
      <c r="BE1251">
        <v>86</v>
      </c>
      <c r="BF1251">
        <v>197</v>
      </c>
      <c r="BP1251">
        <v>18</v>
      </c>
      <c r="BR1251">
        <v>263</v>
      </c>
      <c r="BS1251">
        <v>38</v>
      </c>
      <c r="BT1251">
        <v>31</v>
      </c>
      <c r="BV1251">
        <v>135</v>
      </c>
      <c r="BW1251">
        <v>485</v>
      </c>
      <c r="BX1251">
        <f t="shared" ref="BX1251:BX1256" si="154">IF(C1251=C1250,IF((CI1251-1)=CI1250,BW1250,"no data"))</f>
        <v>181</v>
      </c>
      <c r="BY1251" s="5">
        <f t="shared" si="151"/>
        <v>1.6795580110497237</v>
      </c>
      <c r="BZ1251" s="6">
        <f t="shared" si="149"/>
        <v>1.6795580110497237</v>
      </c>
      <c r="CA1251" s="7">
        <v>41952</v>
      </c>
      <c r="CI1251">
        <f t="shared" si="147"/>
        <v>2014</v>
      </c>
      <c r="CJ1251" t="str">
        <f t="shared" si="148"/>
        <v>6257_2014</v>
      </c>
    </row>
    <row r="1252" spans="1:88" x14ac:dyDescent="0.25">
      <c r="A1252" t="s">
        <v>79</v>
      </c>
      <c r="B1252" t="s">
        <v>80</v>
      </c>
      <c r="C1252">
        <v>6257</v>
      </c>
      <c r="D1252">
        <v>-33.901499999999999</v>
      </c>
      <c r="E1252">
        <v>151.1379</v>
      </c>
      <c r="F1252">
        <v>3</v>
      </c>
      <c r="G1252" t="s">
        <v>442</v>
      </c>
      <c r="H1252">
        <v>7</v>
      </c>
      <c r="I1252">
        <v>187</v>
      </c>
      <c r="J1252">
        <v>180</v>
      </c>
      <c r="K1252">
        <v>360</v>
      </c>
      <c r="L1252">
        <v>291</v>
      </c>
      <c r="M1252">
        <v>111</v>
      </c>
      <c r="T1252">
        <v>100</v>
      </c>
      <c r="U1252">
        <v>3</v>
      </c>
      <c r="Y1252">
        <v>74</v>
      </c>
      <c r="Z1252">
        <v>48</v>
      </c>
      <c r="AD1252">
        <v>6</v>
      </c>
      <c r="AE1252">
        <v>110</v>
      </c>
      <c r="AX1252">
        <v>103</v>
      </c>
      <c r="AY1252">
        <v>80</v>
      </c>
      <c r="AZ1252">
        <v>183</v>
      </c>
      <c r="BA1252">
        <v>122</v>
      </c>
      <c r="BB1252">
        <v>210</v>
      </c>
      <c r="BC1252">
        <v>332</v>
      </c>
      <c r="BD1252">
        <v>116</v>
      </c>
      <c r="BE1252">
        <v>51</v>
      </c>
      <c r="BF1252">
        <v>167</v>
      </c>
      <c r="BP1252">
        <v>39</v>
      </c>
      <c r="BR1252">
        <v>213</v>
      </c>
      <c r="BS1252">
        <v>50</v>
      </c>
      <c r="BT1252">
        <v>37</v>
      </c>
      <c r="BV1252">
        <v>2</v>
      </c>
      <c r="BW1252">
        <v>341</v>
      </c>
      <c r="BX1252">
        <f t="shared" si="154"/>
        <v>485</v>
      </c>
      <c r="BY1252" s="5">
        <f t="shared" si="151"/>
        <v>-0.29690721649484536</v>
      </c>
      <c r="BZ1252" s="6">
        <f t="shared" si="149"/>
        <v>-0.29690721649484536</v>
      </c>
      <c r="CA1252" s="7">
        <v>42316</v>
      </c>
      <c r="CE1252">
        <v>102</v>
      </c>
      <c r="CF1252">
        <v>102</v>
      </c>
      <c r="CG1252">
        <v>56</v>
      </c>
      <c r="CH1252">
        <v>81</v>
      </c>
      <c r="CI1252">
        <f t="shared" si="147"/>
        <v>2015</v>
      </c>
      <c r="CJ1252" t="str">
        <f t="shared" si="148"/>
        <v>6257_2015</v>
      </c>
    </row>
    <row r="1253" spans="1:88" x14ac:dyDescent="0.25">
      <c r="A1253" t="s">
        <v>79</v>
      </c>
      <c r="B1253" t="s">
        <v>80</v>
      </c>
      <c r="C1253">
        <v>6257</v>
      </c>
      <c r="D1253">
        <v>-33.901535000000003</v>
      </c>
      <c r="E1253">
        <v>151.13786999999999</v>
      </c>
      <c r="F1253">
        <v>3</v>
      </c>
      <c r="G1253" t="s">
        <v>442</v>
      </c>
      <c r="H1253">
        <v>7</v>
      </c>
      <c r="I1253">
        <v>187</v>
      </c>
      <c r="J1253">
        <v>180</v>
      </c>
      <c r="K1253">
        <v>360</v>
      </c>
      <c r="L1253">
        <v>291</v>
      </c>
      <c r="M1253">
        <v>111</v>
      </c>
      <c r="T1253">
        <v>52</v>
      </c>
      <c r="U1253">
        <v>28</v>
      </c>
      <c r="Y1253">
        <v>90</v>
      </c>
      <c r="Z1253">
        <v>63</v>
      </c>
      <c r="AD1253">
        <v>21</v>
      </c>
      <c r="AE1253">
        <v>55</v>
      </c>
      <c r="AX1253">
        <v>80</v>
      </c>
      <c r="AY1253">
        <v>111</v>
      </c>
      <c r="AZ1253">
        <v>191</v>
      </c>
      <c r="BA1253">
        <v>153</v>
      </c>
      <c r="BB1253">
        <v>107</v>
      </c>
      <c r="BC1253">
        <v>260</v>
      </c>
      <c r="BD1253">
        <v>76</v>
      </c>
      <c r="BE1253">
        <v>91</v>
      </c>
      <c r="BF1253">
        <v>167</v>
      </c>
      <c r="BP1253">
        <v>28</v>
      </c>
      <c r="BR1253">
        <v>250</v>
      </c>
      <c r="BS1253">
        <v>3</v>
      </c>
      <c r="BT1253">
        <v>28</v>
      </c>
      <c r="BV1253">
        <v>0</v>
      </c>
      <c r="BW1253">
        <v>309</v>
      </c>
      <c r="BX1253">
        <f t="shared" si="154"/>
        <v>341</v>
      </c>
      <c r="BY1253" s="5">
        <f t="shared" si="151"/>
        <v>-9.3841642228739003E-2</v>
      </c>
      <c r="BZ1253" s="6">
        <f t="shared" si="149"/>
        <v>-9.3841642228739003E-2</v>
      </c>
      <c r="CA1253" s="7">
        <v>42687</v>
      </c>
      <c r="CE1253">
        <v>111</v>
      </c>
      <c r="CF1253">
        <v>83</v>
      </c>
      <c r="CG1253">
        <v>68</v>
      </c>
      <c r="CH1253">
        <v>47</v>
      </c>
      <c r="CI1253">
        <f t="shared" si="147"/>
        <v>2016</v>
      </c>
      <c r="CJ1253" t="str">
        <f t="shared" si="148"/>
        <v>6257_2016</v>
      </c>
    </row>
    <row r="1254" spans="1:88" x14ac:dyDescent="0.25">
      <c r="A1254" t="s">
        <v>79</v>
      </c>
      <c r="B1254" t="s">
        <v>80</v>
      </c>
      <c r="C1254">
        <v>6257</v>
      </c>
      <c r="D1254">
        <v>-33.901535000000003</v>
      </c>
      <c r="E1254">
        <v>151.13786999999999</v>
      </c>
      <c r="F1254">
        <v>3</v>
      </c>
      <c r="G1254" t="s">
        <v>442</v>
      </c>
      <c r="H1254">
        <v>7</v>
      </c>
      <c r="I1254">
        <v>187</v>
      </c>
      <c r="J1254">
        <v>180</v>
      </c>
      <c r="K1254">
        <v>360</v>
      </c>
      <c r="L1254">
        <v>291</v>
      </c>
      <c r="M1254">
        <v>111</v>
      </c>
      <c r="T1254">
        <v>58</v>
      </c>
      <c r="U1254">
        <v>19</v>
      </c>
      <c r="Y1254">
        <v>90</v>
      </c>
      <c r="Z1254">
        <v>27</v>
      </c>
      <c r="AD1254">
        <v>11</v>
      </c>
      <c r="AE1254">
        <v>47</v>
      </c>
      <c r="AX1254">
        <v>77</v>
      </c>
      <c r="AY1254">
        <v>101</v>
      </c>
      <c r="AZ1254">
        <v>178</v>
      </c>
      <c r="BA1254">
        <v>117</v>
      </c>
      <c r="BB1254">
        <v>105</v>
      </c>
      <c r="BC1254">
        <v>222</v>
      </c>
      <c r="BD1254">
        <v>58</v>
      </c>
      <c r="BE1254">
        <v>46</v>
      </c>
      <c r="BF1254">
        <v>104</v>
      </c>
      <c r="BP1254">
        <v>28</v>
      </c>
      <c r="BR1254">
        <v>196</v>
      </c>
      <c r="BS1254">
        <v>11</v>
      </c>
      <c r="BT1254">
        <v>17</v>
      </c>
      <c r="BV1254">
        <v>0</v>
      </c>
      <c r="BW1254">
        <v>252</v>
      </c>
      <c r="BX1254">
        <f t="shared" si="154"/>
        <v>309</v>
      </c>
      <c r="BY1254" s="5">
        <f t="shared" si="151"/>
        <v>-0.18446601941747573</v>
      </c>
      <c r="BZ1254" s="6">
        <f t="shared" si="149"/>
        <v>-0.18446601941747573</v>
      </c>
      <c r="CA1254" s="7">
        <v>43051</v>
      </c>
      <c r="CE1254">
        <v>71</v>
      </c>
      <c r="CF1254">
        <v>83</v>
      </c>
      <c r="CG1254">
        <v>61</v>
      </c>
      <c r="CH1254">
        <v>37</v>
      </c>
      <c r="CI1254">
        <f t="shared" si="147"/>
        <v>2017</v>
      </c>
      <c r="CJ1254" t="str">
        <f t="shared" si="148"/>
        <v>6257_2017</v>
      </c>
    </row>
    <row r="1255" spans="1:88" x14ac:dyDescent="0.25">
      <c r="A1255" t="s">
        <v>79</v>
      </c>
      <c r="B1255" t="s">
        <v>80</v>
      </c>
      <c r="C1255">
        <v>6257</v>
      </c>
      <c r="D1255">
        <v>-33.901535000000003</v>
      </c>
      <c r="E1255">
        <v>151.13786999999999</v>
      </c>
      <c r="F1255">
        <v>3</v>
      </c>
      <c r="G1255" t="s">
        <v>442</v>
      </c>
      <c r="H1255">
        <v>7</v>
      </c>
      <c r="I1255">
        <v>187</v>
      </c>
      <c r="J1255">
        <v>180</v>
      </c>
      <c r="K1255">
        <v>360</v>
      </c>
      <c r="L1255">
        <v>291</v>
      </c>
      <c r="M1255">
        <v>111</v>
      </c>
      <c r="T1255">
        <v>57</v>
      </c>
      <c r="U1255">
        <v>6</v>
      </c>
      <c r="Y1255">
        <v>77</v>
      </c>
      <c r="Z1255">
        <v>18</v>
      </c>
      <c r="AD1255">
        <v>15</v>
      </c>
      <c r="AE1255">
        <v>27</v>
      </c>
      <c r="AX1255">
        <v>63</v>
      </c>
      <c r="AY1255">
        <v>92</v>
      </c>
      <c r="AZ1255">
        <v>155</v>
      </c>
      <c r="BA1255">
        <v>95</v>
      </c>
      <c r="BB1255">
        <v>84</v>
      </c>
      <c r="BC1255">
        <v>179</v>
      </c>
      <c r="BD1255">
        <v>42</v>
      </c>
      <c r="BE1255">
        <v>24</v>
      </c>
      <c r="BF1255">
        <v>66</v>
      </c>
      <c r="BP1255">
        <v>15</v>
      </c>
      <c r="BR1255">
        <v>139</v>
      </c>
      <c r="BS1255">
        <v>6</v>
      </c>
      <c r="BT1255">
        <v>13</v>
      </c>
      <c r="BV1255">
        <v>27</v>
      </c>
      <c r="BW1255">
        <v>200</v>
      </c>
      <c r="BX1255">
        <f t="shared" si="154"/>
        <v>252</v>
      </c>
      <c r="BY1255" s="5">
        <f t="shared" si="151"/>
        <v>-0.20634920634920634</v>
      </c>
      <c r="BZ1255" s="6">
        <f t="shared" si="149"/>
        <v>-0.20634920634920634</v>
      </c>
      <c r="CA1255" s="7">
        <v>43415</v>
      </c>
      <c r="CE1255">
        <v>25</v>
      </c>
      <c r="CF1255">
        <v>66</v>
      </c>
      <c r="CG1255">
        <v>68</v>
      </c>
      <c r="CH1255">
        <v>41</v>
      </c>
      <c r="CI1255">
        <f t="shared" si="147"/>
        <v>2018</v>
      </c>
      <c r="CJ1255" t="str">
        <f t="shared" si="148"/>
        <v>6257_2018</v>
      </c>
    </row>
    <row r="1256" spans="1:88" x14ac:dyDescent="0.25">
      <c r="A1256" t="s">
        <v>79</v>
      </c>
      <c r="B1256" t="s">
        <v>80</v>
      </c>
      <c r="C1256">
        <v>6257</v>
      </c>
      <c r="D1256">
        <v>-33.901499999999999</v>
      </c>
      <c r="E1256">
        <v>151.1379</v>
      </c>
      <c r="F1256">
        <v>3</v>
      </c>
      <c r="G1256" t="s">
        <v>442</v>
      </c>
      <c r="H1256">
        <v>7</v>
      </c>
      <c r="I1256">
        <v>187</v>
      </c>
      <c r="J1256">
        <v>180</v>
      </c>
      <c r="K1256">
        <v>360</v>
      </c>
      <c r="L1256">
        <v>291</v>
      </c>
      <c r="M1256">
        <v>111</v>
      </c>
      <c r="T1256">
        <v>73</v>
      </c>
      <c r="U1256">
        <v>11</v>
      </c>
      <c r="Y1256">
        <v>75</v>
      </c>
      <c r="Z1256">
        <v>99</v>
      </c>
      <c r="AD1256">
        <v>16</v>
      </c>
      <c r="AE1256">
        <v>141</v>
      </c>
      <c r="AX1256">
        <v>84</v>
      </c>
      <c r="AY1256">
        <v>91</v>
      </c>
      <c r="AZ1256">
        <v>175</v>
      </c>
      <c r="BA1256">
        <v>174</v>
      </c>
      <c r="BB1256">
        <v>214</v>
      </c>
      <c r="BC1256">
        <v>388</v>
      </c>
      <c r="BD1256">
        <v>157</v>
      </c>
      <c r="BE1256">
        <v>110</v>
      </c>
      <c r="BF1256">
        <v>267</v>
      </c>
      <c r="BP1256">
        <v>22</v>
      </c>
      <c r="BR1256">
        <v>292</v>
      </c>
      <c r="BS1256">
        <v>6</v>
      </c>
      <c r="BT1256">
        <v>47</v>
      </c>
      <c r="BV1256">
        <v>48</v>
      </c>
      <c r="BW1256">
        <v>415</v>
      </c>
      <c r="BX1256">
        <f t="shared" si="154"/>
        <v>200</v>
      </c>
      <c r="BY1256" s="5">
        <f t="shared" si="151"/>
        <v>1.075</v>
      </c>
      <c r="BZ1256" s="6">
        <f t="shared" si="149"/>
        <v>1.075</v>
      </c>
      <c r="CA1256" s="7">
        <v>43779</v>
      </c>
      <c r="CE1256">
        <v>133</v>
      </c>
      <c r="CF1256">
        <v>114</v>
      </c>
      <c r="CG1256">
        <v>98</v>
      </c>
      <c r="CH1256">
        <v>70</v>
      </c>
      <c r="CI1256">
        <f t="shared" si="147"/>
        <v>2019</v>
      </c>
      <c r="CJ1256" t="str">
        <f t="shared" si="148"/>
        <v>6257_2019</v>
      </c>
    </row>
    <row r="1257" spans="1:88" x14ac:dyDescent="0.25">
      <c r="A1257" t="s">
        <v>79</v>
      </c>
      <c r="B1257" t="s">
        <v>80</v>
      </c>
      <c r="C1257">
        <v>6258</v>
      </c>
      <c r="D1257">
        <v>-33.905700000000003</v>
      </c>
      <c r="E1257">
        <v>151.13929999999999</v>
      </c>
      <c r="F1257">
        <v>2</v>
      </c>
      <c r="G1257" t="s">
        <v>443</v>
      </c>
      <c r="H1257">
        <v>23</v>
      </c>
      <c r="I1257">
        <v>203</v>
      </c>
      <c r="J1257">
        <v>203</v>
      </c>
      <c r="K1257">
        <v>23</v>
      </c>
      <c r="T1257">
        <v>85</v>
      </c>
      <c r="Y1257">
        <v>78</v>
      </c>
      <c r="AX1257">
        <v>85</v>
      </c>
      <c r="AY1257">
        <v>78</v>
      </c>
      <c r="AZ1257">
        <v>163</v>
      </c>
      <c r="BA1257">
        <v>78</v>
      </c>
      <c r="BB1257">
        <v>85</v>
      </c>
      <c r="BC1257">
        <v>163</v>
      </c>
      <c r="BP1257">
        <v>25</v>
      </c>
      <c r="BR1257">
        <v>119</v>
      </c>
      <c r="BS1257">
        <v>5</v>
      </c>
      <c r="BT1257">
        <v>6</v>
      </c>
      <c r="BV1257">
        <v>8</v>
      </c>
      <c r="BW1257">
        <v>163</v>
      </c>
      <c r="BX1257" t="s">
        <v>82</v>
      </c>
      <c r="BY1257" s="5"/>
      <c r="BZ1257" s="6"/>
      <c r="CA1257" s="7">
        <v>41952</v>
      </c>
      <c r="CI1257">
        <f t="shared" si="147"/>
        <v>2014</v>
      </c>
      <c r="CJ1257" t="str">
        <f t="shared" si="148"/>
        <v>6258_2014</v>
      </c>
    </row>
    <row r="1258" spans="1:88" x14ac:dyDescent="0.25">
      <c r="A1258" t="s">
        <v>79</v>
      </c>
      <c r="B1258" t="s">
        <v>80</v>
      </c>
      <c r="C1258">
        <v>6258</v>
      </c>
      <c r="D1258">
        <v>-33.905700000000003</v>
      </c>
      <c r="E1258">
        <v>151.13929999999999</v>
      </c>
      <c r="F1258">
        <v>2</v>
      </c>
      <c r="G1258" t="s">
        <v>443</v>
      </c>
      <c r="H1258">
        <v>23</v>
      </c>
      <c r="I1258">
        <v>203</v>
      </c>
      <c r="J1258">
        <v>203</v>
      </c>
      <c r="K1258">
        <v>23</v>
      </c>
      <c r="T1258">
        <v>41</v>
      </c>
      <c r="Y1258">
        <v>79</v>
      </c>
      <c r="AX1258">
        <v>41</v>
      </c>
      <c r="AY1258">
        <v>79</v>
      </c>
      <c r="AZ1258">
        <v>120</v>
      </c>
      <c r="BA1258">
        <v>79</v>
      </c>
      <c r="BB1258">
        <v>41</v>
      </c>
      <c r="BC1258">
        <v>120</v>
      </c>
      <c r="BP1258">
        <v>21</v>
      </c>
      <c r="BR1258">
        <v>92</v>
      </c>
      <c r="BS1258">
        <v>1</v>
      </c>
      <c r="BT1258">
        <v>1</v>
      </c>
      <c r="BV1258">
        <v>5</v>
      </c>
      <c r="BW1258">
        <v>120</v>
      </c>
      <c r="BX1258">
        <f>IF(C1258=C1257,IF((CI1258-1)=CI1257,BW1257,"no data"))</f>
        <v>163</v>
      </c>
      <c r="BY1258" s="5">
        <f t="shared" si="151"/>
        <v>-0.26380368098159507</v>
      </c>
      <c r="BZ1258" s="6">
        <f t="shared" si="149"/>
        <v>-0.26380368098159507</v>
      </c>
      <c r="CA1258" s="7">
        <v>42316</v>
      </c>
      <c r="CE1258">
        <v>0</v>
      </c>
      <c r="CF1258">
        <v>0</v>
      </c>
      <c r="CG1258">
        <v>80</v>
      </c>
      <c r="CH1258">
        <v>40</v>
      </c>
      <c r="CI1258">
        <f t="shared" si="147"/>
        <v>2015</v>
      </c>
      <c r="CJ1258" t="str">
        <f t="shared" si="148"/>
        <v>6258_2015</v>
      </c>
    </row>
    <row r="1259" spans="1:88" x14ac:dyDescent="0.25">
      <c r="A1259" t="s">
        <v>79</v>
      </c>
      <c r="B1259" t="s">
        <v>80</v>
      </c>
      <c r="C1259">
        <v>6258</v>
      </c>
      <c r="D1259">
        <v>-33.905655000000003</v>
      </c>
      <c r="E1259">
        <v>151.13926499999999</v>
      </c>
      <c r="F1259">
        <v>2</v>
      </c>
      <c r="G1259" t="s">
        <v>443</v>
      </c>
      <c r="H1259">
        <v>23</v>
      </c>
      <c r="I1259">
        <v>203</v>
      </c>
      <c r="J1259">
        <v>203</v>
      </c>
      <c r="K1259">
        <v>23</v>
      </c>
      <c r="T1259">
        <v>137</v>
      </c>
      <c r="Y1259">
        <v>163</v>
      </c>
      <c r="AX1259">
        <v>137</v>
      </c>
      <c r="AY1259">
        <v>163</v>
      </c>
      <c r="AZ1259">
        <v>300</v>
      </c>
      <c r="BA1259">
        <v>163</v>
      </c>
      <c r="BB1259">
        <v>137</v>
      </c>
      <c r="BC1259">
        <v>300</v>
      </c>
      <c r="BP1259">
        <v>36</v>
      </c>
      <c r="BR1259">
        <v>232</v>
      </c>
      <c r="BS1259">
        <v>0</v>
      </c>
      <c r="BT1259">
        <v>9</v>
      </c>
      <c r="BV1259">
        <v>23</v>
      </c>
      <c r="BW1259">
        <v>300</v>
      </c>
      <c r="BX1259">
        <f>IF(C1259=C1258,IF((CI1259-1)=CI1258,BW1258,"no data"))</f>
        <v>120</v>
      </c>
      <c r="BY1259" s="5">
        <f t="shared" si="151"/>
        <v>1.5</v>
      </c>
      <c r="BZ1259" s="6">
        <f t="shared" si="149"/>
        <v>1.5</v>
      </c>
      <c r="CA1259" s="7">
        <v>42687</v>
      </c>
      <c r="CE1259">
        <v>70</v>
      </c>
      <c r="CF1259">
        <v>114</v>
      </c>
      <c r="CG1259">
        <v>54</v>
      </c>
      <c r="CH1259">
        <v>62</v>
      </c>
      <c r="CI1259">
        <f t="shared" si="147"/>
        <v>2016</v>
      </c>
      <c r="CJ1259" t="str">
        <f t="shared" si="148"/>
        <v>6258_2016</v>
      </c>
    </row>
    <row r="1260" spans="1:88" x14ac:dyDescent="0.25">
      <c r="A1260" t="s">
        <v>79</v>
      </c>
      <c r="B1260" t="s">
        <v>80</v>
      </c>
      <c r="C1260">
        <v>6258</v>
      </c>
      <c r="D1260">
        <v>-33.905655000000003</v>
      </c>
      <c r="E1260">
        <v>151.13926499999999</v>
      </c>
      <c r="F1260">
        <v>2</v>
      </c>
      <c r="G1260" t="s">
        <v>443</v>
      </c>
      <c r="H1260">
        <v>23</v>
      </c>
      <c r="I1260">
        <v>203</v>
      </c>
      <c r="J1260">
        <v>203</v>
      </c>
      <c r="K1260">
        <v>23</v>
      </c>
      <c r="T1260">
        <v>22</v>
      </c>
      <c r="Y1260">
        <v>25</v>
      </c>
      <c r="AX1260">
        <v>22</v>
      </c>
      <c r="AY1260">
        <v>25</v>
      </c>
      <c r="AZ1260">
        <v>47</v>
      </c>
      <c r="BA1260">
        <v>25</v>
      </c>
      <c r="BB1260">
        <v>22</v>
      </c>
      <c r="BC1260">
        <v>47</v>
      </c>
      <c r="BP1260">
        <v>13</v>
      </c>
      <c r="BR1260">
        <v>33</v>
      </c>
      <c r="BS1260">
        <v>0</v>
      </c>
      <c r="BT1260">
        <v>1</v>
      </c>
      <c r="BV1260">
        <v>0</v>
      </c>
      <c r="BW1260">
        <v>47</v>
      </c>
      <c r="BX1260">
        <f>IF(C1260=C1259,IF((CI1260-1)=CI1259,BW1259,"no data"))</f>
        <v>300</v>
      </c>
      <c r="BY1260" s="5">
        <f t="shared" si="151"/>
        <v>-0.84333333333333338</v>
      </c>
      <c r="BZ1260" s="6">
        <f t="shared" si="149"/>
        <v>-0.84333333333333338</v>
      </c>
      <c r="CA1260" s="7">
        <v>43051</v>
      </c>
      <c r="CE1260">
        <v>13</v>
      </c>
      <c r="CF1260">
        <v>12</v>
      </c>
      <c r="CG1260">
        <v>17</v>
      </c>
      <c r="CH1260">
        <v>5</v>
      </c>
      <c r="CI1260">
        <f t="shared" si="147"/>
        <v>2017</v>
      </c>
      <c r="CJ1260" t="str">
        <f t="shared" si="148"/>
        <v>6258_2017</v>
      </c>
    </row>
    <row r="1261" spans="1:88" x14ac:dyDescent="0.25">
      <c r="A1261" t="s">
        <v>79</v>
      </c>
      <c r="B1261" t="s">
        <v>80</v>
      </c>
      <c r="C1261">
        <v>6258</v>
      </c>
      <c r="D1261">
        <v>-33.905655000000003</v>
      </c>
      <c r="E1261">
        <v>151.13926499999999</v>
      </c>
      <c r="F1261">
        <v>2</v>
      </c>
      <c r="G1261" t="s">
        <v>443</v>
      </c>
      <c r="H1261">
        <v>23</v>
      </c>
      <c r="I1261">
        <v>203</v>
      </c>
      <c r="J1261">
        <v>203</v>
      </c>
      <c r="K1261">
        <v>23</v>
      </c>
      <c r="T1261">
        <v>86</v>
      </c>
      <c r="Y1261">
        <v>98</v>
      </c>
      <c r="AX1261">
        <v>86</v>
      </c>
      <c r="AY1261">
        <v>98</v>
      </c>
      <c r="AZ1261">
        <v>184</v>
      </c>
      <c r="BA1261">
        <v>98</v>
      </c>
      <c r="BB1261">
        <v>86</v>
      </c>
      <c r="BC1261">
        <v>184</v>
      </c>
      <c r="BP1261">
        <v>21</v>
      </c>
      <c r="BR1261">
        <v>152</v>
      </c>
      <c r="BS1261">
        <v>0</v>
      </c>
      <c r="BT1261">
        <v>7</v>
      </c>
      <c r="BV1261">
        <v>4</v>
      </c>
      <c r="BW1261">
        <v>184</v>
      </c>
      <c r="BX1261">
        <f>IF(C1261=C1260,IF((CI1261-1)=CI1260,BW1260,"no data"))</f>
        <v>47</v>
      </c>
      <c r="BY1261" s="5">
        <f t="shared" si="151"/>
        <v>2.9148936170212765</v>
      </c>
      <c r="BZ1261" s="6">
        <f t="shared" si="149"/>
        <v>2.9148936170212765</v>
      </c>
      <c r="CA1261" s="7">
        <v>43415</v>
      </c>
      <c r="CE1261">
        <v>52</v>
      </c>
      <c r="CF1261">
        <v>37</v>
      </c>
      <c r="CG1261">
        <v>43</v>
      </c>
      <c r="CH1261">
        <v>52</v>
      </c>
      <c r="CI1261">
        <f t="shared" si="147"/>
        <v>2018</v>
      </c>
      <c r="CJ1261" t="str">
        <f t="shared" si="148"/>
        <v>6258_2018</v>
      </c>
    </row>
    <row r="1262" spans="1:88" x14ac:dyDescent="0.25">
      <c r="A1262" t="s">
        <v>79</v>
      </c>
      <c r="B1262" t="s">
        <v>80</v>
      </c>
      <c r="C1262">
        <v>6258</v>
      </c>
      <c r="D1262">
        <v>-33.905700000000003</v>
      </c>
      <c r="E1262">
        <v>151.13929999999999</v>
      </c>
      <c r="F1262">
        <v>2</v>
      </c>
      <c r="G1262" t="s">
        <v>443</v>
      </c>
      <c r="H1262">
        <v>23</v>
      </c>
      <c r="I1262">
        <v>203</v>
      </c>
      <c r="J1262">
        <v>203</v>
      </c>
      <c r="K1262">
        <v>23</v>
      </c>
      <c r="T1262">
        <v>73</v>
      </c>
      <c r="Y1262">
        <v>65</v>
      </c>
      <c r="AX1262">
        <v>73</v>
      </c>
      <c r="AY1262">
        <v>65</v>
      </c>
      <c r="AZ1262">
        <v>138</v>
      </c>
      <c r="BA1262">
        <v>65</v>
      </c>
      <c r="BB1262">
        <v>73</v>
      </c>
      <c r="BC1262">
        <v>138</v>
      </c>
      <c r="BP1262">
        <v>33</v>
      </c>
      <c r="BR1262">
        <v>89</v>
      </c>
      <c r="BS1262">
        <v>2</v>
      </c>
      <c r="BT1262">
        <v>13</v>
      </c>
      <c r="BV1262">
        <v>1</v>
      </c>
      <c r="BW1262">
        <v>138</v>
      </c>
      <c r="BX1262">
        <f>IF(C1262=C1261,IF((CI1262-1)=CI1261,BW1261,"no data"))</f>
        <v>184</v>
      </c>
      <c r="BY1262" s="5">
        <f t="shared" si="151"/>
        <v>-0.25</v>
      </c>
      <c r="BZ1262" s="6">
        <f t="shared" si="149"/>
        <v>-0.25</v>
      </c>
      <c r="CA1262" s="7">
        <v>43779</v>
      </c>
      <c r="CE1262">
        <v>38</v>
      </c>
      <c r="CF1262">
        <v>47</v>
      </c>
      <c r="CG1262">
        <v>34</v>
      </c>
      <c r="CH1262">
        <v>19</v>
      </c>
      <c r="CI1262">
        <f t="shared" si="147"/>
        <v>2019</v>
      </c>
      <c r="CJ1262" t="str">
        <f t="shared" si="148"/>
        <v>6258_2019</v>
      </c>
    </row>
    <row r="1263" spans="1:88" x14ac:dyDescent="0.25">
      <c r="A1263" t="s">
        <v>79</v>
      </c>
      <c r="B1263" t="s">
        <v>444</v>
      </c>
      <c r="C1263">
        <v>6260</v>
      </c>
      <c r="D1263">
        <v>-34.0822</v>
      </c>
      <c r="E1263">
        <v>150.79949999999999</v>
      </c>
      <c r="F1263">
        <v>4</v>
      </c>
      <c r="G1263" t="s">
        <v>445</v>
      </c>
      <c r="H1263">
        <v>21</v>
      </c>
      <c r="I1263">
        <v>201</v>
      </c>
      <c r="J1263">
        <v>115</v>
      </c>
      <c r="K1263">
        <v>295</v>
      </c>
      <c r="L1263">
        <v>223</v>
      </c>
      <c r="M1263">
        <v>43</v>
      </c>
      <c r="N1263">
        <v>300</v>
      </c>
      <c r="O1263">
        <v>120</v>
      </c>
      <c r="T1263">
        <v>5</v>
      </c>
      <c r="U1263">
        <v>11</v>
      </c>
      <c r="V1263">
        <v>0</v>
      </c>
      <c r="Y1263">
        <v>4</v>
      </c>
      <c r="Z1263">
        <v>1</v>
      </c>
      <c r="AA1263">
        <v>0</v>
      </c>
      <c r="AD1263">
        <v>4</v>
      </c>
      <c r="AE1263">
        <v>3</v>
      </c>
      <c r="AF1263">
        <v>0</v>
      </c>
      <c r="AI1263">
        <v>0</v>
      </c>
      <c r="AJ1263">
        <v>0</v>
      </c>
      <c r="AK1263">
        <v>0</v>
      </c>
      <c r="AX1263">
        <v>16</v>
      </c>
      <c r="AY1263">
        <v>8</v>
      </c>
      <c r="AZ1263">
        <v>24</v>
      </c>
      <c r="BA1263">
        <v>5</v>
      </c>
      <c r="BB1263">
        <v>8</v>
      </c>
      <c r="BC1263">
        <v>13</v>
      </c>
      <c r="BD1263">
        <v>7</v>
      </c>
      <c r="BE1263">
        <v>12</v>
      </c>
      <c r="BF1263">
        <v>19</v>
      </c>
      <c r="BG1263">
        <v>0</v>
      </c>
      <c r="BH1263">
        <v>0</v>
      </c>
      <c r="BI1263">
        <v>0</v>
      </c>
      <c r="BP1263">
        <v>0</v>
      </c>
      <c r="BR1263">
        <v>16</v>
      </c>
      <c r="BS1263">
        <v>6</v>
      </c>
      <c r="BT1263">
        <v>5</v>
      </c>
      <c r="BV1263">
        <v>1</v>
      </c>
      <c r="BW1263">
        <v>28</v>
      </c>
      <c r="BX1263" t="s">
        <v>82</v>
      </c>
      <c r="BY1263" s="5"/>
      <c r="BZ1263" s="6"/>
      <c r="CA1263" s="7">
        <v>41588</v>
      </c>
      <c r="CI1263">
        <f t="shared" si="147"/>
        <v>2013</v>
      </c>
      <c r="CJ1263" t="str">
        <f t="shared" si="148"/>
        <v>6260_2013</v>
      </c>
    </row>
    <row r="1264" spans="1:88" x14ac:dyDescent="0.25">
      <c r="A1264" t="s">
        <v>79</v>
      </c>
      <c r="B1264" t="s">
        <v>444</v>
      </c>
      <c r="C1264">
        <v>6262</v>
      </c>
      <c r="D1264">
        <v>-34.084699999999998</v>
      </c>
      <c r="E1264">
        <v>150.78739999999999</v>
      </c>
      <c r="F1264">
        <v>4</v>
      </c>
      <c r="G1264" t="s">
        <v>446</v>
      </c>
      <c r="H1264">
        <v>70</v>
      </c>
      <c r="I1264">
        <v>250</v>
      </c>
      <c r="J1264">
        <v>135</v>
      </c>
      <c r="K1264">
        <v>315</v>
      </c>
      <c r="L1264">
        <v>191</v>
      </c>
      <c r="M1264">
        <v>11</v>
      </c>
      <c r="N1264">
        <v>259</v>
      </c>
      <c r="O1264">
        <v>79</v>
      </c>
      <c r="T1264">
        <v>3</v>
      </c>
      <c r="U1264">
        <v>143</v>
      </c>
      <c r="V1264">
        <v>4</v>
      </c>
      <c r="Y1264">
        <v>1</v>
      </c>
      <c r="Z1264">
        <v>0</v>
      </c>
      <c r="AA1264">
        <v>0</v>
      </c>
      <c r="AD1264">
        <v>145</v>
      </c>
      <c r="AE1264">
        <v>0</v>
      </c>
      <c r="AF1264">
        <v>10</v>
      </c>
      <c r="AI1264">
        <v>26</v>
      </c>
      <c r="AJ1264">
        <v>0</v>
      </c>
      <c r="AK1264">
        <v>31</v>
      </c>
      <c r="AX1264">
        <v>150</v>
      </c>
      <c r="AY1264">
        <v>172</v>
      </c>
      <c r="AZ1264">
        <v>322</v>
      </c>
      <c r="BA1264">
        <v>1</v>
      </c>
      <c r="BB1264">
        <v>3</v>
      </c>
      <c r="BC1264">
        <v>4</v>
      </c>
      <c r="BD1264">
        <v>155</v>
      </c>
      <c r="BE1264">
        <v>174</v>
      </c>
      <c r="BF1264">
        <v>329</v>
      </c>
      <c r="BG1264">
        <v>57</v>
      </c>
      <c r="BH1264">
        <v>14</v>
      </c>
      <c r="BI1264">
        <v>71</v>
      </c>
      <c r="BP1264">
        <v>334</v>
      </c>
      <c r="BR1264">
        <v>2</v>
      </c>
      <c r="BS1264">
        <v>16</v>
      </c>
      <c r="BT1264">
        <v>4</v>
      </c>
      <c r="BV1264">
        <v>7</v>
      </c>
      <c r="BW1264">
        <v>363</v>
      </c>
      <c r="BX1264" t="s">
        <v>82</v>
      </c>
      <c r="BY1264" s="5"/>
      <c r="BZ1264" s="6"/>
      <c r="CA1264" s="7">
        <v>41588</v>
      </c>
      <c r="CI1264">
        <f t="shared" si="147"/>
        <v>2013</v>
      </c>
      <c r="CJ1264" t="str">
        <f t="shared" si="148"/>
        <v>6262_2013</v>
      </c>
    </row>
    <row r="1265" spans="1:88" x14ac:dyDescent="0.25">
      <c r="A1265" t="s">
        <v>79</v>
      </c>
      <c r="B1265" t="s">
        <v>447</v>
      </c>
      <c r="C1265">
        <v>6263</v>
      </c>
      <c r="D1265">
        <v>-33.962699999999998</v>
      </c>
      <c r="E1265">
        <v>151.13319999999999</v>
      </c>
      <c r="F1265">
        <v>4</v>
      </c>
      <c r="G1265" t="s">
        <v>448</v>
      </c>
      <c r="H1265">
        <v>12</v>
      </c>
      <c r="I1265">
        <v>192</v>
      </c>
      <c r="J1265">
        <v>55</v>
      </c>
      <c r="K1265">
        <v>235</v>
      </c>
      <c r="L1265">
        <v>146</v>
      </c>
      <c r="M1265">
        <v>326</v>
      </c>
      <c r="N1265">
        <v>232</v>
      </c>
      <c r="O1265">
        <v>52</v>
      </c>
      <c r="T1265">
        <v>51</v>
      </c>
      <c r="U1265">
        <v>43</v>
      </c>
      <c r="V1265">
        <v>105</v>
      </c>
      <c r="Y1265">
        <v>33</v>
      </c>
      <c r="Z1265">
        <v>15</v>
      </c>
      <c r="AA1265">
        <v>358</v>
      </c>
      <c r="AD1265">
        <v>21</v>
      </c>
      <c r="AE1265">
        <v>12</v>
      </c>
      <c r="AF1265">
        <v>270</v>
      </c>
      <c r="AI1265">
        <v>80</v>
      </c>
      <c r="AJ1265">
        <v>262</v>
      </c>
      <c r="AK1265">
        <v>201</v>
      </c>
      <c r="AX1265">
        <v>199</v>
      </c>
      <c r="AY1265">
        <v>134</v>
      </c>
      <c r="AZ1265">
        <v>333</v>
      </c>
      <c r="BA1265">
        <v>406</v>
      </c>
      <c r="BB1265">
        <v>325</v>
      </c>
      <c r="BC1265">
        <v>731</v>
      </c>
      <c r="BD1265">
        <v>303</v>
      </c>
      <c r="BE1265">
        <v>259</v>
      </c>
      <c r="BF1265">
        <v>562</v>
      </c>
      <c r="BG1265">
        <v>543</v>
      </c>
      <c r="BH1265">
        <v>733</v>
      </c>
      <c r="BI1265">
        <v>1276</v>
      </c>
      <c r="BP1265">
        <v>2</v>
      </c>
      <c r="BR1265">
        <v>1448</v>
      </c>
      <c r="BS1265">
        <v>0</v>
      </c>
      <c r="BT1265">
        <v>1</v>
      </c>
      <c r="BV1265">
        <v>0</v>
      </c>
      <c r="BW1265">
        <v>1451</v>
      </c>
      <c r="BX1265" t="s">
        <v>82</v>
      </c>
      <c r="BY1265" s="5"/>
      <c r="BZ1265" s="6"/>
      <c r="CA1265" s="7">
        <v>41588</v>
      </c>
      <c r="CI1265">
        <f t="shared" si="147"/>
        <v>2013</v>
      </c>
      <c r="CJ1265" t="str">
        <f t="shared" si="148"/>
        <v>6263_2013</v>
      </c>
    </row>
    <row r="1266" spans="1:88" x14ac:dyDescent="0.25">
      <c r="A1266" t="s">
        <v>79</v>
      </c>
      <c r="B1266" t="s">
        <v>447</v>
      </c>
      <c r="C1266">
        <v>6264</v>
      </c>
      <c r="D1266">
        <v>-33.970100000000002</v>
      </c>
      <c r="E1266">
        <v>151.11580000000001</v>
      </c>
      <c r="F1266">
        <v>4</v>
      </c>
      <c r="G1266" t="s">
        <v>449</v>
      </c>
      <c r="H1266">
        <v>87</v>
      </c>
      <c r="I1266">
        <v>267</v>
      </c>
      <c r="J1266">
        <v>142</v>
      </c>
      <c r="K1266">
        <v>322</v>
      </c>
      <c r="L1266">
        <v>273</v>
      </c>
      <c r="M1266">
        <v>93</v>
      </c>
      <c r="N1266">
        <v>330</v>
      </c>
      <c r="O1266">
        <v>150</v>
      </c>
      <c r="T1266">
        <v>0</v>
      </c>
      <c r="U1266">
        <v>57</v>
      </c>
      <c r="V1266">
        <v>1</v>
      </c>
      <c r="Y1266">
        <v>1</v>
      </c>
      <c r="Z1266">
        <v>80</v>
      </c>
      <c r="AA1266">
        <v>9</v>
      </c>
      <c r="AD1266">
        <v>37</v>
      </c>
      <c r="AE1266">
        <v>33</v>
      </c>
      <c r="AF1266">
        <v>8</v>
      </c>
      <c r="AI1266">
        <v>2</v>
      </c>
      <c r="AJ1266">
        <v>3</v>
      </c>
      <c r="AK1266">
        <v>7</v>
      </c>
      <c r="AX1266">
        <v>58</v>
      </c>
      <c r="AY1266">
        <v>40</v>
      </c>
      <c r="AZ1266">
        <v>98</v>
      </c>
      <c r="BA1266">
        <v>90</v>
      </c>
      <c r="BB1266">
        <v>36</v>
      </c>
      <c r="BC1266">
        <v>126</v>
      </c>
      <c r="BD1266">
        <v>78</v>
      </c>
      <c r="BE1266">
        <v>144</v>
      </c>
      <c r="BF1266">
        <v>222</v>
      </c>
      <c r="BG1266">
        <v>12</v>
      </c>
      <c r="BH1266">
        <v>18</v>
      </c>
      <c r="BI1266">
        <v>30</v>
      </c>
      <c r="BP1266">
        <v>4</v>
      </c>
      <c r="BR1266">
        <v>226</v>
      </c>
      <c r="BS1266">
        <v>1</v>
      </c>
      <c r="BT1266">
        <v>3</v>
      </c>
      <c r="BV1266">
        <v>4</v>
      </c>
      <c r="BW1266">
        <v>238</v>
      </c>
      <c r="BX1266" t="s">
        <v>82</v>
      </c>
      <c r="BY1266" s="5"/>
      <c r="BZ1266" s="6"/>
      <c r="CA1266" s="7">
        <v>41588</v>
      </c>
      <c r="CI1266">
        <f t="shared" si="147"/>
        <v>2013</v>
      </c>
      <c r="CJ1266" t="str">
        <f t="shared" si="148"/>
        <v>6264_2013</v>
      </c>
    </row>
    <row r="1267" spans="1:88" x14ac:dyDescent="0.25">
      <c r="A1267" t="s">
        <v>79</v>
      </c>
      <c r="B1267" t="s">
        <v>447</v>
      </c>
      <c r="C1267">
        <v>6265</v>
      </c>
      <c r="D1267">
        <v>-33.987000000000002</v>
      </c>
      <c r="E1267">
        <v>151.13159999999999</v>
      </c>
      <c r="F1267">
        <v>3</v>
      </c>
      <c r="G1267" t="s">
        <v>450</v>
      </c>
      <c r="H1267">
        <v>19</v>
      </c>
      <c r="I1267">
        <v>199</v>
      </c>
      <c r="J1267">
        <v>100</v>
      </c>
      <c r="K1267">
        <v>280</v>
      </c>
      <c r="L1267">
        <v>199</v>
      </c>
      <c r="M1267">
        <v>19</v>
      </c>
      <c r="T1267">
        <v>1</v>
      </c>
      <c r="U1267">
        <v>14</v>
      </c>
      <c r="Y1267">
        <v>4</v>
      </c>
      <c r="Z1267">
        <v>2</v>
      </c>
      <c r="AD1267">
        <v>10</v>
      </c>
      <c r="AE1267">
        <v>1</v>
      </c>
      <c r="AX1267">
        <v>15</v>
      </c>
      <c r="AY1267">
        <v>14</v>
      </c>
      <c r="AZ1267">
        <v>29</v>
      </c>
      <c r="BA1267">
        <v>6</v>
      </c>
      <c r="BB1267">
        <v>2</v>
      </c>
      <c r="BC1267">
        <v>8</v>
      </c>
      <c r="BD1267">
        <v>11</v>
      </c>
      <c r="BE1267">
        <v>16</v>
      </c>
      <c r="BF1267">
        <v>27</v>
      </c>
      <c r="BP1267">
        <v>16</v>
      </c>
      <c r="BR1267">
        <v>9</v>
      </c>
      <c r="BS1267">
        <v>2</v>
      </c>
      <c r="BT1267">
        <v>5</v>
      </c>
      <c r="BV1267">
        <v>0</v>
      </c>
      <c r="BW1267">
        <v>32</v>
      </c>
      <c r="BX1267" t="s">
        <v>82</v>
      </c>
      <c r="BY1267" s="5"/>
      <c r="BZ1267" s="6"/>
      <c r="CA1267" s="7">
        <v>41588</v>
      </c>
      <c r="CI1267">
        <f t="shared" si="147"/>
        <v>2013</v>
      </c>
      <c r="CJ1267" t="str">
        <f t="shared" si="148"/>
        <v>6265_2013</v>
      </c>
    </row>
    <row r="1268" spans="1:88" x14ac:dyDescent="0.25">
      <c r="A1268" t="s">
        <v>79</v>
      </c>
      <c r="B1268" t="s">
        <v>447</v>
      </c>
      <c r="C1268">
        <v>6266</v>
      </c>
      <c r="D1268">
        <v>-33.988399999999999</v>
      </c>
      <c r="E1268">
        <v>151.1139</v>
      </c>
      <c r="F1268">
        <v>3</v>
      </c>
      <c r="G1268" t="s">
        <v>451</v>
      </c>
      <c r="H1268">
        <v>0</v>
      </c>
      <c r="I1268">
        <v>180</v>
      </c>
      <c r="J1268">
        <v>138</v>
      </c>
      <c r="K1268">
        <v>318</v>
      </c>
      <c r="L1268">
        <v>216</v>
      </c>
      <c r="M1268">
        <v>36</v>
      </c>
      <c r="T1268">
        <v>4</v>
      </c>
      <c r="U1268">
        <v>3</v>
      </c>
      <c r="Y1268">
        <v>12</v>
      </c>
      <c r="Z1268">
        <v>4</v>
      </c>
      <c r="AD1268">
        <v>6</v>
      </c>
      <c r="AE1268">
        <v>3</v>
      </c>
      <c r="AX1268">
        <v>7</v>
      </c>
      <c r="AY1268">
        <v>18</v>
      </c>
      <c r="AZ1268">
        <v>25</v>
      </c>
      <c r="BA1268">
        <v>16</v>
      </c>
      <c r="BB1268">
        <v>7</v>
      </c>
      <c r="BC1268">
        <v>23</v>
      </c>
      <c r="BD1268">
        <v>9</v>
      </c>
      <c r="BE1268">
        <v>7</v>
      </c>
      <c r="BF1268">
        <v>16</v>
      </c>
      <c r="BP1268">
        <v>0</v>
      </c>
      <c r="BR1268">
        <v>26</v>
      </c>
      <c r="BS1268">
        <v>2</v>
      </c>
      <c r="BT1268">
        <v>4</v>
      </c>
      <c r="BV1268">
        <v>0</v>
      </c>
      <c r="BW1268">
        <v>32</v>
      </c>
      <c r="BX1268" t="s">
        <v>82</v>
      </c>
      <c r="BY1268" s="5"/>
      <c r="BZ1268" s="6"/>
      <c r="CA1268" s="7">
        <v>41588</v>
      </c>
      <c r="CI1268">
        <f t="shared" si="147"/>
        <v>2013</v>
      </c>
      <c r="CJ1268" t="str">
        <f t="shared" si="148"/>
        <v>6266_2013</v>
      </c>
    </row>
    <row r="1269" spans="1:88" x14ac:dyDescent="0.25">
      <c r="A1269" t="s">
        <v>79</v>
      </c>
      <c r="B1269" t="s">
        <v>98</v>
      </c>
      <c r="C1269">
        <v>6267</v>
      </c>
      <c r="D1269">
        <v>-33.666800000000002</v>
      </c>
      <c r="E1269">
        <v>151.2311</v>
      </c>
      <c r="F1269">
        <v>3</v>
      </c>
      <c r="G1269" t="s">
        <v>452</v>
      </c>
      <c r="H1269">
        <v>46</v>
      </c>
      <c r="I1269">
        <v>226</v>
      </c>
      <c r="J1269">
        <v>162</v>
      </c>
      <c r="K1269">
        <v>342</v>
      </c>
      <c r="L1269">
        <v>342</v>
      </c>
      <c r="M1269">
        <v>162</v>
      </c>
      <c r="T1269">
        <v>16</v>
      </c>
      <c r="U1269">
        <v>7</v>
      </c>
      <c r="Y1269">
        <v>8</v>
      </c>
      <c r="Z1269">
        <v>5</v>
      </c>
      <c r="AD1269">
        <v>2</v>
      </c>
      <c r="AE1269">
        <v>14</v>
      </c>
      <c r="AX1269">
        <v>23</v>
      </c>
      <c r="AY1269">
        <v>10</v>
      </c>
      <c r="AZ1269">
        <v>33</v>
      </c>
      <c r="BA1269">
        <v>13</v>
      </c>
      <c r="BB1269">
        <v>30</v>
      </c>
      <c r="BC1269">
        <v>43</v>
      </c>
      <c r="BD1269">
        <v>16</v>
      </c>
      <c r="BE1269">
        <v>12</v>
      </c>
      <c r="BF1269">
        <v>28</v>
      </c>
      <c r="BP1269">
        <v>52</v>
      </c>
      <c r="BR1269">
        <v>0</v>
      </c>
      <c r="BS1269">
        <v>0</v>
      </c>
      <c r="BT1269">
        <v>0</v>
      </c>
      <c r="BV1269">
        <v>0</v>
      </c>
      <c r="BW1269">
        <v>52</v>
      </c>
      <c r="BX1269" t="s">
        <v>82</v>
      </c>
      <c r="BY1269" s="5"/>
      <c r="BZ1269" s="6"/>
      <c r="CA1269" s="7">
        <v>41588</v>
      </c>
      <c r="CI1269">
        <f t="shared" si="147"/>
        <v>2013</v>
      </c>
      <c r="CJ1269" t="str">
        <f t="shared" si="148"/>
        <v>6267_2013</v>
      </c>
    </row>
    <row r="1270" spans="1:88" x14ac:dyDescent="0.25">
      <c r="A1270" t="s">
        <v>79</v>
      </c>
      <c r="B1270" t="s">
        <v>98</v>
      </c>
      <c r="C1270">
        <v>6267</v>
      </c>
      <c r="D1270">
        <v>-33.666800000000002</v>
      </c>
      <c r="E1270">
        <v>151.2311</v>
      </c>
      <c r="F1270">
        <v>3</v>
      </c>
      <c r="G1270" t="s">
        <v>452</v>
      </c>
      <c r="H1270">
        <v>46</v>
      </c>
      <c r="I1270">
        <v>226</v>
      </c>
      <c r="J1270">
        <v>162</v>
      </c>
      <c r="K1270">
        <v>342</v>
      </c>
      <c r="L1270">
        <v>342</v>
      </c>
      <c r="M1270">
        <v>162</v>
      </c>
      <c r="T1270">
        <v>228</v>
      </c>
      <c r="U1270">
        <v>36</v>
      </c>
      <c r="Y1270">
        <v>76</v>
      </c>
      <c r="Z1270">
        <v>52</v>
      </c>
      <c r="AD1270">
        <v>32</v>
      </c>
      <c r="AE1270">
        <v>141</v>
      </c>
      <c r="AX1270">
        <v>264</v>
      </c>
      <c r="AY1270">
        <v>108</v>
      </c>
      <c r="AZ1270">
        <v>372</v>
      </c>
      <c r="BA1270">
        <v>128</v>
      </c>
      <c r="BB1270">
        <v>369</v>
      </c>
      <c r="BC1270">
        <v>497</v>
      </c>
      <c r="BD1270">
        <v>173</v>
      </c>
      <c r="BE1270">
        <v>88</v>
      </c>
      <c r="BF1270">
        <v>261</v>
      </c>
      <c r="BP1270">
        <v>559</v>
      </c>
      <c r="BR1270">
        <v>3</v>
      </c>
      <c r="BS1270">
        <v>3</v>
      </c>
      <c r="BT1270">
        <v>0</v>
      </c>
      <c r="BV1270">
        <v>0</v>
      </c>
      <c r="BW1270">
        <v>565</v>
      </c>
      <c r="BX1270">
        <f>IF(C1270=C1269,IF((CI1270-1)=CI1269,BW1269,"no data"))</f>
        <v>52</v>
      </c>
      <c r="BY1270" s="5">
        <f t="shared" si="151"/>
        <v>9.865384615384615</v>
      </c>
      <c r="BZ1270" s="6">
        <f t="shared" si="149"/>
        <v>9.865384615384615</v>
      </c>
      <c r="CA1270" s="7">
        <v>41952</v>
      </c>
      <c r="CI1270">
        <f t="shared" si="147"/>
        <v>2014</v>
      </c>
      <c r="CJ1270" t="str">
        <f t="shared" si="148"/>
        <v>6267_2014</v>
      </c>
    </row>
    <row r="1271" spans="1:88" x14ac:dyDescent="0.25">
      <c r="A1271" t="s">
        <v>79</v>
      </c>
      <c r="B1271" t="s">
        <v>98</v>
      </c>
      <c r="C1271">
        <v>6267</v>
      </c>
      <c r="D1271">
        <v>-33.666800000000002</v>
      </c>
      <c r="E1271">
        <v>151.2311</v>
      </c>
      <c r="F1271">
        <v>3</v>
      </c>
      <c r="G1271" t="s">
        <v>452</v>
      </c>
      <c r="H1271">
        <v>46</v>
      </c>
      <c r="I1271">
        <v>226</v>
      </c>
      <c r="J1271">
        <v>162</v>
      </c>
      <c r="K1271">
        <v>342</v>
      </c>
      <c r="L1271">
        <v>342</v>
      </c>
      <c r="M1271">
        <v>162</v>
      </c>
      <c r="T1271">
        <v>197</v>
      </c>
      <c r="U1271">
        <v>29</v>
      </c>
      <c r="Y1271">
        <v>55</v>
      </c>
      <c r="Z1271">
        <v>49</v>
      </c>
      <c r="AD1271">
        <v>25</v>
      </c>
      <c r="AE1271">
        <v>84</v>
      </c>
      <c r="AX1271">
        <v>226</v>
      </c>
      <c r="AY1271">
        <v>80</v>
      </c>
      <c r="AZ1271">
        <v>306</v>
      </c>
      <c r="BA1271">
        <v>104</v>
      </c>
      <c r="BB1271">
        <v>281</v>
      </c>
      <c r="BC1271">
        <v>385</v>
      </c>
      <c r="BD1271">
        <v>109</v>
      </c>
      <c r="BE1271">
        <v>78</v>
      </c>
      <c r="BF1271">
        <v>187</v>
      </c>
      <c r="BP1271">
        <v>433</v>
      </c>
      <c r="BR1271">
        <v>6</v>
      </c>
      <c r="BS1271">
        <v>0</v>
      </c>
      <c r="BT1271">
        <v>0</v>
      </c>
      <c r="BV1271">
        <v>0</v>
      </c>
      <c r="BW1271">
        <v>439</v>
      </c>
      <c r="BX1271">
        <f>IF(C1271=C1270,IF((CI1271-1)=CI1270,BW1270,"no data"))</f>
        <v>565</v>
      </c>
      <c r="BY1271" s="5">
        <f t="shared" si="151"/>
        <v>-0.22300884955752212</v>
      </c>
      <c r="BZ1271" s="6">
        <f t="shared" si="149"/>
        <v>-0.22300884955752212</v>
      </c>
      <c r="CA1271" s="7">
        <v>42316</v>
      </c>
      <c r="CE1271">
        <v>177</v>
      </c>
      <c r="CF1271">
        <v>150</v>
      </c>
      <c r="CG1271">
        <v>69</v>
      </c>
      <c r="CH1271">
        <v>43</v>
      </c>
      <c r="CI1271">
        <f t="shared" si="147"/>
        <v>2015</v>
      </c>
      <c r="CJ1271" t="str">
        <f t="shared" si="148"/>
        <v>6267_2015</v>
      </c>
    </row>
    <row r="1272" spans="1:88" x14ac:dyDescent="0.25">
      <c r="A1272" t="s">
        <v>79</v>
      </c>
      <c r="B1272" t="s">
        <v>98</v>
      </c>
      <c r="C1272">
        <v>6267</v>
      </c>
      <c r="D1272">
        <v>-33.666792999999998</v>
      </c>
      <c r="E1272">
        <v>151.23109600000001</v>
      </c>
      <c r="F1272">
        <v>3</v>
      </c>
      <c r="G1272" t="s">
        <v>452</v>
      </c>
      <c r="H1272">
        <v>46</v>
      </c>
      <c r="I1272">
        <v>226</v>
      </c>
      <c r="J1272">
        <v>162</v>
      </c>
      <c r="K1272">
        <v>342</v>
      </c>
      <c r="L1272">
        <v>342</v>
      </c>
      <c r="M1272">
        <v>162</v>
      </c>
      <c r="T1272">
        <v>109</v>
      </c>
      <c r="U1272">
        <v>5</v>
      </c>
      <c r="Y1272">
        <v>99</v>
      </c>
      <c r="Z1272">
        <v>44</v>
      </c>
      <c r="AD1272">
        <v>72</v>
      </c>
      <c r="AE1272">
        <v>122</v>
      </c>
      <c r="AX1272">
        <v>114</v>
      </c>
      <c r="AY1272">
        <v>171</v>
      </c>
      <c r="AZ1272">
        <v>285</v>
      </c>
      <c r="BA1272">
        <v>143</v>
      </c>
      <c r="BB1272">
        <v>231</v>
      </c>
      <c r="BC1272">
        <v>374</v>
      </c>
      <c r="BD1272">
        <v>194</v>
      </c>
      <c r="BE1272">
        <v>49</v>
      </c>
      <c r="BF1272">
        <v>243</v>
      </c>
      <c r="BP1272">
        <v>358</v>
      </c>
      <c r="BR1272">
        <v>0</v>
      </c>
      <c r="BS1272">
        <v>1</v>
      </c>
      <c r="BT1272">
        <v>0</v>
      </c>
      <c r="BV1272">
        <v>92</v>
      </c>
      <c r="BW1272">
        <v>451</v>
      </c>
      <c r="BX1272">
        <f>IF(C1272=C1271,IF((CI1272-1)=CI1271,BW1271,"no data"))</f>
        <v>439</v>
      </c>
      <c r="BY1272" s="5">
        <f t="shared" si="151"/>
        <v>2.7334851936218679E-2</v>
      </c>
      <c r="BZ1272" s="6">
        <f t="shared" si="149"/>
        <v>2.7334851936218679E-2</v>
      </c>
      <c r="CA1272" s="7">
        <v>42687</v>
      </c>
      <c r="CE1272">
        <v>130</v>
      </c>
      <c r="CF1272">
        <v>171</v>
      </c>
      <c r="CG1272">
        <v>112</v>
      </c>
      <c r="CH1272">
        <v>38</v>
      </c>
      <c r="CI1272">
        <f t="shared" si="147"/>
        <v>2016</v>
      </c>
      <c r="CJ1272" t="str">
        <f t="shared" si="148"/>
        <v>6267_2016</v>
      </c>
    </row>
    <row r="1273" spans="1:88" x14ac:dyDescent="0.25">
      <c r="A1273" t="s">
        <v>79</v>
      </c>
      <c r="B1273" t="s">
        <v>453</v>
      </c>
      <c r="C1273">
        <v>6268</v>
      </c>
      <c r="D1273">
        <v>-33.747799999999998</v>
      </c>
      <c r="E1273">
        <v>151.29060000000001</v>
      </c>
      <c r="F1273">
        <v>5</v>
      </c>
      <c r="G1273" t="s">
        <v>454</v>
      </c>
      <c r="H1273">
        <v>24</v>
      </c>
      <c r="I1273">
        <v>204</v>
      </c>
      <c r="J1273">
        <v>115</v>
      </c>
      <c r="K1273">
        <v>295</v>
      </c>
      <c r="L1273">
        <v>204</v>
      </c>
      <c r="M1273">
        <v>24</v>
      </c>
      <c r="N1273">
        <v>295</v>
      </c>
      <c r="O1273">
        <v>115</v>
      </c>
      <c r="P1273">
        <v>339</v>
      </c>
      <c r="Q1273">
        <v>159</v>
      </c>
      <c r="T1273">
        <v>30</v>
      </c>
      <c r="U1273">
        <v>37</v>
      </c>
      <c r="V1273">
        <v>7</v>
      </c>
      <c r="W1273">
        <v>1</v>
      </c>
      <c r="Y1273">
        <v>17</v>
      </c>
      <c r="Z1273">
        <v>2</v>
      </c>
      <c r="AA1273">
        <v>24</v>
      </c>
      <c r="AB1273">
        <v>41</v>
      </c>
      <c r="AD1273">
        <v>34</v>
      </c>
      <c r="AE1273">
        <v>2</v>
      </c>
      <c r="AF1273">
        <v>17</v>
      </c>
      <c r="AG1273">
        <v>12</v>
      </c>
      <c r="AI1273">
        <v>4</v>
      </c>
      <c r="AJ1273">
        <v>32</v>
      </c>
      <c r="AK1273">
        <v>17</v>
      </c>
      <c r="AL1273">
        <v>14</v>
      </c>
      <c r="AN1273">
        <v>6</v>
      </c>
      <c r="AO1273">
        <v>47</v>
      </c>
      <c r="AP1273">
        <v>11</v>
      </c>
      <c r="AQ1273">
        <v>11</v>
      </c>
      <c r="AX1273">
        <v>75</v>
      </c>
      <c r="AY1273">
        <v>61</v>
      </c>
      <c r="AZ1273">
        <v>136</v>
      </c>
      <c r="BA1273">
        <v>84</v>
      </c>
      <c r="BB1273">
        <v>111</v>
      </c>
      <c r="BC1273">
        <v>195</v>
      </c>
      <c r="BD1273">
        <v>65</v>
      </c>
      <c r="BE1273">
        <v>67</v>
      </c>
      <c r="BF1273">
        <v>132</v>
      </c>
      <c r="BG1273">
        <v>67</v>
      </c>
      <c r="BH1273">
        <v>59</v>
      </c>
      <c r="BI1273">
        <v>126</v>
      </c>
      <c r="BJ1273">
        <v>75</v>
      </c>
      <c r="BK1273">
        <v>68</v>
      </c>
      <c r="BL1273">
        <v>143</v>
      </c>
      <c r="BP1273">
        <v>97</v>
      </c>
      <c r="BR1273">
        <v>204</v>
      </c>
      <c r="BS1273">
        <v>45</v>
      </c>
      <c r="BT1273">
        <v>19</v>
      </c>
      <c r="BV1273">
        <v>1</v>
      </c>
      <c r="BW1273">
        <v>366</v>
      </c>
      <c r="BX1273" t="s">
        <v>82</v>
      </c>
      <c r="BY1273" s="5"/>
      <c r="BZ1273" s="6"/>
      <c r="CA1273" s="7">
        <v>41588</v>
      </c>
      <c r="CI1273">
        <f t="shared" si="147"/>
        <v>2013</v>
      </c>
      <c r="CJ1273" t="str">
        <f t="shared" si="148"/>
        <v>6268_2013</v>
      </c>
    </row>
    <row r="1274" spans="1:88" x14ac:dyDescent="0.25">
      <c r="A1274" t="s">
        <v>79</v>
      </c>
      <c r="B1274" t="s">
        <v>453</v>
      </c>
      <c r="C1274">
        <v>6268</v>
      </c>
      <c r="D1274">
        <v>-33.747799999999998</v>
      </c>
      <c r="E1274">
        <v>151.29060000000001</v>
      </c>
      <c r="F1274">
        <v>5</v>
      </c>
      <c r="G1274" t="s">
        <v>454</v>
      </c>
      <c r="H1274">
        <v>24</v>
      </c>
      <c r="I1274">
        <v>204</v>
      </c>
      <c r="J1274">
        <v>115</v>
      </c>
      <c r="K1274">
        <v>295</v>
      </c>
      <c r="L1274">
        <v>204</v>
      </c>
      <c r="M1274">
        <v>24</v>
      </c>
      <c r="N1274">
        <v>295</v>
      </c>
      <c r="O1274">
        <v>115</v>
      </c>
      <c r="P1274">
        <v>339</v>
      </c>
      <c r="Q1274">
        <v>159</v>
      </c>
      <c r="T1274">
        <v>18</v>
      </c>
      <c r="U1274">
        <v>108</v>
      </c>
      <c r="V1274">
        <v>1</v>
      </c>
      <c r="W1274">
        <v>2</v>
      </c>
      <c r="Y1274">
        <v>19</v>
      </c>
      <c r="Z1274">
        <v>1</v>
      </c>
      <c r="AA1274">
        <v>20</v>
      </c>
      <c r="AB1274">
        <v>82</v>
      </c>
      <c r="AD1274">
        <v>23</v>
      </c>
      <c r="AE1274">
        <v>2</v>
      </c>
      <c r="AF1274">
        <v>5</v>
      </c>
      <c r="AG1274">
        <v>8</v>
      </c>
      <c r="AI1274">
        <v>13</v>
      </c>
      <c r="AJ1274">
        <v>33</v>
      </c>
      <c r="AK1274">
        <v>0</v>
      </c>
      <c r="AL1274">
        <v>8</v>
      </c>
      <c r="AN1274">
        <v>4</v>
      </c>
      <c r="AO1274">
        <v>113</v>
      </c>
      <c r="AP1274">
        <v>4</v>
      </c>
      <c r="AQ1274">
        <v>8</v>
      </c>
      <c r="AX1274">
        <v>129</v>
      </c>
      <c r="AY1274">
        <v>59</v>
      </c>
      <c r="AZ1274">
        <v>188</v>
      </c>
      <c r="BA1274">
        <v>122</v>
      </c>
      <c r="BB1274">
        <v>166</v>
      </c>
      <c r="BC1274">
        <v>288</v>
      </c>
      <c r="BD1274">
        <v>38</v>
      </c>
      <c r="BE1274">
        <v>113</v>
      </c>
      <c r="BF1274">
        <v>151</v>
      </c>
      <c r="BG1274">
        <v>54</v>
      </c>
      <c r="BH1274">
        <v>34</v>
      </c>
      <c r="BI1274">
        <v>88</v>
      </c>
      <c r="BJ1274">
        <v>129</v>
      </c>
      <c r="BK1274">
        <v>100</v>
      </c>
      <c r="BL1274">
        <v>229</v>
      </c>
      <c r="BP1274">
        <v>257</v>
      </c>
      <c r="BR1274">
        <v>176</v>
      </c>
      <c r="BS1274">
        <v>4</v>
      </c>
      <c r="BT1274">
        <v>14</v>
      </c>
      <c r="BV1274">
        <v>21</v>
      </c>
      <c r="BW1274">
        <v>472</v>
      </c>
      <c r="BX1274">
        <f>IF(C1274=C1273,IF((CI1274-1)=CI1273,BW1273,"no data"))</f>
        <v>366</v>
      </c>
      <c r="BY1274" s="5">
        <f t="shared" si="151"/>
        <v>0.2896174863387978</v>
      </c>
      <c r="BZ1274" s="6">
        <f t="shared" si="149"/>
        <v>0.2896174863387978</v>
      </c>
      <c r="CA1274" s="7">
        <v>41952</v>
      </c>
      <c r="CI1274">
        <f t="shared" si="147"/>
        <v>2014</v>
      </c>
      <c r="CJ1274" t="str">
        <f t="shared" si="148"/>
        <v>6268_2014</v>
      </c>
    </row>
    <row r="1275" spans="1:88" x14ac:dyDescent="0.25">
      <c r="A1275" t="s">
        <v>277</v>
      </c>
      <c r="B1275" t="s">
        <v>455</v>
      </c>
      <c r="C1275">
        <v>6269</v>
      </c>
      <c r="D1275">
        <v>-34.957900000000002</v>
      </c>
      <c r="E1275">
        <v>138.5059</v>
      </c>
      <c r="F1275">
        <v>2</v>
      </c>
      <c r="G1275" t="s">
        <v>456</v>
      </c>
      <c r="H1275">
        <v>135</v>
      </c>
      <c r="I1275">
        <v>315</v>
      </c>
      <c r="J1275">
        <v>323</v>
      </c>
      <c r="K1275">
        <v>143</v>
      </c>
      <c r="T1275">
        <v>1076</v>
      </c>
      <c r="Y1275">
        <v>1311</v>
      </c>
      <c r="AX1275">
        <v>1076</v>
      </c>
      <c r="AY1275">
        <v>1311</v>
      </c>
      <c r="AZ1275">
        <v>2387</v>
      </c>
      <c r="BA1275">
        <v>1311</v>
      </c>
      <c r="BB1275">
        <v>1076</v>
      </c>
      <c r="BC1275">
        <v>2387</v>
      </c>
      <c r="BP1275">
        <v>637</v>
      </c>
      <c r="BR1275">
        <v>1041</v>
      </c>
      <c r="BS1275">
        <v>445</v>
      </c>
      <c r="BT1275">
        <v>159</v>
      </c>
      <c r="BV1275">
        <v>105</v>
      </c>
      <c r="BW1275">
        <v>2387</v>
      </c>
      <c r="BX1275" t="s">
        <v>82</v>
      </c>
      <c r="BY1275" s="5"/>
      <c r="BZ1275" s="6"/>
      <c r="CA1275" s="7">
        <v>41588</v>
      </c>
      <c r="CI1275">
        <f t="shared" si="147"/>
        <v>2013</v>
      </c>
      <c r="CJ1275" t="str">
        <f t="shared" si="148"/>
        <v>6269_2013</v>
      </c>
    </row>
    <row r="1276" spans="1:88" x14ac:dyDescent="0.25">
      <c r="A1276" t="s">
        <v>277</v>
      </c>
      <c r="B1276" t="s">
        <v>457</v>
      </c>
      <c r="C1276">
        <v>6271</v>
      </c>
      <c r="D1276">
        <v>-34.481099999999998</v>
      </c>
      <c r="E1276">
        <v>138.99209999999999</v>
      </c>
      <c r="F1276">
        <v>2</v>
      </c>
      <c r="G1276" t="s">
        <v>458</v>
      </c>
      <c r="H1276">
        <v>21</v>
      </c>
      <c r="I1276">
        <v>201</v>
      </c>
      <c r="J1276">
        <v>199</v>
      </c>
      <c r="K1276">
        <v>19</v>
      </c>
      <c r="T1276">
        <v>63</v>
      </c>
      <c r="Y1276">
        <v>65</v>
      </c>
      <c r="AX1276">
        <v>63</v>
      </c>
      <c r="AY1276">
        <v>65</v>
      </c>
      <c r="AZ1276">
        <v>128</v>
      </c>
      <c r="BA1276">
        <v>65</v>
      </c>
      <c r="BB1276">
        <v>63</v>
      </c>
      <c r="BC1276">
        <v>128</v>
      </c>
      <c r="BP1276">
        <v>76</v>
      </c>
      <c r="BR1276">
        <v>46</v>
      </c>
      <c r="BS1276">
        <v>3</v>
      </c>
      <c r="BT1276">
        <v>1</v>
      </c>
      <c r="BV1276">
        <v>2</v>
      </c>
      <c r="BW1276">
        <v>128</v>
      </c>
      <c r="BX1276" t="s">
        <v>82</v>
      </c>
      <c r="BY1276" s="5"/>
      <c r="BZ1276" s="6"/>
      <c r="CA1276" s="7">
        <v>41952</v>
      </c>
      <c r="CI1276">
        <f t="shared" si="147"/>
        <v>2014</v>
      </c>
      <c r="CJ1276" t="str">
        <f t="shared" si="148"/>
        <v>6271_2014</v>
      </c>
    </row>
    <row r="1277" spans="1:88" x14ac:dyDescent="0.25">
      <c r="A1277" t="s">
        <v>277</v>
      </c>
      <c r="B1277" t="s">
        <v>457</v>
      </c>
      <c r="C1277">
        <v>6272</v>
      </c>
      <c r="D1277">
        <v>-34.5291</v>
      </c>
      <c r="E1277">
        <v>138.95070000000001</v>
      </c>
      <c r="F1277">
        <v>3</v>
      </c>
      <c r="G1277" t="s">
        <v>459</v>
      </c>
      <c r="H1277">
        <v>80</v>
      </c>
      <c r="I1277">
        <v>260</v>
      </c>
      <c r="J1277">
        <v>250</v>
      </c>
      <c r="K1277">
        <v>70</v>
      </c>
      <c r="L1277">
        <v>300</v>
      </c>
      <c r="M1277">
        <v>120</v>
      </c>
      <c r="T1277">
        <v>20</v>
      </c>
      <c r="U1277">
        <v>0</v>
      </c>
      <c r="Y1277">
        <v>14</v>
      </c>
      <c r="Z1277">
        <v>0</v>
      </c>
      <c r="AD1277">
        <v>1</v>
      </c>
      <c r="AE1277">
        <v>0</v>
      </c>
      <c r="AX1277">
        <v>20</v>
      </c>
      <c r="AY1277">
        <v>15</v>
      </c>
      <c r="AZ1277">
        <v>35</v>
      </c>
      <c r="BA1277">
        <v>14</v>
      </c>
      <c r="BB1277">
        <v>20</v>
      </c>
      <c r="BC1277">
        <v>34</v>
      </c>
      <c r="BD1277">
        <v>1</v>
      </c>
      <c r="BE1277">
        <v>0</v>
      </c>
      <c r="BF1277">
        <v>1</v>
      </c>
      <c r="BP1277">
        <v>22</v>
      </c>
      <c r="BR1277">
        <v>10</v>
      </c>
      <c r="BS1277">
        <v>0</v>
      </c>
      <c r="BT1277">
        <v>3</v>
      </c>
      <c r="BV1277">
        <v>0</v>
      </c>
      <c r="BW1277">
        <v>35</v>
      </c>
      <c r="BX1277" t="s">
        <v>82</v>
      </c>
      <c r="BY1277" s="5"/>
      <c r="BZ1277" s="6"/>
      <c r="CA1277" s="7">
        <v>41588</v>
      </c>
      <c r="CI1277">
        <f t="shared" si="147"/>
        <v>2013</v>
      </c>
      <c r="CJ1277" t="str">
        <f t="shared" si="148"/>
        <v>6272_2013</v>
      </c>
    </row>
    <row r="1278" spans="1:88" x14ac:dyDescent="0.25">
      <c r="A1278" t="s">
        <v>277</v>
      </c>
      <c r="B1278" t="s">
        <v>457</v>
      </c>
      <c r="C1278">
        <v>6272</v>
      </c>
      <c r="D1278">
        <v>-34.5291</v>
      </c>
      <c r="E1278">
        <v>138.95070000000001</v>
      </c>
      <c r="F1278">
        <v>3</v>
      </c>
      <c r="G1278" t="s">
        <v>459</v>
      </c>
      <c r="H1278">
        <v>80</v>
      </c>
      <c r="I1278">
        <v>260</v>
      </c>
      <c r="J1278">
        <v>250</v>
      </c>
      <c r="K1278">
        <v>70</v>
      </c>
      <c r="L1278">
        <v>300</v>
      </c>
      <c r="M1278">
        <v>120</v>
      </c>
      <c r="T1278">
        <v>27</v>
      </c>
      <c r="U1278">
        <v>1</v>
      </c>
      <c r="Y1278">
        <v>30</v>
      </c>
      <c r="Z1278">
        <v>0</v>
      </c>
      <c r="AD1278">
        <v>1</v>
      </c>
      <c r="AE1278">
        <v>0</v>
      </c>
      <c r="AX1278">
        <v>28</v>
      </c>
      <c r="AY1278">
        <v>31</v>
      </c>
      <c r="AZ1278">
        <v>59</v>
      </c>
      <c r="BA1278">
        <v>30</v>
      </c>
      <c r="BB1278">
        <v>27</v>
      </c>
      <c r="BC1278">
        <v>57</v>
      </c>
      <c r="BD1278">
        <v>1</v>
      </c>
      <c r="BE1278">
        <v>1</v>
      </c>
      <c r="BF1278">
        <v>2</v>
      </c>
      <c r="BP1278">
        <v>37</v>
      </c>
      <c r="BR1278">
        <v>13</v>
      </c>
      <c r="BS1278">
        <v>0</v>
      </c>
      <c r="BT1278">
        <v>9</v>
      </c>
      <c r="BV1278">
        <v>0</v>
      </c>
      <c r="BW1278">
        <v>59</v>
      </c>
      <c r="BX1278">
        <f>IF(C1278=C1277,IF((CI1278-1)=CI1277,BW1277,"no data"))</f>
        <v>35</v>
      </c>
      <c r="BY1278" s="5">
        <f t="shared" si="151"/>
        <v>0.68571428571428572</v>
      </c>
      <c r="BZ1278" s="6">
        <f t="shared" si="149"/>
        <v>0.68571428571428572</v>
      </c>
      <c r="CA1278" s="7">
        <v>41952</v>
      </c>
      <c r="CI1278">
        <f t="shared" si="147"/>
        <v>2014</v>
      </c>
      <c r="CJ1278" t="str">
        <f t="shared" si="148"/>
        <v>6272_2014</v>
      </c>
    </row>
    <row r="1279" spans="1:88" x14ac:dyDescent="0.25">
      <c r="A1279" t="s">
        <v>277</v>
      </c>
      <c r="B1279" t="s">
        <v>457</v>
      </c>
      <c r="C1279">
        <v>6273</v>
      </c>
      <c r="D1279">
        <v>-34.600999999999999</v>
      </c>
      <c r="E1279">
        <v>138.8922</v>
      </c>
      <c r="F1279">
        <v>3</v>
      </c>
      <c r="G1279" t="s">
        <v>460</v>
      </c>
      <c r="H1279">
        <v>71</v>
      </c>
      <c r="I1279">
        <v>251</v>
      </c>
      <c r="J1279">
        <v>250</v>
      </c>
      <c r="K1279">
        <v>70</v>
      </c>
      <c r="L1279">
        <v>328</v>
      </c>
      <c r="M1279">
        <v>148</v>
      </c>
      <c r="T1279">
        <v>27</v>
      </c>
      <c r="U1279">
        <v>28</v>
      </c>
      <c r="Y1279">
        <v>18</v>
      </c>
      <c r="Z1279">
        <v>7</v>
      </c>
      <c r="AD1279">
        <v>44</v>
      </c>
      <c r="AE1279">
        <v>8</v>
      </c>
      <c r="AX1279">
        <v>55</v>
      </c>
      <c r="AY1279">
        <v>62</v>
      </c>
      <c r="AZ1279">
        <v>117</v>
      </c>
      <c r="BA1279">
        <v>25</v>
      </c>
      <c r="BB1279">
        <v>35</v>
      </c>
      <c r="BC1279">
        <v>60</v>
      </c>
      <c r="BD1279">
        <v>52</v>
      </c>
      <c r="BE1279">
        <v>35</v>
      </c>
      <c r="BF1279">
        <v>87</v>
      </c>
      <c r="BP1279">
        <v>54</v>
      </c>
      <c r="BR1279">
        <v>56</v>
      </c>
      <c r="BS1279">
        <v>6</v>
      </c>
      <c r="BT1279">
        <v>16</v>
      </c>
      <c r="BV1279">
        <v>0</v>
      </c>
      <c r="BW1279">
        <v>132</v>
      </c>
      <c r="BX1279" t="s">
        <v>82</v>
      </c>
      <c r="BY1279" s="5"/>
      <c r="BZ1279" s="6"/>
      <c r="CA1279" s="7">
        <v>41588</v>
      </c>
      <c r="CI1279">
        <f t="shared" si="147"/>
        <v>2013</v>
      </c>
      <c r="CJ1279" t="str">
        <f t="shared" si="148"/>
        <v>6273_2013</v>
      </c>
    </row>
    <row r="1280" spans="1:88" x14ac:dyDescent="0.25">
      <c r="A1280" t="s">
        <v>277</v>
      </c>
      <c r="B1280" t="s">
        <v>457</v>
      </c>
      <c r="C1280">
        <v>6273</v>
      </c>
      <c r="D1280">
        <v>-34.600999999999999</v>
      </c>
      <c r="E1280">
        <v>138.8922</v>
      </c>
      <c r="F1280">
        <v>3</v>
      </c>
      <c r="G1280" t="s">
        <v>460</v>
      </c>
      <c r="H1280">
        <v>71</v>
      </c>
      <c r="I1280">
        <v>251</v>
      </c>
      <c r="J1280">
        <v>250</v>
      </c>
      <c r="K1280">
        <v>70</v>
      </c>
      <c r="L1280">
        <v>328</v>
      </c>
      <c r="M1280">
        <v>148</v>
      </c>
      <c r="T1280">
        <v>12</v>
      </c>
      <c r="U1280">
        <v>14</v>
      </c>
      <c r="Y1280">
        <v>10</v>
      </c>
      <c r="Z1280">
        <v>4</v>
      </c>
      <c r="AD1280">
        <v>8</v>
      </c>
      <c r="AE1280">
        <v>21</v>
      </c>
      <c r="AX1280">
        <v>26</v>
      </c>
      <c r="AY1280">
        <v>18</v>
      </c>
      <c r="AZ1280">
        <v>44</v>
      </c>
      <c r="BA1280">
        <v>14</v>
      </c>
      <c r="BB1280">
        <v>33</v>
      </c>
      <c r="BC1280">
        <v>47</v>
      </c>
      <c r="BD1280">
        <v>29</v>
      </c>
      <c r="BE1280">
        <v>18</v>
      </c>
      <c r="BF1280">
        <v>47</v>
      </c>
      <c r="BP1280">
        <v>39</v>
      </c>
      <c r="BR1280">
        <v>14</v>
      </c>
      <c r="BS1280">
        <v>0</v>
      </c>
      <c r="BT1280">
        <v>11</v>
      </c>
      <c r="BV1280">
        <v>5</v>
      </c>
      <c r="BW1280">
        <v>69</v>
      </c>
      <c r="BX1280">
        <f>IF(C1280=C1279,IF((CI1280-1)=CI1279,BW1279,"no data"))</f>
        <v>132</v>
      </c>
      <c r="BY1280" s="5">
        <f t="shared" si="151"/>
        <v>-0.47727272727272729</v>
      </c>
      <c r="BZ1280" s="6">
        <f t="shared" si="149"/>
        <v>-0.47727272727272729</v>
      </c>
      <c r="CA1280" s="7">
        <v>41952</v>
      </c>
      <c r="CI1280">
        <f t="shared" si="147"/>
        <v>2014</v>
      </c>
      <c r="CJ1280" t="str">
        <f t="shared" si="148"/>
        <v>6273_2014</v>
      </c>
    </row>
    <row r="1281" spans="1:88" x14ac:dyDescent="0.25">
      <c r="A1281" t="s">
        <v>277</v>
      </c>
      <c r="B1281" t="s">
        <v>457</v>
      </c>
      <c r="C1281">
        <v>6274</v>
      </c>
      <c r="D1281">
        <v>-34.599800000000002</v>
      </c>
      <c r="E1281">
        <v>138.89009999999999</v>
      </c>
      <c r="F1281">
        <v>3</v>
      </c>
      <c r="G1281" t="s">
        <v>461</v>
      </c>
      <c r="H1281">
        <v>129</v>
      </c>
      <c r="I1281">
        <v>309</v>
      </c>
      <c r="J1281">
        <v>223</v>
      </c>
      <c r="K1281">
        <v>43</v>
      </c>
      <c r="L1281">
        <v>312</v>
      </c>
      <c r="M1281">
        <v>132</v>
      </c>
      <c r="T1281">
        <v>7</v>
      </c>
      <c r="U1281">
        <v>36</v>
      </c>
      <c r="Y1281">
        <v>8</v>
      </c>
      <c r="Z1281">
        <v>0</v>
      </c>
      <c r="AD1281">
        <v>65</v>
      </c>
      <c r="AE1281">
        <v>0</v>
      </c>
      <c r="AX1281">
        <v>43</v>
      </c>
      <c r="AY1281">
        <v>73</v>
      </c>
      <c r="AZ1281">
        <v>116</v>
      </c>
      <c r="BA1281">
        <v>8</v>
      </c>
      <c r="BB1281">
        <v>7</v>
      </c>
      <c r="BC1281">
        <v>15</v>
      </c>
      <c r="BD1281">
        <v>65</v>
      </c>
      <c r="BE1281">
        <v>36</v>
      </c>
      <c r="BF1281">
        <v>101</v>
      </c>
      <c r="BP1281">
        <v>55</v>
      </c>
      <c r="BR1281">
        <v>39</v>
      </c>
      <c r="BS1281">
        <v>4</v>
      </c>
      <c r="BT1281">
        <v>17</v>
      </c>
      <c r="BV1281">
        <v>1</v>
      </c>
      <c r="BW1281">
        <v>116</v>
      </c>
      <c r="BX1281" t="s">
        <v>82</v>
      </c>
      <c r="BY1281" s="5"/>
      <c r="BZ1281" s="6"/>
      <c r="CA1281" s="7">
        <v>41588</v>
      </c>
      <c r="CI1281">
        <f t="shared" si="147"/>
        <v>2013</v>
      </c>
      <c r="CJ1281" t="str">
        <f t="shared" si="148"/>
        <v>6274_2013</v>
      </c>
    </row>
    <row r="1282" spans="1:88" x14ac:dyDescent="0.25">
      <c r="A1282" t="s">
        <v>277</v>
      </c>
      <c r="B1282" t="s">
        <v>457</v>
      </c>
      <c r="C1282">
        <v>6274</v>
      </c>
      <c r="D1282">
        <v>-34.599800000000002</v>
      </c>
      <c r="E1282">
        <v>138.89009999999999</v>
      </c>
      <c r="F1282">
        <v>3</v>
      </c>
      <c r="G1282" t="s">
        <v>461</v>
      </c>
      <c r="H1282">
        <v>129</v>
      </c>
      <c r="I1282">
        <v>309</v>
      </c>
      <c r="J1282">
        <v>223</v>
      </c>
      <c r="K1282">
        <v>43</v>
      </c>
      <c r="L1282">
        <v>312</v>
      </c>
      <c r="M1282">
        <v>132</v>
      </c>
      <c r="T1282">
        <v>10</v>
      </c>
      <c r="U1282">
        <v>27</v>
      </c>
      <c r="Y1282">
        <v>5</v>
      </c>
      <c r="Z1282">
        <v>29</v>
      </c>
      <c r="AD1282">
        <v>33</v>
      </c>
      <c r="AE1282">
        <v>27</v>
      </c>
      <c r="AX1282">
        <v>37</v>
      </c>
      <c r="AY1282">
        <v>38</v>
      </c>
      <c r="AZ1282">
        <v>75</v>
      </c>
      <c r="BA1282">
        <v>34</v>
      </c>
      <c r="BB1282">
        <v>37</v>
      </c>
      <c r="BC1282">
        <v>71</v>
      </c>
      <c r="BD1282">
        <v>60</v>
      </c>
      <c r="BE1282">
        <v>56</v>
      </c>
      <c r="BF1282">
        <v>116</v>
      </c>
      <c r="BP1282">
        <v>69</v>
      </c>
      <c r="BR1282">
        <v>31</v>
      </c>
      <c r="BS1282">
        <v>3</v>
      </c>
      <c r="BT1282">
        <v>15</v>
      </c>
      <c r="BV1282">
        <v>13</v>
      </c>
      <c r="BW1282">
        <v>131</v>
      </c>
      <c r="BX1282">
        <f>IF(C1282=C1281,IF((CI1282-1)=CI1281,BW1281,"no data"))</f>
        <v>116</v>
      </c>
      <c r="BY1282" s="5">
        <f t="shared" si="151"/>
        <v>0.12931034482758622</v>
      </c>
      <c r="BZ1282" s="6">
        <f t="shared" si="149"/>
        <v>0.12931034482758622</v>
      </c>
      <c r="CA1282" s="7">
        <v>41952</v>
      </c>
      <c r="CI1282">
        <f t="shared" si="147"/>
        <v>2014</v>
      </c>
      <c r="CJ1282" t="str">
        <f t="shared" si="148"/>
        <v>6274_2014</v>
      </c>
    </row>
    <row r="1283" spans="1:88" x14ac:dyDescent="0.25">
      <c r="A1283" t="s">
        <v>277</v>
      </c>
      <c r="B1283" t="s">
        <v>462</v>
      </c>
      <c r="C1283">
        <v>6276</v>
      </c>
      <c r="D1283">
        <v>-34.96</v>
      </c>
      <c r="E1283">
        <v>138.6574</v>
      </c>
      <c r="F1283">
        <v>3</v>
      </c>
      <c r="G1283" t="s">
        <v>463</v>
      </c>
      <c r="H1283">
        <v>145</v>
      </c>
      <c r="I1283">
        <v>325</v>
      </c>
      <c r="J1283">
        <v>170</v>
      </c>
      <c r="K1283">
        <v>350</v>
      </c>
      <c r="L1283">
        <v>315</v>
      </c>
      <c r="M1283">
        <v>135</v>
      </c>
      <c r="T1283">
        <v>3</v>
      </c>
      <c r="U1283">
        <v>4</v>
      </c>
      <c r="Y1283">
        <v>1</v>
      </c>
      <c r="Z1283">
        <v>6</v>
      </c>
      <c r="AD1283">
        <v>5</v>
      </c>
      <c r="AE1283">
        <v>4</v>
      </c>
      <c r="AX1283">
        <v>7</v>
      </c>
      <c r="AY1283">
        <v>6</v>
      </c>
      <c r="AZ1283">
        <v>13</v>
      </c>
      <c r="BA1283">
        <v>7</v>
      </c>
      <c r="BB1283">
        <v>7</v>
      </c>
      <c r="BC1283">
        <v>14</v>
      </c>
      <c r="BD1283">
        <v>9</v>
      </c>
      <c r="BE1283">
        <v>10</v>
      </c>
      <c r="BF1283">
        <v>19</v>
      </c>
      <c r="BP1283">
        <v>1</v>
      </c>
      <c r="BR1283">
        <v>9</v>
      </c>
      <c r="BS1283">
        <v>3</v>
      </c>
      <c r="BT1283">
        <v>10</v>
      </c>
      <c r="BV1283">
        <v>0</v>
      </c>
      <c r="BW1283">
        <v>23</v>
      </c>
      <c r="BX1283" t="s">
        <v>82</v>
      </c>
      <c r="BY1283" s="5"/>
      <c r="BZ1283" s="6"/>
      <c r="CA1283" s="7">
        <v>41588</v>
      </c>
      <c r="CI1283">
        <f t="shared" ref="CI1283:CI1346" si="155">YEAR(CA1283)</f>
        <v>2013</v>
      </c>
      <c r="CJ1283" t="str">
        <f t="shared" ref="CJ1283:CJ1346" si="156">_xlfn.CONCAT(C1283,"_",CI1283)</f>
        <v>6276_2013</v>
      </c>
    </row>
    <row r="1284" spans="1:88" x14ac:dyDescent="0.25">
      <c r="A1284" t="s">
        <v>277</v>
      </c>
      <c r="B1284" t="s">
        <v>462</v>
      </c>
      <c r="C1284">
        <v>6277</v>
      </c>
      <c r="D1284">
        <v>-34.966099999999997</v>
      </c>
      <c r="E1284">
        <v>138.64859999999999</v>
      </c>
      <c r="F1284">
        <v>2</v>
      </c>
      <c r="G1284" t="s">
        <v>464</v>
      </c>
      <c r="H1284">
        <v>150</v>
      </c>
      <c r="I1284">
        <v>330</v>
      </c>
      <c r="J1284">
        <v>323</v>
      </c>
      <c r="K1284">
        <v>143</v>
      </c>
      <c r="T1284">
        <v>282</v>
      </c>
      <c r="Y1284">
        <v>128</v>
      </c>
      <c r="AX1284">
        <v>282</v>
      </c>
      <c r="AY1284">
        <v>128</v>
      </c>
      <c r="AZ1284">
        <v>410</v>
      </c>
      <c r="BA1284">
        <v>128</v>
      </c>
      <c r="BB1284">
        <v>282</v>
      </c>
      <c r="BC1284">
        <v>410</v>
      </c>
      <c r="BP1284">
        <v>410</v>
      </c>
      <c r="BR1284">
        <v>0</v>
      </c>
      <c r="BS1284">
        <v>0</v>
      </c>
      <c r="BT1284">
        <v>0</v>
      </c>
      <c r="BV1284">
        <v>0</v>
      </c>
      <c r="BW1284">
        <v>410</v>
      </c>
      <c r="BX1284" t="s">
        <v>82</v>
      </c>
      <c r="BY1284" s="5"/>
      <c r="BZ1284" s="6"/>
      <c r="CA1284" s="7">
        <v>41588</v>
      </c>
      <c r="CI1284">
        <f t="shared" si="155"/>
        <v>2013</v>
      </c>
      <c r="CJ1284" t="str">
        <f t="shared" si="156"/>
        <v>6277_2013</v>
      </c>
    </row>
    <row r="1285" spans="1:88" x14ac:dyDescent="0.25">
      <c r="A1285" t="s">
        <v>277</v>
      </c>
      <c r="B1285" t="s">
        <v>462</v>
      </c>
      <c r="C1285">
        <v>6278</v>
      </c>
      <c r="D1285">
        <v>-34.912999999999997</v>
      </c>
      <c r="E1285">
        <v>138.68620000000001</v>
      </c>
      <c r="F1285">
        <v>3</v>
      </c>
      <c r="G1285" t="s">
        <v>465</v>
      </c>
      <c r="H1285">
        <v>97</v>
      </c>
      <c r="I1285">
        <v>277</v>
      </c>
      <c r="J1285">
        <v>187</v>
      </c>
      <c r="K1285">
        <v>7</v>
      </c>
      <c r="L1285">
        <v>276</v>
      </c>
      <c r="M1285">
        <v>96</v>
      </c>
      <c r="T1285">
        <v>0</v>
      </c>
      <c r="U1285">
        <v>25</v>
      </c>
      <c r="Y1285">
        <v>0</v>
      </c>
      <c r="Z1285">
        <v>5</v>
      </c>
      <c r="AD1285">
        <v>6</v>
      </c>
      <c r="AE1285">
        <v>5</v>
      </c>
      <c r="AX1285">
        <v>25</v>
      </c>
      <c r="AY1285">
        <v>6</v>
      </c>
      <c r="AZ1285">
        <v>31</v>
      </c>
      <c r="BA1285">
        <v>5</v>
      </c>
      <c r="BB1285">
        <v>5</v>
      </c>
      <c r="BC1285">
        <v>10</v>
      </c>
      <c r="BD1285">
        <v>11</v>
      </c>
      <c r="BE1285">
        <v>30</v>
      </c>
      <c r="BF1285">
        <v>41</v>
      </c>
      <c r="BP1285">
        <v>29</v>
      </c>
      <c r="BR1285">
        <v>7</v>
      </c>
      <c r="BS1285">
        <v>5</v>
      </c>
      <c r="BT1285">
        <v>0</v>
      </c>
      <c r="BV1285">
        <v>0</v>
      </c>
      <c r="BW1285">
        <v>41</v>
      </c>
      <c r="BX1285" t="s">
        <v>82</v>
      </c>
      <c r="BY1285" s="5"/>
      <c r="BZ1285" s="6"/>
      <c r="CA1285" s="7">
        <v>41588</v>
      </c>
      <c r="CI1285">
        <f t="shared" si="155"/>
        <v>2013</v>
      </c>
      <c r="CJ1285" t="str">
        <f t="shared" si="156"/>
        <v>6278_2013</v>
      </c>
    </row>
    <row r="1286" spans="1:88" x14ac:dyDescent="0.25">
      <c r="A1286" t="s">
        <v>277</v>
      </c>
      <c r="B1286" t="s">
        <v>462</v>
      </c>
      <c r="C1286">
        <v>6279</v>
      </c>
      <c r="D1286">
        <v>-34.944800000000001</v>
      </c>
      <c r="E1286">
        <v>138.66540000000001</v>
      </c>
      <c r="F1286">
        <v>3</v>
      </c>
      <c r="G1286" t="s">
        <v>466</v>
      </c>
      <c r="H1286">
        <v>144</v>
      </c>
      <c r="I1286">
        <v>324</v>
      </c>
      <c r="J1286">
        <v>241</v>
      </c>
      <c r="K1286">
        <v>61</v>
      </c>
      <c r="L1286">
        <v>329</v>
      </c>
      <c r="M1286">
        <v>149</v>
      </c>
      <c r="T1286">
        <v>2</v>
      </c>
      <c r="U1286">
        <v>16</v>
      </c>
      <c r="Y1286">
        <v>6</v>
      </c>
      <c r="Z1286">
        <v>2</v>
      </c>
      <c r="AD1286">
        <v>14</v>
      </c>
      <c r="AE1286">
        <v>4</v>
      </c>
      <c r="AX1286">
        <v>18</v>
      </c>
      <c r="AY1286">
        <v>20</v>
      </c>
      <c r="AZ1286">
        <v>38</v>
      </c>
      <c r="BA1286">
        <v>8</v>
      </c>
      <c r="BB1286">
        <v>6</v>
      </c>
      <c r="BC1286">
        <v>14</v>
      </c>
      <c r="BD1286">
        <v>18</v>
      </c>
      <c r="BE1286">
        <v>18</v>
      </c>
      <c r="BF1286">
        <v>36</v>
      </c>
      <c r="BP1286">
        <v>12</v>
      </c>
      <c r="BR1286">
        <v>25</v>
      </c>
      <c r="BS1286">
        <v>3</v>
      </c>
      <c r="BT1286">
        <v>1</v>
      </c>
      <c r="BV1286">
        <v>3</v>
      </c>
      <c r="BW1286">
        <v>44</v>
      </c>
      <c r="BX1286" t="s">
        <v>82</v>
      </c>
      <c r="BY1286" s="5"/>
      <c r="BZ1286" s="6"/>
      <c r="CA1286" s="7">
        <v>41588</v>
      </c>
      <c r="CI1286">
        <f t="shared" si="155"/>
        <v>2013</v>
      </c>
      <c r="CJ1286" t="str">
        <f t="shared" si="156"/>
        <v>6279_2013</v>
      </c>
    </row>
    <row r="1287" spans="1:88" x14ac:dyDescent="0.25">
      <c r="A1287" t="s">
        <v>277</v>
      </c>
      <c r="B1287" t="s">
        <v>278</v>
      </c>
      <c r="C1287">
        <v>6284</v>
      </c>
      <c r="D1287">
        <v>-34.902500000000003</v>
      </c>
      <c r="E1287">
        <v>138.49</v>
      </c>
      <c r="F1287">
        <v>4</v>
      </c>
      <c r="G1287" t="s">
        <v>467</v>
      </c>
      <c r="H1287">
        <v>86</v>
      </c>
      <c r="I1287">
        <v>266</v>
      </c>
      <c r="J1287">
        <v>170</v>
      </c>
      <c r="K1287">
        <v>350</v>
      </c>
      <c r="L1287">
        <v>263</v>
      </c>
      <c r="M1287">
        <v>83</v>
      </c>
      <c r="N1287">
        <v>348</v>
      </c>
      <c r="O1287">
        <v>168</v>
      </c>
      <c r="T1287">
        <v>29</v>
      </c>
      <c r="U1287">
        <v>192</v>
      </c>
      <c r="V1287">
        <v>6</v>
      </c>
      <c r="Y1287">
        <v>4</v>
      </c>
      <c r="Z1287">
        <v>26</v>
      </c>
      <c r="AA1287">
        <v>175</v>
      </c>
      <c r="AD1287">
        <v>278</v>
      </c>
      <c r="AE1287">
        <v>15</v>
      </c>
      <c r="AF1287">
        <v>53</v>
      </c>
      <c r="AI1287">
        <v>32</v>
      </c>
      <c r="AJ1287">
        <v>141</v>
      </c>
      <c r="AK1287">
        <v>128</v>
      </c>
      <c r="AX1287">
        <v>227</v>
      </c>
      <c r="AY1287">
        <v>314</v>
      </c>
      <c r="AZ1287">
        <v>541</v>
      </c>
      <c r="BA1287">
        <v>205</v>
      </c>
      <c r="BB1287">
        <v>185</v>
      </c>
      <c r="BC1287">
        <v>390</v>
      </c>
      <c r="BD1287">
        <v>346</v>
      </c>
      <c r="BE1287">
        <v>346</v>
      </c>
      <c r="BF1287">
        <v>692</v>
      </c>
      <c r="BG1287">
        <v>301</v>
      </c>
      <c r="BH1287">
        <v>234</v>
      </c>
      <c r="BI1287">
        <v>535</v>
      </c>
      <c r="BP1287">
        <v>380</v>
      </c>
      <c r="BR1287">
        <v>610</v>
      </c>
      <c r="BS1287">
        <v>28</v>
      </c>
      <c r="BT1287">
        <v>37</v>
      </c>
      <c r="BV1287">
        <v>24</v>
      </c>
      <c r="BW1287">
        <v>1079</v>
      </c>
      <c r="BX1287" t="s">
        <v>82</v>
      </c>
      <c r="BY1287" s="5"/>
      <c r="BZ1287" s="6"/>
      <c r="CA1287" s="7">
        <v>41952</v>
      </c>
      <c r="CI1287">
        <f t="shared" si="155"/>
        <v>2014</v>
      </c>
      <c r="CJ1287" t="str">
        <f t="shared" si="156"/>
        <v>6284_2014</v>
      </c>
    </row>
    <row r="1288" spans="1:88" x14ac:dyDescent="0.25">
      <c r="A1288" t="s">
        <v>277</v>
      </c>
      <c r="B1288" t="s">
        <v>278</v>
      </c>
      <c r="C1288">
        <v>6285</v>
      </c>
      <c r="D1288">
        <v>-34.907600000000002</v>
      </c>
      <c r="E1288">
        <v>138.49039999999999</v>
      </c>
      <c r="F1288">
        <v>3</v>
      </c>
      <c r="G1288" t="s">
        <v>468</v>
      </c>
      <c r="H1288">
        <v>87</v>
      </c>
      <c r="I1288">
        <v>267</v>
      </c>
      <c r="J1288">
        <v>169</v>
      </c>
      <c r="K1288">
        <v>349</v>
      </c>
      <c r="L1288">
        <v>352</v>
      </c>
      <c r="M1288">
        <v>172</v>
      </c>
      <c r="T1288">
        <v>47</v>
      </c>
      <c r="U1288">
        <v>49</v>
      </c>
      <c r="Y1288">
        <v>38</v>
      </c>
      <c r="Z1288">
        <v>707</v>
      </c>
      <c r="AD1288">
        <v>29</v>
      </c>
      <c r="AE1288">
        <v>639</v>
      </c>
      <c r="AX1288">
        <v>96</v>
      </c>
      <c r="AY1288">
        <v>67</v>
      </c>
      <c r="AZ1288">
        <v>163</v>
      </c>
      <c r="BA1288">
        <v>745</v>
      </c>
      <c r="BB1288">
        <v>686</v>
      </c>
      <c r="BC1288">
        <v>1431</v>
      </c>
      <c r="BD1288">
        <v>668</v>
      </c>
      <c r="BE1288">
        <v>756</v>
      </c>
      <c r="BF1288">
        <v>1424</v>
      </c>
      <c r="BP1288">
        <v>219</v>
      </c>
      <c r="BR1288">
        <v>850</v>
      </c>
      <c r="BS1288">
        <v>147</v>
      </c>
      <c r="BT1288">
        <v>146</v>
      </c>
      <c r="BV1288">
        <v>147</v>
      </c>
      <c r="BW1288">
        <v>1509</v>
      </c>
      <c r="BX1288" t="s">
        <v>82</v>
      </c>
      <c r="BY1288" s="5"/>
      <c r="BZ1288" s="6"/>
      <c r="CA1288" s="7">
        <v>41952</v>
      </c>
      <c r="CI1288">
        <f t="shared" si="155"/>
        <v>2014</v>
      </c>
      <c r="CJ1288" t="str">
        <f t="shared" si="156"/>
        <v>6285_2014</v>
      </c>
    </row>
    <row r="1289" spans="1:88" x14ac:dyDescent="0.25">
      <c r="A1289" t="s">
        <v>277</v>
      </c>
      <c r="B1289" t="s">
        <v>278</v>
      </c>
      <c r="C1289">
        <v>6286</v>
      </c>
      <c r="D1289">
        <v>-34.914000000000001</v>
      </c>
      <c r="E1289">
        <v>138.49209999999999</v>
      </c>
      <c r="F1289">
        <v>3</v>
      </c>
      <c r="G1289" t="s">
        <v>469</v>
      </c>
      <c r="H1289">
        <v>86</v>
      </c>
      <c r="I1289">
        <v>266</v>
      </c>
      <c r="J1289">
        <v>167</v>
      </c>
      <c r="K1289">
        <v>347</v>
      </c>
      <c r="L1289">
        <v>346</v>
      </c>
      <c r="M1289">
        <v>166</v>
      </c>
      <c r="T1289">
        <v>242</v>
      </c>
      <c r="U1289">
        <v>0</v>
      </c>
      <c r="Y1289">
        <v>310</v>
      </c>
      <c r="Z1289">
        <v>0</v>
      </c>
      <c r="AD1289">
        <v>0</v>
      </c>
      <c r="AE1289">
        <v>11</v>
      </c>
      <c r="AX1289">
        <v>242</v>
      </c>
      <c r="AY1289">
        <v>310</v>
      </c>
      <c r="AZ1289">
        <v>552</v>
      </c>
      <c r="BA1289">
        <v>310</v>
      </c>
      <c r="BB1289">
        <v>253</v>
      </c>
      <c r="BC1289">
        <v>563</v>
      </c>
      <c r="BD1289">
        <v>11</v>
      </c>
      <c r="BE1289">
        <v>0</v>
      </c>
      <c r="BF1289">
        <v>11</v>
      </c>
      <c r="BP1289">
        <v>154</v>
      </c>
      <c r="BR1289">
        <v>328</v>
      </c>
      <c r="BS1289">
        <v>40</v>
      </c>
      <c r="BT1289">
        <v>41</v>
      </c>
      <c r="BV1289">
        <v>0</v>
      </c>
      <c r="BW1289">
        <v>563</v>
      </c>
      <c r="BX1289" t="s">
        <v>82</v>
      </c>
      <c r="BY1289" s="5"/>
      <c r="BZ1289" s="6"/>
      <c r="CA1289" s="7">
        <v>41588</v>
      </c>
      <c r="CI1289">
        <f t="shared" si="155"/>
        <v>2013</v>
      </c>
      <c r="CJ1289" t="str">
        <f t="shared" si="156"/>
        <v>6286_2013</v>
      </c>
    </row>
    <row r="1290" spans="1:88" x14ac:dyDescent="0.25">
      <c r="A1290" t="s">
        <v>277</v>
      </c>
      <c r="B1290" t="s">
        <v>278</v>
      </c>
      <c r="C1290">
        <v>6287</v>
      </c>
      <c r="D1290">
        <v>-34.934100000000001</v>
      </c>
      <c r="E1290">
        <v>138.49879999999999</v>
      </c>
      <c r="F1290">
        <v>4</v>
      </c>
      <c r="G1290" t="s">
        <v>470</v>
      </c>
      <c r="H1290">
        <v>74</v>
      </c>
      <c r="I1290">
        <v>254</v>
      </c>
      <c r="J1290">
        <v>166</v>
      </c>
      <c r="K1290">
        <v>346</v>
      </c>
      <c r="L1290">
        <v>254</v>
      </c>
      <c r="M1290">
        <v>74</v>
      </c>
      <c r="N1290">
        <v>345</v>
      </c>
      <c r="O1290">
        <v>165</v>
      </c>
      <c r="T1290">
        <v>71</v>
      </c>
      <c r="U1290">
        <v>0</v>
      </c>
      <c r="V1290">
        <v>3</v>
      </c>
      <c r="Y1290">
        <v>20</v>
      </c>
      <c r="Z1290">
        <v>74</v>
      </c>
      <c r="AA1290">
        <v>261</v>
      </c>
      <c r="AD1290">
        <v>4</v>
      </c>
      <c r="AE1290">
        <v>43</v>
      </c>
      <c r="AF1290">
        <v>0</v>
      </c>
      <c r="AI1290">
        <v>1</v>
      </c>
      <c r="AJ1290">
        <v>271</v>
      </c>
      <c r="AK1290">
        <v>15</v>
      </c>
      <c r="AX1290">
        <v>74</v>
      </c>
      <c r="AY1290">
        <v>25</v>
      </c>
      <c r="AZ1290">
        <v>99</v>
      </c>
      <c r="BA1290">
        <v>355</v>
      </c>
      <c r="BB1290">
        <v>385</v>
      </c>
      <c r="BC1290">
        <v>740</v>
      </c>
      <c r="BD1290">
        <v>47</v>
      </c>
      <c r="BE1290">
        <v>89</v>
      </c>
      <c r="BF1290">
        <v>136</v>
      </c>
      <c r="BG1290">
        <v>287</v>
      </c>
      <c r="BH1290">
        <v>264</v>
      </c>
      <c r="BI1290">
        <v>551</v>
      </c>
      <c r="BP1290">
        <v>718</v>
      </c>
      <c r="BR1290">
        <v>29</v>
      </c>
      <c r="BS1290">
        <v>8</v>
      </c>
      <c r="BT1290">
        <v>5</v>
      </c>
      <c r="BV1290">
        <v>3</v>
      </c>
      <c r="BW1290">
        <v>763</v>
      </c>
      <c r="BX1290" t="s">
        <v>82</v>
      </c>
      <c r="BY1290" s="5"/>
      <c r="BZ1290" s="6"/>
      <c r="CA1290" s="7">
        <v>41588</v>
      </c>
      <c r="CI1290">
        <f t="shared" si="155"/>
        <v>2013</v>
      </c>
      <c r="CJ1290" t="str">
        <f t="shared" si="156"/>
        <v>6287_2013</v>
      </c>
    </row>
    <row r="1291" spans="1:88" x14ac:dyDescent="0.25">
      <c r="A1291" t="s">
        <v>277</v>
      </c>
      <c r="B1291" t="s">
        <v>278</v>
      </c>
      <c r="C1291">
        <v>6288</v>
      </c>
      <c r="D1291">
        <v>-34.934800000000003</v>
      </c>
      <c r="E1291">
        <v>138.49879999999999</v>
      </c>
      <c r="F1291">
        <v>4</v>
      </c>
      <c r="G1291" t="s">
        <v>471</v>
      </c>
      <c r="H1291">
        <v>78</v>
      </c>
      <c r="I1291">
        <v>258</v>
      </c>
      <c r="J1291">
        <v>164</v>
      </c>
      <c r="K1291">
        <v>344</v>
      </c>
      <c r="L1291">
        <v>258</v>
      </c>
      <c r="M1291">
        <v>78</v>
      </c>
      <c r="N1291">
        <v>344</v>
      </c>
      <c r="O1291">
        <v>164</v>
      </c>
      <c r="T1291">
        <v>52</v>
      </c>
      <c r="U1291">
        <v>12</v>
      </c>
      <c r="V1291">
        <v>8</v>
      </c>
      <c r="Y1291">
        <v>22</v>
      </c>
      <c r="Z1291">
        <v>254</v>
      </c>
      <c r="AA1291">
        <v>38</v>
      </c>
      <c r="AD1291">
        <v>8</v>
      </c>
      <c r="AE1291">
        <v>294</v>
      </c>
      <c r="AF1291">
        <v>2</v>
      </c>
      <c r="AI1291">
        <v>9</v>
      </c>
      <c r="AJ1291">
        <v>42</v>
      </c>
      <c r="AK1291">
        <v>2</v>
      </c>
      <c r="AX1291">
        <v>72</v>
      </c>
      <c r="AY1291">
        <v>39</v>
      </c>
      <c r="AZ1291">
        <v>111</v>
      </c>
      <c r="BA1291">
        <v>314</v>
      </c>
      <c r="BB1291">
        <v>388</v>
      </c>
      <c r="BC1291">
        <v>702</v>
      </c>
      <c r="BD1291">
        <v>304</v>
      </c>
      <c r="BE1291">
        <v>268</v>
      </c>
      <c r="BF1291">
        <v>572</v>
      </c>
      <c r="BG1291">
        <v>53</v>
      </c>
      <c r="BH1291">
        <v>48</v>
      </c>
      <c r="BI1291">
        <v>101</v>
      </c>
      <c r="BP1291">
        <v>390</v>
      </c>
      <c r="BR1291">
        <v>232</v>
      </c>
      <c r="BS1291">
        <v>63</v>
      </c>
      <c r="BT1291">
        <v>52</v>
      </c>
      <c r="BV1291">
        <v>6</v>
      </c>
      <c r="BW1291">
        <v>743</v>
      </c>
      <c r="BX1291" t="s">
        <v>82</v>
      </c>
      <c r="BY1291" s="5"/>
      <c r="BZ1291" s="6"/>
      <c r="CA1291" s="7">
        <v>41588</v>
      </c>
      <c r="CI1291">
        <f t="shared" si="155"/>
        <v>2013</v>
      </c>
      <c r="CJ1291" t="str">
        <f t="shared" si="156"/>
        <v>6288_2013</v>
      </c>
    </row>
    <row r="1292" spans="1:88" x14ac:dyDescent="0.25">
      <c r="A1292" t="s">
        <v>277</v>
      </c>
      <c r="B1292" t="s">
        <v>278</v>
      </c>
      <c r="C1292">
        <v>6289</v>
      </c>
      <c r="D1292">
        <v>-34.945900000000002</v>
      </c>
      <c r="E1292">
        <v>138.50139999999999</v>
      </c>
      <c r="F1292">
        <v>3</v>
      </c>
      <c r="G1292" t="s">
        <v>472</v>
      </c>
      <c r="H1292">
        <v>72</v>
      </c>
      <c r="I1292">
        <v>252</v>
      </c>
      <c r="J1292">
        <v>167</v>
      </c>
      <c r="K1292">
        <v>347</v>
      </c>
      <c r="L1292">
        <v>344</v>
      </c>
      <c r="M1292">
        <v>164</v>
      </c>
      <c r="T1292">
        <v>49</v>
      </c>
      <c r="U1292">
        <v>322</v>
      </c>
      <c r="Y1292">
        <v>85</v>
      </c>
      <c r="Z1292">
        <v>445</v>
      </c>
      <c r="AD1292">
        <v>255</v>
      </c>
      <c r="AE1292">
        <v>515</v>
      </c>
      <c r="AX1292">
        <v>371</v>
      </c>
      <c r="AY1292">
        <v>340</v>
      </c>
      <c r="AZ1292">
        <v>711</v>
      </c>
      <c r="BA1292">
        <v>530</v>
      </c>
      <c r="BB1292">
        <v>564</v>
      </c>
      <c r="BC1292">
        <v>1094</v>
      </c>
      <c r="BD1292">
        <v>770</v>
      </c>
      <c r="BE1292">
        <v>767</v>
      </c>
      <c r="BF1292">
        <v>1537</v>
      </c>
      <c r="BP1292">
        <v>1096</v>
      </c>
      <c r="BR1292">
        <v>462</v>
      </c>
      <c r="BS1292">
        <v>46</v>
      </c>
      <c r="BT1292">
        <v>53</v>
      </c>
      <c r="BV1292">
        <v>14</v>
      </c>
      <c r="BW1292">
        <v>1671</v>
      </c>
      <c r="BX1292" t="s">
        <v>82</v>
      </c>
      <c r="BY1292" s="5"/>
      <c r="BZ1292" s="6"/>
      <c r="CA1292" s="7">
        <v>41952</v>
      </c>
      <c r="CI1292">
        <f t="shared" si="155"/>
        <v>2014</v>
      </c>
      <c r="CJ1292" t="str">
        <f t="shared" si="156"/>
        <v>6289_2014</v>
      </c>
    </row>
    <row r="1293" spans="1:88" x14ac:dyDescent="0.25">
      <c r="A1293" t="s">
        <v>277</v>
      </c>
      <c r="B1293" t="s">
        <v>473</v>
      </c>
      <c r="C1293">
        <v>6291</v>
      </c>
      <c r="D1293">
        <v>-34.996676999999998</v>
      </c>
      <c r="E1293">
        <v>138.604997</v>
      </c>
      <c r="F1293">
        <v>2</v>
      </c>
      <c r="G1293" t="s">
        <v>474</v>
      </c>
      <c r="H1293">
        <v>34</v>
      </c>
      <c r="I1293">
        <v>214</v>
      </c>
      <c r="J1293">
        <v>215</v>
      </c>
      <c r="K1293">
        <v>35</v>
      </c>
      <c r="T1293">
        <v>16</v>
      </c>
      <c r="Y1293">
        <v>43</v>
      </c>
      <c r="AX1293">
        <v>16</v>
      </c>
      <c r="AY1293">
        <v>43</v>
      </c>
      <c r="AZ1293">
        <v>59</v>
      </c>
      <c r="BA1293">
        <v>43</v>
      </c>
      <c r="BB1293">
        <v>16</v>
      </c>
      <c r="BC1293">
        <v>59</v>
      </c>
      <c r="BP1293">
        <v>27</v>
      </c>
      <c r="BR1293">
        <v>24</v>
      </c>
      <c r="BS1293">
        <v>5</v>
      </c>
      <c r="BT1293">
        <v>3</v>
      </c>
      <c r="BV1293">
        <v>0</v>
      </c>
      <c r="BW1293">
        <v>59</v>
      </c>
      <c r="BX1293" t="s">
        <v>82</v>
      </c>
      <c r="BY1293" s="5"/>
      <c r="BZ1293" s="6"/>
      <c r="CA1293" s="7">
        <v>42687</v>
      </c>
      <c r="CE1293">
        <v>9</v>
      </c>
      <c r="CF1293">
        <v>22</v>
      </c>
      <c r="CG1293">
        <v>16</v>
      </c>
      <c r="CH1293">
        <v>12</v>
      </c>
      <c r="CI1293">
        <f t="shared" si="155"/>
        <v>2016</v>
      </c>
      <c r="CJ1293" t="str">
        <f t="shared" si="156"/>
        <v>6291_2016</v>
      </c>
    </row>
    <row r="1294" spans="1:88" x14ac:dyDescent="0.25">
      <c r="A1294" t="s">
        <v>277</v>
      </c>
      <c r="B1294" t="s">
        <v>473</v>
      </c>
      <c r="C1294">
        <v>6291</v>
      </c>
      <c r="D1294">
        <v>-34.996676999999998</v>
      </c>
      <c r="E1294">
        <v>138.604997</v>
      </c>
      <c r="F1294">
        <v>2</v>
      </c>
      <c r="G1294" t="s">
        <v>474</v>
      </c>
      <c r="H1294">
        <v>34</v>
      </c>
      <c r="I1294">
        <v>214</v>
      </c>
      <c r="J1294">
        <v>215</v>
      </c>
      <c r="K1294">
        <v>35</v>
      </c>
      <c r="T1294">
        <v>47</v>
      </c>
      <c r="Y1294">
        <v>83</v>
      </c>
      <c r="AX1294">
        <v>47</v>
      </c>
      <c r="AY1294">
        <v>83</v>
      </c>
      <c r="AZ1294">
        <v>130</v>
      </c>
      <c r="BA1294">
        <v>83</v>
      </c>
      <c r="BB1294">
        <v>47</v>
      </c>
      <c r="BC1294">
        <v>130</v>
      </c>
      <c r="BP1294">
        <v>95</v>
      </c>
      <c r="BR1294">
        <v>26</v>
      </c>
      <c r="BS1294">
        <v>1</v>
      </c>
      <c r="BT1294">
        <v>5</v>
      </c>
      <c r="BV1294">
        <v>3</v>
      </c>
      <c r="BW1294">
        <v>130</v>
      </c>
      <c r="BX1294">
        <f>IF(C1294=C1293,IF((CI1294-1)=CI1293,BW1293,"no data"))</f>
        <v>59</v>
      </c>
      <c r="BY1294" s="5">
        <f t="shared" ref="BY1294:BY1346" si="157">(BW1294-BX1294)/BX1294</f>
        <v>1.2033898305084745</v>
      </c>
      <c r="BZ1294" s="6">
        <f t="shared" ref="BZ1294:BZ1346" si="158">BY1294</f>
        <v>1.2033898305084745</v>
      </c>
      <c r="CA1294" s="7">
        <v>43051</v>
      </c>
      <c r="CE1294">
        <v>37</v>
      </c>
      <c r="CF1294">
        <v>29</v>
      </c>
      <c r="CG1294">
        <v>33</v>
      </c>
      <c r="CH1294">
        <v>31</v>
      </c>
      <c r="CI1294">
        <f t="shared" si="155"/>
        <v>2017</v>
      </c>
      <c r="CJ1294" t="str">
        <f t="shared" si="156"/>
        <v>6291_2017</v>
      </c>
    </row>
    <row r="1295" spans="1:88" x14ac:dyDescent="0.25">
      <c r="A1295" t="s">
        <v>277</v>
      </c>
      <c r="B1295" t="s">
        <v>473</v>
      </c>
      <c r="C1295">
        <v>6291</v>
      </c>
      <c r="D1295">
        <v>-34.996676999999998</v>
      </c>
      <c r="E1295">
        <v>138.604997</v>
      </c>
      <c r="F1295">
        <v>2</v>
      </c>
      <c r="G1295" t="s">
        <v>474</v>
      </c>
      <c r="H1295">
        <v>34</v>
      </c>
      <c r="I1295">
        <v>214</v>
      </c>
      <c r="J1295">
        <v>215</v>
      </c>
      <c r="K1295">
        <v>35</v>
      </c>
      <c r="T1295">
        <v>88</v>
      </c>
      <c r="Y1295">
        <v>116</v>
      </c>
      <c r="AX1295">
        <v>88</v>
      </c>
      <c r="AY1295">
        <v>116</v>
      </c>
      <c r="AZ1295">
        <v>204</v>
      </c>
      <c r="BA1295">
        <v>116</v>
      </c>
      <c r="BB1295">
        <v>88</v>
      </c>
      <c r="BC1295">
        <v>204</v>
      </c>
      <c r="BP1295">
        <v>89</v>
      </c>
      <c r="BR1295">
        <v>84</v>
      </c>
      <c r="BS1295">
        <v>7</v>
      </c>
      <c r="BT1295">
        <v>24</v>
      </c>
      <c r="BV1295">
        <v>0</v>
      </c>
      <c r="BW1295">
        <v>204</v>
      </c>
      <c r="BX1295">
        <f>IF(C1295=C1294,IF((CI1295-1)=CI1294,BW1294,"no data"))</f>
        <v>130</v>
      </c>
      <c r="BY1295" s="5">
        <f t="shared" si="157"/>
        <v>0.56923076923076921</v>
      </c>
      <c r="BZ1295" s="6">
        <f t="shared" si="158"/>
        <v>0.56923076923076921</v>
      </c>
      <c r="CA1295" s="7">
        <v>43443</v>
      </c>
      <c r="CE1295">
        <v>59</v>
      </c>
      <c r="CF1295">
        <v>58</v>
      </c>
      <c r="CG1295">
        <v>41</v>
      </c>
      <c r="CH1295">
        <v>46</v>
      </c>
      <c r="CI1295">
        <f t="shared" si="155"/>
        <v>2018</v>
      </c>
      <c r="CJ1295" t="str">
        <f t="shared" si="156"/>
        <v>6291_2018</v>
      </c>
    </row>
    <row r="1296" spans="1:88" x14ac:dyDescent="0.25">
      <c r="A1296" t="s">
        <v>277</v>
      </c>
      <c r="B1296" t="s">
        <v>473</v>
      </c>
      <c r="C1296">
        <v>6291</v>
      </c>
      <c r="D1296">
        <v>-34.996699999999997</v>
      </c>
      <c r="E1296">
        <v>138.60499999999999</v>
      </c>
      <c r="F1296">
        <v>2</v>
      </c>
      <c r="G1296" t="s">
        <v>474</v>
      </c>
      <c r="H1296">
        <v>34</v>
      </c>
      <c r="I1296">
        <v>214</v>
      </c>
      <c r="J1296">
        <v>215</v>
      </c>
      <c r="K1296">
        <v>35</v>
      </c>
      <c r="T1296">
        <v>33</v>
      </c>
      <c r="Y1296">
        <v>93</v>
      </c>
      <c r="AX1296">
        <v>33</v>
      </c>
      <c r="AY1296">
        <v>93</v>
      </c>
      <c r="AZ1296">
        <v>126</v>
      </c>
      <c r="BA1296">
        <v>93</v>
      </c>
      <c r="BB1296">
        <v>33</v>
      </c>
      <c r="BC1296">
        <v>126</v>
      </c>
      <c r="BP1296">
        <v>86</v>
      </c>
      <c r="BR1296">
        <v>32</v>
      </c>
      <c r="BS1296">
        <v>1</v>
      </c>
      <c r="BT1296">
        <v>7</v>
      </c>
      <c r="BV1296">
        <v>0</v>
      </c>
      <c r="BW1296">
        <v>126</v>
      </c>
      <c r="BX1296" t="str">
        <f>IF(C1296=C1295,IF((CI1296-1)=CI1295,BW1295,"no data"))</f>
        <v>no data</v>
      </c>
      <c r="BY1296" s="5"/>
      <c r="BZ1296" s="6"/>
      <c r="CA1296" s="7">
        <v>44143</v>
      </c>
      <c r="CE1296">
        <v>30</v>
      </c>
      <c r="CF1296">
        <v>33</v>
      </c>
      <c r="CG1296">
        <v>27</v>
      </c>
      <c r="CH1296">
        <v>36</v>
      </c>
      <c r="CI1296">
        <f t="shared" si="155"/>
        <v>2020</v>
      </c>
      <c r="CJ1296" t="str">
        <f t="shared" si="156"/>
        <v>6291_2020</v>
      </c>
    </row>
    <row r="1297" spans="1:88" x14ac:dyDescent="0.25">
      <c r="A1297" t="s">
        <v>277</v>
      </c>
      <c r="B1297" t="s">
        <v>473</v>
      </c>
      <c r="C1297">
        <v>6291</v>
      </c>
      <c r="D1297">
        <v>-34.996676999999998</v>
      </c>
      <c r="E1297">
        <v>138.604997</v>
      </c>
      <c r="F1297">
        <v>2</v>
      </c>
      <c r="G1297" t="s">
        <v>474</v>
      </c>
      <c r="H1297">
        <v>34</v>
      </c>
      <c r="I1297">
        <v>214</v>
      </c>
      <c r="J1297">
        <v>215</v>
      </c>
      <c r="K1297">
        <v>35</v>
      </c>
      <c r="T1297">
        <v>40</v>
      </c>
      <c r="Y1297">
        <v>92</v>
      </c>
      <c r="AX1297">
        <v>40</v>
      </c>
      <c r="AY1297">
        <v>92</v>
      </c>
      <c r="AZ1297">
        <v>132</v>
      </c>
      <c r="BA1297">
        <v>92</v>
      </c>
      <c r="BB1297">
        <v>40</v>
      </c>
      <c r="BC1297">
        <v>132</v>
      </c>
      <c r="BP1297">
        <v>80</v>
      </c>
      <c r="BR1297">
        <v>30</v>
      </c>
      <c r="BS1297">
        <v>6</v>
      </c>
      <c r="BT1297">
        <v>14</v>
      </c>
      <c r="BV1297">
        <v>2</v>
      </c>
      <c r="BW1297">
        <v>132</v>
      </c>
      <c r="BX1297">
        <f>IF(C1297=C1296,IF((CI1297-1)=CI1296,BW1296,"no data"))</f>
        <v>126</v>
      </c>
      <c r="BY1297" s="5">
        <f t="shared" si="157"/>
        <v>4.7619047619047616E-2</v>
      </c>
      <c r="BZ1297" s="6">
        <f t="shared" si="158"/>
        <v>4.7619047619047616E-2</v>
      </c>
      <c r="CA1297" s="7">
        <v>44528</v>
      </c>
      <c r="CE1297">
        <v>42</v>
      </c>
      <c r="CF1297">
        <v>50</v>
      </c>
      <c r="CG1297">
        <v>40</v>
      </c>
      <c r="CI1297">
        <f t="shared" si="155"/>
        <v>2021</v>
      </c>
      <c r="CJ1297" t="str">
        <f t="shared" si="156"/>
        <v>6291_2021</v>
      </c>
    </row>
    <row r="1298" spans="1:88" x14ac:dyDescent="0.25">
      <c r="A1298" t="s">
        <v>277</v>
      </c>
      <c r="B1298" t="s">
        <v>473</v>
      </c>
      <c r="C1298">
        <v>6291</v>
      </c>
      <c r="D1298">
        <v>-34.996676999999998</v>
      </c>
      <c r="E1298">
        <v>138.604997</v>
      </c>
      <c r="F1298">
        <v>2</v>
      </c>
      <c r="G1298" t="s">
        <v>474</v>
      </c>
      <c r="H1298">
        <v>34</v>
      </c>
      <c r="I1298">
        <v>214</v>
      </c>
      <c r="J1298">
        <v>215</v>
      </c>
      <c r="K1298">
        <v>35</v>
      </c>
      <c r="T1298">
        <v>19</v>
      </c>
      <c r="Y1298">
        <v>36</v>
      </c>
      <c r="AX1298">
        <v>19</v>
      </c>
      <c r="AY1298">
        <v>36</v>
      </c>
      <c r="AZ1298">
        <v>55</v>
      </c>
      <c r="BA1298">
        <v>36</v>
      </c>
      <c r="BB1298">
        <v>19</v>
      </c>
      <c r="BC1298">
        <v>55</v>
      </c>
      <c r="BP1298">
        <v>24</v>
      </c>
      <c r="BR1298">
        <v>14</v>
      </c>
      <c r="BS1298">
        <v>3</v>
      </c>
      <c r="BT1298">
        <v>8</v>
      </c>
      <c r="BU1298">
        <v>6</v>
      </c>
      <c r="BV1298">
        <v>0</v>
      </c>
      <c r="BW1298">
        <v>55</v>
      </c>
      <c r="BX1298">
        <f>IF(C1298=C1297,IF((CI1298-1)=CI1297,BW1297,"no data"))</f>
        <v>132</v>
      </c>
      <c r="BY1298" s="5">
        <f t="shared" si="157"/>
        <v>-0.58333333333333337</v>
      </c>
      <c r="BZ1298" s="6">
        <f t="shared" si="158"/>
        <v>-0.58333333333333337</v>
      </c>
      <c r="CA1298" s="7">
        <v>44885</v>
      </c>
      <c r="CE1298">
        <v>22</v>
      </c>
      <c r="CF1298">
        <v>19</v>
      </c>
      <c r="CG1298">
        <v>14</v>
      </c>
      <c r="CI1298">
        <f t="shared" si="155"/>
        <v>2022</v>
      </c>
      <c r="CJ1298" t="str">
        <f t="shared" si="156"/>
        <v>6291_2022</v>
      </c>
    </row>
    <row r="1299" spans="1:88" x14ac:dyDescent="0.25">
      <c r="A1299" t="s">
        <v>277</v>
      </c>
      <c r="B1299" t="s">
        <v>475</v>
      </c>
      <c r="C1299">
        <v>6292</v>
      </c>
      <c r="D1299">
        <v>-34.889899999999997</v>
      </c>
      <c r="E1299">
        <v>138.62889999999999</v>
      </c>
      <c r="F1299">
        <v>4</v>
      </c>
      <c r="G1299" t="s">
        <v>476</v>
      </c>
      <c r="H1299">
        <v>58</v>
      </c>
      <c r="I1299">
        <v>238</v>
      </c>
      <c r="J1299">
        <v>88</v>
      </c>
      <c r="K1299">
        <v>268</v>
      </c>
      <c r="L1299">
        <v>239</v>
      </c>
      <c r="M1299">
        <v>59</v>
      </c>
      <c r="N1299">
        <v>328</v>
      </c>
      <c r="O1299">
        <v>148</v>
      </c>
      <c r="T1299">
        <v>0</v>
      </c>
      <c r="U1299">
        <v>62</v>
      </c>
      <c r="V1299">
        <v>22</v>
      </c>
      <c r="Y1299">
        <v>2</v>
      </c>
      <c r="Z1299">
        <v>2</v>
      </c>
      <c r="AA1299">
        <v>0</v>
      </c>
      <c r="AD1299">
        <v>71</v>
      </c>
      <c r="AE1299">
        <v>2</v>
      </c>
      <c r="AF1299">
        <v>123</v>
      </c>
      <c r="AI1299">
        <v>3</v>
      </c>
      <c r="AJ1299">
        <v>1</v>
      </c>
      <c r="AK1299">
        <v>77</v>
      </c>
      <c r="AX1299">
        <v>84</v>
      </c>
      <c r="AY1299">
        <v>76</v>
      </c>
      <c r="AZ1299">
        <v>160</v>
      </c>
      <c r="BA1299">
        <v>4</v>
      </c>
      <c r="BB1299">
        <v>3</v>
      </c>
      <c r="BC1299">
        <v>7</v>
      </c>
      <c r="BD1299">
        <v>196</v>
      </c>
      <c r="BE1299">
        <v>141</v>
      </c>
      <c r="BF1299">
        <v>337</v>
      </c>
      <c r="BG1299">
        <v>81</v>
      </c>
      <c r="BH1299">
        <v>145</v>
      </c>
      <c r="BI1299">
        <v>226</v>
      </c>
      <c r="BP1299">
        <v>166</v>
      </c>
      <c r="BR1299">
        <v>128</v>
      </c>
      <c r="BS1299">
        <v>24</v>
      </c>
      <c r="BT1299">
        <v>45</v>
      </c>
      <c r="BV1299">
        <v>2</v>
      </c>
      <c r="BW1299">
        <v>365</v>
      </c>
      <c r="BX1299" t="s">
        <v>82</v>
      </c>
      <c r="BY1299" s="5"/>
      <c r="BZ1299" s="6"/>
      <c r="CA1299" s="7">
        <v>41588</v>
      </c>
      <c r="CI1299">
        <f t="shared" si="155"/>
        <v>2013</v>
      </c>
      <c r="CJ1299" t="str">
        <f t="shared" si="156"/>
        <v>6292_2013</v>
      </c>
    </row>
    <row r="1300" spans="1:88" x14ac:dyDescent="0.25">
      <c r="A1300" t="s">
        <v>277</v>
      </c>
      <c r="B1300" t="s">
        <v>475</v>
      </c>
      <c r="C1300">
        <v>6292</v>
      </c>
      <c r="D1300">
        <v>-34.889899999999997</v>
      </c>
      <c r="E1300">
        <v>138.62889999999999</v>
      </c>
      <c r="F1300">
        <v>4</v>
      </c>
      <c r="G1300" t="s">
        <v>476</v>
      </c>
      <c r="H1300">
        <v>58</v>
      </c>
      <c r="I1300">
        <v>238</v>
      </c>
      <c r="J1300">
        <v>88</v>
      </c>
      <c r="K1300">
        <v>268</v>
      </c>
      <c r="L1300">
        <v>239</v>
      </c>
      <c r="M1300">
        <v>59</v>
      </c>
      <c r="N1300">
        <v>328</v>
      </c>
      <c r="O1300">
        <v>148</v>
      </c>
      <c r="T1300">
        <v>0</v>
      </c>
      <c r="U1300">
        <v>59</v>
      </c>
      <c r="V1300">
        <v>41</v>
      </c>
      <c r="Y1300">
        <v>1</v>
      </c>
      <c r="Z1300">
        <v>4</v>
      </c>
      <c r="AA1300">
        <v>14</v>
      </c>
      <c r="AD1300">
        <v>95</v>
      </c>
      <c r="AE1300">
        <v>3</v>
      </c>
      <c r="AF1300">
        <v>113</v>
      </c>
      <c r="AI1300">
        <v>27</v>
      </c>
      <c r="AJ1300">
        <v>4</v>
      </c>
      <c r="AK1300">
        <v>108</v>
      </c>
      <c r="AX1300">
        <v>100</v>
      </c>
      <c r="AY1300">
        <v>123</v>
      </c>
      <c r="AZ1300">
        <v>223</v>
      </c>
      <c r="BA1300">
        <v>19</v>
      </c>
      <c r="BB1300">
        <v>7</v>
      </c>
      <c r="BC1300">
        <v>26</v>
      </c>
      <c r="BD1300">
        <v>211</v>
      </c>
      <c r="BE1300">
        <v>171</v>
      </c>
      <c r="BF1300">
        <v>382</v>
      </c>
      <c r="BG1300">
        <v>139</v>
      </c>
      <c r="BH1300">
        <v>168</v>
      </c>
      <c r="BI1300">
        <v>307</v>
      </c>
      <c r="BP1300">
        <v>145</v>
      </c>
      <c r="BR1300">
        <v>214</v>
      </c>
      <c r="BS1300">
        <v>27</v>
      </c>
      <c r="BT1300">
        <v>73</v>
      </c>
      <c r="BV1300">
        <v>10</v>
      </c>
      <c r="BW1300">
        <v>469</v>
      </c>
      <c r="BX1300">
        <f>IF(C1300=C1299,IF((CI1300-1)=CI1299,BW1299,"no data"))</f>
        <v>365</v>
      </c>
      <c r="BY1300" s="5">
        <f t="shared" si="157"/>
        <v>0.28493150684931506</v>
      </c>
      <c r="BZ1300" s="6">
        <f t="shared" si="158"/>
        <v>0.28493150684931506</v>
      </c>
      <c r="CA1300" s="7">
        <v>41952</v>
      </c>
      <c r="CI1300">
        <f t="shared" si="155"/>
        <v>2014</v>
      </c>
      <c r="CJ1300" t="str">
        <f t="shared" si="156"/>
        <v>6292_2014</v>
      </c>
    </row>
    <row r="1301" spans="1:88" x14ac:dyDescent="0.25">
      <c r="A1301" t="s">
        <v>277</v>
      </c>
      <c r="B1301" t="s">
        <v>475</v>
      </c>
      <c r="C1301">
        <v>6292</v>
      </c>
      <c r="D1301">
        <v>-34.889899999999997</v>
      </c>
      <c r="E1301">
        <v>138.62889999999999</v>
      </c>
      <c r="F1301">
        <v>4</v>
      </c>
      <c r="G1301" t="s">
        <v>476</v>
      </c>
      <c r="H1301">
        <v>58</v>
      </c>
      <c r="I1301">
        <v>238</v>
      </c>
      <c r="J1301">
        <v>88</v>
      </c>
      <c r="K1301">
        <v>268</v>
      </c>
      <c r="L1301">
        <v>239</v>
      </c>
      <c r="M1301">
        <v>59</v>
      </c>
      <c r="N1301">
        <v>328</v>
      </c>
      <c r="O1301">
        <v>148</v>
      </c>
      <c r="T1301">
        <v>0</v>
      </c>
      <c r="U1301">
        <v>61</v>
      </c>
      <c r="V1301">
        <v>41</v>
      </c>
      <c r="Y1301">
        <v>1</v>
      </c>
      <c r="Z1301">
        <v>1</v>
      </c>
      <c r="AA1301">
        <v>3</v>
      </c>
      <c r="AD1301">
        <v>64</v>
      </c>
      <c r="AE1301">
        <v>1</v>
      </c>
      <c r="AF1301">
        <v>71</v>
      </c>
      <c r="AI1301">
        <v>19</v>
      </c>
      <c r="AJ1301">
        <v>1</v>
      </c>
      <c r="AK1301">
        <v>56</v>
      </c>
      <c r="AX1301">
        <v>102</v>
      </c>
      <c r="AY1301">
        <v>84</v>
      </c>
      <c r="AZ1301">
        <v>186</v>
      </c>
      <c r="BA1301">
        <v>5</v>
      </c>
      <c r="BB1301">
        <v>2</v>
      </c>
      <c r="BC1301">
        <v>7</v>
      </c>
      <c r="BD1301">
        <v>136</v>
      </c>
      <c r="BE1301">
        <v>118</v>
      </c>
      <c r="BF1301">
        <v>254</v>
      </c>
      <c r="BG1301">
        <v>76</v>
      </c>
      <c r="BH1301">
        <v>115</v>
      </c>
      <c r="BI1301">
        <v>191</v>
      </c>
      <c r="BP1301">
        <v>140</v>
      </c>
      <c r="BR1301">
        <v>127</v>
      </c>
      <c r="BS1301">
        <v>17</v>
      </c>
      <c r="BT1301">
        <v>27</v>
      </c>
      <c r="BV1301">
        <v>8</v>
      </c>
      <c r="BW1301">
        <v>319</v>
      </c>
      <c r="BX1301">
        <f>IF(C1301=C1300,IF((CI1301-1)=CI1300,BW1300,"no data"))</f>
        <v>469</v>
      </c>
      <c r="BY1301" s="5">
        <f t="shared" si="157"/>
        <v>-0.31982942430703626</v>
      </c>
      <c r="BZ1301" s="6">
        <f t="shared" si="158"/>
        <v>-0.31982942430703626</v>
      </c>
      <c r="CA1301" s="7">
        <v>42316</v>
      </c>
      <c r="CE1301">
        <v>112</v>
      </c>
      <c r="CF1301">
        <v>104</v>
      </c>
      <c r="CG1301">
        <v>64</v>
      </c>
      <c r="CH1301">
        <v>39</v>
      </c>
      <c r="CI1301">
        <f t="shared" si="155"/>
        <v>2015</v>
      </c>
      <c r="CJ1301" t="str">
        <f t="shared" si="156"/>
        <v>6292_2015</v>
      </c>
    </row>
    <row r="1302" spans="1:88" x14ac:dyDescent="0.25">
      <c r="A1302" t="s">
        <v>277</v>
      </c>
      <c r="B1302" t="s">
        <v>475</v>
      </c>
      <c r="C1302">
        <v>6292</v>
      </c>
      <c r="D1302">
        <v>-34.889921000000001</v>
      </c>
      <c r="E1302">
        <v>138.62890100000001</v>
      </c>
      <c r="F1302">
        <v>4</v>
      </c>
      <c r="G1302" t="s">
        <v>476</v>
      </c>
      <c r="H1302">
        <v>58</v>
      </c>
      <c r="I1302">
        <v>238</v>
      </c>
      <c r="J1302">
        <v>88</v>
      </c>
      <c r="K1302">
        <v>268</v>
      </c>
      <c r="L1302">
        <v>239</v>
      </c>
      <c r="M1302">
        <v>59</v>
      </c>
      <c r="N1302">
        <v>328</v>
      </c>
      <c r="O1302">
        <v>148</v>
      </c>
      <c r="T1302">
        <v>0</v>
      </c>
      <c r="U1302">
        <v>64</v>
      </c>
      <c r="V1302">
        <v>26</v>
      </c>
      <c r="Y1302">
        <v>1</v>
      </c>
      <c r="Z1302">
        <v>0</v>
      </c>
      <c r="AA1302">
        <v>5</v>
      </c>
      <c r="AD1302">
        <v>68</v>
      </c>
      <c r="AE1302">
        <v>4</v>
      </c>
      <c r="AF1302">
        <v>109</v>
      </c>
      <c r="AI1302">
        <v>17</v>
      </c>
      <c r="AJ1302">
        <v>4</v>
      </c>
      <c r="AK1302">
        <v>114</v>
      </c>
      <c r="AX1302">
        <v>90</v>
      </c>
      <c r="AY1302">
        <v>86</v>
      </c>
      <c r="AZ1302">
        <v>176</v>
      </c>
      <c r="BA1302">
        <v>6</v>
      </c>
      <c r="BB1302">
        <v>8</v>
      </c>
      <c r="BC1302">
        <v>14</v>
      </c>
      <c r="BD1302">
        <v>181</v>
      </c>
      <c r="BE1302">
        <v>178</v>
      </c>
      <c r="BF1302">
        <v>359</v>
      </c>
      <c r="BG1302">
        <v>135</v>
      </c>
      <c r="BH1302">
        <v>140</v>
      </c>
      <c r="BI1302">
        <v>275</v>
      </c>
      <c r="BP1302">
        <v>157</v>
      </c>
      <c r="BR1302">
        <v>155</v>
      </c>
      <c r="BS1302">
        <v>32</v>
      </c>
      <c r="BT1302">
        <v>61</v>
      </c>
      <c r="BV1302">
        <v>7</v>
      </c>
      <c r="BW1302">
        <v>412</v>
      </c>
      <c r="BX1302">
        <f>IF(C1302=C1301,IF((CI1302-1)=CI1301,BW1301,"no data"))</f>
        <v>319</v>
      </c>
      <c r="BY1302" s="5">
        <f t="shared" si="157"/>
        <v>0.29153605015673983</v>
      </c>
      <c r="BZ1302" s="6">
        <f t="shared" si="158"/>
        <v>0.29153605015673983</v>
      </c>
      <c r="CA1302" s="7">
        <v>42715</v>
      </c>
      <c r="CE1302">
        <v>113</v>
      </c>
      <c r="CF1302">
        <v>143</v>
      </c>
      <c r="CG1302">
        <v>98</v>
      </c>
      <c r="CH1302">
        <v>58</v>
      </c>
      <c r="CI1302">
        <f t="shared" si="155"/>
        <v>2016</v>
      </c>
      <c r="CJ1302" t="str">
        <f t="shared" si="156"/>
        <v>6292_2016</v>
      </c>
    </row>
    <row r="1303" spans="1:88" x14ac:dyDescent="0.25">
      <c r="A1303" t="s">
        <v>277</v>
      </c>
      <c r="B1303" t="s">
        <v>475</v>
      </c>
      <c r="C1303">
        <v>6293</v>
      </c>
      <c r="D1303">
        <v>-34.906599999999997</v>
      </c>
      <c r="E1303">
        <v>138.61510000000001</v>
      </c>
      <c r="F1303">
        <v>4</v>
      </c>
      <c r="G1303" t="s">
        <v>477</v>
      </c>
      <c r="H1303">
        <v>10</v>
      </c>
      <c r="I1303">
        <v>190</v>
      </c>
      <c r="J1303">
        <v>90</v>
      </c>
      <c r="K1303">
        <v>270</v>
      </c>
      <c r="L1303">
        <v>180</v>
      </c>
      <c r="M1303">
        <v>360</v>
      </c>
      <c r="N1303">
        <v>230</v>
      </c>
      <c r="O1303">
        <v>50</v>
      </c>
      <c r="T1303">
        <v>3</v>
      </c>
      <c r="U1303">
        <v>16</v>
      </c>
      <c r="V1303">
        <v>308</v>
      </c>
      <c r="Y1303">
        <v>6</v>
      </c>
      <c r="Z1303">
        <v>3</v>
      </c>
      <c r="AA1303">
        <v>25</v>
      </c>
      <c r="AD1303">
        <v>31</v>
      </c>
      <c r="AE1303">
        <v>21</v>
      </c>
      <c r="AF1303">
        <v>9</v>
      </c>
      <c r="AI1303">
        <v>157</v>
      </c>
      <c r="AJ1303">
        <v>19</v>
      </c>
      <c r="AK1303">
        <v>4</v>
      </c>
      <c r="AX1303">
        <v>327</v>
      </c>
      <c r="AY1303">
        <v>194</v>
      </c>
      <c r="AZ1303">
        <v>521</v>
      </c>
      <c r="BA1303">
        <v>34</v>
      </c>
      <c r="BB1303">
        <v>43</v>
      </c>
      <c r="BC1303">
        <v>77</v>
      </c>
      <c r="BD1303">
        <v>61</v>
      </c>
      <c r="BE1303">
        <v>23</v>
      </c>
      <c r="BF1303">
        <v>84</v>
      </c>
      <c r="BG1303">
        <v>180</v>
      </c>
      <c r="BH1303">
        <v>342</v>
      </c>
      <c r="BI1303">
        <v>522</v>
      </c>
      <c r="BP1303">
        <v>349</v>
      </c>
      <c r="BR1303">
        <v>158</v>
      </c>
      <c r="BS1303">
        <v>43</v>
      </c>
      <c r="BT1303">
        <v>40</v>
      </c>
      <c r="BV1303">
        <v>12</v>
      </c>
      <c r="BW1303">
        <v>602</v>
      </c>
      <c r="BX1303" t="s">
        <v>82</v>
      </c>
      <c r="BY1303" s="5"/>
      <c r="BZ1303" s="6"/>
      <c r="CA1303" s="7">
        <v>41952</v>
      </c>
      <c r="CI1303">
        <f t="shared" si="155"/>
        <v>2014</v>
      </c>
      <c r="CJ1303" t="str">
        <f t="shared" si="156"/>
        <v>6293_2014</v>
      </c>
    </row>
    <row r="1304" spans="1:88" x14ac:dyDescent="0.25">
      <c r="A1304" t="s">
        <v>277</v>
      </c>
      <c r="B1304" t="s">
        <v>475</v>
      </c>
      <c r="C1304">
        <v>6293</v>
      </c>
      <c r="D1304">
        <v>-34.906599999999997</v>
      </c>
      <c r="E1304">
        <v>138.61510000000001</v>
      </c>
      <c r="F1304">
        <v>4</v>
      </c>
      <c r="G1304" t="s">
        <v>477</v>
      </c>
      <c r="H1304">
        <v>10</v>
      </c>
      <c r="I1304">
        <v>190</v>
      </c>
      <c r="J1304">
        <v>90</v>
      </c>
      <c r="K1304">
        <v>270</v>
      </c>
      <c r="L1304">
        <v>180</v>
      </c>
      <c r="M1304">
        <v>360</v>
      </c>
      <c r="N1304">
        <v>230</v>
      </c>
      <c r="O1304">
        <v>50</v>
      </c>
      <c r="T1304">
        <v>0</v>
      </c>
      <c r="U1304">
        <v>8</v>
      </c>
      <c r="V1304">
        <v>276</v>
      </c>
      <c r="Y1304">
        <v>0</v>
      </c>
      <c r="Z1304">
        <v>0</v>
      </c>
      <c r="AA1304">
        <v>0</v>
      </c>
      <c r="AD1304">
        <v>12</v>
      </c>
      <c r="AE1304">
        <v>2</v>
      </c>
      <c r="AF1304">
        <v>9</v>
      </c>
      <c r="AI1304">
        <v>312</v>
      </c>
      <c r="AJ1304">
        <v>1</v>
      </c>
      <c r="AK1304">
        <v>7</v>
      </c>
      <c r="AX1304">
        <v>284</v>
      </c>
      <c r="AY1304">
        <v>324</v>
      </c>
      <c r="AZ1304">
        <v>608</v>
      </c>
      <c r="BA1304">
        <v>0</v>
      </c>
      <c r="BB1304">
        <v>3</v>
      </c>
      <c r="BC1304">
        <v>3</v>
      </c>
      <c r="BD1304">
        <v>23</v>
      </c>
      <c r="BE1304">
        <v>15</v>
      </c>
      <c r="BF1304">
        <v>38</v>
      </c>
      <c r="BG1304">
        <v>320</v>
      </c>
      <c r="BH1304">
        <v>285</v>
      </c>
      <c r="BI1304">
        <v>605</v>
      </c>
      <c r="BP1304">
        <v>336</v>
      </c>
      <c r="BR1304">
        <v>184</v>
      </c>
      <c r="BS1304">
        <v>48</v>
      </c>
      <c r="BT1304">
        <v>45</v>
      </c>
      <c r="BV1304">
        <v>14</v>
      </c>
      <c r="BW1304">
        <v>627</v>
      </c>
      <c r="BX1304">
        <f>IF(C1304=C1303,IF((CI1304-1)=CI1303,BW1303,"no data"))</f>
        <v>602</v>
      </c>
      <c r="BY1304" s="5">
        <f t="shared" si="157"/>
        <v>4.1528239202657809E-2</v>
      </c>
      <c r="BZ1304" s="6">
        <f t="shared" si="158"/>
        <v>4.1528239202657809E-2</v>
      </c>
      <c r="CA1304" s="7">
        <v>42316</v>
      </c>
      <c r="CE1304">
        <v>194</v>
      </c>
      <c r="CF1304">
        <v>160</v>
      </c>
      <c r="CG1304">
        <v>144</v>
      </c>
      <c r="CH1304">
        <v>129</v>
      </c>
      <c r="CI1304">
        <f t="shared" si="155"/>
        <v>2015</v>
      </c>
      <c r="CJ1304" t="str">
        <f t="shared" si="156"/>
        <v>6293_2015</v>
      </c>
    </row>
    <row r="1305" spans="1:88" x14ac:dyDescent="0.25">
      <c r="A1305" t="s">
        <v>277</v>
      </c>
      <c r="B1305" t="s">
        <v>475</v>
      </c>
      <c r="C1305">
        <v>6293</v>
      </c>
      <c r="D1305">
        <v>-34.906602999999997</v>
      </c>
      <c r="E1305">
        <v>138.61508799999999</v>
      </c>
      <c r="F1305">
        <v>4</v>
      </c>
      <c r="G1305" t="s">
        <v>477</v>
      </c>
      <c r="H1305">
        <v>10</v>
      </c>
      <c r="I1305">
        <v>190</v>
      </c>
      <c r="J1305">
        <v>90</v>
      </c>
      <c r="K1305">
        <v>270</v>
      </c>
      <c r="L1305">
        <v>180</v>
      </c>
      <c r="M1305">
        <v>360</v>
      </c>
      <c r="N1305">
        <v>230</v>
      </c>
      <c r="O1305">
        <v>50</v>
      </c>
      <c r="T1305">
        <v>3</v>
      </c>
      <c r="U1305">
        <v>3</v>
      </c>
      <c r="V1305">
        <v>0</v>
      </c>
      <c r="Y1305">
        <v>1</v>
      </c>
      <c r="Z1305">
        <v>0</v>
      </c>
      <c r="AA1305">
        <v>16</v>
      </c>
      <c r="AD1305">
        <v>0</v>
      </c>
      <c r="AE1305">
        <v>1</v>
      </c>
      <c r="AF1305">
        <v>0</v>
      </c>
      <c r="AI1305">
        <v>0</v>
      </c>
      <c r="AJ1305">
        <v>16</v>
      </c>
      <c r="AK1305">
        <v>1</v>
      </c>
      <c r="AX1305">
        <v>6</v>
      </c>
      <c r="AY1305">
        <v>1</v>
      </c>
      <c r="AZ1305">
        <v>7</v>
      </c>
      <c r="BA1305">
        <v>17</v>
      </c>
      <c r="BB1305">
        <v>20</v>
      </c>
      <c r="BC1305">
        <v>37</v>
      </c>
      <c r="BD1305">
        <v>1</v>
      </c>
      <c r="BE1305">
        <v>4</v>
      </c>
      <c r="BF1305">
        <v>5</v>
      </c>
      <c r="BG1305">
        <v>17</v>
      </c>
      <c r="BH1305">
        <v>16</v>
      </c>
      <c r="BI1305">
        <v>33</v>
      </c>
      <c r="BP1305">
        <v>3</v>
      </c>
      <c r="BR1305">
        <v>25</v>
      </c>
      <c r="BS1305">
        <v>5</v>
      </c>
      <c r="BT1305">
        <v>7</v>
      </c>
      <c r="BV1305">
        <v>1</v>
      </c>
      <c r="BW1305">
        <v>41</v>
      </c>
      <c r="BX1305">
        <f>IF(C1305=C1304,IF((CI1305-1)=CI1304,BW1304,"no data"))</f>
        <v>627</v>
      </c>
      <c r="BY1305" s="5">
        <f t="shared" si="157"/>
        <v>-0.93460925039872411</v>
      </c>
      <c r="BZ1305" s="6">
        <f t="shared" si="158"/>
        <v>-0.93460925039872411</v>
      </c>
      <c r="CA1305" s="7">
        <v>42687</v>
      </c>
      <c r="CE1305">
        <v>15</v>
      </c>
      <c r="CF1305">
        <v>26</v>
      </c>
      <c r="CG1305">
        <v>0</v>
      </c>
      <c r="CH1305">
        <v>0</v>
      </c>
      <c r="CI1305">
        <f t="shared" si="155"/>
        <v>2016</v>
      </c>
      <c r="CJ1305" t="str">
        <f t="shared" si="156"/>
        <v>6293_2016</v>
      </c>
    </row>
    <row r="1306" spans="1:88" x14ac:dyDescent="0.25">
      <c r="A1306" t="s">
        <v>277</v>
      </c>
      <c r="B1306" t="s">
        <v>478</v>
      </c>
      <c r="C1306">
        <v>6295</v>
      </c>
      <c r="D1306">
        <v>-34.807600000000001</v>
      </c>
      <c r="E1306">
        <v>138.49119999999999</v>
      </c>
      <c r="F1306">
        <v>4</v>
      </c>
      <c r="G1306" t="s">
        <v>479</v>
      </c>
      <c r="H1306">
        <v>2</v>
      </c>
      <c r="I1306">
        <v>182</v>
      </c>
      <c r="J1306">
        <v>89</v>
      </c>
      <c r="K1306">
        <v>269</v>
      </c>
      <c r="L1306">
        <v>182</v>
      </c>
      <c r="M1306">
        <v>2</v>
      </c>
      <c r="N1306">
        <v>268</v>
      </c>
      <c r="O1306">
        <v>88</v>
      </c>
      <c r="T1306">
        <v>0</v>
      </c>
      <c r="U1306">
        <v>99</v>
      </c>
      <c r="V1306">
        <v>1</v>
      </c>
      <c r="Y1306">
        <v>0</v>
      </c>
      <c r="Z1306">
        <v>0</v>
      </c>
      <c r="AA1306">
        <v>0</v>
      </c>
      <c r="AD1306">
        <v>94</v>
      </c>
      <c r="AE1306">
        <v>4</v>
      </c>
      <c r="AF1306">
        <v>1</v>
      </c>
      <c r="AI1306">
        <v>3</v>
      </c>
      <c r="AJ1306">
        <v>0</v>
      </c>
      <c r="AK1306">
        <v>1</v>
      </c>
      <c r="AX1306">
        <v>100</v>
      </c>
      <c r="AY1306">
        <v>97</v>
      </c>
      <c r="AZ1306">
        <v>197</v>
      </c>
      <c r="BA1306">
        <v>0</v>
      </c>
      <c r="BB1306">
        <v>4</v>
      </c>
      <c r="BC1306">
        <v>4</v>
      </c>
      <c r="BD1306">
        <v>99</v>
      </c>
      <c r="BE1306">
        <v>100</v>
      </c>
      <c r="BF1306">
        <v>199</v>
      </c>
      <c r="BG1306">
        <v>4</v>
      </c>
      <c r="BH1306">
        <v>2</v>
      </c>
      <c r="BI1306">
        <v>6</v>
      </c>
      <c r="BP1306">
        <v>99</v>
      </c>
      <c r="BR1306">
        <v>57</v>
      </c>
      <c r="BS1306">
        <v>32</v>
      </c>
      <c r="BT1306">
        <v>15</v>
      </c>
      <c r="BV1306">
        <v>0</v>
      </c>
      <c r="BW1306">
        <v>203</v>
      </c>
      <c r="BX1306" t="s">
        <v>82</v>
      </c>
      <c r="BY1306" s="5"/>
      <c r="BZ1306" s="6"/>
      <c r="CA1306" s="7">
        <v>41588</v>
      </c>
      <c r="CI1306">
        <f t="shared" si="155"/>
        <v>2013</v>
      </c>
      <c r="CJ1306" t="str">
        <f t="shared" si="156"/>
        <v>6295_2013</v>
      </c>
    </row>
    <row r="1307" spans="1:88" x14ac:dyDescent="0.25">
      <c r="A1307" t="s">
        <v>277</v>
      </c>
      <c r="B1307" t="s">
        <v>478</v>
      </c>
      <c r="C1307">
        <v>6295</v>
      </c>
      <c r="D1307">
        <v>-34.807566000000001</v>
      </c>
      <c r="E1307">
        <v>138.491207</v>
      </c>
      <c r="F1307">
        <v>4</v>
      </c>
      <c r="G1307" t="s">
        <v>479</v>
      </c>
      <c r="H1307">
        <v>2</v>
      </c>
      <c r="I1307">
        <v>182</v>
      </c>
      <c r="J1307">
        <v>89</v>
      </c>
      <c r="K1307">
        <v>269</v>
      </c>
      <c r="L1307">
        <v>182</v>
      </c>
      <c r="M1307">
        <v>2</v>
      </c>
      <c r="N1307">
        <v>268</v>
      </c>
      <c r="O1307">
        <v>88</v>
      </c>
      <c r="T1307">
        <v>2</v>
      </c>
      <c r="U1307">
        <v>245</v>
      </c>
      <c r="V1307">
        <v>1</v>
      </c>
      <c r="Y1307">
        <v>0</v>
      </c>
      <c r="Z1307">
        <v>8</v>
      </c>
      <c r="AA1307">
        <v>2</v>
      </c>
      <c r="AD1307">
        <v>220</v>
      </c>
      <c r="AE1307">
        <v>2</v>
      </c>
      <c r="AF1307">
        <v>7</v>
      </c>
      <c r="AI1307">
        <v>5</v>
      </c>
      <c r="AJ1307">
        <v>11</v>
      </c>
      <c r="AK1307">
        <v>6</v>
      </c>
      <c r="AX1307">
        <v>248</v>
      </c>
      <c r="AY1307">
        <v>225</v>
      </c>
      <c r="AZ1307">
        <v>473</v>
      </c>
      <c r="BA1307">
        <v>10</v>
      </c>
      <c r="BB1307">
        <v>15</v>
      </c>
      <c r="BC1307">
        <v>25</v>
      </c>
      <c r="BD1307">
        <v>229</v>
      </c>
      <c r="BE1307">
        <v>259</v>
      </c>
      <c r="BF1307">
        <v>488</v>
      </c>
      <c r="BG1307">
        <v>22</v>
      </c>
      <c r="BH1307">
        <v>10</v>
      </c>
      <c r="BI1307">
        <v>32</v>
      </c>
      <c r="BP1307">
        <v>372</v>
      </c>
      <c r="BR1307">
        <v>79</v>
      </c>
      <c r="BS1307">
        <v>18</v>
      </c>
      <c r="BT1307">
        <v>32</v>
      </c>
      <c r="BV1307">
        <v>8</v>
      </c>
      <c r="BW1307">
        <v>509</v>
      </c>
      <c r="BX1307" t="str">
        <f>IF(C1307=C1306,IF((CI1307-1)=CI1306,BW1306,"no data"))</f>
        <v>no data</v>
      </c>
      <c r="BY1307" s="5"/>
      <c r="BZ1307" s="6"/>
      <c r="CA1307" s="7">
        <v>43415</v>
      </c>
      <c r="CE1307">
        <v>196</v>
      </c>
      <c r="CF1307">
        <v>136</v>
      </c>
      <c r="CG1307">
        <v>91</v>
      </c>
      <c r="CH1307">
        <v>86</v>
      </c>
      <c r="CI1307">
        <f t="shared" si="155"/>
        <v>2018</v>
      </c>
      <c r="CJ1307" t="str">
        <f t="shared" si="156"/>
        <v>6295_2018</v>
      </c>
    </row>
    <row r="1308" spans="1:88" x14ac:dyDescent="0.25">
      <c r="A1308" t="s">
        <v>277</v>
      </c>
      <c r="B1308" t="s">
        <v>478</v>
      </c>
      <c r="C1308">
        <v>6295</v>
      </c>
      <c r="D1308">
        <v>-34.807600000000001</v>
      </c>
      <c r="E1308">
        <v>138.49119999999999</v>
      </c>
      <c r="F1308">
        <v>4</v>
      </c>
      <c r="G1308" t="s">
        <v>479</v>
      </c>
      <c r="H1308">
        <v>2</v>
      </c>
      <c r="I1308">
        <v>182</v>
      </c>
      <c r="J1308">
        <v>89</v>
      </c>
      <c r="K1308">
        <v>269</v>
      </c>
      <c r="L1308">
        <v>182</v>
      </c>
      <c r="M1308">
        <v>2</v>
      </c>
      <c r="N1308">
        <v>268</v>
      </c>
      <c r="O1308">
        <v>88</v>
      </c>
      <c r="T1308">
        <v>1</v>
      </c>
      <c r="U1308">
        <v>414</v>
      </c>
      <c r="V1308">
        <v>3</v>
      </c>
      <c r="Y1308">
        <v>2</v>
      </c>
      <c r="Z1308">
        <v>18</v>
      </c>
      <c r="AA1308">
        <v>0</v>
      </c>
      <c r="AD1308">
        <v>271</v>
      </c>
      <c r="AE1308">
        <v>2</v>
      </c>
      <c r="AF1308">
        <v>25</v>
      </c>
      <c r="AI1308">
        <v>11</v>
      </c>
      <c r="AJ1308">
        <v>3</v>
      </c>
      <c r="AK1308">
        <v>17</v>
      </c>
      <c r="AX1308">
        <v>418</v>
      </c>
      <c r="AY1308">
        <v>284</v>
      </c>
      <c r="AZ1308">
        <v>702</v>
      </c>
      <c r="BA1308">
        <v>20</v>
      </c>
      <c r="BB1308">
        <v>6</v>
      </c>
      <c r="BC1308">
        <v>26</v>
      </c>
      <c r="BD1308">
        <v>298</v>
      </c>
      <c r="BE1308">
        <v>449</v>
      </c>
      <c r="BF1308">
        <v>747</v>
      </c>
      <c r="BG1308">
        <v>31</v>
      </c>
      <c r="BH1308">
        <v>28</v>
      </c>
      <c r="BI1308">
        <v>59</v>
      </c>
      <c r="BP1308">
        <v>443</v>
      </c>
      <c r="BR1308">
        <v>209</v>
      </c>
      <c r="BS1308">
        <v>51</v>
      </c>
      <c r="BT1308">
        <v>24</v>
      </c>
      <c r="BV1308">
        <v>40</v>
      </c>
      <c r="BW1308">
        <v>767</v>
      </c>
      <c r="BX1308" t="str">
        <f>IF(C1308=C1307,IF((CI1308-1)=CI1307,BW1307,"no data"))</f>
        <v>no data</v>
      </c>
      <c r="BY1308" s="5"/>
      <c r="BZ1308" s="6"/>
      <c r="CA1308" s="7">
        <v>44143</v>
      </c>
      <c r="CE1308">
        <v>287</v>
      </c>
      <c r="CF1308">
        <v>198</v>
      </c>
      <c r="CG1308">
        <v>182</v>
      </c>
      <c r="CH1308">
        <v>100</v>
      </c>
      <c r="CI1308">
        <f t="shared" si="155"/>
        <v>2020</v>
      </c>
      <c r="CJ1308" t="str">
        <f t="shared" si="156"/>
        <v>6295_2020</v>
      </c>
    </row>
    <row r="1309" spans="1:88" x14ac:dyDescent="0.25">
      <c r="A1309" t="s">
        <v>277</v>
      </c>
      <c r="B1309" t="s">
        <v>478</v>
      </c>
      <c r="C1309">
        <v>6295</v>
      </c>
      <c r="D1309">
        <v>-34.807566000000001</v>
      </c>
      <c r="E1309">
        <v>138.491207</v>
      </c>
      <c r="F1309">
        <v>4</v>
      </c>
      <c r="G1309" t="s">
        <v>479</v>
      </c>
      <c r="H1309">
        <v>2</v>
      </c>
      <c r="I1309">
        <v>182</v>
      </c>
      <c r="J1309">
        <v>89</v>
      </c>
      <c r="K1309">
        <v>269</v>
      </c>
      <c r="L1309">
        <v>182</v>
      </c>
      <c r="M1309">
        <v>2</v>
      </c>
      <c r="N1309">
        <v>268</v>
      </c>
      <c r="O1309">
        <v>88</v>
      </c>
      <c r="T1309">
        <v>0</v>
      </c>
      <c r="U1309">
        <v>203</v>
      </c>
      <c r="V1309">
        <v>0</v>
      </c>
      <c r="Y1309">
        <v>1</v>
      </c>
      <c r="Z1309">
        <v>2</v>
      </c>
      <c r="AA1309">
        <v>8</v>
      </c>
      <c r="AD1309">
        <v>171</v>
      </c>
      <c r="AE1309">
        <v>0</v>
      </c>
      <c r="AF1309">
        <v>3</v>
      </c>
      <c r="AI1309">
        <v>1</v>
      </c>
      <c r="AJ1309">
        <v>11</v>
      </c>
      <c r="AK1309">
        <v>2</v>
      </c>
      <c r="AX1309">
        <v>203</v>
      </c>
      <c r="AY1309">
        <v>173</v>
      </c>
      <c r="AZ1309">
        <v>376</v>
      </c>
      <c r="BA1309">
        <v>11</v>
      </c>
      <c r="BB1309">
        <v>11</v>
      </c>
      <c r="BC1309">
        <v>22</v>
      </c>
      <c r="BD1309">
        <v>174</v>
      </c>
      <c r="BE1309">
        <v>207</v>
      </c>
      <c r="BF1309">
        <v>381</v>
      </c>
      <c r="BG1309">
        <v>14</v>
      </c>
      <c r="BH1309">
        <v>11</v>
      </c>
      <c r="BI1309">
        <v>25</v>
      </c>
      <c r="BP1309">
        <v>251</v>
      </c>
      <c r="BR1309">
        <v>74</v>
      </c>
      <c r="BS1309">
        <v>30</v>
      </c>
      <c r="BT1309">
        <v>45</v>
      </c>
      <c r="BV1309">
        <v>2</v>
      </c>
      <c r="BW1309">
        <v>402</v>
      </c>
      <c r="BX1309">
        <f>IF(C1309=C1308,IF((CI1309-1)=CI1308,BW1308,"no data"))</f>
        <v>767</v>
      </c>
      <c r="BY1309" s="5">
        <f t="shared" si="157"/>
        <v>-0.47588005215123858</v>
      </c>
      <c r="BZ1309" s="6">
        <f t="shared" si="158"/>
        <v>-0.47588005215123858</v>
      </c>
      <c r="CA1309" s="7">
        <v>44528</v>
      </c>
      <c r="CE1309">
        <v>167</v>
      </c>
      <c r="CF1309">
        <v>116</v>
      </c>
      <c r="CG1309">
        <v>119</v>
      </c>
      <c r="CI1309">
        <f t="shared" si="155"/>
        <v>2021</v>
      </c>
      <c r="CJ1309" t="str">
        <f t="shared" si="156"/>
        <v>6295_2021</v>
      </c>
    </row>
    <row r="1310" spans="1:88" x14ac:dyDescent="0.25">
      <c r="A1310" t="s">
        <v>277</v>
      </c>
      <c r="B1310" t="s">
        <v>478</v>
      </c>
      <c r="C1310">
        <v>6296</v>
      </c>
      <c r="D1310">
        <v>-34.824300000000001</v>
      </c>
      <c r="E1310">
        <v>138.48650000000001</v>
      </c>
      <c r="F1310">
        <v>4</v>
      </c>
      <c r="G1310" t="s">
        <v>480</v>
      </c>
      <c r="H1310">
        <v>26</v>
      </c>
      <c r="I1310">
        <v>206</v>
      </c>
      <c r="J1310">
        <v>114</v>
      </c>
      <c r="K1310">
        <v>294</v>
      </c>
      <c r="L1310">
        <v>202</v>
      </c>
      <c r="M1310">
        <v>22</v>
      </c>
      <c r="N1310">
        <v>295</v>
      </c>
      <c r="O1310">
        <v>115</v>
      </c>
      <c r="T1310">
        <v>0</v>
      </c>
      <c r="U1310">
        <v>167</v>
      </c>
      <c r="V1310">
        <v>9</v>
      </c>
      <c r="Y1310">
        <v>0</v>
      </c>
      <c r="Z1310">
        <v>3</v>
      </c>
      <c r="AA1310">
        <v>3</v>
      </c>
      <c r="AD1310">
        <v>154</v>
      </c>
      <c r="AE1310">
        <v>9</v>
      </c>
      <c r="AF1310">
        <v>6</v>
      </c>
      <c r="AI1310">
        <v>15</v>
      </c>
      <c r="AJ1310">
        <v>5</v>
      </c>
      <c r="AK1310">
        <v>7</v>
      </c>
      <c r="AX1310">
        <v>176</v>
      </c>
      <c r="AY1310">
        <v>169</v>
      </c>
      <c r="AZ1310">
        <v>345</v>
      </c>
      <c r="BA1310">
        <v>6</v>
      </c>
      <c r="BB1310">
        <v>14</v>
      </c>
      <c r="BC1310">
        <v>20</v>
      </c>
      <c r="BD1310">
        <v>169</v>
      </c>
      <c r="BE1310">
        <v>177</v>
      </c>
      <c r="BF1310">
        <v>346</v>
      </c>
      <c r="BG1310">
        <v>27</v>
      </c>
      <c r="BH1310">
        <v>18</v>
      </c>
      <c r="BI1310">
        <v>45</v>
      </c>
      <c r="BP1310">
        <v>118</v>
      </c>
      <c r="BR1310">
        <v>143</v>
      </c>
      <c r="BS1310">
        <v>47</v>
      </c>
      <c r="BT1310">
        <v>52</v>
      </c>
      <c r="BV1310">
        <v>18</v>
      </c>
      <c r="BW1310">
        <v>378</v>
      </c>
      <c r="BX1310" t="s">
        <v>82</v>
      </c>
      <c r="BY1310" s="5"/>
      <c r="BZ1310" s="6"/>
      <c r="CA1310" s="7">
        <v>41588</v>
      </c>
      <c r="CI1310">
        <f t="shared" si="155"/>
        <v>2013</v>
      </c>
      <c r="CJ1310" t="str">
        <f t="shared" si="156"/>
        <v>6296_2013</v>
      </c>
    </row>
    <row r="1311" spans="1:88" x14ac:dyDescent="0.25">
      <c r="A1311" t="s">
        <v>277</v>
      </c>
      <c r="B1311" t="s">
        <v>478</v>
      </c>
      <c r="C1311">
        <v>6296</v>
      </c>
      <c r="D1311">
        <v>-34.824312999999997</v>
      </c>
      <c r="E1311">
        <v>138.486457</v>
      </c>
      <c r="F1311">
        <v>4</v>
      </c>
      <c r="G1311" t="s">
        <v>480</v>
      </c>
      <c r="H1311">
        <v>26</v>
      </c>
      <c r="I1311">
        <v>206</v>
      </c>
      <c r="J1311">
        <v>114</v>
      </c>
      <c r="K1311">
        <v>294</v>
      </c>
      <c r="L1311">
        <v>202</v>
      </c>
      <c r="M1311">
        <v>22</v>
      </c>
      <c r="N1311">
        <v>295</v>
      </c>
      <c r="O1311">
        <v>115</v>
      </c>
      <c r="T1311">
        <v>113</v>
      </c>
      <c r="U1311">
        <v>284</v>
      </c>
      <c r="V1311">
        <v>56</v>
      </c>
      <c r="Y1311">
        <v>92</v>
      </c>
      <c r="Z1311">
        <v>54</v>
      </c>
      <c r="AA1311">
        <v>12</v>
      </c>
      <c r="AD1311">
        <v>277</v>
      </c>
      <c r="AE1311">
        <v>61</v>
      </c>
      <c r="AF1311">
        <v>13</v>
      </c>
      <c r="AI1311">
        <v>9</v>
      </c>
      <c r="AJ1311">
        <v>5</v>
      </c>
      <c r="AK1311">
        <v>3</v>
      </c>
      <c r="AX1311">
        <v>453</v>
      </c>
      <c r="AY1311">
        <v>378</v>
      </c>
      <c r="AZ1311">
        <v>831</v>
      </c>
      <c r="BA1311">
        <v>158</v>
      </c>
      <c r="BB1311">
        <v>179</v>
      </c>
      <c r="BC1311">
        <v>337</v>
      </c>
      <c r="BD1311">
        <v>351</v>
      </c>
      <c r="BE1311">
        <v>341</v>
      </c>
      <c r="BF1311">
        <v>692</v>
      </c>
      <c r="BG1311">
        <v>17</v>
      </c>
      <c r="BH1311">
        <v>81</v>
      </c>
      <c r="BI1311">
        <v>98</v>
      </c>
      <c r="BP1311">
        <v>192</v>
      </c>
      <c r="BR1311">
        <v>632</v>
      </c>
      <c r="BS1311">
        <v>40</v>
      </c>
      <c r="BT1311">
        <v>79</v>
      </c>
      <c r="BV1311">
        <v>36</v>
      </c>
      <c r="BW1311">
        <v>979</v>
      </c>
      <c r="BX1311" t="str">
        <f>IF(C1311=C1310,IF((CI1311-1)=CI1310,BW1310,"no data"))</f>
        <v>no data</v>
      </c>
      <c r="BY1311" s="5"/>
      <c r="BZ1311" s="6"/>
      <c r="CA1311" s="7">
        <v>43415</v>
      </c>
      <c r="CE1311">
        <v>190</v>
      </c>
      <c r="CF1311">
        <v>183</v>
      </c>
      <c r="CG1311">
        <v>295</v>
      </c>
      <c r="CH1311">
        <v>311</v>
      </c>
      <c r="CI1311">
        <f t="shared" si="155"/>
        <v>2018</v>
      </c>
      <c r="CJ1311" t="str">
        <f t="shared" si="156"/>
        <v>6296_2018</v>
      </c>
    </row>
    <row r="1312" spans="1:88" x14ac:dyDescent="0.25">
      <c r="A1312" t="s">
        <v>277</v>
      </c>
      <c r="B1312" t="s">
        <v>478</v>
      </c>
      <c r="C1312">
        <v>6296</v>
      </c>
      <c r="D1312">
        <v>-34.824300000000001</v>
      </c>
      <c r="E1312">
        <v>138.48650000000001</v>
      </c>
      <c r="F1312">
        <v>4</v>
      </c>
      <c r="G1312" t="s">
        <v>480</v>
      </c>
      <c r="H1312">
        <v>26</v>
      </c>
      <c r="I1312">
        <v>206</v>
      </c>
      <c r="J1312">
        <v>114</v>
      </c>
      <c r="K1312">
        <v>294</v>
      </c>
      <c r="L1312">
        <v>202</v>
      </c>
      <c r="M1312">
        <v>22</v>
      </c>
      <c r="N1312">
        <v>295</v>
      </c>
      <c r="O1312">
        <v>115</v>
      </c>
      <c r="T1312">
        <v>0</v>
      </c>
      <c r="U1312">
        <v>412</v>
      </c>
      <c r="V1312">
        <v>0</v>
      </c>
      <c r="Y1312">
        <v>0</v>
      </c>
      <c r="Z1312">
        <v>0</v>
      </c>
      <c r="AA1312">
        <v>20</v>
      </c>
      <c r="AD1312">
        <v>369</v>
      </c>
      <c r="AE1312">
        <v>0</v>
      </c>
      <c r="AF1312">
        <v>0</v>
      </c>
      <c r="AI1312">
        <v>0</v>
      </c>
      <c r="AJ1312">
        <v>5</v>
      </c>
      <c r="AK1312">
        <v>0</v>
      </c>
      <c r="AX1312">
        <v>412</v>
      </c>
      <c r="AY1312">
        <v>369</v>
      </c>
      <c r="AZ1312">
        <v>781</v>
      </c>
      <c r="BA1312">
        <v>20</v>
      </c>
      <c r="BB1312">
        <v>5</v>
      </c>
      <c r="BC1312">
        <v>25</v>
      </c>
      <c r="BD1312">
        <v>369</v>
      </c>
      <c r="BE1312">
        <v>412</v>
      </c>
      <c r="BF1312">
        <v>781</v>
      </c>
      <c r="BG1312">
        <v>5</v>
      </c>
      <c r="BH1312">
        <v>20</v>
      </c>
      <c r="BI1312">
        <v>25</v>
      </c>
      <c r="BP1312">
        <v>134</v>
      </c>
      <c r="BR1312">
        <v>520</v>
      </c>
      <c r="BS1312">
        <v>80</v>
      </c>
      <c r="BT1312">
        <v>55</v>
      </c>
      <c r="BV1312">
        <v>17</v>
      </c>
      <c r="BW1312">
        <v>806</v>
      </c>
      <c r="BX1312" t="str">
        <f>IF(C1312=C1311,IF((CI1312-1)=CI1311,BW1311,"no data"))</f>
        <v>no data</v>
      </c>
      <c r="BY1312" s="5"/>
      <c r="BZ1312" s="6"/>
      <c r="CA1312" s="7">
        <v>44143</v>
      </c>
      <c r="CE1312">
        <v>210</v>
      </c>
      <c r="CF1312">
        <v>220</v>
      </c>
      <c r="CG1312">
        <v>192</v>
      </c>
      <c r="CH1312">
        <v>184</v>
      </c>
      <c r="CI1312">
        <f t="shared" si="155"/>
        <v>2020</v>
      </c>
      <c r="CJ1312" t="str">
        <f t="shared" si="156"/>
        <v>6296_2020</v>
      </c>
    </row>
    <row r="1313" spans="1:88" x14ac:dyDescent="0.25">
      <c r="A1313" t="s">
        <v>277</v>
      </c>
      <c r="B1313" t="s">
        <v>478</v>
      </c>
      <c r="C1313">
        <v>6296</v>
      </c>
      <c r="D1313">
        <v>-34.824312999999997</v>
      </c>
      <c r="E1313">
        <v>138.486457</v>
      </c>
      <c r="F1313">
        <v>4</v>
      </c>
      <c r="G1313" t="s">
        <v>480</v>
      </c>
      <c r="H1313">
        <v>26</v>
      </c>
      <c r="I1313">
        <v>206</v>
      </c>
      <c r="J1313">
        <v>114</v>
      </c>
      <c r="K1313">
        <v>294</v>
      </c>
      <c r="L1313">
        <v>202</v>
      </c>
      <c r="M1313">
        <v>22</v>
      </c>
      <c r="N1313">
        <v>295</v>
      </c>
      <c r="O1313">
        <v>115</v>
      </c>
      <c r="T1313">
        <v>57</v>
      </c>
      <c r="U1313">
        <v>235</v>
      </c>
      <c r="V1313">
        <v>0</v>
      </c>
      <c r="Y1313">
        <v>54</v>
      </c>
      <c r="Z1313">
        <v>24</v>
      </c>
      <c r="AA1313">
        <v>0</v>
      </c>
      <c r="AD1313">
        <v>205</v>
      </c>
      <c r="AE1313">
        <v>7</v>
      </c>
      <c r="AF1313">
        <v>0</v>
      </c>
      <c r="AI1313">
        <v>0</v>
      </c>
      <c r="AJ1313">
        <v>0</v>
      </c>
      <c r="AK1313">
        <v>0</v>
      </c>
      <c r="AX1313">
        <v>292</v>
      </c>
      <c r="AY1313">
        <v>259</v>
      </c>
      <c r="AZ1313">
        <v>551</v>
      </c>
      <c r="BA1313">
        <v>78</v>
      </c>
      <c r="BB1313">
        <v>64</v>
      </c>
      <c r="BC1313">
        <v>142</v>
      </c>
      <c r="BD1313">
        <v>212</v>
      </c>
      <c r="BE1313">
        <v>259</v>
      </c>
      <c r="BF1313">
        <v>471</v>
      </c>
      <c r="BG1313">
        <v>0</v>
      </c>
      <c r="BH1313">
        <v>0</v>
      </c>
      <c r="BI1313">
        <v>0</v>
      </c>
      <c r="BP1313">
        <v>75</v>
      </c>
      <c r="BR1313">
        <v>397</v>
      </c>
      <c r="BS1313">
        <v>57</v>
      </c>
      <c r="BT1313">
        <v>48</v>
      </c>
      <c r="BV1313">
        <v>5</v>
      </c>
      <c r="BW1313">
        <v>582</v>
      </c>
      <c r="BX1313">
        <f>IF(C1313=C1312,IF((CI1313-1)=CI1312,BW1312,"no data"))</f>
        <v>806</v>
      </c>
      <c r="BY1313" s="5">
        <f t="shared" si="157"/>
        <v>-0.27791563275434245</v>
      </c>
      <c r="BZ1313" s="6">
        <f t="shared" si="158"/>
        <v>-0.27791563275434245</v>
      </c>
      <c r="CA1313" s="7">
        <v>44528</v>
      </c>
      <c r="CE1313">
        <v>186</v>
      </c>
      <c r="CF1313">
        <v>169</v>
      </c>
      <c r="CG1313">
        <v>227</v>
      </c>
      <c r="CI1313">
        <f t="shared" si="155"/>
        <v>2021</v>
      </c>
      <c r="CJ1313" t="str">
        <f t="shared" si="156"/>
        <v>6296_2021</v>
      </c>
    </row>
    <row r="1314" spans="1:88" x14ac:dyDescent="0.25">
      <c r="A1314" t="s">
        <v>277</v>
      </c>
      <c r="B1314" t="s">
        <v>478</v>
      </c>
      <c r="C1314">
        <v>6298</v>
      </c>
      <c r="D1314">
        <v>-34.849899999999998</v>
      </c>
      <c r="E1314">
        <v>138.4768</v>
      </c>
      <c r="F1314">
        <v>3</v>
      </c>
      <c r="G1314" t="s">
        <v>481</v>
      </c>
      <c r="H1314">
        <v>4</v>
      </c>
      <c r="I1314">
        <v>184</v>
      </c>
      <c r="J1314">
        <v>111</v>
      </c>
      <c r="K1314">
        <v>291</v>
      </c>
      <c r="L1314">
        <v>179</v>
      </c>
      <c r="M1314">
        <v>359</v>
      </c>
      <c r="T1314">
        <v>27</v>
      </c>
      <c r="U1314">
        <v>159</v>
      </c>
      <c r="Y1314">
        <v>24</v>
      </c>
      <c r="Z1314">
        <v>12</v>
      </c>
      <c r="AD1314">
        <v>137</v>
      </c>
      <c r="AE1314">
        <v>4</v>
      </c>
      <c r="AX1314">
        <v>186</v>
      </c>
      <c r="AY1314">
        <v>161</v>
      </c>
      <c r="AZ1314">
        <v>347</v>
      </c>
      <c r="BA1314">
        <v>36</v>
      </c>
      <c r="BB1314">
        <v>31</v>
      </c>
      <c r="BC1314">
        <v>67</v>
      </c>
      <c r="BD1314">
        <v>141</v>
      </c>
      <c r="BE1314">
        <v>171</v>
      </c>
      <c r="BF1314">
        <v>312</v>
      </c>
      <c r="BP1314">
        <v>125</v>
      </c>
      <c r="BR1314">
        <v>142</v>
      </c>
      <c r="BS1314">
        <v>27</v>
      </c>
      <c r="BT1314">
        <v>56</v>
      </c>
      <c r="BV1314">
        <v>13</v>
      </c>
      <c r="BW1314">
        <v>363</v>
      </c>
      <c r="BX1314" t="s">
        <v>82</v>
      </c>
      <c r="BY1314" s="5"/>
      <c r="BZ1314" s="6"/>
      <c r="CA1314" s="7">
        <v>41588</v>
      </c>
      <c r="CI1314">
        <f t="shared" si="155"/>
        <v>2013</v>
      </c>
      <c r="CJ1314" t="str">
        <f t="shared" si="156"/>
        <v>6298_2013</v>
      </c>
    </row>
    <row r="1315" spans="1:88" x14ac:dyDescent="0.25">
      <c r="A1315" t="s">
        <v>277</v>
      </c>
      <c r="B1315" t="s">
        <v>478</v>
      </c>
      <c r="C1315">
        <v>6298</v>
      </c>
      <c r="D1315">
        <v>-34.849870000000003</v>
      </c>
      <c r="E1315">
        <v>138.47676100000001</v>
      </c>
      <c r="F1315">
        <v>3</v>
      </c>
      <c r="G1315" t="s">
        <v>481</v>
      </c>
      <c r="H1315">
        <v>4</v>
      </c>
      <c r="I1315">
        <v>184</v>
      </c>
      <c r="J1315">
        <v>111</v>
      </c>
      <c r="K1315">
        <v>291</v>
      </c>
      <c r="L1315">
        <v>179</v>
      </c>
      <c r="M1315">
        <v>359</v>
      </c>
      <c r="T1315">
        <v>74</v>
      </c>
      <c r="U1315">
        <v>385</v>
      </c>
      <c r="Y1315">
        <v>79</v>
      </c>
      <c r="Z1315">
        <v>12</v>
      </c>
      <c r="AD1315">
        <v>335</v>
      </c>
      <c r="AE1315">
        <v>13</v>
      </c>
      <c r="AX1315">
        <v>459</v>
      </c>
      <c r="AY1315">
        <v>414</v>
      </c>
      <c r="AZ1315">
        <v>873</v>
      </c>
      <c r="BA1315">
        <v>91</v>
      </c>
      <c r="BB1315">
        <v>87</v>
      </c>
      <c r="BC1315">
        <v>178</v>
      </c>
      <c r="BD1315">
        <v>348</v>
      </c>
      <c r="BE1315">
        <v>397</v>
      </c>
      <c r="BF1315">
        <v>745</v>
      </c>
      <c r="BP1315">
        <v>237</v>
      </c>
      <c r="BR1315">
        <v>520</v>
      </c>
      <c r="BS1315">
        <v>22</v>
      </c>
      <c r="BT1315">
        <v>109</v>
      </c>
      <c r="BV1315">
        <v>10</v>
      </c>
      <c r="BW1315">
        <v>898</v>
      </c>
      <c r="BX1315" t="str">
        <f>IF(C1315=C1314,IF((CI1315-1)=CI1314,BW1314,"no data"))</f>
        <v>no data</v>
      </c>
      <c r="BY1315" s="5"/>
      <c r="BZ1315" s="6"/>
      <c r="CA1315" s="7">
        <v>43415</v>
      </c>
      <c r="CE1315">
        <v>287</v>
      </c>
      <c r="CF1315">
        <v>214</v>
      </c>
      <c r="CG1315">
        <v>198</v>
      </c>
      <c r="CH1315">
        <v>199</v>
      </c>
      <c r="CI1315">
        <f t="shared" si="155"/>
        <v>2018</v>
      </c>
      <c r="CJ1315" t="str">
        <f t="shared" si="156"/>
        <v>6298_2018</v>
      </c>
    </row>
    <row r="1316" spans="1:88" x14ac:dyDescent="0.25">
      <c r="A1316" t="s">
        <v>277</v>
      </c>
      <c r="B1316" t="s">
        <v>478</v>
      </c>
      <c r="C1316">
        <v>6298</v>
      </c>
      <c r="D1316">
        <v>-34.849899999999998</v>
      </c>
      <c r="E1316">
        <v>138.4768</v>
      </c>
      <c r="F1316">
        <v>3</v>
      </c>
      <c r="G1316" t="s">
        <v>481</v>
      </c>
      <c r="H1316">
        <v>4</v>
      </c>
      <c r="I1316">
        <v>184</v>
      </c>
      <c r="J1316">
        <v>111</v>
      </c>
      <c r="K1316">
        <v>291</v>
      </c>
      <c r="L1316">
        <v>179</v>
      </c>
      <c r="M1316">
        <v>359</v>
      </c>
      <c r="T1316">
        <v>14</v>
      </c>
      <c r="U1316">
        <v>281</v>
      </c>
      <c r="Y1316">
        <v>40</v>
      </c>
      <c r="Z1316">
        <v>13</v>
      </c>
      <c r="AD1316">
        <v>256</v>
      </c>
      <c r="AE1316">
        <v>4</v>
      </c>
      <c r="AX1316">
        <v>295</v>
      </c>
      <c r="AY1316">
        <v>296</v>
      </c>
      <c r="AZ1316">
        <v>591</v>
      </c>
      <c r="BA1316">
        <v>53</v>
      </c>
      <c r="BB1316">
        <v>18</v>
      </c>
      <c r="BC1316">
        <v>71</v>
      </c>
      <c r="BD1316">
        <v>260</v>
      </c>
      <c r="BE1316">
        <v>294</v>
      </c>
      <c r="BF1316">
        <v>554</v>
      </c>
      <c r="BP1316">
        <v>209</v>
      </c>
      <c r="BR1316">
        <v>275</v>
      </c>
      <c r="BS1316">
        <v>36</v>
      </c>
      <c r="BT1316">
        <v>56</v>
      </c>
      <c r="BV1316">
        <v>32</v>
      </c>
      <c r="BW1316">
        <v>608</v>
      </c>
      <c r="BX1316" t="str">
        <f>IF(C1316=C1315,IF((CI1316-1)=CI1315,BW1315,"no data"))</f>
        <v>no data</v>
      </c>
      <c r="BY1316" s="5"/>
      <c r="BZ1316" s="6"/>
      <c r="CA1316" s="7">
        <v>44143</v>
      </c>
      <c r="CE1316">
        <v>134</v>
      </c>
      <c r="CF1316">
        <v>118</v>
      </c>
      <c r="CG1316">
        <v>161</v>
      </c>
      <c r="CH1316">
        <v>195</v>
      </c>
      <c r="CI1316">
        <f t="shared" si="155"/>
        <v>2020</v>
      </c>
      <c r="CJ1316" t="str">
        <f t="shared" si="156"/>
        <v>6298_2020</v>
      </c>
    </row>
    <row r="1317" spans="1:88" x14ac:dyDescent="0.25">
      <c r="A1317" t="s">
        <v>277</v>
      </c>
      <c r="B1317" t="s">
        <v>478</v>
      </c>
      <c r="C1317">
        <v>6298</v>
      </c>
      <c r="D1317">
        <v>-34.849870000000003</v>
      </c>
      <c r="E1317">
        <v>138.47676100000001</v>
      </c>
      <c r="F1317">
        <v>3</v>
      </c>
      <c r="G1317" t="s">
        <v>481</v>
      </c>
      <c r="H1317">
        <v>4</v>
      </c>
      <c r="I1317">
        <v>184</v>
      </c>
      <c r="J1317">
        <v>111</v>
      </c>
      <c r="K1317">
        <v>291</v>
      </c>
      <c r="L1317">
        <v>179</v>
      </c>
      <c r="M1317">
        <v>359</v>
      </c>
      <c r="T1317">
        <v>6</v>
      </c>
      <c r="U1317">
        <v>135</v>
      </c>
      <c r="Y1317">
        <v>11</v>
      </c>
      <c r="Z1317">
        <v>3</v>
      </c>
      <c r="AD1317">
        <v>144</v>
      </c>
      <c r="AE1317">
        <v>9</v>
      </c>
      <c r="AX1317">
        <v>141</v>
      </c>
      <c r="AY1317">
        <v>155</v>
      </c>
      <c r="AZ1317">
        <v>296</v>
      </c>
      <c r="BA1317">
        <v>14</v>
      </c>
      <c r="BB1317">
        <v>15</v>
      </c>
      <c r="BC1317">
        <v>29</v>
      </c>
      <c r="BD1317">
        <v>153</v>
      </c>
      <c r="BE1317">
        <v>138</v>
      </c>
      <c r="BF1317">
        <v>291</v>
      </c>
      <c r="BP1317">
        <v>87</v>
      </c>
      <c r="BR1317">
        <v>134</v>
      </c>
      <c r="BS1317">
        <v>34</v>
      </c>
      <c r="BT1317">
        <v>42</v>
      </c>
      <c r="BV1317">
        <v>11</v>
      </c>
      <c r="BW1317">
        <v>308</v>
      </c>
      <c r="BX1317">
        <f>IF(C1317=C1316,IF((CI1317-1)=CI1316,BW1316,"no data"))</f>
        <v>608</v>
      </c>
      <c r="BY1317" s="5">
        <f t="shared" si="157"/>
        <v>-0.49342105263157893</v>
      </c>
      <c r="BZ1317" s="6">
        <f t="shared" si="158"/>
        <v>-0.49342105263157893</v>
      </c>
      <c r="CA1317" s="7">
        <v>44528</v>
      </c>
      <c r="CE1317">
        <v>104</v>
      </c>
      <c r="CF1317">
        <v>117</v>
      </c>
      <c r="CG1317">
        <v>87</v>
      </c>
      <c r="CI1317">
        <f t="shared" si="155"/>
        <v>2021</v>
      </c>
      <c r="CJ1317" t="str">
        <f t="shared" si="156"/>
        <v>6298_2021</v>
      </c>
    </row>
    <row r="1318" spans="1:88" x14ac:dyDescent="0.25">
      <c r="A1318" t="s">
        <v>277</v>
      </c>
      <c r="B1318" t="s">
        <v>478</v>
      </c>
      <c r="C1318">
        <v>6299</v>
      </c>
      <c r="D1318">
        <v>-34.866300000000003</v>
      </c>
      <c r="E1318">
        <v>138.6653</v>
      </c>
      <c r="F1318">
        <v>3</v>
      </c>
      <c r="G1318" t="s">
        <v>482</v>
      </c>
      <c r="H1318">
        <v>82</v>
      </c>
      <c r="I1318">
        <v>262</v>
      </c>
      <c r="J1318">
        <v>133</v>
      </c>
      <c r="K1318">
        <v>313</v>
      </c>
      <c r="L1318">
        <v>267</v>
      </c>
      <c r="M1318">
        <v>87</v>
      </c>
      <c r="T1318">
        <v>4</v>
      </c>
      <c r="U1318">
        <v>14</v>
      </c>
      <c r="Y1318">
        <v>2</v>
      </c>
      <c r="Z1318">
        <v>40</v>
      </c>
      <c r="AD1318">
        <v>12</v>
      </c>
      <c r="AE1318">
        <v>33</v>
      </c>
      <c r="AX1318">
        <v>18</v>
      </c>
      <c r="AY1318">
        <v>14</v>
      </c>
      <c r="AZ1318">
        <v>32</v>
      </c>
      <c r="BA1318">
        <v>42</v>
      </c>
      <c r="BB1318">
        <v>37</v>
      </c>
      <c r="BC1318">
        <v>79</v>
      </c>
      <c r="BD1318">
        <v>45</v>
      </c>
      <c r="BE1318">
        <v>54</v>
      </c>
      <c r="BF1318">
        <v>99</v>
      </c>
      <c r="BP1318">
        <v>51</v>
      </c>
      <c r="BR1318">
        <v>29</v>
      </c>
      <c r="BS1318">
        <v>7</v>
      </c>
      <c r="BT1318">
        <v>17</v>
      </c>
      <c r="BV1318">
        <v>1</v>
      </c>
      <c r="BW1318">
        <v>105</v>
      </c>
      <c r="BX1318" t="s">
        <v>82</v>
      </c>
      <c r="BY1318" s="5"/>
      <c r="BZ1318" s="6"/>
      <c r="CA1318" s="7">
        <v>41588</v>
      </c>
      <c r="CI1318">
        <f t="shared" si="155"/>
        <v>2013</v>
      </c>
      <c r="CJ1318" t="str">
        <f t="shared" si="156"/>
        <v>6299_2013</v>
      </c>
    </row>
    <row r="1319" spans="1:88" x14ac:dyDescent="0.25">
      <c r="A1319" t="s">
        <v>277</v>
      </c>
      <c r="B1319" t="s">
        <v>478</v>
      </c>
      <c r="C1319">
        <v>6299</v>
      </c>
      <c r="D1319">
        <v>-34.866252000000003</v>
      </c>
      <c r="E1319">
        <v>138.665312</v>
      </c>
      <c r="F1319">
        <v>3</v>
      </c>
      <c r="G1319" t="s">
        <v>482</v>
      </c>
      <c r="H1319">
        <v>82</v>
      </c>
      <c r="I1319">
        <v>262</v>
      </c>
      <c r="J1319">
        <v>133</v>
      </c>
      <c r="K1319">
        <v>313</v>
      </c>
      <c r="L1319">
        <v>267</v>
      </c>
      <c r="M1319">
        <v>87</v>
      </c>
      <c r="T1319">
        <v>84</v>
      </c>
      <c r="U1319">
        <v>22</v>
      </c>
      <c r="Y1319">
        <v>89</v>
      </c>
      <c r="Z1319">
        <v>2</v>
      </c>
      <c r="AD1319">
        <v>39</v>
      </c>
      <c r="AE1319">
        <v>3</v>
      </c>
      <c r="AX1319">
        <v>106</v>
      </c>
      <c r="AY1319">
        <v>128</v>
      </c>
      <c r="AZ1319">
        <v>234</v>
      </c>
      <c r="BA1319">
        <v>91</v>
      </c>
      <c r="BB1319">
        <v>87</v>
      </c>
      <c r="BC1319">
        <v>178</v>
      </c>
      <c r="BD1319">
        <v>42</v>
      </c>
      <c r="BE1319">
        <v>24</v>
      </c>
      <c r="BF1319">
        <v>66</v>
      </c>
      <c r="BP1319">
        <v>126</v>
      </c>
      <c r="BR1319">
        <v>76</v>
      </c>
      <c r="BS1319">
        <v>18</v>
      </c>
      <c r="BT1319">
        <v>16</v>
      </c>
      <c r="BV1319">
        <v>3</v>
      </c>
      <c r="BW1319">
        <v>239</v>
      </c>
      <c r="BX1319" t="str">
        <f>IF(C1319=C1318,IF((CI1319-1)=CI1318,BW1318,"no data"))</f>
        <v>no data</v>
      </c>
      <c r="BY1319" s="5"/>
      <c r="BZ1319" s="6"/>
      <c r="CA1319" s="7">
        <v>43415</v>
      </c>
      <c r="CE1319">
        <v>76</v>
      </c>
      <c r="CF1319">
        <v>82</v>
      </c>
      <c r="CG1319">
        <v>49</v>
      </c>
      <c r="CH1319">
        <v>32</v>
      </c>
      <c r="CI1319">
        <f t="shared" si="155"/>
        <v>2018</v>
      </c>
      <c r="CJ1319" t="str">
        <f t="shared" si="156"/>
        <v>6299_2018</v>
      </c>
    </row>
    <row r="1320" spans="1:88" x14ac:dyDescent="0.25">
      <c r="A1320" t="s">
        <v>277</v>
      </c>
      <c r="B1320" t="s">
        <v>478</v>
      </c>
      <c r="C1320">
        <v>6299</v>
      </c>
      <c r="D1320">
        <v>-34.866300000000003</v>
      </c>
      <c r="E1320">
        <v>138.6653</v>
      </c>
      <c r="F1320">
        <v>3</v>
      </c>
      <c r="G1320" t="s">
        <v>482</v>
      </c>
      <c r="H1320">
        <v>82</v>
      </c>
      <c r="I1320">
        <v>262</v>
      </c>
      <c r="J1320">
        <v>133</v>
      </c>
      <c r="K1320">
        <v>313</v>
      </c>
      <c r="L1320">
        <v>267</v>
      </c>
      <c r="M1320">
        <v>87</v>
      </c>
      <c r="T1320">
        <v>8</v>
      </c>
      <c r="U1320">
        <v>26</v>
      </c>
      <c r="Y1320">
        <v>10</v>
      </c>
      <c r="Z1320">
        <v>106</v>
      </c>
      <c r="AD1320">
        <v>31</v>
      </c>
      <c r="AE1320">
        <v>132</v>
      </c>
      <c r="AX1320">
        <v>34</v>
      </c>
      <c r="AY1320">
        <v>41</v>
      </c>
      <c r="AZ1320">
        <v>75</v>
      </c>
      <c r="BA1320">
        <v>116</v>
      </c>
      <c r="BB1320">
        <v>140</v>
      </c>
      <c r="BC1320">
        <v>256</v>
      </c>
      <c r="BD1320">
        <v>163</v>
      </c>
      <c r="BE1320">
        <v>132</v>
      </c>
      <c r="BF1320">
        <v>295</v>
      </c>
      <c r="BP1320">
        <v>99</v>
      </c>
      <c r="BR1320">
        <v>153</v>
      </c>
      <c r="BS1320">
        <v>9</v>
      </c>
      <c r="BT1320">
        <v>40</v>
      </c>
      <c r="BV1320">
        <v>12</v>
      </c>
      <c r="BW1320">
        <v>313</v>
      </c>
      <c r="BX1320" t="str">
        <f>IF(C1320=C1319,IF((CI1320-1)=CI1319,BW1319,"no data"))</f>
        <v>no data</v>
      </c>
      <c r="BY1320" s="5"/>
      <c r="BZ1320" s="6"/>
      <c r="CA1320" s="7">
        <v>44143</v>
      </c>
      <c r="CE1320">
        <v>117</v>
      </c>
      <c r="CF1320">
        <v>60</v>
      </c>
      <c r="CG1320">
        <v>75</v>
      </c>
      <c r="CH1320">
        <v>61</v>
      </c>
      <c r="CI1320">
        <f t="shared" si="155"/>
        <v>2020</v>
      </c>
      <c r="CJ1320" t="str">
        <f t="shared" si="156"/>
        <v>6299_2020</v>
      </c>
    </row>
    <row r="1321" spans="1:88" x14ac:dyDescent="0.25">
      <c r="A1321" t="s">
        <v>277</v>
      </c>
      <c r="B1321" t="s">
        <v>478</v>
      </c>
      <c r="C1321">
        <v>6299</v>
      </c>
      <c r="D1321">
        <v>-34.866252000000003</v>
      </c>
      <c r="E1321">
        <v>138.665312</v>
      </c>
      <c r="F1321">
        <v>3</v>
      </c>
      <c r="G1321" t="s">
        <v>482</v>
      </c>
      <c r="H1321">
        <v>82</v>
      </c>
      <c r="I1321">
        <v>262</v>
      </c>
      <c r="J1321">
        <v>133</v>
      </c>
      <c r="K1321">
        <v>313</v>
      </c>
      <c r="L1321">
        <v>267</v>
      </c>
      <c r="M1321">
        <v>87</v>
      </c>
      <c r="T1321">
        <v>5</v>
      </c>
      <c r="U1321">
        <v>18</v>
      </c>
      <c r="Y1321">
        <v>9</v>
      </c>
      <c r="Z1321">
        <v>80</v>
      </c>
      <c r="AD1321">
        <v>23</v>
      </c>
      <c r="AE1321">
        <v>73</v>
      </c>
      <c r="AX1321">
        <v>23</v>
      </c>
      <c r="AY1321">
        <v>32</v>
      </c>
      <c r="AZ1321">
        <v>55</v>
      </c>
      <c r="BA1321">
        <v>89</v>
      </c>
      <c r="BB1321">
        <v>78</v>
      </c>
      <c r="BC1321">
        <v>167</v>
      </c>
      <c r="BD1321">
        <v>96</v>
      </c>
      <c r="BE1321">
        <v>98</v>
      </c>
      <c r="BF1321">
        <v>194</v>
      </c>
      <c r="BP1321">
        <v>105</v>
      </c>
      <c r="BR1321">
        <v>76</v>
      </c>
      <c r="BS1321">
        <v>6</v>
      </c>
      <c r="BT1321">
        <v>21</v>
      </c>
      <c r="BV1321">
        <v>0</v>
      </c>
      <c r="BW1321">
        <v>208</v>
      </c>
      <c r="BX1321">
        <f>IF(C1321=C1320,IF((CI1321-1)=CI1320,BW1320,"no data"))</f>
        <v>313</v>
      </c>
      <c r="BY1321" s="5">
        <f t="shared" si="157"/>
        <v>-0.33546325878594252</v>
      </c>
      <c r="BZ1321" s="6">
        <f t="shared" si="158"/>
        <v>-0.33546325878594252</v>
      </c>
      <c r="CA1321" s="7">
        <v>44528</v>
      </c>
      <c r="CE1321">
        <v>49</v>
      </c>
      <c r="CF1321">
        <v>92</v>
      </c>
      <c r="CG1321">
        <v>67</v>
      </c>
      <c r="CI1321">
        <f t="shared" si="155"/>
        <v>2021</v>
      </c>
      <c r="CJ1321" t="str">
        <f t="shared" si="156"/>
        <v>6299_2021</v>
      </c>
    </row>
    <row r="1322" spans="1:88" x14ac:dyDescent="0.25">
      <c r="A1322" t="s">
        <v>277</v>
      </c>
      <c r="B1322" t="s">
        <v>478</v>
      </c>
      <c r="C1322">
        <v>6301</v>
      </c>
      <c r="D1322">
        <v>-34.887900000000002</v>
      </c>
      <c r="E1322">
        <v>138.6396</v>
      </c>
      <c r="F1322">
        <v>2</v>
      </c>
      <c r="G1322" t="s">
        <v>483</v>
      </c>
      <c r="H1322">
        <v>13</v>
      </c>
      <c r="I1322">
        <v>193</v>
      </c>
      <c r="J1322">
        <v>252</v>
      </c>
      <c r="K1322">
        <v>72</v>
      </c>
      <c r="T1322">
        <v>114</v>
      </c>
      <c r="Y1322">
        <v>104</v>
      </c>
      <c r="AX1322">
        <v>114</v>
      </c>
      <c r="AY1322">
        <v>104</v>
      </c>
      <c r="AZ1322">
        <v>218</v>
      </c>
      <c r="BA1322">
        <v>104</v>
      </c>
      <c r="BB1322">
        <v>114</v>
      </c>
      <c r="BC1322">
        <v>218</v>
      </c>
      <c r="BP1322">
        <v>144</v>
      </c>
      <c r="BR1322">
        <v>39</v>
      </c>
      <c r="BS1322">
        <v>18</v>
      </c>
      <c r="BT1322">
        <v>17</v>
      </c>
      <c r="BV1322">
        <v>0</v>
      </c>
      <c r="BW1322">
        <v>218</v>
      </c>
      <c r="BX1322" t="s">
        <v>82</v>
      </c>
      <c r="BY1322" s="5"/>
      <c r="BZ1322" s="6"/>
      <c r="CA1322" s="7">
        <v>41588</v>
      </c>
      <c r="CI1322">
        <f t="shared" si="155"/>
        <v>2013</v>
      </c>
      <c r="CJ1322" t="str">
        <f t="shared" si="156"/>
        <v>6301_2013</v>
      </c>
    </row>
    <row r="1323" spans="1:88" x14ac:dyDescent="0.25">
      <c r="A1323" t="s">
        <v>277</v>
      </c>
      <c r="B1323" t="s">
        <v>478</v>
      </c>
      <c r="C1323">
        <v>6301</v>
      </c>
      <c r="D1323">
        <v>-34.887900000000002</v>
      </c>
      <c r="E1323">
        <v>138.6396</v>
      </c>
      <c r="F1323">
        <v>2</v>
      </c>
      <c r="G1323" t="s">
        <v>483</v>
      </c>
      <c r="H1323">
        <v>13</v>
      </c>
      <c r="I1323">
        <v>193</v>
      </c>
      <c r="J1323">
        <v>252</v>
      </c>
      <c r="K1323">
        <v>72</v>
      </c>
      <c r="T1323">
        <v>203</v>
      </c>
      <c r="Y1323">
        <v>201</v>
      </c>
      <c r="AX1323">
        <v>203</v>
      </c>
      <c r="AY1323">
        <v>201</v>
      </c>
      <c r="AZ1323">
        <v>404</v>
      </c>
      <c r="BA1323">
        <v>201</v>
      </c>
      <c r="BB1323">
        <v>203</v>
      </c>
      <c r="BC1323">
        <v>404</v>
      </c>
      <c r="BP1323">
        <v>220</v>
      </c>
      <c r="BR1323">
        <v>138</v>
      </c>
      <c r="BS1323">
        <v>21</v>
      </c>
      <c r="BT1323">
        <v>21</v>
      </c>
      <c r="BV1323">
        <v>4</v>
      </c>
      <c r="BW1323">
        <v>404</v>
      </c>
      <c r="BX1323" t="str">
        <f>IF(C1323=C1322,IF((CI1323-1)=CI1322,BW1322,"no data"))</f>
        <v>no data</v>
      </c>
      <c r="BY1323" s="5"/>
      <c r="BZ1323" s="6"/>
      <c r="CA1323" s="7">
        <v>44143</v>
      </c>
      <c r="CE1323">
        <v>141</v>
      </c>
      <c r="CF1323">
        <v>96</v>
      </c>
      <c r="CG1323">
        <v>93</v>
      </c>
      <c r="CH1323">
        <v>74</v>
      </c>
      <c r="CI1323">
        <f t="shared" si="155"/>
        <v>2020</v>
      </c>
      <c r="CJ1323" t="str">
        <f t="shared" si="156"/>
        <v>6301_2020</v>
      </c>
    </row>
    <row r="1324" spans="1:88" x14ac:dyDescent="0.25">
      <c r="A1324" t="s">
        <v>277</v>
      </c>
      <c r="B1324" t="s">
        <v>478</v>
      </c>
      <c r="C1324">
        <v>6301</v>
      </c>
      <c r="D1324">
        <v>-34.887860000000003</v>
      </c>
      <c r="E1324">
        <v>138.639611</v>
      </c>
      <c r="F1324">
        <v>2</v>
      </c>
      <c r="G1324" t="s">
        <v>483</v>
      </c>
      <c r="H1324">
        <v>13</v>
      </c>
      <c r="I1324">
        <v>193</v>
      </c>
      <c r="J1324">
        <v>252</v>
      </c>
      <c r="K1324">
        <v>72</v>
      </c>
      <c r="T1324">
        <v>118</v>
      </c>
      <c r="Y1324">
        <v>90</v>
      </c>
      <c r="AX1324">
        <v>118</v>
      </c>
      <c r="AY1324">
        <v>90</v>
      </c>
      <c r="AZ1324">
        <v>208</v>
      </c>
      <c r="BA1324">
        <v>90</v>
      </c>
      <c r="BB1324">
        <v>118</v>
      </c>
      <c r="BC1324">
        <v>208</v>
      </c>
      <c r="BP1324">
        <v>116</v>
      </c>
      <c r="BR1324">
        <v>57</v>
      </c>
      <c r="BS1324">
        <v>20</v>
      </c>
      <c r="BT1324">
        <v>15</v>
      </c>
      <c r="BV1324">
        <v>0</v>
      </c>
      <c r="BW1324">
        <v>208</v>
      </c>
      <c r="BX1324">
        <f>IF(C1324=C1323,IF((CI1324-1)=CI1323,BW1323,"no data"))</f>
        <v>404</v>
      </c>
      <c r="BY1324" s="5">
        <f t="shared" si="157"/>
        <v>-0.48514851485148514</v>
      </c>
      <c r="BZ1324" s="6">
        <f t="shared" si="158"/>
        <v>-0.48514851485148514</v>
      </c>
      <c r="CA1324" s="7">
        <v>44528</v>
      </c>
      <c r="CE1324">
        <v>66</v>
      </c>
      <c r="CF1324">
        <v>87</v>
      </c>
      <c r="CG1324">
        <v>55</v>
      </c>
      <c r="CI1324">
        <f t="shared" si="155"/>
        <v>2021</v>
      </c>
      <c r="CJ1324" t="str">
        <f t="shared" si="156"/>
        <v>6301_2021</v>
      </c>
    </row>
    <row r="1325" spans="1:88" x14ac:dyDescent="0.25">
      <c r="A1325" t="s">
        <v>277</v>
      </c>
      <c r="B1325" t="s">
        <v>484</v>
      </c>
      <c r="C1325">
        <v>6302</v>
      </c>
      <c r="D1325">
        <v>-34.768799999999999</v>
      </c>
      <c r="E1325">
        <v>138.60390000000001</v>
      </c>
      <c r="F1325">
        <v>3</v>
      </c>
      <c r="G1325" t="s">
        <v>485</v>
      </c>
      <c r="H1325">
        <v>90</v>
      </c>
      <c r="I1325">
        <v>270</v>
      </c>
      <c r="J1325">
        <v>214</v>
      </c>
      <c r="K1325">
        <v>34</v>
      </c>
      <c r="L1325">
        <v>251</v>
      </c>
      <c r="M1325">
        <v>71</v>
      </c>
      <c r="T1325">
        <v>10</v>
      </c>
      <c r="U1325">
        <v>29</v>
      </c>
      <c r="Y1325">
        <v>5</v>
      </c>
      <c r="Z1325">
        <v>1</v>
      </c>
      <c r="AD1325">
        <v>28</v>
      </c>
      <c r="AE1325">
        <v>1</v>
      </c>
      <c r="AX1325">
        <v>39</v>
      </c>
      <c r="AY1325">
        <v>33</v>
      </c>
      <c r="AZ1325">
        <v>72</v>
      </c>
      <c r="BA1325">
        <v>6</v>
      </c>
      <c r="BB1325">
        <v>11</v>
      </c>
      <c r="BC1325">
        <v>17</v>
      </c>
      <c r="BD1325">
        <v>29</v>
      </c>
      <c r="BE1325">
        <v>30</v>
      </c>
      <c r="BF1325">
        <v>59</v>
      </c>
      <c r="BP1325">
        <v>41</v>
      </c>
      <c r="BR1325">
        <v>19</v>
      </c>
      <c r="BS1325">
        <v>4</v>
      </c>
      <c r="BT1325">
        <v>10</v>
      </c>
      <c r="BV1325">
        <v>0</v>
      </c>
      <c r="BW1325">
        <v>74</v>
      </c>
      <c r="BX1325" t="s">
        <v>82</v>
      </c>
      <c r="BY1325" s="5"/>
      <c r="BZ1325" s="6"/>
      <c r="CA1325" s="7">
        <v>41588</v>
      </c>
      <c r="CI1325">
        <f t="shared" si="155"/>
        <v>2013</v>
      </c>
      <c r="CJ1325" t="str">
        <f t="shared" si="156"/>
        <v>6302_2013</v>
      </c>
    </row>
    <row r="1326" spans="1:88" x14ac:dyDescent="0.25">
      <c r="A1326" t="s">
        <v>277</v>
      </c>
      <c r="B1326" t="s">
        <v>484</v>
      </c>
      <c r="C1326">
        <v>6303</v>
      </c>
      <c r="D1326">
        <v>-34.765000000000001</v>
      </c>
      <c r="E1326">
        <v>138.614</v>
      </c>
      <c r="F1326">
        <v>4</v>
      </c>
      <c r="G1326" t="s">
        <v>486</v>
      </c>
      <c r="H1326">
        <v>81</v>
      </c>
      <c r="I1326">
        <v>261</v>
      </c>
      <c r="J1326">
        <v>125</v>
      </c>
      <c r="K1326">
        <v>305</v>
      </c>
      <c r="L1326">
        <v>234</v>
      </c>
      <c r="M1326">
        <v>54</v>
      </c>
      <c r="N1326">
        <v>282</v>
      </c>
      <c r="O1326">
        <v>102</v>
      </c>
      <c r="T1326">
        <v>6</v>
      </c>
      <c r="U1326">
        <v>36</v>
      </c>
      <c r="V1326">
        <v>3</v>
      </c>
      <c r="Y1326">
        <v>3</v>
      </c>
      <c r="Z1326">
        <v>1</v>
      </c>
      <c r="AA1326">
        <v>5</v>
      </c>
      <c r="AD1326">
        <v>36</v>
      </c>
      <c r="AE1326">
        <v>3</v>
      </c>
      <c r="AF1326">
        <v>9</v>
      </c>
      <c r="AI1326">
        <v>5</v>
      </c>
      <c r="AJ1326">
        <v>2</v>
      </c>
      <c r="AK1326">
        <v>1</v>
      </c>
      <c r="AX1326">
        <v>45</v>
      </c>
      <c r="AY1326">
        <v>44</v>
      </c>
      <c r="AZ1326">
        <v>89</v>
      </c>
      <c r="BA1326">
        <v>9</v>
      </c>
      <c r="BB1326">
        <v>11</v>
      </c>
      <c r="BC1326">
        <v>20</v>
      </c>
      <c r="BD1326">
        <v>48</v>
      </c>
      <c r="BE1326">
        <v>38</v>
      </c>
      <c r="BF1326">
        <v>86</v>
      </c>
      <c r="BG1326">
        <v>8</v>
      </c>
      <c r="BH1326">
        <v>17</v>
      </c>
      <c r="BI1326">
        <v>25</v>
      </c>
      <c r="BP1326">
        <v>44</v>
      </c>
      <c r="BR1326">
        <v>29</v>
      </c>
      <c r="BS1326">
        <v>5</v>
      </c>
      <c r="BT1326">
        <v>29</v>
      </c>
      <c r="BV1326">
        <v>3</v>
      </c>
      <c r="BW1326">
        <v>110</v>
      </c>
      <c r="BX1326" t="s">
        <v>82</v>
      </c>
      <c r="BY1326" s="5"/>
      <c r="BZ1326" s="6"/>
      <c r="CA1326" s="7">
        <v>41588</v>
      </c>
      <c r="CI1326">
        <f t="shared" si="155"/>
        <v>2013</v>
      </c>
      <c r="CJ1326" t="str">
        <f t="shared" si="156"/>
        <v>6303_2013</v>
      </c>
    </row>
    <row r="1327" spans="1:88" x14ac:dyDescent="0.25">
      <c r="A1327" t="s">
        <v>277</v>
      </c>
      <c r="B1327" t="s">
        <v>484</v>
      </c>
      <c r="C1327">
        <v>6304</v>
      </c>
      <c r="D1327">
        <v>-34.755499999999998</v>
      </c>
      <c r="E1327">
        <v>138.6679</v>
      </c>
      <c r="F1327">
        <v>3</v>
      </c>
      <c r="G1327" t="s">
        <v>487</v>
      </c>
      <c r="H1327">
        <v>94</v>
      </c>
      <c r="I1327">
        <v>274</v>
      </c>
      <c r="J1327">
        <v>241</v>
      </c>
      <c r="K1327">
        <v>61</v>
      </c>
      <c r="L1327">
        <v>317</v>
      </c>
      <c r="M1327">
        <v>137</v>
      </c>
      <c r="T1327">
        <v>14</v>
      </c>
      <c r="U1327">
        <v>5</v>
      </c>
      <c r="Y1327">
        <v>14</v>
      </c>
      <c r="Z1327">
        <v>2</v>
      </c>
      <c r="AD1327">
        <v>11</v>
      </c>
      <c r="AE1327">
        <v>12</v>
      </c>
      <c r="AX1327">
        <v>19</v>
      </c>
      <c r="AY1327">
        <v>25</v>
      </c>
      <c r="AZ1327">
        <v>44</v>
      </c>
      <c r="BA1327">
        <v>16</v>
      </c>
      <c r="BB1327">
        <v>26</v>
      </c>
      <c r="BC1327">
        <v>42</v>
      </c>
      <c r="BD1327">
        <v>23</v>
      </c>
      <c r="BE1327">
        <v>7</v>
      </c>
      <c r="BF1327">
        <v>30</v>
      </c>
      <c r="BP1327">
        <v>17</v>
      </c>
      <c r="BR1327">
        <v>20</v>
      </c>
      <c r="BS1327">
        <v>3</v>
      </c>
      <c r="BT1327">
        <v>16</v>
      </c>
      <c r="BV1327">
        <v>2</v>
      </c>
      <c r="BW1327">
        <v>58</v>
      </c>
      <c r="BX1327" t="s">
        <v>82</v>
      </c>
      <c r="BY1327" s="5"/>
      <c r="BZ1327" s="6"/>
      <c r="CA1327" s="7">
        <v>41588</v>
      </c>
      <c r="CI1327">
        <f t="shared" si="155"/>
        <v>2013</v>
      </c>
      <c r="CJ1327" t="str">
        <f t="shared" si="156"/>
        <v>6304_2013</v>
      </c>
    </row>
    <row r="1328" spans="1:88" x14ac:dyDescent="0.25">
      <c r="A1328" t="s">
        <v>140</v>
      </c>
      <c r="B1328" t="s">
        <v>161</v>
      </c>
      <c r="C1328">
        <v>6305</v>
      </c>
      <c r="D1328">
        <v>-32.024799999999999</v>
      </c>
      <c r="E1328">
        <v>115.7513</v>
      </c>
      <c r="F1328">
        <v>2</v>
      </c>
      <c r="G1328" t="s">
        <v>488</v>
      </c>
      <c r="H1328">
        <v>8</v>
      </c>
      <c r="I1328">
        <v>188</v>
      </c>
      <c r="J1328">
        <v>184</v>
      </c>
      <c r="K1328">
        <v>4</v>
      </c>
      <c r="T1328">
        <v>196</v>
      </c>
      <c r="Y1328">
        <v>191</v>
      </c>
      <c r="AX1328">
        <v>196</v>
      </c>
      <c r="AY1328">
        <v>191</v>
      </c>
      <c r="AZ1328">
        <v>387</v>
      </c>
      <c r="BA1328">
        <v>191</v>
      </c>
      <c r="BB1328">
        <v>196</v>
      </c>
      <c r="BC1328">
        <v>387</v>
      </c>
      <c r="BP1328">
        <v>157</v>
      </c>
      <c r="BR1328">
        <v>131</v>
      </c>
      <c r="BS1328">
        <v>77</v>
      </c>
      <c r="BT1328">
        <v>21</v>
      </c>
      <c r="BV1328">
        <v>1</v>
      </c>
      <c r="BW1328">
        <v>387</v>
      </c>
      <c r="BX1328" t="s">
        <v>82</v>
      </c>
      <c r="BY1328" s="5"/>
      <c r="BZ1328" s="6"/>
      <c r="CA1328" s="7">
        <v>41588</v>
      </c>
      <c r="CI1328">
        <f t="shared" si="155"/>
        <v>2013</v>
      </c>
      <c r="CJ1328" t="str">
        <f t="shared" si="156"/>
        <v>6305_2013</v>
      </c>
    </row>
    <row r="1329" spans="1:88" x14ac:dyDescent="0.25">
      <c r="A1329" t="s">
        <v>140</v>
      </c>
      <c r="B1329" t="s">
        <v>161</v>
      </c>
      <c r="C1329">
        <v>6305</v>
      </c>
      <c r="D1329">
        <v>-32.024799999999999</v>
      </c>
      <c r="E1329">
        <v>115.7513</v>
      </c>
      <c r="F1329">
        <v>2</v>
      </c>
      <c r="G1329" t="s">
        <v>488</v>
      </c>
      <c r="H1329">
        <v>8</v>
      </c>
      <c r="I1329">
        <v>188</v>
      </c>
      <c r="J1329">
        <v>184</v>
      </c>
      <c r="K1329">
        <v>4</v>
      </c>
      <c r="T1329">
        <v>363</v>
      </c>
      <c r="Y1329">
        <v>317</v>
      </c>
      <c r="AX1329">
        <v>363</v>
      </c>
      <c r="AY1329">
        <v>317</v>
      </c>
      <c r="AZ1329">
        <v>680</v>
      </c>
      <c r="BA1329">
        <v>317</v>
      </c>
      <c r="BB1329">
        <v>363</v>
      </c>
      <c r="BC1329">
        <v>680</v>
      </c>
      <c r="BP1329">
        <v>327</v>
      </c>
      <c r="BR1329">
        <v>223</v>
      </c>
      <c r="BS1329">
        <v>91</v>
      </c>
      <c r="BT1329">
        <v>37</v>
      </c>
      <c r="BV1329">
        <v>2</v>
      </c>
      <c r="BW1329">
        <v>680</v>
      </c>
      <c r="BX1329">
        <f>IF(C1329=C1328,IF((CI1329-1)=CI1328,BW1328,"no data"))</f>
        <v>387</v>
      </c>
      <c r="BY1329" s="5">
        <f t="shared" si="157"/>
        <v>0.75710594315245483</v>
      </c>
      <c r="BZ1329" s="6">
        <f t="shared" si="158"/>
        <v>0.75710594315245483</v>
      </c>
      <c r="CA1329" s="7">
        <v>41952</v>
      </c>
      <c r="CI1329">
        <f t="shared" si="155"/>
        <v>2014</v>
      </c>
      <c r="CJ1329" t="str">
        <f t="shared" si="156"/>
        <v>6305_2014</v>
      </c>
    </row>
    <row r="1330" spans="1:88" x14ac:dyDescent="0.25">
      <c r="A1330" t="s">
        <v>140</v>
      </c>
      <c r="B1330" t="s">
        <v>161</v>
      </c>
      <c r="C1330">
        <v>6305</v>
      </c>
      <c r="D1330">
        <v>-32.024799999999999</v>
      </c>
      <c r="E1330">
        <v>115.7513</v>
      </c>
      <c r="F1330">
        <v>2</v>
      </c>
      <c r="G1330" t="s">
        <v>488</v>
      </c>
      <c r="H1330">
        <v>8</v>
      </c>
      <c r="I1330">
        <v>188</v>
      </c>
      <c r="J1330">
        <v>184</v>
      </c>
      <c r="K1330">
        <v>4</v>
      </c>
      <c r="T1330">
        <v>299</v>
      </c>
      <c r="Y1330">
        <v>303</v>
      </c>
      <c r="AX1330">
        <v>299</v>
      </c>
      <c r="AY1330">
        <v>303</v>
      </c>
      <c r="AZ1330">
        <v>602</v>
      </c>
      <c r="BA1330">
        <v>303</v>
      </c>
      <c r="BB1330">
        <v>299</v>
      </c>
      <c r="BC1330">
        <v>602</v>
      </c>
      <c r="BP1330">
        <v>212</v>
      </c>
      <c r="BR1330">
        <v>264</v>
      </c>
      <c r="BS1330">
        <v>64</v>
      </c>
      <c r="BT1330">
        <v>53</v>
      </c>
      <c r="BV1330">
        <v>9</v>
      </c>
      <c r="BW1330">
        <v>602</v>
      </c>
      <c r="BX1330">
        <f>IF(C1330=C1329,IF((CI1330-1)=CI1329,BW1329,"no data"))</f>
        <v>680</v>
      </c>
      <c r="BY1330" s="5">
        <f t="shared" si="157"/>
        <v>-0.11470588235294117</v>
      </c>
      <c r="BZ1330" s="6">
        <f t="shared" si="158"/>
        <v>-0.11470588235294117</v>
      </c>
      <c r="CA1330" s="7">
        <v>42316</v>
      </c>
      <c r="CE1330">
        <v>163</v>
      </c>
      <c r="CF1330">
        <v>166</v>
      </c>
      <c r="CG1330">
        <v>136</v>
      </c>
      <c r="CH1330">
        <v>137</v>
      </c>
      <c r="CI1330">
        <f t="shared" si="155"/>
        <v>2015</v>
      </c>
      <c r="CJ1330" t="str">
        <f t="shared" si="156"/>
        <v>6305_2015</v>
      </c>
    </row>
    <row r="1331" spans="1:88" x14ac:dyDescent="0.25">
      <c r="A1331" t="s">
        <v>140</v>
      </c>
      <c r="B1331" t="s">
        <v>161</v>
      </c>
      <c r="C1331">
        <v>6305</v>
      </c>
      <c r="D1331">
        <v>-32.024839999999998</v>
      </c>
      <c r="E1331">
        <v>115.751306</v>
      </c>
      <c r="F1331">
        <v>2</v>
      </c>
      <c r="G1331" t="s">
        <v>488</v>
      </c>
      <c r="H1331">
        <v>8</v>
      </c>
      <c r="I1331">
        <v>188</v>
      </c>
      <c r="J1331">
        <v>184</v>
      </c>
      <c r="K1331">
        <v>4</v>
      </c>
      <c r="T1331">
        <v>578</v>
      </c>
      <c r="Y1331">
        <v>582</v>
      </c>
      <c r="AX1331">
        <v>578</v>
      </c>
      <c r="AY1331">
        <v>582</v>
      </c>
      <c r="AZ1331">
        <v>1160</v>
      </c>
      <c r="BA1331">
        <v>582</v>
      </c>
      <c r="BB1331">
        <v>578</v>
      </c>
      <c r="BC1331">
        <v>1160</v>
      </c>
      <c r="BP1331">
        <v>222</v>
      </c>
      <c r="BR1331">
        <v>627</v>
      </c>
      <c r="BS1331">
        <v>74</v>
      </c>
      <c r="BT1331">
        <v>225</v>
      </c>
      <c r="BV1331">
        <v>12</v>
      </c>
      <c r="BW1331">
        <v>1160</v>
      </c>
      <c r="BX1331">
        <f>IF(C1331=C1330,IF((CI1331-1)=CI1330,BW1330,"no data"))</f>
        <v>602</v>
      </c>
      <c r="BY1331" s="5">
        <f t="shared" si="157"/>
        <v>0.92691029900332222</v>
      </c>
      <c r="BZ1331" s="6">
        <f t="shared" si="158"/>
        <v>0.92691029900332222</v>
      </c>
      <c r="CA1331" s="7">
        <v>42687</v>
      </c>
      <c r="CE1331">
        <v>358</v>
      </c>
      <c r="CF1331">
        <v>303</v>
      </c>
      <c r="CG1331">
        <v>277</v>
      </c>
      <c r="CH1331">
        <v>222</v>
      </c>
      <c r="CI1331">
        <f t="shared" si="155"/>
        <v>2016</v>
      </c>
      <c r="CJ1331" t="str">
        <f t="shared" si="156"/>
        <v>6305_2016</v>
      </c>
    </row>
    <row r="1332" spans="1:88" x14ac:dyDescent="0.25">
      <c r="A1332" t="s">
        <v>140</v>
      </c>
      <c r="B1332" t="s">
        <v>161</v>
      </c>
      <c r="C1332">
        <v>6305</v>
      </c>
      <c r="D1332">
        <v>-32.024839999999998</v>
      </c>
      <c r="E1332">
        <v>115.751306</v>
      </c>
      <c r="F1332">
        <v>2</v>
      </c>
      <c r="G1332" t="s">
        <v>488</v>
      </c>
      <c r="H1332">
        <v>8</v>
      </c>
      <c r="I1332">
        <v>188</v>
      </c>
      <c r="J1332">
        <v>184</v>
      </c>
      <c r="K1332">
        <v>4</v>
      </c>
      <c r="T1332">
        <v>129</v>
      </c>
      <c r="Y1332">
        <v>106</v>
      </c>
      <c r="AX1332">
        <v>129</v>
      </c>
      <c r="AY1332">
        <v>106</v>
      </c>
      <c r="AZ1332">
        <v>235</v>
      </c>
      <c r="BA1332">
        <v>106</v>
      </c>
      <c r="BB1332">
        <v>129</v>
      </c>
      <c r="BC1332">
        <v>235</v>
      </c>
      <c r="BP1332">
        <v>220</v>
      </c>
      <c r="BR1332">
        <v>11</v>
      </c>
      <c r="BS1332">
        <v>2</v>
      </c>
      <c r="BT1332">
        <v>2</v>
      </c>
      <c r="BV1332">
        <v>0</v>
      </c>
      <c r="BW1332">
        <v>235</v>
      </c>
      <c r="BX1332" t="str">
        <f>IF(C1332=C1331,IF((CI1332-1)=CI1331,BW1331,"no data"))</f>
        <v>no data</v>
      </c>
      <c r="BY1332" s="5"/>
      <c r="BZ1332" s="6"/>
      <c r="CA1332" s="7">
        <v>43415</v>
      </c>
      <c r="CE1332">
        <v>92</v>
      </c>
      <c r="CF1332">
        <v>62</v>
      </c>
      <c r="CG1332">
        <v>45</v>
      </c>
      <c r="CH1332">
        <v>36</v>
      </c>
      <c r="CI1332">
        <f t="shared" si="155"/>
        <v>2018</v>
      </c>
      <c r="CJ1332" t="str">
        <f t="shared" si="156"/>
        <v>6305_2018</v>
      </c>
    </row>
    <row r="1333" spans="1:88" x14ac:dyDescent="0.25">
      <c r="A1333" t="s">
        <v>140</v>
      </c>
      <c r="B1333" t="s">
        <v>161</v>
      </c>
      <c r="C1333">
        <v>6306</v>
      </c>
      <c r="D1333">
        <v>-32.0441</v>
      </c>
      <c r="E1333">
        <v>115.7533</v>
      </c>
      <c r="F1333">
        <v>4</v>
      </c>
      <c r="G1333" t="s">
        <v>489</v>
      </c>
      <c r="H1333">
        <v>21</v>
      </c>
      <c r="I1333">
        <v>201</v>
      </c>
      <c r="J1333">
        <v>44</v>
      </c>
      <c r="K1333">
        <v>224</v>
      </c>
      <c r="L1333">
        <v>198</v>
      </c>
      <c r="M1333">
        <v>18</v>
      </c>
      <c r="N1333">
        <v>232</v>
      </c>
      <c r="O1333">
        <v>52</v>
      </c>
      <c r="T1333">
        <v>18</v>
      </c>
      <c r="U1333">
        <v>2</v>
      </c>
      <c r="V1333">
        <v>113</v>
      </c>
      <c r="Y1333">
        <v>7</v>
      </c>
      <c r="Z1333">
        <v>51</v>
      </c>
      <c r="AA1333">
        <v>56</v>
      </c>
      <c r="AD1333">
        <v>1</v>
      </c>
      <c r="AE1333">
        <v>55</v>
      </c>
      <c r="AF1333">
        <v>0</v>
      </c>
      <c r="AI1333">
        <v>100</v>
      </c>
      <c r="AJ1333">
        <v>65</v>
      </c>
      <c r="AK1333">
        <v>6</v>
      </c>
      <c r="AX1333">
        <v>133</v>
      </c>
      <c r="AY1333">
        <v>108</v>
      </c>
      <c r="AZ1333">
        <v>241</v>
      </c>
      <c r="BA1333">
        <v>114</v>
      </c>
      <c r="BB1333">
        <v>138</v>
      </c>
      <c r="BC1333">
        <v>252</v>
      </c>
      <c r="BD1333">
        <v>56</v>
      </c>
      <c r="BE1333">
        <v>59</v>
      </c>
      <c r="BF1333">
        <v>115</v>
      </c>
      <c r="BG1333">
        <v>171</v>
      </c>
      <c r="BH1333">
        <v>169</v>
      </c>
      <c r="BI1333">
        <v>340</v>
      </c>
      <c r="BP1333">
        <v>366</v>
      </c>
      <c r="BR1333">
        <v>101</v>
      </c>
      <c r="BS1333">
        <v>3</v>
      </c>
      <c r="BT1333">
        <v>2</v>
      </c>
      <c r="BV1333">
        <v>2</v>
      </c>
      <c r="BW1333">
        <v>474</v>
      </c>
      <c r="BX1333" t="s">
        <v>82</v>
      </c>
      <c r="BY1333" s="5"/>
      <c r="BZ1333" s="6"/>
      <c r="CA1333" s="7">
        <v>41588</v>
      </c>
      <c r="CI1333">
        <f t="shared" si="155"/>
        <v>2013</v>
      </c>
      <c r="CJ1333" t="str">
        <f t="shared" si="156"/>
        <v>6306_2013</v>
      </c>
    </row>
    <row r="1334" spans="1:88" x14ac:dyDescent="0.25">
      <c r="A1334" t="s">
        <v>140</v>
      </c>
      <c r="B1334" t="s">
        <v>161</v>
      </c>
      <c r="C1334">
        <v>6306</v>
      </c>
      <c r="D1334">
        <v>-32.0441</v>
      </c>
      <c r="E1334">
        <v>115.7533</v>
      </c>
      <c r="F1334">
        <v>4</v>
      </c>
      <c r="G1334" t="s">
        <v>489</v>
      </c>
      <c r="H1334">
        <v>21</v>
      </c>
      <c r="I1334">
        <v>201</v>
      </c>
      <c r="J1334">
        <v>44</v>
      </c>
      <c r="K1334">
        <v>224</v>
      </c>
      <c r="L1334">
        <v>198</v>
      </c>
      <c r="M1334">
        <v>18</v>
      </c>
      <c r="N1334">
        <v>232</v>
      </c>
      <c r="O1334">
        <v>52</v>
      </c>
      <c r="T1334">
        <v>19</v>
      </c>
      <c r="U1334">
        <v>7</v>
      </c>
      <c r="V1334">
        <v>78</v>
      </c>
      <c r="Y1334">
        <v>2</v>
      </c>
      <c r="Z1334">
        <v>81</v>
      </c>
      <c r="AA1334">
        <v>63</v>
      </c>
      <c r="AD1334">
        <v>6</v>
      </c>
      <c r="AE1334">
        <v>60</v>
      </c>
      <c r="AF1334">
        <v>1</v>
      </c>
      <c r="AI1334">
        <v>98</v>
      </c>
      <c r="AJ1334">
        <v>59</v>
      </c>
      <c r="AK1334">
        <v>5</v>
      </c>
      <c r="AX1334">
        <v>104</v>
      </c>
      <c r="AY1334">
        <v>106</v>
      </c>
      <c r="AZ1334">
        <v>210</v>
      </c>
      <c r="BA1334">
        <v>146</v>
      </c>
      <c r="BB1334">
        <v>138</v>
      </c>
      <c r="BC1334">
        <v>284</v>
      </c>
      <c r="BD1334">
        <v>67</v>
      </c>
      <c r="BE1334">
        <v>93</v>
      </c>
      <c r="BF1334">
        <v>160</v>
      </c>
      <c r="BG1334">
        <v>162</v>
      </c>
      <c r="BH1334">
        <v>142</v>
      </c>
      <c r="BI1334">
        <v>304</v>
      </c>
      <c r="BP1334">
        <v>394</v>
      </c>
      <c r="BR1334">
        <v>53</v>
      </c>
      <c r="BS1334">
        <v>18</v>
      </c>
      <c r="BT1334">
        <v>6</v>
      </c>
      <c r="BV1334">
        <v>8</v>
      </c>
      <c r="BW1334">
        <v>479</v>
      </c>
      <c r="BX1334">
        <f>IF(C1334=C1333,IF((CI1334-1)=CI1333,BW1333,"no data"))</f>
        <v>474</v>
      </c>
      <c r="BY1334" s="5">
        <f t="shared" si="157"/>
        <v>1.0548523206751054E-2</v>
      </c>
      <c r="BZ1334" s="6">
        <f t="shared" si="158"/>
        <v>1.0548523206751054E-2</v>
      </c>
      <c r="CA1334" s="7">
        <v>41952</v>
      </c>
      <c r="CI1334">
        <f t="shared" si="155"/>
        <v>2014</v>
      </c>
      <c r="CJ1334" t="str">
        <f t="shared" si="156"/>
        <v>6306_2014</v>
      </c>
    </row>
    <row r="1335" spans="1:88" x14ac:dyDescent="0.25">
      <c r="A1335" t="s">
        <v>140</v>
      </c>
      <c r="B1335" t="s">
        <v>161</v>
      </c>
      <c r="C1335">
        <v>6306</v>
      </c>
      <c r="D1335">
        <v>-32.0441</v>
      </c>
      <c r="E1335">
        <v>115.7533</v>
      </c>
      <c r="F1335">
        <v>4</v>
      </c>
      <c r="G1335" t="s">
        <v>489</v>
      </c>
      <c r="H1335">
        <v>21</v>
      </c>
      <c r="I1335">
        <v>201</v>
      </c>
      <c r="J1335">
        <v>44</v>
      </c>
      <c r="K1335">
        <v>224</v>
      </c>
      <c r="L1335">
        <v>198</v>
      </c>
      <c r="M1335">
        <v>18</v>
      </c>
      <c r="N1335">
        <v>232</v>
      </c>
      <c r="O1335">
        <v>52</v>
      </c>
      <c r="T1335">
        <v>17</v>
      </c>
      <c r="U1335">
        <v>19</v>
      </c>
      <c r="V1335">
        <v>158</v>
      </c>
      <c r="Y1335">
        <v>9</v>
      </c>
      <c r="Z1335">
        <v>99</v>
      </c>
      <c r="AA1335">
        <v>64</v>
      </c>
      <c r="AD1335">
        <v>8</v>
      </c>
      <c r="AE1335">
        <v>61</v>
      </c>
      <c r="AF1335">
        <v>22</v>
      </c>
      <c r="AI1335">
        <v>134</v>
      </c>
      <c r="AJ1335">
        <v>114</v>
      </c>
      <c r="AK1335">
        <v>4</v>
      </c>
      <c r="AX1335">
        <v>194</v>
      </c>
      <c r="AY1335">
        <v>151</v>
      </c>
      <c r="AZ1335">
        <v>345</v>
      </c>
      <c r="BA1335">
        <v>172</v>
      </c>
      <c r="BB1335">
        <v>192</v>
      </c>
      <c r="BC1335">
        <v>364</v>
      </c>
      <c r="BD1335">
        <v>91</v>
      </c>
      <c r="BE1335">
        <v>122</v>
      </c>
      <c r="BF1335">
        <v>213</v>
      </c>
      <c r="BG1335">
        <v>252</v>
      </c>
      <c r="BH1335">
        <v>244</v>
      </c>
      <c r="BI1335">
        <v>496</v>
      </c>
      <c r="BP1335">
        <v>524</v>
      </c>
      <c r="BR1335">
        <v>170</v>
      </c>
      <c r="BS1335">
        <v>3</v>
      </c>
      <c r="BT1335">
        <v>8</v>
      </c>
      <c r="BV1335">
        <v>4</v>
      </c>
      <c r="BW1335">
        <v>709</v>
      </c>
      <c r="BX1335">
        <f>IF(C1335=C1334,IF((CI1335-1)=CI1334,BW1334,"no data"))</f>
        <v>479</v>
      </c>
      <c r="BY1335" s="5">
        <f t="shared" si="157"/>
        <v>0.4801670146137787</v>
      </c>
      <c r="BZ1335" s="6">
        <f t="shared" si="158"/>
        <v>0.4801670146137787</v>
      </c>
      <c r="CA1335" s="7">
        <v>42316</v>
      </c>
      <c r="CE1335">
        <v>221</v>
      </c>
      <c r="CF1335">
        <v>199</v>
      </c>
      <c r="CG1335">
        <v>161</v>
      </c>
      <c r="CH1335">
        <v>128</v>
      </c>
      <c r="CI1335">
        <f t="shared" si="155"/>
        <v>2015</v>
      </c>
      <c r="CJ1335" t="str">
        <f t="shared" si="156"/>
        <v>6306_2015</v>
      </c>
    </row>
    <row r="1336" spans="1:88" x14ac:dyDescent="0.25">
      <c r="A1336" t="s">
        <v>140</v>
      </c>
      <c r="B1336" t="s">
        <v>161</v>
      </c>
      <c r="C1336">
        <v>6306</v>
      </c>
      <c r="D1336">
        <v>-32.044094000000001</v>
      </c>
      <c r="E1336">
        <v>115.753305</v>
      </c>
      <c r="F1336">
        <v>4</v>
      </c>
      <c r="G1336" t="s">
        <v>489</v>
      </c>
      <c r="H1336">
        <v>21</v>
      </c>
      <c r="I1336">
        <v>201</v>
      </c>
      <c r="J1336">
        <v>44</v>
      </c>
      <c r="K1336">
        <v>224</v>
      </c>
      <c r="L1336">
        <v>198</v>
      </c>
      <c r="M1336">
        <v>18</v>
      </c>
      <c r="N1336">
        <v>232</v>
      </c>
      <c r="O1336">
        <v>52</v>
      </c>
      <c r="T1336">
        <v>20</v>
      </c>
      <c r="U1336">
        <v>10</v>
      </c>
      <c r="V1336">
        <v>121</v>
      </c>
      <c r="Y1336">
        <v>1</v>
      </c>
      <c r="Z1336">
        <v>91</v>
      </c>
      <c r="AA1336">
        <v>78</v>
      </c>
      <c r="AD1336">
        <v>0</v>
      </c>
      <c r="AE1336">
        <v>68</v>
      </c>
      <c r="AF1336">
        <v>2</v>
      </c>
      <c r="AI1336">
        <v>139</v>
      </c>
      <c r="AJ1336">
        <v>91</v>
      </c>
      <c r="AK1336">
        <v>4</v>
      </c>
      <c r="AX1336">
        <v>151</v>
      </c>
      <c r="AY1336">
        <v>140</v>
      </c>
      <c r="AZ1336">
        <v>291</v>
      </c>
      <c r="BA1336">
        <v>170</v>
      </c>
      <c r="BB1336">
        <v>179</v>
      </c>
      <c r="BC1336">
        <v>349</v>
      </c>
      <c r="BD1336">
        <v>70</v>
      </c>
      <c r="BE1336">
        <v>105</v>
      </c>
      <c r="BF1336">
        <v>175</v>
      </c>
      <c r="BG1336">
        <v>234</v>
      </c>
      <c r="BH1336">
        <v>201</v>
      </c>
      <c r="BI1336">
        <v>435</v>
      </c>
      <c r="BP1336">
        <v>448</v>
      </c>
      <c r="BR1336">
        <v>151</v>
      </c>
      <c r="BS1336">
        <v>13</v>
      </c>
      <c r="BT1336">
        <v>8</v>
      </c>
      <c r="BV1336">
        <v>5</v>
      </c>
      <c r="BW1336">
        <v>625</v>
      </c>
      <c r="BX1336">
        <f>IF(C1336=C1335,IF((CI1336-1)=CI1335,BW1335,"no data"))</f>
        <v>709</v>
      </c>
      <c r="BY1336" s="5">
        <f t="shared" si="157"/>
        <v>-0.11847672778561354</v>
      </c>
      <c r="BZ1336" s="6">
        <f t="shared" si="158"/>
        <v>-0.11847672778561354</v>
      </c>
      <c r="CA1336" s="7">
        <v>42687</v>
      </c>
      <c r="CE1336">
        <v>246</v>
      </c>
      <c r="CF1336">
        <v>138</v>
      </c>
      <c r="CG1336">
        <v>126</v>
      </c>
      <c r="CH1336">
        <v>115</v>
      </c>
      <c r="CI1336">
        <f t="shared" si="155"/>
        <v>2016</v>
      </c>
      <c r="CJ1336" t="str">
        <f t="shared" si="156"/>
        <v>6306_2016</v>
      </c>
    </row>
    <row r="1337" spans="1:88" x14ac:dyDescent="0.25">
      <c r="A1337" t="s">
        <v>140</v>
      </c>
      <c r="B1337" t="s">
        <v>161</v>
      </c>
      <c r="C1337">
        <v>6306</v>
      </c>
      <c r="D1337">
        <v>-32.044094000000001</v>
      </c>
      <c r="E1337">
        <v>115.753305</v>
      </c>
      <c r="F1337">
        <v>4</v>
      </c>
      <c r="G1337" t="s">
        <v>489</v>
      </c>
      <c r="H1337">
        <v>21</v>
      </c>
      <c r="I1337">
        <v>201</v>
      </c>
      <c r="J1337">
        <v>44</v>
      </c>
      <c r="K1337">
        <v>224</v>
      </c>
      <c r="L1337">
        <v>198</v>
      </c>
      <c r="M1337">
        <v>18</v>
      </c>
      <c r="N1337">
        <v>232</v>
      </c>
      <c r="O1337">
        <v>52</v>
      </c>
      <c r="T1337">
        <v>14</v>
      </c>
      <c r="U1337">
        <v>4</v>
      </c>
      <c r="V1337">
        <v>85</v>
      </c>
      <c r="Y1337">
        <v>6</v>
      </c>
      <c r="Z1337">
        <v>105</v>
      </c>
      <c r="AA1337">
        <v>56</v>
      </c>
      <c r="AD1337">
        <v>1</v>
      </c>
      <c r="AE1337">
        <v>54</v>
      </c>
      <c r="AF1337">
        <v>3</v>
      </c>
      <c r="AI1337">
        <v>98</v>
      </c>
      <c r="AJ1337">
        <v>73</v>
      </c>
      <c r="AK1337">
        <v>1</v>
      </c>
      <c r="AX1337">
        <v>103</v>
      </c>
      <c r="AY1337">
        <v>105</v>
      </c>
      <c r="AZ1337">
        <v>208</v>
      </c>
      <c r="BA1337">
        <v>167</v>
      </c>
      <c r="BB1337">
        <v>141</v>
      </c>
      <c r="BC1337">
        <v>308</v>
      </c>
      <c r="BD1337">
        <v>58</v>
      </c>
      <c r="BE1337">
        <v>110</v>
      </c>
      <c r="BF1337">
        <v>168</v>
      </c>
      <c r="BG1337">
        <v>172</v>
      </c>
      <c r="BH1337">
        <v>144</v>
      </c>
      <c r="BI1337">
        <v>316</v>
      </c>
      <c r="BP1337">
        <v>350</v>
      </c>
      <c r="BR1337">
        <v>122</v>
      </c>
      <c r="BS1337">
        <v>19</v>
      </c>
      <c r="BT1337">
        <v>0</v>
      </c>
      <c r="BV1337">
        <v>9</v>
      </c>
      <c r="BW1337">
        <v>500</v>
      </c>
      <c r="BX1337" t="str">
        <f>IF(C1337=C1336,IF((CI1337-1)=CI1336,BW1336,"no data"))</f>
        <v>no data</v>
      </c>
      <c r="BY1337" s="5"/>
      <c r="BZ1337" s="6"/>
      <c r="CA1337" s="7">
        <v>43415</v>
      </c>
      <c r="CE1337">
        <v>173</v>
      </c>
      <c r="CF1337">
        <v>151</v>
      </c>
      <c r="CG1337">
        <v>115</v>
      </c>
      <c r="CH1337">
        <v>61</v>
      </c>
      <c r="CI1337">
        <f t="shared" si="155"/>
        <v>2018</v>
      </c>
      <c r="CJ1337" t="str">
        <f t="shared" si="156"/>
        <v>6306_2018</v>
      </c>
    </row>
    <row r="1338" spans="1:88" x14ac:dyDescent="0.25">
      <c r="A1338" t="s">
        <v>140</v>
      </c>
      <c r="B1338" t="s">
        <v>161</v>
      </c>
      <c r="C1338">
        <v>6307</v>
      </c>
      <c r="D1338">
        <v>-32.073399999999999</v>
      </c>
      <c r="E1338">
        <v>115.7517</v>
      </c>
      <c r="F1338">
        <v>2</v>
      </c>
      <c r="G1338" t="s">
        <v>490</v>
      </c>
      <c r="H1338">
        <v>165</v>
      </c>
      <c r="I1338">
        <v>345</v>
      </c>
      <c r="J1338">
        <v>349</v>
      </c>
      <c r="K1338">
        <v>169</v>
      </c>
      <c r="T1338">
        <v>121</v>
      </c>
      <c r="Y1338">
        <v>147</v>
      </c>
      <c r="AX1338">
        <v>121</v>
      </c>
      <c r="AY1338">
        <v>147</v>
      </c>
      <c r="AZ1338">
        <v>268</v>
      </c>
      <c r="BA1338">
        <v>147</v>
      </c>
      <c r="BB1338">
        <v>121</v>
      </c>
      <c r="BC1338">
        <v>268</v>
      </c>
      <c r="BP1338">
        <v>198</v>
      </c>
      <c r="BR1338">
        <v>52</v>
      </c>
      <c r="BS1338">
        <v>11</v>
      </c>
      <c r="BT1338">
        <v>5</v>
      </c>
      <c r="BV1338">
        <v>2</v>
      </c>
      <c r="BW1338">
        <v>268</v>
      </c>
      <c r="BX1338" t="s">
        <v>82</v>
      </c>
      <c r="BY1338" s="5"/>
      <c r="BZ1338" s="6"/>
      <c r="CA1338" s="7">
        <v>41588</v>
      </c>
      <c r="CI1338">
        <f t="shared" si="155"/>
        <v>2013</v>
      </c>
      <c r="CJ1338" t="str">
        <f t="shared" si="156"/>
        <v>6307_2013</v>
      </c>
    </row>
    <row r="1339" spans="1:88" x14ac:dyDescent="0.25">
      <c r="A1339" t="s">
        <v>140</v>
      </c>
      <c r="B1339" t="s">
        <v>161</v>
      </c>
      <c r="C1339">
        <v>6307</v>
      </c>
      <c r="D1339">
        <v>-32.073399999999999</v>
      </c>
      <c r="E1339">
        <v>115.7517</v>
      </c>
      <c r="F1339">
        <v>2</v>
      </c>
      <c r="G1339" t="s">
        <v>490</v>
      </c>
      <c r="H1339">
        <v>165</v>
      </c>
      <c r="I1339">
        <v>345</v>
      </c>
      <c r="J1339">
        <v>349</v>
      </c>
      <c r="K1339">
        <v>169</v>
      </c>
      <c r="T1339">
        <v>224</v>
      </c>
      <c r="Y1339">
        <v>198</v>
      </c>
      <c r="AX1339">
        <v>224</v>
      </c>
      <c r="AY1339">
        <v>198</v>
      </c>
      <c r="AZ1339">
        <v>422</v>
      </c>
      <c r="BA1339">
        <v>198</v>
      </c>
      <c r="BB1339">
        <v>224</v>
      </c>
      <c r="BC1339">
        <v>422</v>
      </c>
      <c r="BP1339">
        <v>251</v>
      </c>
      <c r="BR1339">
        <v>129</v>
      </c>
      <c r="BS1339">
        <v>19</v>
      </c>
      <c r="BT1339">
        <v>16</v>
      </c>
      <c r="BV1339">
        <v>7</v>
      </c>
      <c r="BW1339">
        <v>422</v>
      </c>
      <c r="BX1339">
        <f>IF(C1339=C1338,IF((CI1339-1)=CI1338,BW1338,"no data"))</f>
        <v>268</v>
      </c>
      <c r="BY1339" s="5">
        <f t="shared" si="157"/>
        <v>0.57462686567164178</v>
      </c>
      <c r="BZ1339" s="6">
        <f t="shared" si="158"/>
        <v>0.57462686567164178</v>
      </c>
      <c r="CA1339" s="7">
        <v>41952</v>
      </c>
      <c r="CI1339">
        <f t="shared" si="155"/>
        <v>2014</v>
      </c>
      <c r="CJ1339" t="str">
        <f t="shared" si="156"/>
        <v>6307_2014</v>
      </c>
    </row>
    <row r="1340" spans="1:88" x14ac:dyDescent="0.25">
      <c r="A1340" t="s">
        <v>140</v>
      </c>
      <c r="B1340" t="s">
        <v>161</v>
      </c>
      <c r="C1340">
        <v>6307</v>
      </c>
      <c r="D1340">
        <v>-32.073399999999999</v>
      </c>
      <c r="E1340">
        <v>115.7517</v>
      </c>
      <c r="F1340">
        <v>2</v>
      </c>
      <c r="G1340" t="s">
        <v>490</v>
      </c>
      <c r="H1340">
        <v>165</v>
      </c>
      <c r="I1340">
        <v>345</v>
      </c>
      <c r="J1340">
        <v>349</v>
      </c>
      <c r="K1340">
        <v>169</v>
      </c>
      <c r="T1340">
        <v>629</v>
      </c>
      <c r="Y1340">
        <v>260</v>
      </c>
      <c r="AX1340">
        <v>629</v>
      </c>
      <c r="AY1340">
        <v>260</v>
      </c>
      <c r="AZ1340">
        <v>889</v>
      </c>
      <c r="BA1340">
        <v>260</v>
      </c>
      <c r="BB1340">
        <v>629</v>
      </c>
      <c r="BC1340">
        <v>889</v>
      </c>
      <c r="BP1340">
        <v>272</v>
      </c>
      <c r="BR1340">
        <v>452</v>
      </c>
      <c r="BS1340">
        <v>21</v>
      </c>
      <c r="BT1340">
        <v>128</v>
      </c>
      <c r="BV1340">
        <v>16</v>
      </c>
      <c r="BW1340">
        <v>889</v>
      </c>
      <c r="BX1340">
        <f>IF(C1340=C1339,IF((CI1340-1)=CI1339,BW1339,"no data"))</f>
        <v>422</v>
      </c>
      <c r="BY1340" s="5">
        <f t="shared" si="157"/>
        <v>1.1066350710900474</v>
      </c>
      <c r="BZ1340" s="6">
        <f t="shared" si="158"/>
        <v>1.1066350710900474</v>
      </c>
      <c r="CA1340" s="7">
        <v>42316</v>
      </c>
      <c r="CE1340">
        <v>314</v>
      </c>
      <c r="CF1340">
        <v>238</v>
      </c>
      <c r="CG1340">
        <v>210</v>
      </c>
      <c r="CH1340">
        <v>127</v>
      </c>
      <c r="CI1340">
        <f t="shared" si="155"/>
        <v>2015</v>
      </c>
      <c r="CJ1340" t="str">
        <f t="shared" si="156"/>
        <v>6307_2015</v>
      </c>
    </row>
    <row r="1341" spans="1:88" x14ac:dyDescent="0.25">
      <c r="A1341" t="s">
        <v>140</v>
      </c>
      <c r="B1341" t="s">
        <v>161</v>
      </c>
      <c r="C1341">
        <v>6307</v>
      </c>
      <c r="D1341">
        <v>-32.073352</v>
      </c>
      <c r="E1341">
        <v>115.75166299999999</v>
      </c>
      <c r="F1341">
        <v>2</v>
      </c>
      <c r="G1341" t="s">
        <v>490</v>
      </c>
      <c r="H1341">
        <v>165</v>
      </c>
      <c r="I1341">
        <v>345</v>
      </c>
      <c r="J1341">
        <v>349</v>
      </c>
      <c r="K1341">
        <v>169</v>
      </c>
      <c r="T1341">
        <v>239</v>
      </c>
      <c r="Y1341">
        <v>251</v>
      </c>
      <c r="AX1341">
        <v>239</v>
      </c>
      <c r="AY1341">
        <v>251</v>
      </c>
      <c r="AZ1341">
        <v>490</v>
      </c>
      <c r="BA1341">
        <v>251</v>
      </c>
      <c r="BB1341">
        <v>239</v>
      </c>
      <c r="BC1341">
        <v>490</v>
      </c>
      <c r="BP1341">
        <v>335</v>
      </c>
      <c r="BR1341">
        <v>104</v>
      </c>
      <c r="BS1341">
        <v>28</v>
      </c>
      <c r="BT1341">
        <v>8</v>
      </c>
      <c r="BV1341">
        <v>15</v>
      </c>
      <c r="BW1341">
        <v>490</v>
      </c>
      <c r="BX1341">
        <f>IF(C1341=C1340,IF((CI1341-1)=CI1340,BW1340,"no data"))</f>
        <v>889</v>
      </c>
      <c r="BY1341" s="5">
        <f t="shared" si="157"/>
        <v>-0.44881889763779526</v>
      </c>
      <c r="BZ1341" s="6">
        <f t="shared" si="158"/>
        <v>-0.44881889763779526</v>
      </c>
      <c r="CA1341" s="7">
        <v>42687</v>
      </c>
      <c r="CE1341">
        <v>133</v>
      </c>
      <c r="CF1341">
        <v>108</v>
      </c>
      <c r="CG1341">
        <v>145</v>
      </c>
      <c r="CH1341">
        <v>104</v>
      </c>
      <c r="CI1341">
        <f t="shared" si="155"/>
        <v>2016</v>
      </c>
      <c r="CJ1341" t="str">
        <f t="shared" si="156"/>
        <v>6307_2016</v>
      </c>
    </row>
    <row r="1342" spans="1:88" x14ac:dyDescent="0.25">
      <c r="A1342" t="s">
        <v>140</v>
      </c>
      <c r="B1342" t="s">
        <v>161</v>
      </c>
      <c r="C1342">
        <v>6307</v>
      </c>
      <c r="D1342">
        <v>-32.073352</v>
      </c>
      <c r="E1342">
        <v>115.75166299999999</v>
      </c>
      <c r="F1342">
        <v>2</v>
      </c>
      <c r="G1342" t="s">
        <v>490</v>
      </c>
      <c r="H1342">
        <v>165</v>
      </c>
      <c r="I1342">
        <v>345</v>
      </c>
      <c r="J1342">
        <v>349</v>
      </c>
      <c r="K1342">
        <v>169</v>
      </c>
      <c r="T1342">
        <v>544</v>
      </c>
      <c r="Y1342">
        <v>473</v>
      </c>
      <c r="AX1342">
        <v>544</v>
      </c>
      <c r="AY1342">
        <v>473</v>
      </c>
      <c r="AZ1342">
        <v>1017</v>
      </c>
      <c r="BA1342">
        <v>473</v>
      </c>
      <c r="BB1342">
        <v>544</v>
      </c>
      <c r="BC1342">
        <v>1017</v>
      </c>
      <c r="BP1342">
        <v>225</v>
      </c>
      <c r="BR1342">
        <v>586</v>
      </c>
      <c r="BS1342">
        <v>47</v>
      </c>
      <c r="BT1342">
        <v>120</v>
      </c>
      <c r="BV1342">
        <v>39</v>
      </c>
      <c r="BW1342">
        <v>1017</v>
      </c>
      <c r="BX1342" t="str">
        <f>IF(C1342=C1341,IF((CI1342-1)=CI1341,BW1341,"no data"))</f>
        <v>no data</v>
      </c>
      <c r="BY1342" s="5"/>
      <c r="BZ1342" s="6"/>
      <c r="CA1342" s="7">
        <v>43415</v>
      </c>
      <c r="CE1342">
        <v>250</v>
      </c>
      <c r="CF1342">
        <v>295</v>
      </c>
      <c r="CG1342">
        <v>253</v>
      </c>
      <c r="CH1342">
        <v>219</v>
      </c>
      <c r="CI1342">
        <f t="shared" si="155"/>
        <v>2018</v>
      </c>
      <c r="CJ1342" t="str">
        <f t="shared" si="156"/>
        <v>6307_2018</v>
      </c>
    </row>
    <row r="1343" spans="1:88" x14ac:dyDescent="0.25">
      <c r="A1343" t="s">
        <v>140</v>
      </c>
      <c r="B1343" t="s">
        <v>161</v>
      </c>
      <c r="C1343">
        <v>6308</v>
      </c>
      <c r="D1343">
        <v>-32.076599999999999</v>
      </c>
      <c r="E1343">
        <v>115.7535</v>
      </c>
      <c r="F1343">
        <v>4</v>
      </c>
      <c r="G1343" t="s">
        <v>491</v>
      </c>
      <c r="H1343">
        <v>2</v>
      </c>
      <c r="I1343">
        <v>182</v>
      </c>
      <c r="J1343">
        <v>92</v>
      </c>
      <c r="K1343">
        <v>272</v>
      </c>
      <c r="L1343">
        <v>184</v>
      </c>
      <c r="M1343">
        <v>4</v>
      </c>
      <c r="N1343">
        <v>273</v>
      </c>
      <c r="O1343">
        <v>93</v>
      </c>
      <c r="T1343">
        <v>23</v>
      </c>
      <c r="U1343">
        <v>40</v>
      </c>
      <c r="V1343">
        <v>13</v>
      </c>
      <c r="Y1343">
        <v>14</v>
      </c>
      <c r="Z1343">
        <v>8</v>
      </c>
      <c r="AA1343">
        <v>125</v>
      </c>
      <c r="AD1343">
        <v>18</v>
      </c>
      <c r="AE1343">
        <v>9</v>
      </c>
      <c r="AF1343">
        <v>171</v>
      </c>
      <c r="AI1343">
        <v>26</v>
      </c>
      <c r="AJ1343">
        <v>136</v>
      </c>
      <c r="AK1343">
        <v>167</v>
      </c>
      <c r="AX1343">
        <v>76</v>
      </c>
      <c r="AY1343">
        <v>58</v>
      </c>
      <c r="AZ1343">
        <v>134</v>
      </c>
      <c r="BA1343">
        <v>147</v>
      </c>
      <c r="BB1343">
        <v>168</v>
      </c>
      <c r="BC1343">
        <v>315</v>
      </c>
      <c r="BD1343">
        <v>198</v>
      </c>
      <c r="BE1343">
        <v>215</v>
      </c>
      <c r="BF1343">
        <v>413</v>
      </c>
      <c r="BG1343">
        <v>329</v>
      </c>
      <c r="BH1343">
        <v>309</v>
      </c>
      <c r="BI1343">
        <v>638</v>
      </c>
      <c r="BP1343">
        <v>152</v>
      </c>
      <c r="BR1343">
        <v>500</v>
      </c>
      <c r="BS1343">
        <v>15</v>
      </c>
      <c r="BT1343">
        <v>83</v>
      </c>
      <c r="BV1343">
        <v>0</v>
      </c>
      <c r="BW1343">
        <v>750</v>
      </c>
      <c r="BX1343" t="s">
        <v>82</v>
      </c>
      <c r="BY1343" s="5"/>
      <c r="BZ1343" s="6"/>
      <c r="CA1343" s="7">
        <v>41588</v>
      </c>
      <c r="CI1343">
        <f t="shared" si="155"/>
        <v>2013</v>
      </c>
      <c r="CJ1343" t="str">
        <f t="shared" si="156"/>
        <v>6308_2013</v>
      </c>
    </row>
    <row r="1344" spans="1:88" x14ac:dyDescent="0.25">
      <c r="A1344" t="s">
        <v>140</v>
      </c>
      <c r="B1344" t="s">
        <v>161</v>
      </c>
      <c r="C1344">
        <v>6308</v>
      </c>
      <c r="D1344">
        <v>-32.076599999999999</v>
      </c>
      <c r="E1344">
        <v>115.7535</v>
      </c>
      <c r="F1344">
        <v>4</v>
      </c>
      <c r="G1344" t="s">
        <v>491</v>
      </c>
      <c r="H1344">
        <v>2</v>
      </c>
      <c r="I1344">
        <v>182</v>
      </c>
      <c r="J1344">
        <v>92</v>
      </c>
      <c r="K1344">
        <v>272</v>
      </c>
      <c r="L1344">
        <v>184</v>
      </c>
      <c r="M1344">
        <v>4</v>
      </c>
      <c r="N1344">
        <v>273</v>
      </c>
      <c r="O1344">
        <v>93</v>
      </c>
      <c r="T1344">
        <v>25</v>
      </c>
      <c r="U1344">
        <v>30</v>
      </c>
      <c r="V1344">
        <v>54</v>
      </c>
      <c r="Y1344">
        <v>18</v>
      </c>
      <c r="Z1344">
        <v>4</v>
      </c>
      <c r="AA1344">
        <v>90</v>
      </c>
      <c r="AD1344">
        <v>33</v>
      </c>
      <c r="AE1344">
        <v>5</v>
      </c>
      <c r="AF1344">
        <v>49</v>
      </c>
      <c r="AI1344">
        <v>26</v>
      </c>
      <c r="AJ1344">
        <v>67</v>
      </c>
      <c r="AK1344">
        <v>42</v>
      </c>
      <c r="AX1344">
        <v>109</v>
      </c>
      <c r="AY1344">
        <v>77</v>
      </c>
      <c r="AZ1344">
        <v>186</v>
      </c>
      <c r="BA1344">
        <v>112</v>
      </c>
      <c r="BB1344">
        <v>97</v>
      </c>
      <c r="BC1344">
        <v>209</v>
      </c>
      <c r="BD1344">
        <v>87</v>
      </c>
      <c r="BE1344">
        <v>76</v>
      </c>
      <c r="BF1344">
        <v>163</v>
      </c>
      <c r="BG1344">
        <v>135</v>
      </c>
      <c r="BH1344">
        <v>193</v>
      </c>
      <c r="BI1344">
        <v>328</v>
      </c>
      <c r="BP1344">
        <v>138</v>
      </c>
      <c r="BR1344">
        <v>237</v>
      </c>
      <c r="BS1344">
        <v>15</v>
      </c>
      <c r="BT1344">
        <v>49</v>
      </c>
      <c r="BV1344">
        <v>4</v>
      </c>
      <c r="BW1344">
        <v>443</v>
      </c>
      <c r="BX1344">
        <f>IF(C1344=C1343,IF((CI1344-1)=CI1343,BW1343,"no data"))</f>
        <v>750</v>
      </c>
      <c r="BY1344" s="5">
        <f t="shared" si="157"/>
        <v>-0.40933333333333333</v>
      </c>
      <c r="BZ1344" s="6">
        <f t="shared" si="158"/>
        <v>-0.40933333333333333</v>
      </c>
      <c r="CA1344" s="7">
        <v>41952</v>
      </c>
      <c r="CI1344">
        <f t="shared" si="155"/>
        <v>2014</v>
      </c>
      <c r="CJ1344" t="str">
        <f t="shared" si="156"/>
        <v>6308_2014</v>
      </c>
    </row>
    <row r="1345" spans="1:88" x14ac:dyDescent="0.25">
      <c r="A1345" t="s">
        <v>140</v>
      </c>
      <c r="B1345" t="s">
        <v>161</v>
      </c>
      <c r="C1345">
        <v>6308</v>
      </c>
      <c r="D1345">
        <v>-32.076599999999999</v>
      </c>
      <c r="E1345">
        <v>115.7535</v>
      </c>
      <c r="F1345">
        <v>4</v>
      </c>
      <c r="G1345" t="s">
        <v>491</v>
      </c>
      <c r="H1345">
        <v>2</v>
      </c>
      <c r="I1345">
        <v>182</v>
      </c>
      <c r="J1345">
        <v>92</v>
      </c>
      <c r="K1345">
        <v>272</v>
      </c>
      <c r="L1345">
        <v>184</v>
      </c>
      <c r="M1345">
        <v>4</v>
      </c>
      <c r="N1345">
        <v>273</v>
      </c>
      <c r="O1345">
        <v>93</v>
      </c>
      <c r="T1345">
        <v>42</v>
      </c>
      <c r="U1345">
        <v>51</v>
      </c>
      <c r="V1345">
        <v>89</v>
      </c>
      <c r="Y1345">
        <v>21</v>
      </c>
      <c r="Z1345">
        <v>15</v>
      </c>
      <c r="AA1345">
        <v>186</v>
      </c>
      <c r="AD1345">
        <v>36</v>
      </c>
      <c r="AE1345">
        <v>9</v>
      </c>
      <c r="AF1345">
        <v>136</v>
      </c>
      <c r="AI1345">
        <v>60</v>
      </c>
      <c r="AJ1345">
        <v>135</v>
      </c>
      <c r="AK1345">
        <v>142</v>
      </c>
      <c r="AX1345">
        <v>182</v>
      </c>
      <c r="AY1345">
        <v>117</v>
      </c>
      <c r="AZ1345">
        <v>299</v>
      </c>
      <c r="BA1345">
        <v>222</v>
      </c>
      <c r="BB1345">
        <v>186</v>
      </c>
      <c r="BC1345">
        <v>408</v>
      </c>
      <c r="BD1345">
        <v>181</v>
      </c>
      <c r="BE1345">
        <v>208</v>
      </c>
      <c r="BF1345">
        <v>389</v>
      </c>
      <c r="BG1345">
        <v>337</v>
      </c>
      <c r="BH1345">
        <v>411</v>
      </c>
      <c r="BI1345">
        <v>748</v>
      </c>
      <c r="BP1345">
        <v>247</v>
      </c>
      <c r="BR1345">
        <v>508</v>
      </c>
      <c r="BS1345">
        <v>14</v>
      </c>
      <c r="BT1345">
        <v>101</v>
      </c>
      <c r="BV1345">
        <v>52</v>
      </c>
      <c r="BW1345">
        <v>922</v>
      </c>
      <c r="BX1345">
        <f>IF(C1345=C1344,IF((CI1345-1)=CI1344,BW1344,"no data"))</f>
        <v>443</v>
      </c>
      <c r="BY1345" s="5">
        <f t="shared" si="157"/>
        <v>1.0812641083521444</v>
      </c>
      <c r="BZ1345" s="6">
        <f t="shared" si="158"/>
        <v>1.0812641083521444</v>
      </c>
      <c r="CA1345" s="7">
        <v>42316</v>
      </c>
      <c r="CE1345">
        <v>241</v>
      </c>
      <c r="CF1345">
        <v>240</v>
      </c>
      <c r="CG1345">
        <v>243</v>
      </c>
      <c r="CH1345">
        <v>198</v>
      </c>
      <c r="CI1345">
        <f t="shared" si="155"/>
        <v>2015</v>
      </c>
      <c r="CJ1345" t="str">
        <f t="shared" si="156"/>
        <v>6308_2015</v>
      </c>
    </row>
    <row r="1346" spans="1:88" x14ac:dyDescent="0.25">
      <c r="A1346" t="s">
        <v>140</v>
      </c>
      <c r="B1346" t="s">
        <v>161</v>
      </c>
      <c r="C1346">
        <v>6308</v>
      </c>
      <c r="D1346">
        <v>-32.076627999999999</v>
      </c>
      <c r="E1346">
        <v>115.75349799999999</v>
      </c>
      <c r="F1346">
        <v>4</v>
      </c>
      <c r="G1346" t="s">
        <v>491</v>
      </c>
      <c r="H1346">
        <v>2</v>
      </c>
      <c r="I1346">
        <v>182</v>
      </c>
      <c r="J1346">
        <v>92</v>
      </c>
      <c r="K1346">
        <v>272</v>
      </c>
      <c r="L1346">
        <v>184</v>
      </c>
      <c r="M1346">
        <v>4</v>
      </c>
      <c r="N1346">
        <v>273</v>
      </c>
      <c r="O1346">
        <v>93</v>
      </c>
      <c r="T1346">
        <v>13</v>
      </c>
      <c r="U1346">
        <v>53</v>
      </c>
      <c r="V1346">
        <v>449</v>
      </c>
      <c r="Y1346">
        <v>24</v>
      </c>
      <c r="Z1346">
        <v>9</v>
      </c>
      <c r="AA1346">
        <v>197</v>
      </c>
      <c r="AD1346">
        <v>56</v>
      </c>
      <c r="AE1346">
        <v>5</v>
      </c>
      <c r="AF1346">
        <v>72</v>
      </c>
      <c r="AI1346">
        <v>355</v>
      </c>
      <c r="AJ1346">
        <v>181</v>
      </c>
      <c r="AK1346">
        <v>90</v>
      </c>
      <c r="AX1346">
        <v>515</v>
      </c>
      <c r="AY1346">
        <v>435</v>
      </c>
      <c r="AZ1346">
        <v>950</v>
      </c>
      <c r="BA1346">
        <v>230</v>
      </c>
      <c r="BB1346">
        <v>199</v>
      </c>
      <c r="BC1346">
        <v>429</v>
      </c>
      <c r="BD1346">
        <v>133</v>
      </c>
      <c r="BE1346">
        <v>152</v>
      </c>
      <c r="BF1346">
        <v>285</v>
      </c>
      <c r="BG1346">
        <v>626</v>
      </c>
      <c r="BH1346">
        <v>718</v>
      </c>
      <c r="BI1346">
        <v>1344</v>
      </c>
      <c r="BP1346">
        <v>186</v>
      </c>
      <c r="BR1346">
        <v>1045</v>
      </c>
      <c r="BS1346">
        <v>15</v>
      </c>
      <c r="BT1346">
        <v>186</v>
      </c>
      <c r="BV1346">
        <v>72</v>
      </c>
      <c r="BW1346">
        <v>1504</v>
      </c>
      <c r="BX1346">
        <f>IF(C1346=C1345,IF((CI1346-1)=CI1345,BW1345,"no data"))</f>
        <v>922</v>
      </c>
      <c r="BY1346" s="5">
        <f t="shared" si="157"/>
        <v>0.63123644251626898</v>
      </c>
      <c r="BZ1346" s="6">
        <f t="shared" si="158"/>
        <v>0.63123644251626898</v>
      </c>
      <c r="CA1346" s="7">
        <v>42687</v>
      </c>
      <c r="CE1346">
        <v>258</v>
      </c>
      <c r="CF1346">
        <v>395</v>
      </c>
      <c r="CG1346">
        <v>414</v>
      </c>
      <c r="CH1346">
        <v>437</v>
      </c>
      <c r="CI1346">
        <f t="shared" si="155"/>
        <v>2016</v>
      </c>
      <c r="CJ1346" t="str">
        <f t="shared" si="156"/>
        <v>6308_2016</v>
      </c>
    </row>
    <row r="1347" spans="1:88" x14ac:dyDescent="0.25">
      <c r="A1347" t="s">
        <v>140</v>
      </c>
      <c r="B1347" t="s">
        <v>161</v>
      </c>
      <c r="C1347">
        <v>6308</v>
      </c>
      <c r="D1347">
        <v>-32.076627999999999</v>
      </c>
      <c r="E1347">
        <v>115.75349799999999</v>
      </c>
      <c r="F1347">
        <v>4</v>
      </c>
      <c r="G1347" t="s">
        <v>491</v>
      </c>
      <c r="H1347">
        <v>2</v>
      </c>
      <c r="I1347">
        <v>182</v>
      </c>
      <c r="J1347">
        <v>92</v>
      </c>
      <c r="K1347">
        <v>272</v>
      </c>
      <c r="L1347">
        <v>184</v>
      </c>
      <c r="M1347">
        <v>4</v>
      </c>
      <c r="N1347">
        <v>273</v>
      </c>
      <c r="O1347">
        <v>93</v>
      </c>
      <c r="T1347">
        <v>23</v>
      </c>
      <c r="U1347">
        <v>71</v>
      </c>
      <c r="V1347">
        <v>48</v>
      </c>
      <c r="Y1347">
        <v>37</v>
      </c>
      <c r="Z1347">
        <v>10</v>
      </c>
      <c r="AA1347">
        <v>117</v>
      </c>
      <c r="AD1347">
        <v>82</v>
      </c>
      <c r="AE1347">
        <v>31</v>
      </c>
      <c r="AF1347">
        <v>78</v>
      </c>
      <c r="AI1347">
        <v>70</v>
      </c>
      <c r="AJ1347">
        <v>142</v>
      </c>
      <c r="AK1347">
        <v>74</v>
      </c>
      <c r="AX1347">
        <v>142</v>
      </c>
      <c r="AY1347">
        <v>189</v>
      </c>
      <c r="AZ1347">
        <v>331</v>
      </c>
      <c r="BA1347">
        <v>164</v>
      </c>
      <c r="BB1347">
        <v>196</v>
      </c>
      <c r="BC1347">
        <v>360</v>
      </c>
      <c r="BD1347">
        <v>191</v>
      </c>
      <c r="BE1347">
        <v>155</v>
      </c>
      <c r="BF1347">
        <v>346</v>
      </c>
      <c r="BG1347">
        <v>286</v>
      </c>
      <c r="BH1347">
        <v>243</v>
      </c>
      <c r="BI1347">
        <v>529</v>
      </c>
      <c r="BP1347">
        <v>217</v>
      </c>
      <c r="BR1347">
        <v>456</v>
      </c>
      <c r="BS1347">
        <v>11</v>
      </c>
      <c r="BT1347">
        <v>94</v>
      </c>
      <c r="BV1347">
        <v>5</v>
      </c>
      <c r="BW1347">
        <v>783</v>
      </c>
      <c r="BX1347" t="str">
        <f>IF(C1347=C1346,IF((CI1347-1)=CI1346,BW1346,"no data"))</f>
        <v>no data</v>
      </c>
      <c r="BY1347" s="5"/>
      <c r="BZ1347" s="6"/>
      <c r="CA1347" s="7">
        <v>43415</v>
      </c>
      <c r="CE1347">
        <v>295</v>
      </c>
      <c r="CF1347">
        <v>209</v>
      </c>
      <c r="CG1347">
        <v>155</v>
      </c>
      <c r="CH1347">
        <v>124</v>
      </c>
      <c r="CI1347">
        <f t="shared" ref="CI1347:CI1410" si="159">YEAR(CA1347)</f>
        <v>2018</v>
      </c>
      <c r="CJ1347" t="str">
        <f t="shared" ref="CJ1347:CJ1410" si="160">_xlfn.CONCAT(C1347,"_",CI1347)</f>
        <v>6308_2018</v>
      </c>
    </row>
    <row r="1348" spans="1:88" x14ac:dyDescent="0.25">
      <c r="A1348" t="s">
        <v>492</v>
      </c>
      <c r="B1348" t="s">
        <v>493</v>
      </c>
      <c r="C1348">
        <v>6309</v>
      </c>
      <c r="D1348">
        <v>-27.624099999999999</v>
      </c>
      <c r="E1348">
        <v>152.76929999999999</v>
      </c>
      <c r="F1348">
        <v>3</v>
      </c>
      <c r="G1348" t="s">
        <v>494</v>
      </c>
      <c r="H1348">
        <v>18</v>
      </c>
      <c r="I1348">
        <v>198</v>
      </c>
      <c r="J1348">
        <v>187</v>
      </c>
      <c r="K1348">
        <v>7</v>
      </c>
      <c r="L1348">
        <v>302</v>
      </c>
      <c r="M1348">
        <v>122</v>
      </c>
      <c r="T1348">
        <v>23</v>
      </c>
      <c r="U1348">
        <v>4</v>
      </c>
      <c r="Y1348">
        <v>49</v>
      </c>
      <c r="Z1348">
        <v>34</v>
      </c>
      <c r="AD1348">
        <v>2</v>
      </c>
      <c r="AE1348">
        <v>9</v>
      </c>
      <c r="AX1348">
        <v>27</v>
      </c>
      <c r="AY1348">
        <v>51</v>
      </c>
      <c r="AZ1348">
        <v>78</v>
      </c>
      <c r="BA1348">
        <v>83</v>
      </c>
      <c r="BB1348">
        <v>32</v>
      </c>
      <c r="BC1348">
        <v>115</v>
      </c>
      <c r="BD1348">
        <v>11</v>
      </c>
      <c r="BE1348">
        <v>38</v>
      </c>
      <c r="BF1348">
        <v>49</v>
      </c>
      <c r="BP1348">
        <v>10</v>
      </c>
      <c r="BR1348">
        <v>57</v>
      </c>
      <c r="BS1348">
        <v>17</v>
      </c>
      <c r="BT1348">
        <v>28</v>
      </c>
      <c r="BV1348">
        <v>9</v>
      </c>
      <c r="BW1348">
        <v>121</v>
      </c>
      <c r="BX1348" t="s">
        <v>82</v>
      </c>
      <c r="BY1348" s="5"/>
      <c r="BZ1348" s="6"/>
      <c r="CA1348" s="7">
        <v>41588</v>
      </c>
      <c r="CI1348">
        <f t="shared" si="159"/>
        <v>2013</v>
      </c>
      <c r="CJ1348" t="str">
        <f t="shared" si="160"/>
        <v>6309_2013</v>
      </c>
    </row>
    <row r="1349" spans="1:88" x14ac:dyDescent="0.25">
      <c r="A1349" t="s">
        <v>492</v>
      </c>
      <c r="B1349" t="s">
        <v>493</v>
      </c>
      <c r="C1349">
        <v>6310</v>
      </c>
      <c r="D1349">
        <v>-27.6235</v>
      </c>
      <c r="E1349">
        <v>152.7662</v>
      </c>
      <c r="F1349">
        <v>3</v>
      </c>
      <c r="G1349" t="s">
        <v>495</v>
      </c>
      <c r="H1349">
        <v>4</v>
      </c>
      <c r="I1349">
        <v>184</v>
      </c>
      <c r="J1349">
        <v>103</v>
      </c>
      <c r="K1349">
        <v>283</v>
      </c>
      <c r="L1349">
        <v>297</v>
      </c>
      <c r="M1349">
        <v>117</v>
      </c>
      <c r="T1349">
        <v>16</v>
      </c>
      <c r="U1349">
        <v>13</v>
      </c>
      <c r="Y1349">
        <v>3</v>
      </c>
      <c r="Z1349">
        <v>26</v>
      </c>
      <c r="AD1349">
        <v>4</v>
      </c>
      <c r="AE1349">
        <v>4</v>
      </c>
      <c r="AX1349">
        <v>29</v>
      </c>
      <c r="AY1349">
        <v>7</v>
      </c>
      <c r="AZ1349">
        <v>36</v>
      </c>
      <c r="BA1349">
        <v>29</v>
      </c>
      <c r="BB1349">
        <v>20</v>
      </c>
      <c r="BC1349">
        <v>49</v>
      </c>
      <c r="BD1349">
        <v>8</v>
      </c>
      <c r="BE1349">
        <v>39</v>
      </c>
      <c r="BF1349">
        <v>47</v>
      </c>
      <c r="BP1349">
        <v>4</v>
      </c>
      <c r="BR1349">
        <v>32</v>
      </c>
      <c r="BS1349">
        <v>12</v>
      </c>
      <c r="BT1349">
        <v>15</v>
      </c>
      <c r="BV1349">
        <v>3</v>
      </c>
      <c r="BW1349">
        <v>66</v>
      </c>
      <c r="BX1349" t="s">
        <v>82</v>
      </c>
      <c r="BY1349" s="5"/>
      <c r="BZ1349" s="6"/>
      <c r="CA1349" s="7">
        <v>41588</v>
      </c>
      <c r="CI1349">
        <f t="shared" si="159"/>
        <v>2013</v>
      </c>
      <c r="CJ1349" t="str">
        <f t="shared" si="160"/>
        <v>6310_2013</v>
      </c>
    </row>
    <row r="1350" spans="1:88" x14ac:dyDescent="0.25">
      <c r="A1350" t="s">
        <v>492</v>
      </c>
      <c r="B1350" t="s">
        <v>493</v>
      </c>
      <c r="C1350">
        <v>6312</v>
      </c>
      <c r="D1350">
        <v>-27.6799</v>
      </c>
      <c r="E1350">
        <v>152.90379999999999</v>
      </c>
      <c r="F1350">
        <v>4</v>
      </c>
      <c r="G1350" t="s">
        <v>496</v>
      </c>
      <c r="H1350">
        <v>68</v>
      </c>
      <c r="I1350">
        <v>248</v>
      </c>
      <c r="J1350">
        <v>135</v>
      </c>
      <c r="K1350">
        <v>315</v>
      </c>
      <c r="L1350">
        <v>193</v>
      </c>
      <c r="M1350">
        <v>13</v>
      </c>
      <c r="N1350">
        <v>315</v>
      </c>
      <c r="O1350">
        <v>135</v>
      </c>
      <c r="T1350">
        <v>0</v>
      </c>
      <c r="U1350">
        <v>43</v>
      </c>
      <c r="V1350">
        <v>0</v>
      </c>
      <c r="Y1350">
        <v>0</v>
      </c>
      <c r="Z1350">
        <v>0</v>
      </c>
      <c r="AA1350">
        <v>111</v>
      </c>
      <c r="AD1350">
        <v>47</v>
      </c>
      <c r="AE1350">
        <v>0</v>
      </c>
      <c r="AF1350">
        <v>0</v>
      </c>
      <c r="AI1350">
        <v>0</v>
      </c>
      <c r="AJ1350">
        <v>207</v>
      </c>
      <c r="AK1350">
        <v>0</v>
      </c>
      <c r="AX1350">
        <v>43</v>
      </c>
      <c r="AY1350">
        <v>47</v>
      </c>
      <c r="AZ1350">
        <v>90</v>
      </c>
      <c r="BA1350">
        <v>111</v>
      </c>
      <c r="BB1350">
        <v>207</v>
      </c>
      <c r="BC1350">
        <v>318</v>
      </c>
      <c r="BD1350">
        <v>47</v>
      </c>
      <c r="BE1350">
        <v>43</v>
      </c>
      <c r="BF1350">
        <v>90</v>
      </c>
      <c r="BG1350">
        <v>207</v>
      </c>
      <c r="BH1350">
        <v>111</v>
      </c>
      <c r="BI1350">
        <v>318</v>
      </c>
      <c r="BP1350">
        <v>51</v>
      </c>
      <c r="BR1350">
        <v>251</v>
      </c>
      <c r="BS1350">
        <v>18</v>
      </c>
      <c r="BT1350">
        <v>13</v>
      </c>
      <c r="BV1350">
        <v>75</v>
      </c>
      <c r="BW1350">
        <v>408</v>
      </c>
      <c r="BX1350" t="s">
        <v>82</v>
      </c>
      <c r="BY1350" s="5"/>
      <c r="BZ1350" s="6"/>
      <c r="CA1350" s="7">
        <v>41588</v>
      </c>
      <c r="CI1350">
        <f t="shared" si="159"/>
        <v>2013</v>
      </c>
      <c r="CJ1350" t="str">
        <f t="shared" si="160"/>
        <v>6312_2013</v>
      </c>
    </row>
    <row r="1351" spans="1:88" x14ac:dyDescent="0.25">
      <c r="A1351" t="s">
        <v>492</v>
      </c>
      <c r="B1351" t="s">
        <v>493</v>
      </c>
      <c r="C1351">
        <v>6313</v>
      </c>
      <c r="D1351">
        <v>-27.681799999999999</v>
      </c>
      <c r="E1351">
        <v>152.90389999999999</v>
      </c>
      <c r="F1351">
        <v>5</v>
      </c>
      <c r="G1351" t="s">
        <v>497</v>
      </c>
      <c r="H1351">
        <v>20</v>
      </c>
      <c r="I1351">
        <v>200</v>
      </c>
      <c r="J1351">
        <v>65</v>
      </c>
      <c r="K1351">
        <v>245</v>
      </c>
      <c r="L1351">
        <v>141</v>
      </c>
      <c r="M1351">
        <v>321</v>
      </c>
      <c r="N1351">
        <v>241</v>
      </c>
      <c r="O1351">
        <v>61</v>
      </c>
      <c r="P1351">
        <v>320</v>
      </c>
      <c r="Q1351">
        <v>140</v>
      </c>
      <c r="T1351">
        <v>15</v>
      </c>
      <c r="U1351">
        <v>0</v>
      </c>
      <c r="V1351">
        <v>6</v>
      </c>
      <c r="W1351">
        <v>10</v>
      </c>
      <c r="Y1351">
        <v>56</v>
      </c>
      <c r="Z1351">
        <v>1</v>
      </c>
      <c r="AA1351">
        <v>34</v>
      </c>
      <c r="AB1351">
        <v>178</v>
      </c>
      <c r="AD1351">
        <v>0</v>
      </c>
      <c r="AE1351">
        <v>1</v>
      </c>
      <c r="AF1351">
        <v>2</v>
      </c>
      <c r="AG1351">
        <v>33</v>
      </c>
      <c r="AI1351">
        <v>6</v>
      </c>
      <c r="AJ1351">
        <v>15</v>
      </c>
      <c r="AK1351">
        <v>14</v>
      </c>
      <c r="AL1351">
        <v>68</v>
      </c>
      <c r="AN1351">
        <v>11</v>
      </c>
      <c r="AO1351">
        <v>74</v>
      </c>
      <c r="AP1351">
        <v>17</v>
      </c>
      <c r="AQ1351">
        <v>37</v>
      </c>
      <c r="AX1351">
        <v>31</v>
      </c>
      <c r="AY1351">
        <v>73</v>
      </c>
      <c r="AZ1351">
        <v>104</v>
      </c>
      <c r="BA1351">
        <v>269</v>
      </c>
      <c r="BB1351">
        <v>105</v>
      </c>
      <c r="BC1351">
        <v>374</v>
      </c>
      <c r="BD1351">
        <v>36</v>
      </c>
      <c r="BE1351">
        <v>32</v>
      </c>
      <c r="BF1351">
        <v>68</v>
      </c>
      <c r="BG1351">
        <v>103</v>
      </c>
      <c r="BH1351">
        <v>79</v>
      </c>
      <c r="BI1351">
        <v>182</v>
      </c>
      <c r="BJ1351">
        <v>139</v>
      </c>
      <c r="BK1351">
        <v>289</v>
      </c>
      <c r="BL1351">
        <v>428</v>
      </c>
      <c r="BP1351">
        <v>36</v>
      </c>
      <c r="BR1351">
        <v>505</v>
      </c>
      <c r="BS1351">
        <v>0</v>
      </c>
      <c r="BT1351">
        <v>11</v>
      </c>
      <c r="BV1351">
        <v>26</v>
      </c>
      <c r="BW1351">
        <v>578</v>
      </c>
      <c r="BX1351" t="s">
        <v>82</v>
      </c>
      <c r="BY1351" s="5"/>
      <c r="BZ1351" s="6"/>
      <c r="CA1351" s="7">
        <v>41588</v>
      </c>
      <c r="CI1351">
        <f t="shared" si="159"/>
        <v>2013</v>
      </c>
      <c r="CJ1351" t="str">
        <f t="shared" si="160"/>
        <v>6313_2013</v>
      </c>
    </row>
    <row r="1352" spans="1:88" x14ac:dyDescent="0.25">
      <c r="A1352" t="s">
        <v>492</v>
      </c>
      <c r="B1352" t="s">
        <v>493</v>
      </c>
      <c r="C1352">
        <v>6314</v>
      </c>
      <c r="D1352">
        <v>-27.607299999999999</v>
      </c>
      <c r="E1352">
        <v>152.89930000000001</v>
      </c>
      <c r="F1352">
        <v>3</v>
      </c>
      <c r="G1352" t="s">
        <v>498</v>
      </c>
      <c r="H1352">
        <v>30</v>
      </c>
      <c r="I1352">
        <v>210</v>
      </c>
      <c r="J1352">
        <v>104</v>
      </c>
      <c r="K1352">
        <v>284</v>
      </c>
      <c r="L1352">
        <v>294</v>
      </c>
      <c r="M1352">
        <v>114</v>
      </c>
      <c r="T1352">
        <v>8</v>
      </c>
      <c r="U1352">
        <v>5</v>
      </c>
      <c r="Y1352">
        <v>2</v>
      </c>
      <c r="Z1352">
        <v>9</v>
      </c>
      <c r="AD1352">
        <v>1</v>
      </c>
      <c r="AE1352">
        <v>12</v>
      </c>
      <c r="AX1352">
        <v>13</v>
      </c>
      <c r="AY1352">
        <v>3</v>
      </c>
      <c r="AZ1352">
        <v>16</v>
      </c>
      <c r="BA1352">
        <v>11</v>
      </c>
      <c r="BB1352">
        <v>20</v>
      </c>
      <c r="BC1352">
        <v>31</v>
      </c>
      <c r="BD1352">
        <v>13</v>
      </c>
      <c r="BE1352">
        <v>14</v>
      </c>
      <c r="BF1352">
        <v>27</v>
      </c>
      <c r="BP1352">
        <v>10</v>
      </c>
      <c r="BR1352">
        <v>22</v>
      </c>
      <c r="BS1352">
        <v>0</v>
      </c>
      <c r="BT1352">
        <v>4</v>
      </c>
      <c r="BV1352">
        <v>1</v>
      </c>
      <c r="BW1352">
        <v>37</v>
      </c>
      <c r="BX1352" t="s">
        <v>82</v>
      </c>
      <c r="BY1352" s="5"/>
      <c r="BZ1352" s="6"/>
      <c r="CA1352" s="7">
        <v>41588</v>
      </c>
      <c r="CI1352">
        <f t="shared" si="159"/>
        <v>2013</v>
      </c>
      <c r="CJ1352" t="str">
        <f t="shared" si="160"/>
        <v>6314_2013</v>
      </c>
    </row>
    <row r="1353" spans="1:88" x14ac:dyDescent="0.25">
      <c r="A1353" t="s">
        <v>492</v>
      </c>
      <c r="B1353" t="s">
        <v>493</v>
      </c>
      <c r="C1353">
        <v>6315</v>
      </c>
      <c r="D1353">
        <v>-27.597300000000001</v>
      </c>
      <c r="E1353">
        <v>152.74270000000001</v>
      </c>
      <c r="F1353">
        <v>3</v>
      </c>
      <c r="G1353" t="s">
        <v>499</v>
      </c>
      <c r="H1353">
        <v>24</v>
      </c>
      <c r="I1353">
        <v>204</v>
      </c>
      <c r="J1353">
        <v>222</v>
      </c>
      <c r="K1353">
        <v>42</v>
      </c>
      <c r="L1353">
        <v>300</v>
      </c>
      <c r="M1353">
        <v>120</v>
      </c>
      <c r="T1353">
        <v>5</v>
      </c>
      <c r="U1353">
        <v>0</v>
      </c>
      <c r="Y1353">
        <v>5</v>
      </c>
      <c r="Z1353">
        <v>8</v>
      </c>
      <c r="AD1353">
        <v>2</v>
      </c>
      <c r="AE1353">
        <v>12</v>
      </c>
      <c r="AX1353">
        <v>5</v>
      </c>
      <c r="AY1353">
        <v>7</v>
      </c>
      <c r="AZ1353">
        <v>12</v>
      </c>
      <c r="BA1353">
        <v>13</v>
      </c>
      <c r="BB1353">
        <v>17</v>
      </c>
      <c r="BC1353">
        <v>30</v>
      </c>
      <c r="BD1353">
        <v>14</v>
      </c>
      <c r="BE1353">
        <v>8</v>
      </c>
      <c r="BF1353">
        <v>22</v>
      </c>
      <c r="BP1353">
        <v>5</v>
      </c>
      <c r="BR1353">
        <v>21</v>
      </c>
      <c r="BS1353">
        <v>0</v>
      </c>
      <c r="BT1353">
        <v>2</v>
      </c>
      <c r="BV1353">
        <v>4</v>
      </c>
      <c r="BW1353">
        <v>32</v>
      </c>
      <c r="BX1353" t="s">
        <v>82</v>
      </c>
      <c r="BY1353" s="5"/>
      <c r="BZ1353" s="6"/>
      <c r="CA1353" s="7">
        <v>41588</v>
      </c>
      <c r="CI1353">
        <f t="shared" si="159"/>
        <v>2013</v>
      </c>
      <c r="CJ1353" t="str">
        <f t="shared" si="160"/>
        <v>6315_2013</v>
      </c>
    </row>
    <row r="1354" spans="1:88" x14ac:dyDescent="0.25">
      <c r="A1354" t="s">
        <v>492</v>
      </c>
      <c r="B1354" t="s">
        <v>493</v>
      </c>
      <c r="C1354">
        <v>6317</v>
      </c>
      <c r="D1354">
        <v>-27.646599999999999</v>
      </c>
      <c r="E1354">
        <v>152.8623</v>
      </c>
      <c r="F1354">
        <v>2</v>
      </c>
      <c r="G1354" t="s">
        <v>500</v>
      </c>
      <c r="H1354">
        <v>100</v>
      </c>
      <c r="I1354">
        <v>280</v>
      </c>
      <c r="J1354">
        <v>284</v>
      </c>
      <c r="K1354">
        <v>104</v>
      </c>
      <c r="T1354">
        <v>8</v>
      </c>
      <c r="Y1354">
        <v>13</v>
      </c>
      <c r="AX1354">
        <v>8</v>
      </c>
      <c r="AY1354">
        <v>13</v>
      </c>
      <c r="AZ1354">
        <v>21</v>
      </c>
      <c r="BA1354">
        <v>13</v>
      </c>
      <c r="BB1354">
        <v>8</v>
      </c>
      <c r="BC1354">
        <v>21</v>
      </c>
      <c r="BP1354">
        <v>2</v>
      </c>
      <c r="BR1354">
        <v>6</v>
      </c>
      <c r="BS1354">
        <v>2</v>
      </c>
      <c r="BT1354">
        <v>8</v>
      </c>
      <c r="BV1354">
        <v>3</v>
      </c>
      <c r="BW1354">
        <v>21</v>
      </c>
      <c r="BX1354" t="s">
        <v>82</v>
      </c>
      <c r="BY1354" s="5"/>
      <c r="BZ1354" s="6"/>
      <c r="CA1354" s="7">
        <v>41588</v>
      </c>
      <c r="CI1354">
        <f t="shared" si="159"/>
        <v>2013</v>
      </c>
      <c r="CJ1354" t="str">
        <f t="shared" si="160"/>
        <v>6317_2013</v>
      </c>
    </row>
    <row r="1355" spans="1:88" x14ac:dyDescent="0.25">
      <c r="A1355" t="s">
        <v>492</v>
      </c>
      <c r="B1355" t="s">
        <v>493</v>
      </c>
      <c r="C1355">
        <v>6318</v>
      </c>
      <c r="D1355">
        <v>-27.6129</v>
      </c>
      <c r="E1355">
        <v>152.76669999999999</v>
      </c>
      <c r="F1355">
        <v>2</v>
      </c>
      <c r="G1355" t="s">
        <v>501</v>
      </c>
      <c r="H1355">
        <v>72</v>
      </c>
      <c r="I1355">
        <v>252</v>
      </c>
      <c r="J1355">
        <v>271</v>
      </c>
      <c r="K1355">
        <v>91</v>
      </c>
      <c r="T1355">
        <v>62</v>
      </c>
      <c r="Y1355">
        <v>173</v>
      </c>
      <c r="AX1355">
        <v>62</v>
      </c>
      <c r="AY1355">
        <v>173</v>
      </c>
      <c r="AZ1355">
        <v>235</v>
      </c>
      <c r="BA1355">
        <v>173</v>
      </c>
      <c r="BB1355">
        <v>62</v>
      </c>
      <c r="BC1355">
        <v>235</v>
      </c>
      <c r="BP1355">
        <v>129</v>
      </c>
      <c r="BR1355">
        <v>76</v>
      </c>
      <c r="BS1355">
        <v>10</v>
      </c>
      <c r="BT1355">
        <v>13</v>
      </c>
      <c r="BV1355">
        <v>7</v>
      </c>
      <c r="BW1355">
        <v>235</v>
      </c>
      <c r="BX1355" t="s">
        <v>82</v>
      </c>
      <c r="BY1355" s="5"/>
      <c r="BZ1355" s="6"/>
      <c r="CA1355" s="7">
        <v>41588</v>
      </c>
      <c r="CI1355">
        <f t="shared" si="159"/>
        <v>2013</v>
      </c>
      <c r="CJ1355" t="str">
        <f t="shared" si="160"/>
        <v>6318_2013</v>
      </c>
    </row>
    <row r="1356" spans="1:88" x14ac:dyDescent="0.25">
      <c r="A1356" t="s">
        <v>502</v>
      </c>
      <c r="B1356" t="s">
        <v>503</v>
      </c>
      <c r="C1356">
        <v>6319</v>
      </c>
      <c r="D1356">
        <v>-12.465999999999999</v>
      </c>
      <c r="E1356">
        <v>130.83969999999999</v>
      </c>
      <c r="F1356">
        <v>3</v>
      </c>
      <c r="G1356" t="s">
        <v>504</v>
      </c>
      <c r="H1356">
        <v>2</v>
      </c>
      <c r="I1356">
        <v>182</v>
      </c>
      <c r="J1356">
        <v>168</v>
      </c>
      <c r="K1356">
        <v>348</v>
      </c>
      <c r="L1356">
        <v>333</v>
      </c>
      <c r="M1356">
        <v>153</v>
      </c>
      <c r="T1356">
        <v>35</v>
      </c>
      <c r="U1356">
        <v>0</v>
      </c>
      <c r="Y1356">
        <v>25</v>
      </c>
      <c r="Z1356">
        <v>41</v>
      </c>
      <c r="AD1356">
        <v>0</v>
      </c>
      <c r="AE1356">
        <v>77</v>
      </c>
      <c r="AX1356">
        <v>35</v>
      </c>
      <c r="AY1356">
        <v>25</v>
      </c>
      <c r="AZ1356">
        <v>60</v>
      </c>
      <c r="BA1356">
        <v>66</v>
      </c>
      <c r="BB1356">
        <v>112</v>
      </c>
      <c r="BC1356">
        <v>178</v>
      </c>
      <c r="BD1356">
        <v>77</v>
      </c>
      <c r="BE1356">
        <v>41</v>
      </c>
      <c r="BF1356">
        <v>118</v>
      </c>
      <c r="BP1356">
        <v>34</v>
      </c>
      <c r="BR1356">
        <v>101</v>
      </c>
      <c r="BS1356">
        <v>41</v>
      </c>
      <c r="BT1356">
        <v>1</v>
      </c>
      <c r="BV1356">
        <v>1</v>
      </c>
      <c r="BW1356">
        <v>178</v>
      </c>
      <c r="BX1356" t="s">
        <v>82</v>
      </c>
      <c r="BY1356" s="5"/>
      <c r="BZ1356" s="6"/>
      <c r="CA1356" s="7">
        <v>41588</v>
      </c>
      <c r="CI1356">
        <f t="shared" si="159"/>
        <v>2013</v>
      </c>
      <c r="CJ1356" t="str">
        <f t="shared" si="160"/>
        <v>6319_2013</v>
      </c>
    </row>
    <row r="1357" spans="1:88" x14ac:dyDescent="0.25">
      <c r="A1357" t="s">
        <v>502</v>
      </c>
      <c r="B1357" t="s">
        <v>503</v>
      </c>
      <c r="C1357">
        <v>6319</v>
      </c>
      <c r="D1357">
        <v>-12.465999999999999</v>
      </c>
      <c r="E1357">
        <v>130.83969999999999</v>
      </c>
      <c r="F1357">
        <v>3</v>
      </c>
      <c r="G1357" t="s">
        <v>504</v>
      </c>
      <c r="H1357">
        <v>2</v>
      </c>
      <c r="I1357">
        <v>182</v>
      </c>
      <c r="J1357">
        <v>168</v>
      </c>
      <c r="K1357">
        <v>348</v>
      </c>
      <c r="L1357">
        <v>333</v>
      </c>
      <c r="M1357">
        <v>153</v>
      </c>
      <c r="T1357">
        <v>73</v>
      </c>
      <c r="U1357">
        <v>0</v>
      </c>
      <c r="Y1357">
        <v>31</v>
      </c>
      <c r="Z1357">
        <v>94</v>
      </c>
      <c r="AD1357">
        <v>3</v>
      </c>
      <c r="AE1357">
        <v>130</v>
      </c>
      <c r="AX1357">
        <v>73</v>
      </c>
      <c r="AY1357">
        <v>34</v>
      </c>
      <c r="AZ1357">
        <v>107</v>
      </c>
      <c r="BA1357">
        <v>125</v>
      </c>
      <c r="BB1357">
        <v>203</v>
      </c>
      <c r="BC1357">
        <v>328</v>
      </c>
      <c r="BD1357">
        <v>133</v>
      </c>
      <c r="BE1357">
        <v>94</v>
      </c>
      <c r="BF1357">
        <v>227</v>
      </c>
      <c r="BP1357">
        <v>32</v>
      </c>
      <c r="BR1357">
        <v>245</v>
      </c>
      <c r="BS1357">
        <v>44</v>
      </c>
      <c r="BT1357">
        <v>6</v>
      </c>
      <c r="BV1357">
        <v>4</v>
      </c>
      <c r="BW1357">
        <v>331</v>
      </c>
      <c r="BX1357">
        <f t="shared" ref="BX1357:BX1363" si="161">IF(C1357=C1356,IF((CI1357-1)=CI1356,BW1356,"no data"))</f>
        <v>178</v>
      </c>
      <c r="BY1357" s="5">
        <f t="shared" ref="BY1357:BY1418" si="162">(BW1357-BX1357)/BX1357</f>
        <v>0.8595505617977528</v>
      </c>
      <c r="BZ1357" s="6">
        <f t="shared" ref="BZ1357:BZ1402" si="163">BY1357</f>
        <v>0.8595505617977528</v>
      </c>
      <c r="CA1357" s="7">
        <v>41952</v>
      </c>
      <c r="CI1357">
        <f t="shared" si="159"/>
        <v>2014</v>
      </c>
      <c r="CJ1357" t="str">
        <f t="shared" si="160"/>
        <v>6319_2014</v>
      </c>
    </row>
    <row r="1358" spans="1:88" x14ac:dyDescent="0.25">
      <c r="A1358" t="s">
        <v>502</v>
      </c>
      <c r="B1358" t="s">
        <v>503</v>
      </c>
      <c r="C1358">
        <v>6319</v>
      </c>
      <c r="D1358">
        <v>-12.465999999999999</v>
      </c>
      <c r="E1358">
        <v>130.83969999999999</v>
      </c>
      <c r="F1358">
        <v>3</v>
      </c>
      <c r="G1358" t="s">
        <v>504</v>
      </c>
      <c r="H1358">
        <v>2</v>
      </c>
      <c r="I1358">
        <v>182</v>
      </c>
      <c r="J1358">
        <v>168</v>
      </c>
      <c r="K1358">
        <v>348</v>
      </c>
      <c r="L1358">
        <v>333</v>
      </c>
      <c r="M1358">
        <v>153</v>
      </c>
      <c r="T1358">
        <v>108</v>
      </c>
      <c r="U1358">
        <v>11</v>
      </c>
      <c r="Y1358">
        <v>69</v>
      </c>
      <c r="Z1358">
        <v>102</v>
      </c>
      <c r="AD1358">
        <v>8</v>
      </c>
      <c r="AE1358">
        <v>158</v>
      </c>
      <c r="AX1358">
        <v>119</v>
      </c>
      <c r="AY1358">
        <v>77</v>
      </c>
      <c r="AZ1358">
        <v>196</v>
      </c>
      <c r="BA1358">
        <v>171</v>
      </c>
      <c r="BB1358">
        <v>266</v>
      </c>
      <c r="BC1358">
        <v>437</v>
      </c>
      <c r="BD1358">
        <v>166</v>
      </c>
      <c r="BE1358">
        <v>113</v>
      </c>
      <c r="BF1358">
        <v>279</v>
      </c>
      <c r="BP1358">
        <v>60</v>
      </c>
      <c r="BR1358">
        <v>263</v>
      </c>
      <c r="BS1358">
        <v>104</v>
      </c>
      <c r="BT1358">
        <v>21</v>
      </c>
      <c r="BV1358">
        <v>8</v>
      </c>
      <c r="BW1358">
        <v>456</v>
      </c>
      <c r="BX1358">
        <f t="shared" si="161"/>
        <v>331</v>
      </c>
      <c r="BY1358" s="5">
        <f t="shared" si="162"/>
        <v>0.37764350453172207</v>
      </c>
      <c r="BZ1358" s="6">
        <f t="shared" si="163"/>
        <v>0.37764350453172207</v>
      </c>
      <c r="CA1358" s="7">
        <v>42316</v>
      </c>
      <c r="CC1358">
        <v>107</v>
      </c>
      <c r="CD1358">
        <v>100</v>
      </c>
      <c r="CE1358">
        <v>127</v>
      </c>
      <c r="CF1358">
        <v>122</v>
      </c>
      <c r="CI1358">
        <f t="shared" si="159"/>
        <v>2015</v>
      </c>
      <c r="CJ1358" t="str">
        <f t="shared" si="160"/>
        <v>6319_2015</v>
      </c>
    </row>
    <row r="1359" spans="1:88" x14ac:dyDescent="0.25">
      <c r="A1359" t="s">
        <v>502</v>
      </c>
      <c r="B1359" t="s">
        <v>503</v>
      </c>
      <c r="C1359">
        <v>6319</v>
      </c>
      <c r="D1359">
        <v>-12.465972000000001</v>
      </c>
      <c r="E1359">
        <v>130.83968899999999</v>
      </c>
      <c r="F1359">
        <v>3</v>
      </c>
      <c r="G1359" t="s">
        <v>504</v>
      </c>
      <c r="H1359">
        <v>2</v>
      </c>
      <c r="I1359">
        <v>182</v>
      </c>
      <c r="J1359">
        <v>168</v>
      </c>
      <c r="K1359">
        <v>348</v>
      </c>
      <c r="L1359">
        <v>333</v>
      </c>
      <c r="M1359">
        <v>153</v>
      </c>
      <c r="T1359">
        <v>52</v>
      </c>
      <c r="U1359">
        <v>4</v>
      </c>
      <c r="Y1359">
        <v>25</v>
      </c>
      <c r="Z1359">
        <v>50</v>
      </c>
      <c r="AD1359">
        <v>2</v>
      </c>
      <c r="AE1359">
        <v>55</v>
      </c>
      <c r="AX1359">
        <v>56</v>
      </c>
      <c r="AY1359">
        <v>27</v>
      </c>
      <c r="AZ1359">
        <v>83</v>
      </c>
      <c r="BA1359">
        <v>75</v>
      </c>
      <c r="BB1359">
        <v>107</v>
      </c>
      <c r="BC1359">
        <v>182</v>
      </c>
      <c r="BD1359">
        <v>57</v>
      </c>
      <c r="BE1359">
        <v>54</v>
      </c>
      <c r="BF1359">
        <v>111</v>
      </c>
      <c r="BP1359">
        <v>19</v>
      </c>
      <c r="BR1359">
        <v>113</v>
      </c>
      <c r="BS1359">
        <v>43</v>
      </c>
      <c r="BT1359">
        <v>6</v>
      </c>
      <c r="BV1359">
        <v>7</v>
      </c>
      <c r="BW1359">
        <v>188</v>
      </c>
      <c r="BX1359">
        <f t="shared" si="161"/>
        <v>456</v>
      </c>
      <c r="BY1359" s="5">
        <f t="shared" si="162"/>
        <v>-0.58771929824561409</v>
      </c>
      <c r="BZ1359" s="6">
        <f t="shared" si="163"/>
        <v>-0.58771929824561409</v>
      </c>
      <c r="CA1359" s="7">
        <v>42687</v>
      </c>
      <c r="CC1359">
        <v>131</v>
      </c>
      <c r="CD1359">
        <v>23</v>
      </c>
      <c r="CE1359">
        <v>22</v>
      </c>
      <c r="CF1359">
        <v>12</v>
      </c>
      <c r="CI1359">
        <f t="shared" si="159"/>
        <v>2016</v>
      </c>
      <c r="CJ1359" t="str">
        <f t="shared" si="160"/>
        <v>6319_2016</v>
      </c>
    </row>
    <row r="1360" spans="1:88" x14ac:dyDescent="0.25">
      <c r="A1360" t="s">
        <v>502</v>
      </c>
      <c r="B1360" t="s">
        <v>503</v>
      </c>
      <c r="C1360">
        <v>6319</v>
      </c>
      <c r="D1360">
        <v>-12.465972000000001</v>
      </c>
      <c r="E1360">
        <v>130.83968899999999</v>
      </c>
      <c r="F1360">
        <v>3</v>
      </c>
      <c r="G1360" t="s">
        <v>504</v>
      </c>
      <c r="H1360">
        <v>2</v>
      </c>
      <c r="I1360">
        <v>182</v>
      </c>
      <c r="J1360">
        <v>168</v>
      </c>
      <c r="K1360">
        <v>348</v>
      </c>
      <c r="L1360">
        <v>333</v>
      </c>
      <c r="M1360">
        <v>153</v>
      </c>
      <c r="T1360">
        <v>85</v>
      </c>
      <c r="U1360">
        <v>6</v>
      </c>
      <c r="Y1360">
        <v>36</v>
      </c>
      <c r="Z1360">
        <v>82</v>
      </c>
      <c r="AD1360">
        <v>2</v>
      </c>
      <c r="AE1360">
        <v>98</v>
      </c>
      <c r="AX1360">
        <v>91</v>
      </c>
      <c r="AY1360">
        <v>38</v>
      </c>
      <c r="AZ1360">
        <v>129</v>
      </c>
      <c r="BA1360">
        <v>118</v>
      </c>
      <c r="BB1360">
        <v>183</v>
      </c>
      <c r="BC1360">
        <v>301</v>
      </c>
      <c r="BD1360">
        <v>100</v>
      </c>
      <c r="BE1360">
        <v>88</v>
      </c>
      <c r="BF1360">
        <v>188</v>
      </c>
      <c r="BP1360">
        <v>51</v>
      </c>
      <c r="BR1360">
        <v>197</v>
      </c>
      <c r="BS1360">
        <v>48</v>
      </c>
      <c r="BT1360">
        <v>10</v>
      </c>
      <c r="BV1360">
        <v>3</v>
      </c>
      <c r="BW1360">
        <v>309</v>
      </c>
      <c r="BX1360">
        <f t="shared" si="161"/>
        <v>188</v>
      </c>
      <c r="BY1360" s="5">
        <f t="shared" si="162"/>
        <v>0.6436170212765957</v>
      </c>
      <c r="BZ1360" s="6">
        <f t="shared" si="163"/>
        <v>0.6436170212765957</v>
      </c>
      <c r="CA1360" s="7">
        <v>43051</v>
      </c>
      <c r="CC1360">
        <v>67</v>
      </c>
      <c r="CD1360">
        <v>109</v>
      </c>
      <c r="CE1360">
        <v>70</v>
      </c>
      <c r="CF1360">
        <v>63</v>
      </c>
      <c r="CI1360">
        <f t="shared" si="159"/>
        <v>2017</v>
      </c>
      <c r="CJ1360" t="str">
        <f t="shared" si="160"/>
        <v>6319_2017</v>
      </c>
    </row>
    <row r="1361" spans="1:88" x14ac:dyDescent="0.25">
      <c r="A1361" t="s">
        <v>502</v>
      </c>
      <c r="B1361" t="s">
        <v>503</v>
      </c>
      <c r="C1361">
        <v>6319</v>
      </c>
      <c r="D1361">
        <v>-12.465972000000001</v>
      </c>
      <c r="E1361">
        <v>130.83968899999999</v>
      </c>
      <c r="F1361">
        <v>3</v>
      </c>
      <c r="G1361" t="s">
        <v>504</v>
      </c>
      <c r="H1361">
        <v>2</v>
      </c>
      <c r="I1361">
        <v>182</v>
      </c>
      <c r="J1361">
        <v>168</v>
      </c>
      <c r="K1361">
        <v>348</v>
      </c>
      <c r="L1361">
        <v>333</v>
      </c>
      <c r="M1361">
        <v>153</v>
      </c>
      <c r="T1361">
        <v>660</v>
      </c>
      <c r="U1361">
        <v>17</v>
      </c>
      <c r="Y1361">
        <v>36</v>
      </c>
      <c r="Z1361">
        <v>65</v>
      </c>
      <c r="AD1361">
        <v>21</v>
      </c>
      <c r="AE1361">
        <v>98</v>
      </c>
      <c r="AX1361">
        <v>677</v>
      </c>
      <c r="AY1361">
        <v>57</v>
      </c>
      <c r="AZ1361">
        <v>734</v>
      </c>
      <c r="BA1361">
        <v>101</v>
      </c>
      <c r="BB1361">
        <v>758</v>
      </c>
      <c r="BC1361">
        <v>859</v>
      </c>
      <c r="BD1361">
        <v>119</v>
      </c>
      <c r="BE1361">
        <v>82</v>
      </c>
      <c r="BF1361">
        <v>201</v>
      </c>
      <c r="BP1361">
        <v>55</v>
      </c>
      <c r="BR1361">
        <v>787</v>
      </c>
      <c r="BS1361">
        <v>39</v>
      </c>
      <c r="BT1361">
        <v>10</v>
      </c>
      <c r="BV1361">
        <v>6</v>
      </c>
      <c r="BW1361">
        <v>897</v>
      </c>
      <c r="BX1361">
        <f t="shared" si="161"/>
        <v>309</v>
      </c>
      <c r="BY1361" s="5">
        <f t="shared" si="162"/>
        <v>1.9029126213592233</v>
      </c>
      <c r="BZ1361" s="6">
        <f t="shared" si="163"/>
        <v>1.9029126213592233</v>
      </c>
      <c r="CA1361" s="7">
        <v>43415</v>
      </c>
      <c r="CC1361">
        <v>93</v>
      </c>
      <c r="CD1361">
        <v>49</v>
      </c>
      <c r="CE1361">
        <v>92</v>
      </c>
      <c r="CF1361">
        <v>663</v>
      </c>
      <c r="CI1361">
        <f t="shared" si="159"/>
        <v>2018</v>
      </c>
      <c r="CJ1361" t="str">
        <f t="shared" si="160"/>
        <v>6319_2018</v>
      </c>
    </row>
    <row r="1362" spans="1:88" x14ac:dyDescent="0.25">
      <c r="A1362" t="s">
        <v>502</v>
      </c>
      <c r="B1362" t="s">
        <v>503</v>
      </c>
      <c r="C1362">
        <v>6319</v>
      </c>
      <c r="D1362">
        <v>-12.465999999999999</v>
      </c>
      <c r="E1362">
        <v>130.83969999999999</v>
      </c>
      <c r="F1362">
        <v>3</v>
      </c>
      <c r="G1362" t="s">
        <v>504</v>
      </c>
      <c r="H1362">
        <v>2</v>
      </c>
      <c r="I1362">
        <v>182</v>
      </c>
      <c r="J1362">
        <v>168</v>
      </c>
      <c r="K1362">
        <v>348</v>
      </c>
      <c r="L1362">
        <v>333</v>
      </c>
      <c r="M1362">
        <v>153</v>
      </c>
      <c r="T1362">
        <v>64</v>
      </c>
      <c r="U1362">
        <v>1</v>
      </c>
      <c r="Y1362">
        <v>48</v>
      </c>
      <c r="Z1362">
        <v>71</v>
      </c>
      <c r="AD1362">
        <v>2</v>
      </c>
      <c r="AE1362">
        <v>131</v>
      </c>
      <c r="AX1362">
        <v>65</v>
      </c>
      <c r="AY1362">
        <v>50</v>
      </c>
      <c r="AZ1362">
        <v>115</v>
      </c>
      <c r="BA1362">
        <v>119</v>
      </c>
      <c r="BB1362">
        <v>195</v>
      </c>
      <c r="BC1362">
        <v>314</v>
      </c>
      <c r="BD1362">
        <v>133</v>
      </c>
      <c r="BE1362">
        <v>72</v>
      </c>
      <c r="BF1362">
        <v>205</v>
      </c>
      <c r="BP1362">
        <v>36</v>
      </c>
      <c r="BR1362">
        <v>212</v>
      </c>
      <c r="BS1362">
        <v>39</v>
      </c>
      <c r="BT1362">
        <v>29</v>
      </c>
      <c r="BV1362">
        <v>1</v>
      </c>
      <c r="BW1362">
        <v>317</v>
      </c>
      <c r="BX1362">
        <f t="shared" si="161"/>
        <v>897</v>
      </c>
      <c r="BY1362" s="5">
        <f t="shared" si="162"/>
        <v>-0.64659977703455962</v>
      </c>
      <c r="BZ1362" s="6">
        <f t="shared" si="163"/>
        <v>-0.64659977703455962</v>
      </c>
      <c r="CA1362" s="7">
        <v>43779</v>
      </c>
      <c r="CC1362">
        <v>111</v>
      </c>
      <c r="CD1362">
        <v>91</v>
      </c>
      <c r="CE1362">
        <v>74</v>
      </c>
      <c r="CF1362">
        <v>41</v>
      </c>
      <c r="CI1362">
        <f t="shared" si="159"/>
        <v>2019</v>
      </c>
      <c r="CJ1362" t="str">
        <f t="shared" si="160"/>
        <v>6319_2019</v>
      </c>
    </row>
    <row r="1363" spans="1:88" x14ac:dyDescent="0.25">
      <c r="A1363" t="s">
        <v>502</v>
      </c>
      <c r="B1363" t="s">
        <v>503</v>
      </c>
      <c r="C1363">
        <v>6319</v>
      </c>
      <c r="D1363">
        <v>-12.465972000000001</v>
      </c>
      <c r="E1363">
        <v>130.83968899999999</v>
      </c>
      <c r="F1363">
        <v>3</v>
      </c>
      <c r="G1363" t="s">
        <v>504</v>
      </c>
      <c r="H1363">
        <v>2</v>
      </c>
      <c r="I1363">
        <v>182</v>
      </c>
      <c r="J1363">
        <v>168</v>
      </c>
      <c r="K1363">
        <v>348</v>
      </c>
      <c r="L1363">
        <v>333</v>
      </c>
      <c r="M1363">
        <v>153</v>
      </c>
      <c r="T1363">
        <v>39</v>
      </c>
      <c r="U1363">
        <v>4</v>
      </c>
      <c r="Y1363">
        <v>21</v>
      </c>
      <c r="Z1363">
        <v>76</v>
      </c>
      <c r="AD1363">
        <v>0</v>
      </c>
      <c r="AE1363">
        <v>80</v>
      </c>
      <c r="AX1363">
        <v>43</v>
      </c>
      <c r="AY1363">
        <v>21</v>
      </c>
      <c r="AZ1363">
        <v>64</v>
      </c>
      <c r="BA1363">
        <v>97</v>
      </c>
      <c r="BB1363">
        <v>119</v>
      </c>
      <c r="BC1363">
        <v>216</v>
      </c>
      <c r="BD1363">
        <v>80</v>
      </c>
      <c r="BE1363">
        <v>80</v>
      </c>
      <c r="BF1363">
        <v>160</v>
      </c>
      <c r="BP1363">
        <v>9</v>
      </c>
      <c r="BR1363">
        <v>129</v>
      </c>
      <c r="BS1363">
        <v>62</v>
      </c>
      <c r="BT1363">
        <v>10</v>
      </c>
      <c r="BV1363">
        <v>10</v>
      </c>
      <c r="BW1363">
        <v>220</v>
      </c>
      <c r="BX1363" t="str">
        <f t="shared" si="161"/>
        <v>no data</v>
      </c>
      <c r="BY1363" s="5"/>
      <c r="BZ1363" s="6"/>
      <c r="CA1363" s="7">
        <v>44528</v>
      </c>
      <c r="CC1363">
        <v>69</v>
      </c>
      <c r="CD1363">
        <v>102</v>
      </c>
      <c r="CE1363">
        <v>49</v>
      </c>
      <c r="CI1363">
        <f t="shared" si="159"/>
        <v>2021</v>
      </c>
      <c r="CJ1363" t="str">
        <f t="shared" si="160"/>
        <v>6319_2021</v>
      </c>
    </row>
    <row r="1364" spans="1:88" x14ac:dyDescent="0.25">
      <c r="A1364" t="s">
        <v>502</v>
      </c>
      <c r="B1364" t="s">
        <v>503</v>
      </c>
      <c r="C1364">
        <v>6320</v>
      </c>
      <c r="D1364">
        <v>-12.4604</v>
      </c>
      <c r="E1364">
        <v>130.83359999999999</v>
      </c>
      <c r="F1364">
        <v>4</v>
      </c>
      <c r="G1364" t="s">
        <v>505</v>
      </c>
      <c r="H1364">
        <v>12</v>
      </c>
      <c r="I1364">
        <v>192</v>
      </c>
      <c r="J1364">
        <v>44</v>
      </c>
      <c r="K1364">
        <v>224</v>
      </c>
      <c r="L1364">
        <v>128</v>
      </c>
      <c r="M1364">
        <v>308</v>
      </c>
      <c r="N1364">
        <v>184</v>
      </c>
      <c r="O1364">
        <v>4</v>
      </c>
      <c r="T1364">
        <v>11</v>
      </c>
      <c r="U1364">
        <v>85</v>
      </c>
      <c r="V1364">
        <v>45</v>
      </c>
      <c r="Y1364">
        <v>10</v>
      </c>
      <c r="Z1364">
        <v>0</v>
      </c>
      <c r="AA1364">
        <v>3</v>
      </c>
      <c r="AD1364">
        <v>46</v>
      </c>
      <c r="AE1364">
        <v>3</v>
      </c>
      <c r="AF1364">
        <v>3</v>
      </c>
      <c r="AI1364">
        <v>43</v>
      </c>
      <c r="AJ1364">
        <v>1</v>
      </c>
      <c r="AK1364">
        <v>1</v>
      </c>
      <c r="AX1364">
        <v>141</v>
      </c>
      <c r="AY1364">
        <v>99</v>
      </c>
      <c r="AZ1364">
        <v>240</v>
      </c>
      <c r="BA1364">
        <v>13</v>
      </c>
      <c r="BB1364">
        <v>15</v>
      </c>
      <c r="BC1364">
        <v>28</v>
      </c>
      <c r="BD1364">
        <v>52</v>
      </c>
      <c r="BE1364">
        <v>86</v>
      </c>
      <c r="BF1364">
        <v>138</v>
      </c>
      <c r="BG1364">
        <v>45</v>
      </c>
      <c r="BH1364">
        <v>51</v>
      </c>
      <c r="BI1364">
        <v>96</v>
      </c>
      <c r="BP1364">
        <v>42</v>
      </c>
      <c r="BR1364">
        <v>139</v>
      </c>
      <c r="BS1364">
        <v>52</v>
      </c>
      <c r="BT1364">
        <v>7</v>
      </c>
      <c r="BV1364">
        <v>11</v>
      </c>
      <c r="BW1364">
        <v>251</v>
      </c>
      <c r="BX1364" t="s">
        <v>82</v>
      </c>
      <c r="BY1364" s="5"/>
      <c r="BZ1364" s="6"/>
      <c r="CA1364" s="7">
        <v>41588</v>
      </c>
      <c r="CI1364">
        <f t="shared" si="159"/>
        <v>2013</v>
      </c>
      <c r="CJ1364" t="str">
        <f t="shared" si="160"/>
        <v>6320_2013</v>
      </c>
    </row>
    <row r="1365" spans="1:88" x14ac:dyDescent="0.25">
      <c r="A1365" t="s">
        <v>502</v>
      </c>
      <c r="B1365" t="s">
        <v>503</v>
      </c>
      <c r="C1365">
        <v>6320</v>
      </c>
      <c r="D1365">
        <v>-12.4604</v>
      </c>
      <c r="E1365">
        <v>130.83359999999999</v>
      </c>
      <c r="F1365">
        <v>4</v>
      </c>
      <c r="G1365" t="s">
        <v>505</v>
      </c>
      <c r="H1365">
        <v>12</v>
      </c>
      <c r="I1365">
        <v>192</v>
      </c>
      <c r="J1365">
        <v>44</v>
      </c>
      <c r="K1365">
        <v>224</v>
      </c>
      <c r="L1365">
        <v>128</v>
      </c>
      <c r="M1365">
        <v>308</v>
      </c>
      <c r="N1365">
        <v>184</v>
      </c>
      <c r="O1365">
        <v>4</v>
      </c>
      <c r="T1365">
        <v>4</v>
      </c>
      <c r="U1365">
        <v>6</v>
      </c>
      <c r="V1365">
        <v>21</v>
      </c>
      <c r="Y1365">
        <v>5</v>
      </c>
      <c r="Z1365">
        <v>2</v>
      </c>
      <c r="AA1365">
        <v>91</v>
      </c>
      <c r="AD1365">
        <v>11</v>
      </c>
      <c r="AE1365">
        <v>0</v>
      </c>
      <c r="AF1365">
        <v>28</v>
      </c>
      <c r="AI1365">
        <v>18</v>
      </c>
      <c r="AJ1365">
        <v>85</v>
      </c>
      <c r="AK1365">
        <v>25</v>
      </c>
      <c r="AX1365">
        <v>31</v>
      </c>
      <c r="AY1365">
        <v>34</v>
      </c>
      <c r="AZ1365">
        <v>65</v>
      </c>
      <c r="BA1365">
        <v>98</v>
      </c>
      <c r="BB1365">
        <v>89</v>
      </c>
      <c r="BC1365">
        <v>187</v>
      </c>
      <c r="BD1365">
        <v>39</v>
      </c>
      <c r="BE1365">
        <v>33</v>
      </c>
      <c r="BF1365">
        <v>72</v>
      </c>
      <c r="BG1365">
        <v>128</v>
      </c>
      <c r="BH1365">
        <v>140</v>
      </c>
      <c r="BI1365">
        <v>268</v>
      </c>
      <c r="BP1365">
        <v>40</v>
      </c>
      <c r="BR1365">
        <v>203</v>
      </c>
      <c r="BS1365">
        <v>37</v>
      </c>
      <c r="BT1365">
        <v>8</v>
      </c>
      <c r="BV1365">
        <v>8</v>
      </c>
      <c r="BW1365">
        <v>296</v>
      </c>
      <c r="BX1365">
        <f t="shared" ref="BX1365:BX1371" si="164">IF(C1365=C1364,IF((CI1365-1)=CI1364,BW1364,"no data"))</f>
        <v>251</v>
      </c>
      <c r="BY1365" s="5">
        <f t="shared" si="162"/>
        <v>0.17928286852589642</v>
      </c>
      <c r="BZ1365" s="6">
        <f t="shared" si="163"/>
        <v>0.17928286852589642</v>
      </c>
      <c r="CA1365" s="7">
        <v>41952</v>
      </c>
      <c r="CI1365">
        <f t="shared" si="159"/>
        <v>2014</v>
      </c>
      <c r="CJ1365" t="str">
        <f t="shared" si="160"/>
        <v>6320_2014</v>
      </c>
    </row>
    <row r="1366" spans="1:88" x14ac:dyDescent="0.25">
      <c r="A1366" t="s">
        <v>502</v>
      </c>
      <c r="B1366" t="s">
        <v>503</v>
      </c>
      <c r="C1366">
        <v>6320</v>
      </c>
      <c r="D1366">
        <v>-12.4604</v>
      </c>
      <c r="E1366">
        <v>130.83359999999999</v>
      </c>
      <c r="F1366">
        <v>4</v>
      </c>
      <c r="G1366" t="s">
        <v>505</v>
      </c>
      <c r="H1366">
        <v>12</v>
      </c>
      <c r="I1366">
        <v>192</v>
      </c>
      <c r="J1366">
        <v>44</v>
      </c>
      <c r="K1366">
        <v>224</v>
      </c>
      <c r="L1366">
        <v>128</v>
      </c>
      <c r="M1366">
        <v>308</v>
      </c>
      <c r="N1366">
        <v>184</v>
      </c>
      <c r="O1366">
        <v>4</v>
      </c>
      <c r="T1366">
        <v>0</v>
      </c>
      <c r="U1366">
        <v>0</v>
      </c>
      <c r="V1366">
        <v>18</v>
      </c>
      <c r="Y1366">
        <v>0</v>
      </c>
      <c r="Z1366">
        <v>4</v>
      </c>
      <c r="AA1366">
        <v>65</v>
      </c>
      <c r="AD1366">
        <v>1</v>
      </c>
      <c r="AE1366">
        <v>5</v>
      </c>
      <c r="AF1366">
        <v>85</v>
      </c>
      <c r="AI1366">
        <v>15</v>
      </c>
      <c r="AJ1366">
        <v>72</v>
      </c>
      <c r="AK1366">
        <v>32</v>
      </c>
      <c r="AX1366">
        <v>18</v>
      </c>
      <c r="AY1366">
        <v>16</v>
      </c>
      <c r="AZ1366">
        <v>34</v>
      </c>
      <c r="BA1366">
        <v>69</v>
      </c>
      <c r="BB1366">
        <v>77</v>
      </c>
      <c r="BC1366">
        <v>146</v>
      </c>
      <c r="BD1366">
        <v>91</v>
      </c>
      <c r="BE1366">
        <v>36</v>
      </c>
      <c r="BF1366">
        <v>127</v>
      </c>
      <c r="BG1366">
        <v>119</v>
      </c>
      <c r="BH1366">
        <v>168</v>
      </c>
      <c r="BI1366">
        <v>287</v>
      </c>
      <c r="BP1366">
        <v>60</v>
      </c>
      <c r="BR1366">
        <v>147</v>
      </c>
      <c r="BS1366">
        <v>68</v>
      </c>
      <c r="BT1366">
        <v>13</v>
      </c>
      <c r="BV1366">
        <v>9</v>
      </c>
      <c r="BW1366">
        <v>297</v>
      </c>
      <c r="BX1366">
        <f t="shared" si="164"/>
        <v>296</v>
      </c>
      <c r="BY1366" s="5">
        <f t="shared" si="162"/>
        <v>3.3783783783783786E-3</v>
      </c>
      <c r="BZ1366" s="6">
        <f t="shared" si="163"/>
        <v>3.3783783783783786E-3</v>
      </c>
      <c r="CA1366" s="7">
        <v>42316</v>
      </c>
      <c r="CC1366">
        <v>98</v>
      </c>
      <c r="CD1366">
        <v>86</v>
      </c>
      <c r="CE1366">
        <v>49</v>
      </c>
      <c r="CF1366">
        <v>64</v>
      </c>
      <c r="CI1366">
        <f t="shared" si="159"/>
        <v>2015</v>
      </c>
      <c r="CJ1366" t="str">
        <f t="shared" si="160"/>
        <v>6320_2015</v>
      </c>
    </row>
    <row r="1367" spans="1:88" x14ac:dyDescent="0.25">
      <c r="A1367" t="s">
        <v>502</v>
      </c>
      <c r="B1367" t="s">
        <v>503</v>
      </c>
      <c r="C1367">
        <v>6320</v>
      </c>
      <c r="D1367">
        <v>-12.460438</v>
      </c>
      <c r="E1367">
        <v>130.83364599999999</v>
      </c>
      <c r="F1367">
        <v>4</v>
      </c>
      <c r="G1367" t="s">
        <v>505</v>
      </c>
      <c r="H1367">
        <v>12</v>
      </c>
      <c r="I1367">
        <v>192</v>
      </c>
      <c r="J1367">
        <v>44</v>
      </c>
      <c r="K1367">
        <v>224</v>
      </c>
      <c r="L1367">
        <v>128</v>
      </c>
      <c r="M1367">
        <v>308</v>
      </c>
      <c r="N1367">
        <v>184</v>
      </c>
      <c r="O1367">
        <v>4</v>
      </c>
      <c r="T1367">
        <v>0</v>
      </c>
      <c r="U1367">
        <v>5</v>
      </c>
      <c r="V1367">
        <v>9</v>
      </c>
      <c r="Y1367">
        <v>6</v>
      </c>
      <c r="Z1367">
        <v>4</v>
      </c>
      <c r="AA1367">
        <v>78</v>
      </c>
      <c r="AD1367">
        <v>5</v>
      </c>
      <c r="AE1367">
        <v>0</v>
      </c>
      <c r="AF1367">
        <v>38</v>
      </c>
      <c r="AI1367">
        <v>28</v>
      </c>
      <c r="AJ1367">
        <v>65</v>
      </c>
      <c r="AK1367">
        <v>26</v>
      </c>
      <c r="AX1367">
        <v>14</v>
      </c>
      <c r="AY1367">
        <v>39</v>
      </c>
      <c r="AZ1367">
        <v>53</v>
      </c>
      <c r="BA1367">
        <v>88</v>
      </c>
      <c r="BB1367">
        <v>65</v>
      </c>
      <c r="BC1367">
        <v>153</v>
      </c>
      <c r="BD1367">
        <v>43</v>
      </c>
      <c r="BE1367">
        <v>35</v>
      </c>
      <c r="BF1367">
        <v>78</v>
      </c>
      <c r="BG1367">
        <v>119</v>
      </c>
      <c r="BH1367">
        <v>125</v>
      </c>
      <c r="BI1367">
        <v>244</v>
      </c>
      <c r="BP1367">
        <v>49</v>
      </c>
      <c r="BR1367">
        <v>169</v>
      </c>
      <c r="BS1367">
        <v>35</v>
      </c>
      <c r="BT1367">
        <v>11</v>
      </c>
      <c r="BV1367">
        <v>0</v>
      </c>
      <c r="BW1367">
        <v>264</v>
      </c>
      <c r="BX1367">
        <f t="shared" si="164"/>
        <v>297</v>
      </c>
      <c r="BY1367" s="5">
        <f t="shared" si="162"/>
        <v>-0.1111111111111111</v>
      </c>
      <c r="BZ1367" s="6">
        <f t="shared" si="163"/>
        <v>-0.1111111111111111</v>
      </c>
      <c r="CA1367" s="7">
        <v>42687</v>
      </c>
      <c r="CC1367">
        <v>97</v>
      </c>
      <c r="CD1367">
        <v>63</v>
      </c>
      <c r="CE1367">
        <v>48</v>
      </c>
      <c r="CF1367">
        <v>56</v>
      </c>
      <c r="CI1367">
        <f t="shared" si="159"/>
        <v>2016</v>
      </c>
      <c r="CJ1367" t="str">
        <f t="shared" si="160"/>
        <v>6320_2016</v>
      </c>
    </row>
    <row r="1368" spans="1:88" x14ac:dyDescent="0.25">
      <c r="A1368" t="s">
        <v>502</v>
      </c>
      <c r="B1368" t="s">
        <v>503</v>
      </c>
      <c r="C1368">
        <v>6320</v>
      </c>
      <c r="D1368">
        <v>-12.460438</v>
      </c>
      <c r="E1368">
        <v>130.83364599999999</v>
      </c>
      <c r="F1368">
        <v>4</v>
      </c>
      <c r="G1368" t="s">
        <v>505</v>
      </c>
      <c r="H1368">
        <v>12</v>
      </c>
      <c r="I1368">
        <v>192</v>
      </c>
      <c r="J1368">
        <v>44</v>
      </c>
      <c r="K1368">
        <v>224</v>
      </c>
      <c r="L1368">
        <v>128</v>
      </c>
      <c r="M1368">
        <v>308</v>
      </c>
      <c r="N1368">
        <v>184</v>
      </c>
      <c r="O1368">
        <v>4</v>
      </c>
      <c r="T1368">
        <v>6</v>
      </c>
      <c r="U1368">
        <v>31</v>
      </c>
      <c r="V1368">
        <v>1</v>
      </c>
      <c r="Y1368">
        <v>18</v>
      </c>
      <c r="Z1368">
        <v>136</v>
      </c>
      <c r="AA1368">
        <v>8</v>
      </c>
      <c r="AD1368">
        <v>15</v>
      </c>
      <c r="AE1368">
        <v>104</v>
      </c>
      <c r="AF1368">
        <v>45</v>
      </c>
      <c r="AI1368">
        <v>3</v>
      </c>
      <c r="AJ1368">
        <v>3</v>
      </c>
      <c r="AK1368">
        <v>27</v>
      </c>
      <c r="AX1368">
        <v>38</v>
      </c>
      <c r="AY1368">
        <v>36</v>
      </c>
      <c r="AZ1368">
        <v>74</v>
      </c>
      <c r="BA1368">
        <v>162</v>
      </c>
      <c r="BB1368">
        <v>113</v>
      </c>
      <c r="BC1368">
        <v>275</v>
      </c>
      <c r="BD1368">
        <v>164</v>
      </c>
      <c r="BE1368">
        <v>194</v>
      </c>
      <c r="BF1368">
        <v>358</v>
      </c>
      <c r="BG1368">
        <v>33</v>
      </c>
      <c r="BH1368">
        <v>54</v>
      </c>
      <c r="BI1368">
        <v>87</v>
      </c>
      <c r="BP1368">
        <v>59</v>
      </c>
      <c r="BR1368">
        <v>236</v>
      </c>
      <c r="BS1368">
        <v>44</v>
      </c>
      <c r="BT1368">
        <v>22</v>
      </c>
      <c r="BV1368">
        <v>36</v>
      </c>
      <c r="BW1368">
        <v>397</v>
      </c>
      <c r="BX1368">
        <f t="shared" si="164"/>
        <v>264</v>
      </c>
      <c r="BY1368" s="5">
        <f t="shared" si="162"/>
        <v>0.50378787878787878</v>
      </c>
      <c r="BZ1368" s="6">
        <f t="shared" si="163"/>
        <v>0.50378787878787878</v>
      </c>
      <c r="CA1368" s="7">
        <v>43051</v>
      </c>
      <c r="CC1368">
        <v>111</v>
      </c>
      <c r="CD1368">
        <v>102</v>
      </c>
      <c r="CE1368">
        <v>85</v>
      </c>
      <c r="CF1368">
        <v>99</v>
      </c>
      <c r="CI1368">
        <f t="shared" si="159"/>
        <v>2017</v>
      </c>
      <c r="CJ1368" t="str">
        <f t="shared" si="160"/>
        <v>6320_2017</v>
      </c>
    </row>
    <row r="1369" spans="1:88" x14ac:dyDescent="0.25">
      <c r="A1369" t="s">
        <v>502</v>
      </c>
      <c r="B1369" t="s">
        <v>503</v>
      </c>
      <c r="C1369">
        <v>6320</v>
      </c>
      <c r="D1369">
        <v>-12.460438</v>
      </c>
      <c r="E1369">
        <v>130.83364599999999</v>
      </c>
      <c r="F1369">
        <v>4</v>
      </c>
      <c r="G1369" t="s">
        <v>505</v>
      </c>
      <c r="H1369">
        <v>12</v>
      </c>
      <c r="I1369">
        <v>192</v>
      </c>
      <c r="J1369">
        <v>44</v>
      </c>
      <c r="K1369">
        <v>224</v>
      </c>
      <c r="L1369">
        <v>128</v>
      </c>
      <c r="M1369">
        <v>308</v>
      </c>
      <c r="N1369">
        <v>184</v>
      </c>
      <c r="O1369">
        <v>4</v>
      </c>
      <c r="T1369">
        <v>7</v>
      </c>
      <c r="U1369">
        <v>65</v>
      </c>
      <c r="V1369">
        <v>7</v>
      </c>
      <c r="Y1369">
        <v>17</v>
      </c>
      <c r="Z1369">
        <v>155</v>
      </c>
      <c r="AA1369">
        <v>5</v>
      </c>
      <c r="AD1369">
        <v>57</v>
      </c>
      <c r="AE1369">
        <v>113</v>
      </c>
      <c r="AF1369">
        <v>12</v>
      </c>
      <c r="AI1369">
        <v>7</v>
      </c>
      <c r="AJ1369">
        <v>6</v>
      </c>
      <c r="AK1369">
        <v>10</v>
      </c>
      <c r="AX1369">
        <v>79</v>
      </c>
      <c r="AY1369">
        <v>81</v>
      </c>
      <c r="AZ1369">
        <v>160</v>
      </c>
      <c r="BA1369">
        <v>177</v>
      </c>
      <c r="BB1369">
        <v>126</v>
      </c>
      <c r="BC1369">
        <v>303</v>
      </c>
      <c r="BD1369">
        <v>182</v>
      </c>
      <c r="BE1369">
        <v>230</v>
      </c>
      <c r="BF1369">
        <v>412</v>
      </c>
      <c r="BG1369">
        <v>23</v>
      </c>
      <c r="BH1369">
        <v>24</v>
      </c>
      <c r="BI1369">
        <v>47</v>
      </c>
      <c r="BP1369">
        <v>71</v>
      </c>
      <c r="BR1369">
        <v>298</v>
      </c>
      <c r="BS1369">
        <v>51</v>
      </c>
      <c r="BT1369">
        <v>38</v>
      </c>
      <c r="BV1369">
        <v>3</v>
      </c>
      <c r="BW1369">
        <v>461</v>
      </c>
      <c r="BX1369">
        <f t="shared" si="164"/>
        <v>397</v>
      </c>
      <c r="BY1369" s="5">
        <f t="shared" si="162"/>
        <v>0.16120906801007556</v>
      </c>
      <c r="BZ1369" s="6">
        <f t="shared" si="163"/>
        <v>0.16120906801007556</v>
      </c>
      <c r="CA1369" s="7">
        <v>43415</v>
      </c>
      <c r="CC1369">
        <v>143</v>
      </c>
      <c r="CD1369">
        <v>119</v>
      </c>
      <c r="CE1369">
        <v>93</v>
      </c>
      <c r="CF1369">
        <v>106</v>
      </c>
      <c r="CI1369">
        <f t="shared" si="159"/>
        <v>2018</v>
      </c>
      <c r="CJ1369" t="str">
        <f t="shared" si="160"/>
        <v>6320_2018</v>
      </c>
    </row>
    <row r="1370" spans="1:88" x14ac:dyDescent="0.25">
      <c r="A1370" t="s">
        <v>502</v>
      </c>
      <c r="B1370" t="s">
        <v>503</v>
      </c>
      <c r="C1370">
        <v>6320</v>
      </c>
      <c r="D1370">
        <v>-12.4604</v>
      </c>
      <c r="E1370">
        <v>130.83359999999999</v>
      </c>
      <c r="F1370">
        <v>4</v>
      </c>
      <c r="G1370" t="s">
        <v>505</v>
      </c>
      <c r="H1370">
        <v>12</v>
      </c>
      <c r="I1370">
        <v>192</v>
      </c>
      <c r="J1370">
        <v>44</v>
      </c>
      <c r="K1370">
        <v>224</v>
      </c>
      <c r="L1370">
        <v>128</v>
      </c>
      <c r="M1370">
        <v>308</v>
      </c>
      <c r="N1370">
        <v>184</v>
      </c>
      <c r="O1370">
        <v>4</v>
      </c>
      <c r="T1370">
        <v>0</v>
      </c>
      <c r="U1370">
        <v>6</v>
      </c>
      <c r="V1370">
        <v>27</v>
      </c>
      <c r="Y1370">
        <v>0</v>
      </c>
      <c r="Z1370">
        <v>33</v>
      </c>
      <c r="AA1370">
        <v>90</v>
      </c>
      <c r="AD1370">
        <v>0</v>
      </c>
      <c r="AE1370">
        <v>66</v>
      </c>
      <c r="AF1370">
        <v>8</v>
      </c>
      <c r="AI1370">
        <v>73</v>
      </c>
      <c r="AJ1370">
        <v>21</v>
      </c>
      <c r="AK1370">
        <v>9</v>
      </c>
      <c r="AX1370">
        <v>33</v>
      </c>
      <c r="AY1370">
        <v>73</v>
      </c>
      <c r="AZ1370">
        <v>106</v>
      </c>
      <c r="BA1370">
        <v>123</v>
      </c>
      <c r="BB1370">
        <v>87</v>
      </c>
      <c r="BC1370">
        <v>210</v>
      </c>
      <c r="BD1370">
        <v>74</v>
      </c>
      <c r="BE1370">
        <v>48</v>
      </c>
      <c r="BF1370">
        <v>122</v>
      </c>
      <c r="BG1370">
        <v>103</v>
      </c>
      <c r="BH1370">
        <v>125</v>
      </c>
      <c r="BI1370">
        <v>228</v>
      </c>
      <c r="BP1370">
        <v>88</v>
      </c>
      <c r="BR1370">
        <v>189</v>
      </c>
      <c r="BS1370">
        <v>32</v>
      </c>
      <c r="BT1370">
        <v>22</v>
      </c>
      <c r="BV1370">
        <v>2</v>
      </c>
      <c r="BW1370">
        <v>333</v>
      </c>
      <c r="BX1370">
        <f t="shared" si="164"/>
        <v>461</v>
      </c>
      <c r="BY1370" s="5">
        <f t="shared" si="162"/>
        <v>-0.27765726681127983</v>
      </c>
      <c r="BZ1370" s="6">
        <f t="shared" si="163"/>
        <v>-0.27765726681127983</v>
      </c>
      <c r="CA1370" s="7">
        <v>43779</v>
      </c>
      <c r="CC1370">
        <v>99</v>
      </c>
      <c r="CD1370">
        <v>84</v>
      </c>
      <c r="CE1370">
        <v>85</v>
      </c>
      <c r="CF1370">
        <v>65</v>
      </c>
      <c r="CI1370">
        <f t="shared" si="159"/>
        <v>2019</v>
      </c>
      <c r="CJ1370" t="str">
        <f t="shared" si="160"/>
        <v>6320_2019</v>
      </c>
    </row>
    <row r="1371" spans="1:88" x14ac:dyDescent="0.25">
      <c r="A1371" t="s">
        <v>502</v>
      </c>
      <c r="B1371" t="s">
        <v>503</v>
      </c>
      <c r="C1371">
        <v>6320</v>
      </c>
      <c r="D1371">
        <v>-12.460438</v>
      </c>
      <c r="E1371">
        <v>130.83364599999999</v>
      </c>
      <c r="F1371">
        <v>4</v>
      </c>
      <c r="G1371" t="s">
        <v>505</v>
      </c>
      <c r="H1371">
        <v>12</v>
      </c>
      <c r="I1371">
        <v>192</v>
      </c>
      <c r="J1371">
        <v>44</v>
      </c>
      <c r="K1371">
        <v>224</v>
      </c>
      <c r="L1371">
        <v>128</v>
      </c>
      <c r="M1371">
        <v>308</v>
      </c>
      <c r="N1371">
        <v>184</v>
      </c>
      <c r="O1371">
        <v>4</v>
      </c>
      <c r="T1371">
        <v>0</v>
      </c>
      <c r="U1371">
        <v>2</v>
      </c>
      <c r="V1371">
        <v>9</v>
      </c>
      <c r="Y1371">
        <v>0</v>
      </c>
      <c r="Z1371">
        <v>2</v>
      </c>
      <c r="AA1371">
        <v>39</v>
      </c>
      <c r="AD1371">
        <v>6</v>
      </c>
      <c r="AE1371">
        <v>0</v>
      </c>
      <c r="AF1371">
        <v>57</v>
      </c>
      <c r="AI1371">
        <v>16</v>
      </c>
      <c r="AJ1371">
        <v>33</v>
      </c>
      <c r="AK1371">
        <v>44</v>
      </c>
      <c r="AX1371">
        <v>11</v>
      </c>
      <c r="AY1371">
        <v>22</v>
      </c>
      <c r="AZ1371">
        <v>33</v>
      </c>
      <c r="BA1371">
        <v>41</v>
      </c>
      <c r="BB1371">
        <v>33</v>
      </c>
      <c r="BC1371">
        <v>74</v>
      </c>
      <c r="BD1371">
        <v>63</v>
      </c>
      <c r="BE1371">
        <v>48</v>
      </c>
      <c r="BF1371">
        <v>111</v>
      </c>
      <c r="BG1371">
        <v>93</v>
      </c>
      <c r="BH1371">
        <v>105</v>
      </c>
      <c r="BI1371">
        <v>198</v>
      </c>
      <c r="BP1371">
        <v>12</v>
      </c>
      <c r="BR1371">
        <v>125</v>
      </c>
      <c r="BS1371">
        <v>44</v>
      </c>
      <c r="BT1371">
        <v>16</v>
      </c>
      <c r="BV1371">
        <v>11</v>
      </c>
      <c r="BW1371">
        <v>208</v>
      </c>
      <c r="BX1371" t="str">
        <f t="shared" si="164"/>
        <v>no data</v>
      </c>
      <c r="BY1371" s="5"/>
      <c r="BZ1371" s="6"/>
      <c r="CA1371" s="7">
        <v>44528</v>
      </c>
      <c r="CC1371">
        <v>77</v>
      </c>
      <c r="CD1371">
        <v>70</v>
      </c>
      <c r="CE1371">
        <v>61</v>
      </c>
      <c r="CI1371">
        <f t="shared" si="159"/>
        <v>2021</v>
      </c>
      <c r="CJ1371" t="str">
        <f t="shared" si="160"/>
        <v>6320_2021</v>
      </c>
    </row>
    <row r="1372" spans="1:88" x14ac:dyDescent="0.25">
      <c r="A1372" t="s">
        <v>502</v>
      </c>
      <c r="B1372" t="s">
        <v>503</v>
      </c>
      <c r="C1372">
        <v>6321</v>
      </c>
      <c r="D1372">
        <v>-12.3902</v>
      </c>
      <c r="E1372">
        <v>130.8912</v>
      </c>
      <c r="F1372">
        <v>3</v>
      </c>
      <c r="G1372" t="s">
        <v>506</v>
      </c>
      <c r="H1372">
        <v>7</v>
      </c>
      <c r="I1372">
        <v>187</v>
      </c>
      <c r="J1372">
        <v>177</v>
      </c>
      <c r="K1372">
        <v>357</v>
      </c>
      <c r="L1372">
        <v>233</v>
      </c>
      <c r="M1372">
        <v>53</v>
      </c>
      <c r="T1372">
        <v>23</v>
      </c>
      <c r="U1372">
        <v>7</v>
      </c>
      <c r="Y1372">
        <v>12</v>
      </c>
      <c r="Z1372">
        <v>6</v>
      </c>
      <c r="AD1372">
        <v>10</v>
      </c>
      <c r="AE1372">
        <v>1</v>
      </c>
      <c r="AX1372">
        <v>30</v>
      </c>
      <c r="AY1372">
        <v>22</v>
      </c>
      <c r="AZ1372">
        <v>52</v>
      </c>
      <c r="BA1372">
        <v>18</v>
      </c>
      <c r="BB1372">
        <v>24</v>
      </c>
      <c r="BC1372">
        <v>42</v>
      </c>
      <c r="BD1372">
        <v>11</v>
      </c>
      <c r="BE1372">
        <v>13</v>
      </c>
      <c r="BF1372">
        <v>24</v>
      </c>
      <c r="BP1372">
        <v>20</v>
      </c>
      <c r="BR1372">
        <v>15</v>
      </c>
      <c r="BS1372">
        <v>2</v>
      </c>
      <c r="BT1372">
        <v>18</v>
      </c>
      <c r="BV1372">
        <v>4</v>
      </c>
      <c r="BW1372">
        <v>59</v>
      </c>
      <c r="BX1372" t="s">
        <v>82</v>
      </c>
      <c r="BY1372" s="5"/>
      <c r="BZ1372" s="6"/>
      <c r="CA1372" s="7">
        <v>41588</v>
      </c>
      <c r="CI1372">
        <f t="shared" si="159"/>
        <v>2013</v>
      </c>
      <c r="CJ1372" t="str">
        <f t="shared" si="160"/>
        <v>6321_2013</v>
      </c>
    </row>
    <row r="1373" spans="1:88" x14ac:dyDescent="0.25">
      <c r="A1373" t="s">
        <v>502</v>
      </c>
      <c r="B1373" t="s">
        <v>503</v>
      </c>
      <c r="C1373">
        <v>6321</v>
      </c>
      <c r="D1373">
        <v>-12.3902</v>
      </c>
      <c r="E1373">
        <v>130.8912</v>
      </c>
      <c r="F1373">
        <v>3</v>
      </c>
      <c r="G1373" t="s">
        <v>506</v>
      </c>
      <c r="H1373">
        <v>7</v>
      </c>
      <c r="I1373">
        <v>187</v>
      </c>
      <c r="J1373">
        <v>177</v>
      </c>
      <c r="K1373">
        <v>357</v>
      </c>
      <c r="L1373">
        <v>233</v>
      </c>
      <c r="M1373">
        <v>53</v>
      </c>
      <c r="T1373">
        <v>21</v>
      </c>
      <c r="U1373">
        <v>6</v>
      </c>
      <c r="Y1373">
        <v>34</v>
      </c>
      <c r="Z1373">
        <v>9</v>
      </c>
      <c r="AD1373">
        <v>21</v>
      </c>
      <c r="AE1373">
        <v>11</v>
      </c>
      <c r="AX1373">
        <v>27</v>
      </c>
      <c r="AY1373">
        <v>55</v>
      </c>
      <c r="AZ1373">
        <v>82</v>
      </c>
      <c r="BA1373">
        <v>43</v>
      </c>
      <c r="BB1373">
        <v>32</v>
      </c>
      <c r="BC1373">
        <v>75</v>
      </c>
      <c r="BD1373">
        <v>32</v>
      </c>
      <c r="BE1373">
        <v>15</v>
      </c>
      <c r="BF1373">
        <v>47</v>
      </c>
      <c r="BP1373">
        <v>28</v>
      </c>
      <c r="BR1373">
        <v>43</v>
      </c>
      <c r="BS1373">
        <v>2</v>
      </c>
      <c r="BT1373">
        <v>27</v>
      </c>
      <c r="BV1373">
        <v>2</v>
      </c>
      <c r="BW1373">
        <v>102</v>
      </c>
      <c r="BX1373">
        <f t="shared" ref="BX1373:BX1379" si="165">IF(C1373=C1372,IF((CI1373-1)=CI1372,BW1372,"no data"))</f>
        <v>59</v>
      </c>
      <c r="BY1373" s="5">
        <f t="shared" si="162"/>
        <v>0.72881355932203384</v>
      </c>
      <c r="BZ1373" s="6">
        <f t="shared" si="163"/>
        <v>0.72881355932203384</v>
      </c>
      <c r="CA1373" s="7">
        <v>41952</v>
      </c>
      <c r="CI1373">
        <f t="shared" si="159"/>
        <v>2014</v>
      </c>
      <c r="CJ1373" t="str">
        <f t="shared" si="160"/>
        <v>6321_2014</v>
      </c>
    </row>
    <row r="1374" spans="1:88" x14ac:dyDescent="0.25">
      <c r="A1374" t="s">
        <v>502</v>
      </c>
      <c r="B1374" t="s">
        <v>503</v>
      </c>
      <c r="C1374">
        <v>6321</v>
      </c>
      <c r="D1374">
        <v>-12.3902</v>
      </c>
      <c r="E1374">
        <v>130.8912</v>
      </c>
      <c r="F1374">
        <v>3</v>
      </c>
      <c r="G1374" t="s">
        <v>506</v>
      </c>
      <c r="H1374">
        <v>7</v>
      </c>
      <c r="I1374">
        <v>187</v>
      </c>
      <c r="J1374">
        <v>177</v>
      </c>
      <c r="K1374">
        <v>357</v>
      </c>
      <c r="L1374">
        <v>233</v>
      </c>
      <c r="M1374">
        <v>53</v>
      </c>
      <c r="T1374">
        <v>44</v>
      </c>
      <c r="U1374">
        <v>16</v>
      </c>
      <c r="Y1374">
        <v>52</v>
      </c>
      <c r="Z1374">
        <v>6</v>
      </c>
      <c r="AD1374">
        <v>5</v>
      </c>
      <c r="AE1374">
        <v>0</v>
      </c>
      <c r="AX1374">
        <v>60</v>
      </c>
      <c r="AY1374">
        <v>57</v>
      </c>
      <c r="AZ1374">
        <v>117</v>
      </c>
      <c r="BA1374">
        <v>58</v>
      </c>
      <c r="BB1374">
        <v>44</v>
      </c>
      <c r="BC1374">
        <v>102</v>
      </c>
      <c r="BD1374">
        <v>5</v>
      </c>
      <c r="BE1374">
        <v>22</v>
      </c>
      <c r="BF1374">
        <v>27</v>
      </c>
      <c r="BP1374">
        <v>40</v>
      </c>
      <c r="BR1374">
        <v>50</v>
      </c>
      <c r="BS1374">
        <v>2</v>
      </c>
      <c r="BT1374">
        <v>26</v>
      </c>
      <c r="BV1374">
        <v>5</v>
      </c>
      <c r="BW1374">
        <v>123</v>
      </c>
      <c r="BX1374">
        <f t="shared" si="165"/>
        <v>102</v>
      </c>
      <c r="BY1374" s="5">
        <f t="shared" si="162"/>
        <v>0.20588235294117646</v>
      </c>
      <c r="BZ1374" s="6">
        <f t="shared" si="163"/>
        <v>0.20588235294117646</v>
      </c>
      <c r="CA1374" s="7">
        <v>42316</v>
      </c>
      <c r="CC1374">
        <v>48</v>
      </c>
      <c r="CD1374">
        <v>33</v>
      </c>
      <c r="CE1374">
        <v>9</v>
      </c>
      <c r="CF1374">
        <v>33</v>
      </c>
      <c r="CI1374">
        <f t="shared" si="159"/>
        <v>2015</v>
      </c>
      <c r="CJ1374" t="str">
        <f t="shared" si="160"/>
        <v>6321_2015</v>
      </c>
    </row>
    <row r="1375" spans="1:88" x14ac:dyDescent="0.25">
      <c r="A1375" t="s">
        <v>502</v>
      </c>
      <c r="B1375" t="s">
        <v>503</v>
      </c>
      <c r="C1375">
        <v>6321</v>
      </c>
      <c r="D1375">
        <v>-12.390153</v>
      </c>
      <c r="E1375">
        <v>130.891244</v>
      </c>
      <c r="F1375">
        <v>3</v>
      </c>
      <c r="G1375" t="s">
        <v>506</v>
      </c>
      <c r="H1375">
        <v>7</v>
      </c>
      <c r="I1375">
        <v>187</v>
      </c>
      <c r="J1375">
        <v>177</v>
      </c>
      <c r="K1375">
        <v>357</v>
      </c>
      <c r="L1375">
        <v>233</v>
      </c>
      <c r="M1375">
        <v>53</v>
      </c>
      <c r="T1375">
        <v>47</v>
      </c>
      <c r="U1375">
        <v>32</v>
      </c>
      <c r="Y1375">
        <v>51</v>
      </c>
      <c r="Z1375">
        <v>16</v>
      </c>
      <c r="AD1375">
        <v>26</v>
      </c>
      <c r="AE1375">
        <v>10</v>
      </c>
      <c r="AX1375">
        <v>79</v>
      </c>
      <c r="AY1375">
        <v>77</v>
      </c>
      <c r="AZ1375">
        <v>156</v>
      </c>
      <c r="BA1375">
        <v>67</v>
      </c>
      <c r="BB1375">
        <v>57</v>
      </c>
      <c r="BC1375">
        <v>124</v>
      </c>
      <c r="BD1375">
        <v>36</v>
      </c>
      <c r="BE1375">
        <v>48</v>
      </c>
      <c r="BF1375">
        <v>84</v>
      </c>
      <c r="BP1375">
        <v>50</v>
      </c>
      <c r="BR1375">
        <v>89</v>
      </c>
      <c r="BS1375">
        <v>2</v>
      </c>
      <c r="BT1375">
        <v>40</v>
      </c>
      <c r="BV1375">
        <v>1</v>
      </c>
      <c r="BW1375">
        <v>182</v>
      </c>
      <c r="BX1375">
        <f t="shared" si="165"/>
        <v>123</v>
      </c>
      <c r="BY1375" s="5">
        <f t="shared" si="162"/>
        <v>0.47967479674796748</v>
      </c>
      <c r="BZ1375" s="6">
        <f t="shared" si="163"/>
        <v>0.47967479674796748</v>
      </c>
      <c r="CA1375" s="7">
        <v>42687</v>
      </c>
      <c r="CC1375">
        <v>62</v>
      </c>
      <c r="CD1375">
        <v>62</v>
      </c>
      <c r="CE1375">
        <v>39</v>
      </c>
      <c r="CF1375">
        <v>19</v>
      </c>
      <c r="CI1375">
        <f t="shared" si="159"/>
        <v>2016</v>
      </c>
      <c r="CJ1375" t="str">
        <f t="shared" si="160"/>
        <v>6321_2016</v>
      </c>
    </row>
    <row r="1376" spans="1:88" x14ac:dyDescent="0.25">
      <c r="A1376" t="s">
        <v>502</v>
      </c>
      <c r="B1376" t="s">
        <v>503</v>
      </c>
      <c r="C1376">
        <v>6321</v>
      </c>
      <c r="D1376">
        <v>-12.390153</v>
      </c>
      <c r="E1376">
        <v>130.891244</v>
      </c>
      <c r="F1376">
        <v>3</v>
      </c>
      <c r="G1376" t="s">
        <v>506</v>
      </c>
      <c r="H1376">
        <v>7</v>
      </c>
      <c r="I1376">
        <v>187</v>
      </c>
      <c r="J1376">
        <v>177</v>
      </c>
      <c r="K1376">
        <v>357</v>
      </c>
      <c r="L1376">
        <v>233</v>
      </c>
      <c r="M1376">
        <v>53</v>
      </c>
      <c r="T1376">
        <v>49</v>
      </c>
      <c r="U1376">
        <v>16</v>
      </c>
      <c r="Y1376">
        <v>41</v>
      </c>
      <c r="Z1376">
        <v>7</v>
      </c>
      <c r="AD1376">
        <v>16</v>
      </c>
      <c r="AE1376">
        <v>4</v>
      </c>
      <c r="AX1376">
        <v>65</v>
      </c>
      <c r="AY1376">
        <v>57</v>
      </c>
      <c r="AZ1376">
        <v>122</v>
      </c>
      <c r="BA1376">
        <v>48</v>
      </c>
      <c r="BB1376">
        <v>53</v>
      </c>
      <c r="BC1376">
        <v>101</v>
      </c>
      <c r="BD1376">
        <v>20</v>
      </c>
      <c r="BE1376">
        <v>23</v>
      </c>
      <c r="BF1376">
        <v>43</v>
      </c>
      <c r="BP1376">
        <v>19</v>
      </c>
      <c r="BR1376">
        <v>69</v>
      </c>
      <c r="BS1376">
        <v>6</v>
      </c>
      <c r="BT1376">
        <v>36</v>
      </c>
      <c r="BV1376">
        <v>3</v>
      </c>
      <c r="BW1376">
        <v>133</v>
      </c>
      <c r="BX1376">
        <f t="shared" si="165"/>
        <v>182</v>
      </c>
      <c r="BY1376" s="5">
        <f t="shared" si="162"/>
        <v>-0.26923076923076922</v>
      </c>
      <c r="BZ1376" s="6">
        <f t="shared" si="163"/>
        <v>-0.26923076923076922</v>
      </c>
      <c r="CA1376" s="7">
        <v>43051</v>
      </c>
      <c r="CC1376">
        <v>51</v>
      </c>
      <c r="CD1376">
        <v>46</v>
      </c>
      <c r="CE1376">
        <v>26</v>
      </c>
      <c r="CF1376">
        <v>10</v>
      </c>
      <c r="CI1376">
        <f t="shared" si="159"/>
        <v>2017</v>
      </c>
      <c r="CJ1376" t="str">
        <f t="shared" si="160"/>
        <v>6321_2017</v>
      </c>
    </row>
    <row r="1377" spans="1:88" x14ac:dyDescent="0.25">
      <c r="A1377" t="s">
        <v>502</v>
      </c>
      <c r="B1377" t="s">
        <v>503</v>
      </c>
      <c r="C1377">
        <v>6321</v>
      </c>
      <c r="D1377">
        <v>-12.390153</v>
      </c>
      <c r="E1377">
        <v>130.891244</v>
      </c>
      <c r="F1377">
        <v>3</v>
      </c>
      <c r="G1377" t="s">
        <v>506</v>
      </c>
      <c r="H1377">
        <v>7</v>
      </c>
      <c r="I1377">
        <v>187</v>
      </c>
      <c r="J1377">
        <v>177</v>
      </c>
      <c r="K1377">
        <v>357</v>
      </c>
      <c r="L1377">
        <v>233</v>
      </c>
      <c r="M1377">
        <v>53</v>
      </c>
      <c r="T1377">
        <v>45</v>
      </c>
      <c r="U1377">
        <v>11</v>
      </c>
      <c r="Y1377">
        <v>61</v>
      </c>
      <c r="Z1377">
        <v>26</v>
      </c>
      <c r="AD1377">
        <v>33</v>
      </c>
      <c r="AE1377">
        <v>21</v>
      </c>
      <c r="AX1377">
        <v>56</v>
      </c>
      <c r="AY1377">
        <v>94</v>
      </c>
      <c r="AZ1377">
        <v>150</v>
      </c>
      <c r="BA1377">
        <v>87</v>
      </c>
      <c r="BB1377">
        <v>66</v>
      </c>
      <c r="BC1377">
        <v>153</v>
      </c>
      <c r="BD1377">
        <v>54</v>
      </c>
      <c r="BE1377">
        <v>37</v>
      </c>
      <c r="BF1377">
        <v>91</v>
      </c>
      <c r="BP1377">
        <v>45</v>
      </c>
      <c r="BR1377">
        <v>65</v>
      </c>
      <c r="BS1377">
        <v>8</v>
      </c>
      <c r="BT1377">
        <v>38</v>
      </c>
      <c r="BV1377">
        <v>41</v>
      </c>
      <c r="BW1377">
        <v>197</v>
      </c>
      <c r="BX1377">
        <f t="shared" si="165"/>
        <v>133</v>
      </c>
      <c r="BY1377" s="5">
        <f t="shared" si="162"/>
        <v>0.48120300751879697</v>
      </c>
      <c r="BZ1377" s="6">
        <f t="shared" si="163"/>
        <v>0.48120300751879697</v>
      </c>
      <c r="CA1377" s="7">
        <v>43415</v>
      </c>
      <c r="CC1377">
        <v>59</v>
      </c>
      <c r="CD1377">
        <v>54</v>
      </c>
      <c r="CE1377">
        <v>68</v>
      </c>
      <c r="CF1377">
        <v>16</v>
      </c>
      <c r="CI1377">
        <f t="shared" si="159"/>
        <v>2018</v>
      </c>
      <c r="CJ1377" t="str">
        <f t="shared" si="160"/>
        <v>6321_2018</v>
      </c>
    </row>
    <row r="1378" spans="1:88" x14ac:dyDescent="0.25">
      <c r="A1378" t="s">
        <v>502</v>
      </c>
      <c r="B1378" t="s">
        <v>503</v>
      </c>
      <c r="C1378">
        <v>6321</v>
      </c>
      <c r="D1378">
        <v>-12.3902</v>
      </c>
      <c r="E1378">
        <v>130.8912</v>
      </c>
      <c r="F1378">
        <v>3</v>
      </c>
      <c r="G1378" t="s">
        <v>506</v>
      </c>
      <c r="H1378">
        <v>7</v>
      </c>
      <c r="I1378">
        <v>187</v>
      </c>
      <c r="J1378">
        <v>177</v>
      </c>
      <c r="K1378">
        <v>357</v>
      </c>
      <c r="L1378">
        <v>233</v>
      </c>
      <c r="M1378">
        <v>53</v>
      </c>
      <c r="T1378">
        <v>27</v>
      </c>
      <c r="U1378">
        <v>14</v>
      </c>
      <c r="Y1378">
        <v>28</v>
      </c>
      <c r="Z1378">
        <v>12</v>
      </c>
      <c r="AD1378">
        <v>11</v>
      </c>
      <c r="AE1378">
        <v>9</v>
      </c>
      <c r="AX1378">
        <v>41</v>
      </c>
      <c r="AY1378">
        <v>39</v>
      </c>
      <c r="AZ1378">
        <v>80</v>
      </c>
      <c r="BA1378">
        <v>40</v>
      </c>
      <c r="BB1378">
        <v>36</v>
      </c>
      <c r="BC1378">
        <v>76</v>
      </c>
      <c r="BD1378">
        <v>20</v>
      </c>
      <c r="BE1378">
        <v>26</v>
      </c>
      <c r="BF1378">
        <v>46</v>
      </c>
      <c r="BP1378">
        <v>28</v>
      </c>
      <c r="BR1378">
        <v>44</v>
      </c>
      <c r="BS1378">
        <v>1</v>
      </c>
      <c r="BT1378">
        <v>27</v>
      </c>
      <c r="BV1378">
        <v>1</v>
      </c>
      <c r="BW1378">
        <v>101</v>
      </c>
      <c r="BX1378">
        <f t="shared" si="165"/>
        <v>197</v>
      </c>
      <c r="BY1378" s="5">
        <f t="shared" si="162"/>
        <v>-0.48730964467005078</v>
      </c>
      <c r="BZ1378" s="6">
        <f t="shared" si="163"/>
        <v>-0.48730964467005078</v>
      </c>
      <c r="CA1378" s="7">
        <v>43779</v>
      </c>
      <c r="CC1378">
        <v>44</v>
      </c>
      <c r="CD1378">
        <v>23</v>
      </c>
      <c r="CE1378">
        <v>28</v>
      </c>
      <c r="CF1378">
        <v>6</v>
      </c>
      <c r="CI1378">
        <f t="shared" si="159"/>
        <v>2019</v>
      </c>
      <c r="CJ1378" t="str">
        <f t="shared" si="160"/>
        <v>6321_2019</v>
      </c>
    </row>
    <row r="1379" spans="1:88" x14ac:dyDescent="0.25">
      <c r="A1379" t="s">
        <v>502</v>
      </c>
      <c r="B1379" t="s">
        <v>503</v>
      </c>
      <c r="C1379">
        <v>6321</v>
      </c>
      <c r="D1379">
        <v>-12.390153</v>
      </c>
      <c r="E1379">
        <v>130.891244</v>
      </c>
      <c r="F1379">
        <v>3</v>
      </c>
      <c r="G1379" t="s">
        <v>506</v>
      </c>
      <c r="H1379">
        <v>7</v>
      </c>
      <c r="I1379">
        <v>187</v>
      </c>
      <c r="J1379">
        <v>177</v>
      </c>
      <c r="K1379">
        <v>357</v>
      </c>
      <c r="L1379">
        <v>233</v>
      </c>
      <c r="M1379">
        <v>53</v>
      </c>
      <c r="T1379">
        <v>13</v>
      </c>
      <c r="U1379">
        <v>6</v>
      </c>
      <c r="Y1379">
        <v>14</v>
      </c>
      <c r="Z1379">
        <v>12</v>
      </c>
      <c r="AD1379">
        <v>14</v>
      </c>
      <c r="AE1379">
        <v>4</v>
      </c>
      <c r="AX1379">
        <v>19</v>
      </c>
      <c r="AY1379">
        <v>28</v>
      </c>
      <c r="AZ1379">
        <v>47</v>
      </c>
      <c r="BA1379">
        <v>26</v>
      </c>
      <c r="BB1379">
        <v>17</v>
      </c>
      <c r="BC1379">
        <v>43</v>
      </c>
      <c r="BD1379">
        <v>18</v>
      </c>
      <c r="BE1379">
        <v>18</v>
      </c>
      <c r="BF1379">
        <v>36</v>
      </c>
      <c r="BP1379">
        <v>12</v>
      </c>
      <c r="BR1379">
        <v>21</v>
      </c>
      <c r="BS1379">
        <v>2</v>
      </c>
      <c r="BT1379">
        <v>25</v>
      </c>
      <c r="BV1379">
        <v>3</v>
      </c>
      <c r="BW1379">
        <v>63</v>
      </c>
      <c r="BX1379" t="str">
        <f t="shared" si="165"/>
        <v>no data</v>
      </c>
      <c r="BY1379" s="5"/>
      <c r="BZ1379" s="6"/>
      <c r="CA1379" s="7">
        <v>44528</v>
      </c>
      <c r="CC1379">
        <v>20</v>
      </c>
      <c r="CD1379">
        <v>20</v>
      </c>
      <c r="CE1379">
        <v>23</v>
      </c>
      <c r="CI1379">
        <f t="shared" si="159"/>
        <v>2021</v>
      </c>
      <c r="CJ1379" t="str">
        <f t="shared" si="160"/>
        <v>6321_2021</v>
      </c>
    </row>
    <row r="1380" spans="1:88" x14ac:dyDescent="0.25">
      <c r="A1380" t="s">
        <v>502</v>
      </c>
      <c r="B1380" t="s">
        <v>503</v>
      </c>
      <c r="C1380">
        <v>6322</v>
      </c>
      <c r="D1380">
        <v>-12.412599999999999</v>
      </c>
      <c r="E1380">
        <v>130.82939999999999</v>
      </c>
      <c r="F1380">
        <v>4</v>
      </c>
      <c r="G1380" t="s">
        <v>507</v>
      </c>
      <c r="H1380">
        <v>54</v>
      </c>
      <c r="I1380">
        <v>234</v>
      </c>
      <c r="J1380">
        <v>145</v>
      </c>
      <c r="K1380">
        <v>325</v>
      </c>
      <c r="L1380">
        <v>234</v>
      </c>
      <c r="M1380">
        <v>54</v>
      </c>
      <c r="N1380">
        <v>322</v>
      </c>
      <c r="O1380">
        <v>142</v>
      </c>
      <c r="Z1380">
        <v>13</v>
      </c>
      <c r="AA1380">
        <v>134</v>
      </c>
      <c r="AE1380">
        <v>10</v>
      </c>
      <c r="AF1380">
        <v>36</v>
      </c>
      <c r="AJ1380">
        <v>147</v>
      </c>
      <c r="AK1380">
        <v>12</v>
      </c>
      <c r="BA1380">
        <v>147</v>
      </c>
      <c r="BB1380">
        <v>157</v>
      </c>
      <c r="BC1380">
        <v>304</v>
      </c>
      <c r="BD1380">
        <v>46</v>
      </c>
      <c r="BE1380">
        <v>25</v>
      </c>
      <c r="BF1380">
        <v>71</v>
      </c>
      <c r="BG1380">
        <v>159</v>
      </c>
      <c r="BH1380">
        <v>170</v>
      </c>
      <c r="BI1380">
        <v>329</v>
      </c>
      <c r="BP1380">
        <v>226</v>
      </c>
      <c r="BR1380">
        <v>109</v>
      </c>
      <c r="BS1380">
        <v>17</v>
      </c>
      <c r="BT1380">
        <v>0</v>
      </c>
      <c r="BV1380">
        <v>0</v>
      </c>
      <c r="BW1380">
        <v>352</v>
      </c>
      <c r="BX1380" t="s">
        <v>82</v>
      </c>
      <c r="BY1380" s="5"/>
      <c r="BZ1380" s="6"/>
      <c r="CA1380" s="7">
        <v>41588</v>
      </c>
      <c r="CI1380">
        <f t="shared" si="159"/>
        <v>2013</v>
      </c>
      <c r="CJ1380" t="str">
        <f t="shared" si="160"/>
        <v>6322_2013</v>
      </c>
    </row>
    <row r="1381" spans="1:88" x14ac:dyDescent="0.25">
      <c r="A1381" t="s">
        <v>502</v>
      </c>
      <c r="B1381" t="s">
        <v>503</v>
      </c>
      <c r="C1381">
        <v>6322</v>
      </c>
      <c r="D1381">
        <v>-12.412599999999999</v>
      </c>
      <c r="E1381">
        <v>130.82939999999999</v>
      </c>
      <c r="F1381">
        <v>4</v>
      </c>
      <c r="G1381" t="s">
        <v>507</v>
      </c>
      <c r="H1381">
        <v>54</v>
      </c>
      <c r="I1381">
        <v>234</v>
      </c>
      <c r="J1381">
        <v>145</v>
      </c>
      <c r="K1381">
        <v>325</v>
      </c>
      <c r="L1381">
        <v>234</v>
      </c>
      <c r="M1381">
        <v>54</v>
      </c>
      <c r="N1381">
        <v>322</v>
      </c>
      <c r="O1381">
        <v>142</v>
      </c>
      <c r="T1381">
        <v>58</v>
      </c>
      <c r="U1381">
        <v>9</v>
      </c>
      <c r="V1381">
        <v>7</v>
      </c>
      <c r="Y1381">
        <v>13</v>
      </c>
      <c r="Z1381">
        <v>2</v>
      </c>
      <c r="AA1381">
        <v>160</v>
      </c>
      <c r="AD1381">
        <v>2</v>
      </c>
      <c r="AE1381">
        <v>3</v>
      </c>
      <c r="AF1381">
        <v>0</v>
      </c>
      <c r="AI1381">
        <v>4</v>
      </c>
      <c r="AJ1381">
        <v>116</v>
      </c>
      <c r="AK1381">
        <v>0</v>
      </c>
      <c r="AX1381">
        <v>74</v>
      </c>
      <c r="AY1381">
        <v>19</v>
      </c>
      <c r="AZ1381">
        <v>93</v>
      </c>
      <c r="BA1381">
        <v>175</v>
      </c>
      <c r="BB1381">
        <v>177</v>
      </c>
      <c r="BC1381">
        <v>352</v>
      </c>
      <c r="BD1381">
        <v>5</v>
      </c>
      <c r="BE1381">
        <v>11</v>
      </c>
      <c r="BF1381">
        <v>16</v>
      </c>
      <c r="BG1381">
        <v>120</v>
      </c>
      <c r="BH1381">
        <v>167</v>
      </c>
      <c r="BI1381">
        <v>287</v>
      </c>
      <c r="BP1381">
        <v>167</v>
      </c>
      <c r="BR1381">
        <v>128</v>
      </c>
      <c r="BS1381">
        <v>64</v>
      </c>
      <c r="BT1381">
        <v>1</v>
      </c>
      <c r="BV1381">
        <v>14</v>
      </c>
      <c r="BW1381">
        <v>374</v>
      </c>
      <c r="BX1381">
        <f t="shared" ref="BX1381:BX1387" si="166">IF(C1381=C1380,IF((CI1381-1)=CI1380,BW1380,"no data"))</f>
        <v>352</v>
      </c>
      <c r="BY1381" s="5">
        <f t="shared" si="162"/>
        <v>6.25E-2</v>
      </c>
      <c r="BZ1381" s="6">
        <f t="shared" si="163"/>
        <v>6.25E-2</v>
      </c>
      <c r="CA1381" s="7">
        <v>41952</v>
      </c>
      <c r="CI1381">
        <f t="shared" si="159"/>
        <v>2014</v>
      </c>
      <c r="CJ1381" t="str">
        <f t="shared" si="160"/>
        <v>6322_2014</v>
      </c>
    </row>
    <row r="1382" spans="1:88" x14ac:dyDescent="0.25">
      <c r="A1382" t="s">
        <v>502</v>
      </c>
      <c r="B1382" t="s">
        <v>503</v>
      </c>
      <c r="C1382">
        <v>6322</v>
      </c>
      <c r="D1382">
        <v>-12.412599999999999</v>
      </c>
      <c r="E1382">
        <v>130.82939999999999</v>
      </c>
      <c r="F1382">
        <v>4</v>
      </c>
      <c r="G1382" t="s">
        <v>507</v>
      </c>
      <c r="H1382">
        <v>54</v>
      </c>
      <c r="I1382">
        <v>234</v>
      </c>
      <c r="J1382">
        <v>145</v>
      </c>
      <c r="K1382">
        <v>325</v>
      </c>
      <c r="L1382">
        <v>234</v>
      </c>
      <c r="M1382">
        <v>54</v>
      </c>
      <c r="N1382">
        <v>322</v>
      </c>
      <c r="O1382">
        <v>142</v>
      </c>
      <c r="T1382">
        <v>4</v>
      </c>
      <c r="U1382">
        <v>4</v>
      </c>
      <c r="V1382">
        <v>2</v>
      </c>
      <c r="Y1382">
        <v>18</v>
      </c>
      <c r="Z1382">
        <v>2</v>
      </c>
      <c r="AA1382">
        <v>164</v>
      </c>
      <c r="AD1382">
        <v>1</v>
      </c>
      <c r="AE1382">
        <v>5</v>
      </c>
      <c r="AF1382">
        <v>0</v>
      </c>
      <c r="AI1382">
        <v>3</v>
      </c>
      <c r="AJ1382">
        <v>127</v>
      </c>
      <c r="AK1382">
        <v>0</v>
      </c>
      <c r="AX1382">
        <v>10</v>
      </c>
      <c r="AY1382">
        <v>22</v>
      </c>
      <c r="AZ1382">
        <v>32</v>
      </c>
      <c r="BA1382">
        <v>184</v>
      </c>
      <c r="BB1382">
        <v>136</v>
      </c>
      <c r="BC1382">
        <v>320</v>
      </c>
      <c r="BD1382">
        <v>6</v>
      </c>
      <c r="BE1382">
        <v>6</v>
      </c>
      <c r="BF1382">
        <v>12</v>
      </c>
      <c r="BG1382">
        <v>130</v>
      </c>
      <c r="BH1382">
        <v>166</v>
      </c>
      <c r="BI1382">
        <v>296</v>
      </c>
      <c r="BP1382">
        <v>133</v>
      </c>
      <c r="BR1382">
        <v>147</v>
      </c>
      <c r="BS1382">
        <v>34</v>
      </c>
      <c r="BT1382">
        <v>5</v>
      </c>
      <c r="BV1382">
        <v>11</v>
      </c>
      <c r="BW1382">
        <v>330</v>
      </c>
      <c r="BX1382">
        <f t="shared" si="166"/>
        <v>374</v>
      </c>
      <c r="BY1382" s="5">
        <f t="shared" si="162"/>
        <v>-0.11764705882352941</v>
      </c>
      <c r="BZ1382" s="6">
        <f t="shared" si="163"/>
        <v>-0.11764705882352941</v>
      </c>
      <c r="CA1382" s="7">
        <v>42316</v>
      </c>
      <c r="CC1382">
        <v>72</v>
      </c>
      <c r="CD1382">
        <v>95</v>
      </c>
      <c r="CE1382">
        <v>77</v>
      </c>
      <c r="CF1382">
        <v>86</v>
      </c>
      <c r="CI1382">
        <f t="shared" si="159"/>
        <v>2015</v>
      </c>
      <c r="CJ1382" t="str">
        <f t="shared" si="160"/>
        <v>6322_2015</v>
      </c>
    </row>
    <row r="1383" spans="1:88" x14ac:dyDescent="0.25">
      <c r="A1383" t="s">
        <v>502</v>
      </c>
      <c r="B1383" t="s">
        <v>503</v>
      </c>
      <c r="C1383">
        <v>6322</v>
      </c>
      <c r="D1383">
        <v>-12.412585</v>
      </c>
      <c r="E1383">
        <v>130.82939500000001</v>
      </c>
      <c r="F1383">
        <v>4</v>
      </c>
      <c r="G1383" t="s">
        <v>507</v>
      </c>
      <c r="H1383">
        <v>54</v>
      </c>
      <c r="I1383">
        <v>234</v>
      </c>
      <c r="J1383">
        <v>145</v>
      </c>
      <c r="K1383">
        <v>325</v>
      </c>
      <c r="L1383">
        <v>234</v>
      </c>
      <c r="M1383">
        <v>54</v>
      </c>
      <c r="N1383">
        <v>322</v>
      </c>
      <c r="O1383">
        <v>142</v>
      </c>
      <c r="T1383">
        <v>3</v>
      </c>
      <c r="U1383">
        <v>17</v>
      </c>
      <c r="V1383">
        <v>2</v>
      </c>
      <c r="Y1383">
        <v>4</v>
      </c>
      <c r="Z1383">
        <v>0</v>
      </c>
      <c r="AA1383">
        <v>187</v>
      </c>
      <c r="AD1383">
        <v>15</v>
      </c>
      <c r="AE1383">
        <v>0</v>
      </c>
      <c r="AF1383">
        <v>0</v>
      </c>
      <c r="AI1383">
        <v>1</v>
      </c>
      <c r="AJ1383">
        <v>163</v>
      </c>
      <c r="AK1383">
        <v>0</v>
      </c>
      <c r="AX1383">
        <v>22</v>
      </c>
      <c r="AY1383">
        <v>20</v>
      </c>
      <c r="AZ1383">
        <v>42</v>
      </c>
      <c r="BA1383">
        <v>191</v>
      </c>
      <c r="BB1383">
        <v>166</v>
      </c>
      <c r="BC1383">
        <v>357</v>
      </c>
      <c r="BD1383">
        <v>15</v>
      </c>
      <c r="BE1383">
        <v>17</v>
      </c>
      <c r="BF1383">
        <v>32</v>
      </c>
      <c r="BG1383">
        <v>164</v>
      </c>
      <c r="BH1383">
        <v>189</v>
      </c>
      <c r="BI1383">
        <v>353</v>
      </c>
      <c r="BP1383">
        <v>224</v>
      </c>
      <c r="BR1383">
        <v>135</v>
      </c>
      <c r="BS1383">
        <v>21</v>
      </c>
      <c r="BT1383">
        <v>0</v>
      </c>
      <c r="BV1383">
        <v>12</v>
      </c>
      <c r="BW1383">
        <v>392</v>
      </c>
      <c r="BX1383">
        <f t="shared" si="166"/>
        <v>330</v>
      </c>
      <c r="BY1383" s="5">
        <f t="shared" si="162"/>
        <v>0.18787878787878787</v>
      </c>
      <c r="BZ1383" s="6">
        <f t="shared" si="163"/>
        <v>0.18787878787878787</v>
      </c>
      <c r="CA1383" s="7">
        <v>42687</v>
      </c>
      <c r="CC1383">
        <v>128</v>
      </c>
      <c r="CD1383">
        <v>160</v>
      </c>
      <c r="CE1383">
        <v>84</v>
      </c>
      <c r="CF1383">
        <v>20</v>
      </c>
      <c r="CI1383">
        <f t="shared" si="159"/>
        <v>2016</v>
      </c>
      <c r="CJ1383" t="str">
        <f t="shared" si="160"/>
        <v>6322_2016</v>
      </c>
    </row>
    <row r="1384" spans="1:88" x14ac:dyDescent="0.25">
      <c r="A1384" t="s">
        <v>502</v>
      </c>
      <c r="B1384" t="s">
        <v>503</v>
      </c>
      <c r="C1384">
        <v>6322</v>
      </c>
      <c r="D1384">
        <v>-12.412585</v>
      </c>
      <c r="E1384">
        <v>130.82939500000001</v>
      </c>
      <c r="F1384">
        <v>4</v>
      </c>
      <c r="G1384" t="s">
        <v>507</v>
      </c>
      <c r="H1384">
        <v>54</v>
      </c>
      <c r="I1384">
        <v>234</v>
      </c>
      <c r="J1384">
        <v>145</v>
      </c>
      <c r="K1384">
        <v>325</v>
      </c>
      <c r="L1384">
        <v>234</v>
      </c>
      <c r="M1384">
        <v>54</v>
      </c>
      <c r="N1384">
        <v>322</v>
      </c>
      <c r="O1384">
        <v>142</v>
      </c>
      <c r="T1384">
        <v>34</v>
      </c>
      <c r="U1384">
        <v>1</v>
      </c>
      <c r="V1384">
        <v>16</v>
      </c>
      <c r="Y1384">
        <v>70</v>
      </c>
      <c r="Z1384">
        <v>1</v>
      </c>
      <c r="AA1384">
        <v>105</v>
      </c>
      <c r="AD1384">
        <v>0</v>
      </c>
      <c r="AE1384">
        <v>0</v>
      </c>
      <c r="AF1384">
        <v>0</v>
      </c>
      <c r="AI1384">
        <v>2</v>
      </c>
      <c r="AJ1384">
        <v>50</v>
      </c>
      <c r="AK1384">
        <v>0</v>
      </c>
      <c r="AX1384">
        <v>51</v>
      </c>
      <c r="AY1384">
        <v>72</v>
      </c>
      <c r="AZ1384">
        <v>123</v>
      </c>
      <c r="BA1384">
        <v>176</v>
      </c>
      <c r="BB1384">
        <v>84</v>
      </c>
      <c r="BC1384">
        <v>260</v>
      </c>
      <c r="BD1384">
        <v>0</v>
      </c>
      <c r="BE1384">
        <v>2</v>
      </c>
      <c r="BF1384">
        <v>2</v>
      </c>
      <c r="BG1384">
        <v>52</v>
      </c>
      <c r="BH1384">
        <v>121</v>
      </c>
      <c r="BI1384">
        <v>173</v>
      </c>
      <c r="BP1384">
        <v>177</v>
      </c>
      <c r="BR1384">
        <v>64</v>
      </c>
      <c r="BS1384">
        <v>34</v>
      </c>
      <c r="BT1384">
        <v>1</v>
      </c>
      <c r="BV1384">
        <v>3</v>
      </c>
      <c r="BW1384">
        <v>279</v>
      </c>
      <c r="BX1384">
        <f t="shared" si="166"/>
        <v>392</v>
      </c>
      <c r="BY1384" s="5">
        <f t="shared" si="162"/>
        <v>-0.28826530612244899</v>
      </c>
      <c r="BZ1384" s="6">
        <f t="shared" si="163"/>
        <v>-0.28826530612244899</v>
      </c>
      <c r="CA1384" s="7">
        <v>43051</v>
      </c>
      <c r="CC1384">
        <v>170</v>
      </c>
      <c r="CD1384">
        <v>86</v>
      </c>
      <c r="CE1384">
        <v>15</v>
      </c>
      <c r="CF1384">
        <v>8</v>
      </c>
      <c r="CI1384">
        <f t="shared" si="159"/>
        <v>2017</v>
      </c>
      <c r="CJ1384" t="str">
        <f t="shared" si="160"/>
        <v>6322_2017</v>
      </c>
    </row>
    <row r="1385" spans="1:88" x14ac:dyDescent="0.25">
      <c r="A1385" t="s">
        <v>502</v>
      </c>
      <c r="B1385" t="s">
        <v>503</v>
      </c>
      <c r="C1385">
        <v>6322</v>
      </c>
      <c r="D1385">
        <v>-12.412585</v>
      </c>
      <c r="E1385">
        <v>130.82939500000001</v>
      </c>
      <c r="F1385">
        <v>4</v>
      </c>
      <c r="G1385" t="s">
        <v>507</v>
      </c>
      <c r="H1385">
        <v>54</v>
      </c>
      <c r="I1385">
        <v>234</v>
      </c>
      <c r="J1385">
        <v>145</v>
      </c>
      <c r="K1385">
        <v>325</v>
      </c>
      <c r="L1385">
        <v>234</v>
      </c>
      <c r="M1385">
        <v>54</v>
      </c>
      <c r="N1385">
        <v>322</v>
      </c>
      <c r="O1385">
        <v>142</v>
      </c>
      <c r="T1385">
        <v>11</v>
      </c>
      <c r="U1385">
        <v>1</v>
      </c>
      <c r="V1385">
        <v>8</v>
      </c>
      <c r="Y1385">
        <v>11</v>
      </c>
      <c r="Z1385">
        <v>0</v>
      </c>
      <c r="AA1385">
        <v>101</v>
      </c>
      <c r="AD1385">
        <v>0</v>
      </c>
      <c r="AE1385">
        <v>0</v>
      </c>
      <c r="AF1385">
        <v>0</v>
      </c>
      <c r="AI1385">
        <v>15</v>
      </c>
      <c r="AJ1385">
        <v>75</v>
      </c>
      <c r="AK1385">
        <v>1</v>
      </c>
      <c r="AX1385">
        <v>20</v>
      </c>
      <c r="AY1385">
        <v>26</v>
      </c>
      <c r="AZ1385">
        <v>46</v>
      </c>
      <c r="BA1385">
        <v>112</v>
      </c>
      <c r="BB1385">
        <v>86</v>
      </c>
      <c r="BC1385">
        <v>198</v>
      </c>
      <c r="BD1385">
        <v>0</v>
      </c>
      <c r="BE1385">
        <v>2</v>
      </c>
      <c r="BF1385">
        <v>2</v>
      </c>
      <c r="BG1385">
        <v>91</v>
      </c>
      <c r="BH1385">
        <v>109</v>
      </c>
      <c r="BI1385">
        <v>200</v>
      </c>
      <c r="BP1385">
        <v>120</v>
      </c>
      <c r="BR1385">
        <v>65</v>
      </c>
      <c r="BS1385">
        <v>21</v>
      </c>
      <c r="BT1385">
        <v>0</v>
      </c>
      <c r="BV1385">
        <v>17</v>
      </c>
      <c r="BW1385">
        <v>223</v>
      </c>
      <c r="BX1385">
        <f t="shared" si="166"/>
        <v>279</v>
      </c>
      <c r="BY1385" s="5">
        <f t="shared" si="162"/>
        <v>-0.20071684587813621</v>
      </c>
      <c r="BZ1385" s="6">
        <f t="shared" si="163"/>
        <v>-0.20071684587813621</v>
      </c>
      <c r="CA1385" s="7">
        <v>43415</v>
      </c>
      <c r="CC1385">
        <v>79</v>
      </c>
      <c r="CD1385">
        <v>80</v>
      </c>
      <c r="CE1385">
        <v>41</v>
      </c>
      <c r="CF1385">
        <v>23</v>
      </c>
      <c r="CI1385">
        <f t="shared" si="159"/>
        <v>2018</v>
      </c>
      <c r="CJ1385" t="str">
        <f t="shared" si="160"/>
        <v>6322_2018</v>
      </c>
    </row>
    <row r="1386" spans="1:88" x14ac:dyDescent="0.25">
      <c r="A1386" t="s">
        <v>502</v>
      </c>
      <c r="B1386" t="s">
        <v>503</v>
      </c>
      <c r="C1386">
        <v>6322</v>
      </c>
      <c r="D1386">
        <v>-12.412599999999999</v>
      </c>
      <c r="E1386">
        <v>130.82939999999999</v>
      </c>
      <c r="F1386">
        <v>4</v>
      </c>
      <c r="G1386" t="s">
        <v>507</v>
      </c>
      <c r="H1386">
        <v>54</v>
      </c>
      <c r="I1386">
        <v>234</v>
      </c>
      <c r="J1386">
        <v>145</v>
      </c>
      <c r="K1386">
        <v>325</v>
      </c>
      <c r="L1386">
        <v>234</v>
      </c>
      <c r="M1386">
        <v>54</v>
      </c>
      <c r="N1386">
        <v>322</v>
      </c>
      <c r="O1386">
        <v>142</v>
      </c>
      <c r="T1386">
        <v>0</v>
      </c>
      <c r="U1386">
        <v>2</v>
      </c>
      <c r="V1386">
        <v>14</v>
      </c>
      <c r="Y1386">
        <v>6</v>
      </c>
      <c r="Z1386">
        <v>1</v>
      </c>
      <c r="AA1386">
        <v>138</v>
      </c>
      <c r="AD1386">
        <v>6</v>
      </c>
      <c r="AE1386">
        <v>0</v>
      </c>
      <c r="AF1386">
        <v>6</v>
      </c>
      <c r="AI1386">
        <v>29</v>
      </c>
      <c r="AJ1386">
        <v>117</v>
      </c>
      <c r="AK1386">
        <v>2</v>
      </c>
      <c r="AX1386">
        <v>16</v>
      </c>
      <c r="AY1386">
        <v>41</v>
      </c>
      <c r="AZ1386">
        <v>57</v>
      </c>
      <c r="BA1386">
        <v>145</v>
      </c>
      <c r="BB1386">
        <v>117</v>
      </c>
      <c r="BC1386">
        <v>262</v>
      </c>
      <c r="BD1386">
        <v>12</v>
      </c>
      <c r="BE1386">
        <v>5</v>
      </c>
      <c r="BF1386">
        <v>17</v>
      </c>
      <c r="BG1386">
        <v>148</v>
      </c>
      <c r="BH1386">
        <v>158</v>
      </c>
      <c r="BI1386">
        <v>306</v>
      </c>
      <c r="BP1386">
        <v>108</v>
      </c>
      <c r="BR1386">
        <v>169</v>
      </c>
      <c r="BS1386">
        <v>33</v>
      </c>
      <c r="BT1386">
        <v>0</v>
      </c>
      <c r="BV1386">
        <v>11</v>
      </c>
      <c r="BW1386">
        <v>321</v>
      </c>
      <c r="BX1386">
        <f t="shared" si="166"/>
        <v>223</v>
      </c>
      <c r="BY1386" s="5">
        <f t="shared" si="162"/>
        <v>0.43946188340807174</v>
      </c>
      <c r="BZ1386" s="6">
        <f t="shared" si="163"/>
        <v>0.43946188340807174</v>
      </c>
      <c r="CA1386" s="7">
        <v>43779</v>
      </c>
      <c r="CC1386">
        <v>111</v>
      </c>
      <c r="CD1386">
        <v>91</v>
      </c>
      <c r="CE1386">
        <v>66</v>
      </c>
      <c r="CF1386">
        <v>53</v>
      </c>
      <c r="CI1386">
        <f t="shared" si="159"/>
        <v>2019</v>
      </c>
      <c r="CJ1386" t="str">
        <f t="shared" si="160"/>
        <v>6322_2019</v>
      </c>
    </row>
    <row r="1387" spans="1:88" x14ac:dyDescent="0.25">
      <c r="A1387" t="s">
        <v>502</v>
      </c>
      <c r="B1387" t="s">
        <v>503</v>
      </c>
      <c r="C1387">
        <v>6322</v>
      </c>
      <c r="D1387">
        <v>-12.412585</v>
      </c>
      <c r="E1387">
        <v>130.82939500000001</v>
      </c>
      <c r="F1387">
        <v>4</v>
      </c>
      <c r="G1387" t="s">
        <v>507</v>
      </c>
      <c r="H1387">
        <v>54</v>
      </c>
      <c r="I1387">
        <v>234</v>
      </c>
      <c r="J1387">
        <v>145</v>
      </c>
      <c r="K1387">
        <v>325</v>
      </c>
      <c r="L1387">
        <v>234</v>
      </c>
      <c r="M1387">
        <v>54</v>
      </c>
      <c r="N1387">
        <v>322</v>
      </c>
      <c r="O1387">
        <v>142</v>
      </c>
      <c r="T1387">
        <v>56</v>
      </c>
      <c r="U1387">
        <v>17</v>
      </c>
      <c r="V1387">
        <v>16</v>
      </c>
      <c r="Y1387">
        <v>16</v>
      </c>
      <c r="Z1387">
        <v>2</v>
      </c>
      <c r="AA1387">
        <v>78</v>
      </c>
      <c r="AD1387">
        <v>0</v>
      </c>
      <c r="AE1387">
        <v>0</v>
      </c>
      <c r="AF1387">
        <v>0</v>
      </c>
      <c r="AI1387">
        <v>9</v>
      </c>
      <c r="AJ1387">
        <v>85</v>
      </c>
      <c r="AK1387">
        <v>0</v>
      </c>
      <c r="AX1387">
        <v>89</v>
      </c>
      <c r="AY1387">
        <v>25</v>
      </c>
      <c r="AZ1387">
        <v>114</v>
      </c>
      <c r="BA1387">
        <v>96</v>
      </c>
      <c r="BB1387">
        <v>141</v>
      </c>
      <c r="BC1387">
        <v>237</v>
      </c>
      <c r="BD1387">
        <v>0</v>
      </c>
      <c r="BE1387">
        <v>19</v>
      </c>
      <c r="BF1387">
        <v>19</v>
      </c>
      <c r="BG1387">
        <v>94</v>
      </c>
      <c r="BH1387">
        <v>94</v>
      </c>
      <c r="BI1387">
        <v>188</v>
      </c>
      <c r="BP1387">
        <v>108</v>
      </c>
      <c r="BR1387">
        <v>111</v>
      </c>
      <c r="BS1387">
        <v>42</v>
      </c>
      <c r="BT1387">
        <v>2</v>
      </c>
      <c r="BV1387">
        <v>16</v>
      </c>
      <c r="BW1387">
        <v>279</v>
      </c>
      <c r="BX1387" t="str">
        <f t="shared" si="166"/>
        <v>no data</v>
      </c>
      <c r="BY1387" s="5"/>
      <c r="BZ1387" s="6"/>
      <c r="CA1387" s="7">
        <v>44528</v>
      </c>
      <c r="CC1387">
        <v>130</v>
      </c>
      <c r="CD1387">
        <v>91</v>
      </c>
      <c r="CE1387">
        <v>58</v>
      </c>
      <c r="CI1387">
        <f t="shared" si="159"/>
        <v>2021</v>
      </c>
      <c r="CJ1387" t="str">
        <f t="shared" si="160"/>
        <v>6322_2021</v>
      </c>
    </row>
    <row r="1388" spans="1:88" x14ac:dyDescent="0.25">
      <c r="A1388" t="s">
        <v>502</v>
      </c>
      <c r="B1388" t="s">
        <v>503</v>
      </c>
      <c r="C1388">
        <v>6323</v>
      </c>
      <c r="D1388">
        <v>-12.3795</v>
      </c>
      <c r="E1388">
        <v>130.84299999999999</v>
      </c>
      <c r="F1388">
        <v>3</v>
      </c>
      <c r="G1388" t="s">
        <v>508</v>
      </c>
      <c r="H1388">
        <v>75</v>
      </c>
      <c r="I1388">
        <v>255</v>
      </c>
      <c r="J1388">
        <v>261</v>
      </c>
      <c r="K1388">
        <v>81</v>
      </c>
      <c r="L1388">
        <v>312</v>
      </c>
      <c r="M1388">
        <v>132</v>
      </c>
      <c r="T1388">
        <v>161</v>
      </c>
      <c r="U1388">
        <v>26</v>
      </c>
      <c r="Y1388">
        <v>161</v>
      </c>
      <c r="Z1388">
        <v>12</v>
      </c>
      <c r="AD1388">
        <v>14</v>
      </c>
      <c r="AE1388">
        <v>6</v>
      </c>
      <c r="AX1388">
        <v>187</v>
      </c>
      <c r="AY1388">
        <v>175</v>
      </c>
      <c r="AZ1388">
        <v>362</v>
      </c>
      <c r="BA1388">
        <v>173</v>
      </c>
      <c r="BB1388">
        <v>167</v>
      </c>
      <c r="BC1388">
        <v>340</v>
      </c>
      <c r="BD1388">
        <v>20</v>
      </c>
      <c r="BE1388">
        <v>38</v>
      </c>
      <c r="BF1388">
        <v>58</v>
      </c>
      <c r="BP1388">
        <v>178</v>
      </c>
      <c r="BR1388">
        <v>143</v>
      </c>
      <c r="BS1388">
        <v>30</v>
      </c>
      <c r="BT1388">
        <v>21</v>
      </c>
      <c r="BV1388">
        <v>8</v>
      </c>
      <c r="BW1388">
        <v>380</v>
      </c>
      <c r="BX1388" t="s">
        <v>82</v>
      </c>
      <c r="BY1388" s="5"/>
      <c r="BZ1388" s="6"/>
      <c r="CA1388" s="7">
        <v>41588</v>
      </c>
      <c r="CI1388">
        <f t="shared" si="159"/>
        <v>2013</v>
      </c>
      <c r="CJ1388" t="str">
        <f t="shared" si="160"/>
        <v>6323_2013</v>
      </c>
    </row>
    <row r="1389" spans="1:88" x14ac:dyDescent="0.25">
      <c r="A1389" t="s">
        <v>502</v>
      </c>
      <c r="B1389" t="s">
        <v>503</v>
      </c>
      <c r="C1389">
        <v>6323</v>
      </c>
      <c r="D1389">
        <v>-12.3795</v>
      </c>
      <c r="E1389">
        <v>130.84299999999999</v>
      </c>
      <c r="F1389">
        <v>3</v>
      </c>
      <c r="G1389" t="s">
        <v>508</v>
      </c>
      <c r="H1389">
        <v>75</v>
      </c>
      <c r="I1389">
        <v>255</v>
      </c>
      <c r="J1389">
        <v>261</v>
      </c>
      <c r="K1389">
        <v>81</v>
      </c>
      <c r="L1389">
        <v>312</v>
      </c>
      <c r="M1389">
        <v>132</v>
      </c>
      <c r="T1389">
        <v>213</v>
      </c>
      <c r="U1389">
        <v>34</v>
      </c>
      <c r="Y1389">
        <v>168</v>
      </c>
      <c r="Z1389">
        <v>4</v>
      </c>
      <c r="AD1389">
        <v>47</v>
      </c>
      <c r="AE1389">
        <v>0</v>
      </c>
      <c r="AX1389">
        <v>247</v>
      </c>
      <c r="AY1389">
        <v>215</v>
      </c>
      <c r="AZ1389">
        <v>462</v>
      </c>
      <c r="BA1389">
        <v>172</v>
      </c>
      <c r="BB1389">
        <v>213</v>
      </c>
      <c r="BC1389">
        <v>385</v>
      </c>
      <c r="BD1389">
        <v>47</v>
      </c>
      <c r="BE1389">
        <v>38</v>
      </c>
      <c r="BF1389">
        <v>85</v>
      </c>
      <c r="BP1389">
        <v>255</v>
      </c>
      <c r="BR1389">
        <v>145</v>
      </c>
      <c r="BS1389">
        <v>21</v>
      </c>
      <c r="BT1389">
        <v>39</v>
      </c>
      <c r="BV1389">
        <v>6</v>
      </c>
      <c r="BW1389">
        <v>466</v>
      </c>
      <c r="BX1389">
        <f t="shared" ref="BX1389:BX1395" si="167">IF(C1389=C1388,IF((CI1389-1)=CI1388,BW1388,"no data"))</f>
        <v>380</v>
      </c>
      <c r="BY1389" s="5">
        <f t="shared" si="162"/>
        <v>0.22631578947368422</v>
      </c>
      <c r="BZ1389" s="6">
        <f t="shared" si="163"/>
        <v>0.22631578947368422</v>
      </c>
      <c r="CA1389" s="7">
        <v>41952</v>
      </c>
      <c r="CI1389">
        <f t="shared" si="159"/>
        <v>2014</v>
      </c>
      <c r="CJ1389" t="str">
        <f t="shared" si="160"/>
        <v>6323_2014</v>
      </c>
    </row>
    <row r="1390" spans="1:88" x14ac:dyDescent="0.25">
      <c r="A1390" t="s">
        <v>502</v>
      </c>
      <c r="B1390" t="s">
        <v>503</v>
      </c>
      <c r="C1390">
        <v>6323</v>
      </c>
      <c r="D1390">
        <v>-12.3795</v>
      </c>
      <c r="E1390">
        <v>130.84299999999999</v>
      </c>
      <c r="F1390">
        <v>3</v>
      </c>
      <c r="G1390" t="s">
        <v>508</v>
      </c>
      <c r="H1390">
        <v>75</v>
      </c>
      <c r="I1390">
        <v>255</v>
      </c>
      <c r="J1390">
        <v>261</v>
      </c>
      <c r="K1390">
        <v>81</v>
      </c>
      <c r="L1390">
        <v>312</v>
      </c>
      <c r="M1390">
        <v>132</v>
      </c>
      <c r="T1390">
        <v>233</v>
      </c>
      <c r="U1390">
        <v>22</v>
      </c>
      <c r="Y1390">
        <v>202</v>
      </c>
      <c r="Z1390">
        <v>7</v>
      </c>
      <c r="AD1390">
        <v>19</v>
      </c>
      <c r="AE1390">
        <v>19</v>
      </c>
      <c r="AX1390">
        <v>255</v>
      </c>
      <c r="AY1390">
        <v>221</v>
      </c>
      <c r="AZ1390">
        <v>476</v>
      </c>
      <c r="BA1390">
        <v>209</v>
      </c>
      <c r="BB1390">
        <v>252</v>
      </c>
      <c r="BC1390">
        <v>461</v>
      </c>
      <c r="BD1390">
        <v>38</v>
      </c>
      <c r="BE1390">
        <v>29</v>
      </c>
      <c r="BF1390">
        <v>67</v>
      </c>
      <c r="BP1390">
        <v>253</v>
      </c>
      <c r="BR1390">
        <v>156</v>
      </c>
      <c r="BS1390">
        <v>44</v>
      </c>
      <c r="BT1390">
        <v>31</v>
      </c>
      <c r="BV1390">
        <v>18</v>
      </c>
      <c r="BW1390">
        <v>502</v>
      </c>
      <c r="BX1390">
        <f t="shared" si="167"/>
        <v>466</v>
      </c>
      <c r="BY1390" s="5">
        <f t="shared" si="162"/>
        <v>7.7253218884120178E-2</v>
      </c>
      <c r="BZ1390" s="6">
        <f t="shared" si="163"/>
        <v>7.7253218884120178E-2</v>
      </c>
      <c r="CA1390" s="7">
        <v>42316</v>
      </c>
      <c r="CC1390">
        <v>178</v>
      </c>
      <c r="CD1390">
        <v>175</v>
      </c>
      <c r="CE1390">
        <v>101</v>
      </c>
      <c r="CF1390">
        <v>48</v>
      </c>
      <c r="CI1390">
        <f t="shared" si="159"/>
        <v>2015</v>
      </c>
      <c r="CJ1390" t="str">
        <f t="shared" si="160"/>
        <v>6323_2015</v>
      </c>
    </row>
    <row r="1391" spans="1:88" x14ac:dyDescent="0.25">
      <c r="A1391" t="s">
        <v>502</v>
      </c>
      <c r="B1391" t="s">
        <v>503</v>
      </c>
      <c r="C1391">
        <v>6323</v>
      </c>
      <c r="D1391">
        <v>-12.379530000000001</v>
      </c>
      <c r="E1391">
        <v>130.84298799999999</v>
      </c>
      <c r="F1391">
        <v>3</v>
      </c>
      <c r="G1391" t="s">
        <v>508</v>
      </c>
      <c r="H1391">
        <v>75</v>
      </c>
      <c r="I1391">
        <v>255</v>
      </c>
      <c r="J1391">
        <v>261</v>
      </c>
      <c r="K1391">
        <v>81</v>
      </c>
      <c r="L1391">
        <v>312</v>
      </c>
      <c r="M1391">
        <v>132</v>
      </c>
      <c r="T1391">
        <v>246</v>
      </c>
      <c r="U1391">
        <v>21</v>
      </c>
      <c r="Y1391">
        <v>225</v>
      </c>
      <c r="Z1391">
        <v>5</v>
      </c>
      <c r="AD1391">
        <v>15</v>
      </c>
      <c r="AE1391">
        <v>4</v>
      </c>
      <c r="AX1391">
        <v>267</v>
      </c>
      <c r="AY1391">
        <v>240</v>
      </c>
      <c r="AZ1391">
        <v>507</v>
      </c>
      <c r="BA1391">
        <v>230</v>
      </c>
      <c r="BB1391">
        <v>250</v>
      </c>
      <c r="BC1391">
        <v>480</v>
      </c>
      <c r="BD1391">
        <v>19</v>
      </c>
      <c r="BE1391">
        <v>26</v>
      </c>
      <c r="BF1391">
        <v>45</v>
      </c>
      <c r="BP1391">
        <v>245</v>
      </c>
      <c r="BR1391">
        <v>193</v>
      </c>
      <c r="BS1391">
        <v>27</v>
      </c>
      <c r="BT1391">
        <v>35</v>
      </c>
      <c r="BV1391">
        <v>16</v>
      </c>
      <c r="BW1391">
        <v>516</v>
      </c>
      <c r="BX1391">
        <f t="shared" si="167"/>
        <v>502</v>
      </c>
      <c r="BY1391" s="5">
        <f t="shared" si="162"/>
        <v>2.7888446215139442E-2</v>
      </c>
      <c r="BZ1391" s="6">
        <f t="shared" si="163"/>
        <v>2.7888446215139442E-2</v>
      </c>
      <c r="CA1391" s="7">
        <v>42687</v>
      </c>
      <c r="CC1391">
        <v>155</v>
      </c>
      <c r="CD1391">
        <v>125</v>
      </c>
      <c r="CE1391">
        <v>134</v>
      </c>
      <c r="CF1391">
        <v>102</v>
      </c>
      <c r="CI1391">
        <f t="shared" si="159"/>
        <v>2016</v>
      </c>
      <c r="CJ1391" t="str">
        <f t="shared" si="160"/>
        <v>6323_2016</v>
      </c>
    </row>
    <row r="1392" spans="1:88" x14ac:dyDescent="0.25">
      <c r="A1392" t="s">
        <v>502</v>
      </c>
      <c r="B1392" t="s">
        <v>503</v>
      </c>
      <c r="C1392">
        <v>6323</v>
      </c>
      <c r="D1392">
        <v>-12.379530000000001</v>
      </c>
      <c r="E1392">
        <v>130.84298799999999</v>
      </c>
      <c r="F1392">
        <v>3</v>
      </c>
      <c r="G1392" t="s">
        <v>508</v>
      </c>
      <c r="H1392">
        <v>75</v>
      </c>
      <c r="I1392">
        <v>255</v>
      </c>
      <c r="J1392">
        <v>261</v>
      </c>
      <c r="K1392">
        <v>81</v>
      </c>
      <c r="L1392">
        <v>312</v>
      </c>
      <c r="M1392">
        <v>132</v>
      </c>
      <c r="T1392">
        <v>185</v>
      </c>
      <c r="U1392">
        <v>94</v>
      </c>
      <c r="Y1392">
        <v>173</v>
      </c>
      <c r="Z1392">
        <v>18</v>
      </c>
      <c r="AD1392">
        <v>103</v>
      </c>
      <c r="AE1392">
        <v>27</v>
      </c>
      <c r="AX1392">
        <v>279</v>
      </c>
      <c r="AY1392">
        <v>276</v>
      </c>
      <c r="AZ1392">
        <v>555</v>
      </c>
      <c r="BA1392">
        <v>191</v>
      </c>
      <c r="BB1392">
        <v>212</v>
      </c>
      <c r="BC1392">
        <v>403</v>
      </c>
      <c r="BD1392">
        <v>130</v>
      </c>
      <c r="BE1392">
        <v>112</v>
      </c>
      <c r="BF1392">
        <v>242</v>
      </c>
      <c r="BP1392">
        <v>217</v>
      </c>
      <c r="BR1392">
        <v>307</v>
      </c>
      <c r="BS1392">
        <v>20</v>
      </c>
      <c r="BT1392">
        <v>46</v>
      </c>
      <c r="BV1392">
        <v>10</v>
      </c>
      <c r="BW1392">
        <v>600</v>
      </c>
      <c r="BX1392">
        <f t="shared" si="167"/>
        <v>516</v>
      </c>
      <c r="BY1392" s="5">
        <f t="shared" si="162"/>
        <v>0.16279069767441862</v>
      </c>
      <c r="BZ1392" s="6">
        <f t="shared" si="163"/>
        <v>0.16279069767441862</v>
      </c>
      <c r="CA1392" s="7">
        <v>43051</v>
      </c>
      <c r="CC1392">
        <v>129</v>
      </c>
      <c r="CD1392">
        <v>168</v>
      </c>
      <c r="CE1392">
        <v>160</v>
      </c>
      <c r="CF1392">
        <v>143</v>
      </c>
      <c r="CI1392">
        <f t="shared" si="159"/>
        <v>2017</v>
      </c>
      <c r="CJ1392" t="str">
        <f t="shared" si="160"/>
        <v>6323_2017</v>
      </c>
    </row>
    <row r="1393" spans="1:88" x14ac:dyDescent="0.25">
      <c r="A1393" t="s">
        <v>502</v>
      </c>
      <c r="B1393" t="s">
        <v>503</v>
      </c>
      <c r="C1393">
        <v>6323</v>
      </c>
      <c r="D1393">
        <v>-12.379530000000001</v>
      </c>
      <c r="E1393">
        <v>130.84298799999999</v>
      </c>
      <c r="F1393">
        <v>3</v>
      </c>
      <c r="G1393" t="s">
        <v>508</v>
      </c>
      <c r="H1393">
        <v>75</v>
      </c>
      <c r="I1393">
        <v>255</v>
      </c>
      <c r="J1393">
        <v>261</v>
      </c>
      <c r="K1393">
        <v>81</v>
      </c>
      <c r="L1393">
        <v>312</v>
      </c>
      <c r="M1393">
        <v>132</v>
      </c>
      <c r="T1393">
        <v>265</v>
      </c>
      <c r="U1393">
        <v>164</v>
      </c>
      <c r="Y1393">
        <v>246</v>
      </c>
      <c r="Z1393">
        <v>51</v>
      </c>
      <c r="AD1393">
        <v>139</v>
      </c>
      <c r="AE1393">
        <v>45</v>
      </c>
      <c r="AX1393">
        <v>429</v>
      </c>
      <c r="AY1393">
        <v>385</v>
      </c>
      <c r="AZ1393">
        <v>814</v>
      </c>
      <c r="BA1393">
        <v>297</v>
      </c>
      <c r="BB1393">
        <v>310</v>
      </c>
      <c r="BC1393">
        <v>607</v>
      </c>
      <c r="BD1393">
        <v>184</v>
      </c>
      <c r="BE1393">
        <v>215</v>
      </c>
      <c r="BF1393">
        <v>399</v>
      </c>
      <c r="BP1393">
        <v>251</v>
      </c>
      <c r="BR1393">
        <v>538</v>
      </c>
      <c r="BS1393">
        <v>43</v>
      </c>
      <c r="BT1393">
        <v>60</v>
      </c>
      <c r="BV1393">
        <v>18</v>
      </c>
      <c r="BW1393">
        <v>910</v>
      </c>
      <c r="BX1393">
        <f t="shared" si="167"/>
        <v>600</v>
      </c>
      <c r="BY1393" s="5">
        <f t="shared" si="162"/>
        <v>0.51666666666666672</v>
      </c>
      <c r="BZ1393" s="6">
        <f t="shared" si="163"/>
        <v>0.51666666666666672</v>
      </c>
      <c r="CA1393" s="7">
        <v>43415</v>
      </c>
      <c r="CC1393">
        <v>177</v>
      </c>
      <c r="CD1393">
        <v>270</v>
      </c>
      <c r="CE1393">
        <v>219</v>
      </c>
      <c r="CF1393">
        <v>244</v>
      </c>
      <c r="CI1393">
        <f t="shared" si="159"/>
        <v>2018</v>
      </c>
      <c r="CJ1393" t="str">
        <f t="shared" si="160"/>
        <v>6323_2018</v>
      </c>
    </row>
    <row r="1394" spans="1:88" x14ac:dyDescent="0.25">
      <c r="A1394" t="s">
        <v>502</v>
      </c>
      <c r="B1394" t="s">
        <v>503</v>
      </c>
      <c r="C1394">
        <v>6323</v>
      </c>
      <c r="D1394">
        <v>-12.3795</v>
      </c>
      <c r="E1394">
        <v>130.84299999999999</v>
      </c>
      <c r="F1394">
        <v>3</v>
      </c>
      <c r="G1394" t="s">
        <v>508</v>
      </c>
      <c r="H1394">
        <v>75</v>
      </c>
      <c r="I1394">
        <v>255</v>
      </c>
      <c r="J1394">
        <v>261</v>
      </c>
      <c r="K1394">
        <v>81</v>
      </c>
      <c r="L1394">
        <v>312</v>
      </c>
      <c r="M1394">
        <v>132</v>
      </c>
      <c r="T1394">
        <v>142</v>
      </c>
      <c r="U1394">
        <v>40</v>
      </c>
      <c r="Y1394">
        <v>126</v>
      </c>
      <c r="Z1394">
        <v>13</v>
      </c>
      <c r="AD1394">
        <v>35</v>
      </c>
      <c r="AE1394">
        <v>15</v>
      </c>
      <c r="AX1394">
        <v>182</v>
      </c>
      <c r="AY1394">
        <v>161</v>
      </c>
      <c r="AZ1394">
        <v>343</v>
      </c>
      <c r="BA1394">
        <v>139</v>
      </c>
      <c r="BB1394">
        <v>157</v>
      </c>
      <c r="BC1394">
        <v>296</v>
      </c>
      <c r="BD1394">
        <v>50</v>
      </c>
      <c r="BE1394">
        <v>53</v>
      </c>
      <c r="BF1394">
        <v>103</v>
      </c>
      <c r="BP1394">
        <v>163</v>
      </c>
      <c r="BR1394">
        <v>154</v>
      </c>
      <c r="BS1394">
        <v>28</v>
      </c>
      <c r="BT1394">
        <v>24</v>
      </c>
      <c r="BV1394">
        <v>2</v>
      </c>
      <c r="BW1394">
        <v>371</v>
      </c>
      <c r="BX1394">
        <f t="shared" si="167"/>
        <v>910</v>
      </c>
      <c r="BY1394" s="5">
        <f t="shared" si="162"/>
        <v>-0.59230769230769231</v>
      </c>
      <c r="BZ1394" s="6">
        <f t="shared" si="163"/>
        <v>-0.59230769230769231</v>
      </c>
      <c r="CA1394" s="7">
        <v>43779</v>
      </c>
      <c r="CC1394">
        <v>177</v>
      </c>
      <c r="CD1394">
        <v>91</v>
      </c>
      <c r="CE1394">
        <v>78</v>
      </c>
      <c r="CF1394">
        <v>25</v>
      </c>
      <c r="CI1394">
        <f t="shared" si="159"/>
        <v>2019</v>
      </c>
      <c r="CJ1394" t="str">
        <f t="shared" si="160"/>
        <v>6323_2019</v>
      </c>
    </row>
    <row r="1395" spans="1:88" x14ac:dyDescent="0.25">
      <c r="A1395" t="s">
        <v>502</v>
      </c>
      <c r="B1395" t="s">
        <v>503</v>
      </c>
      <c r="C1395">
        <v>6323</v>
      </c>
      <c r="D1395">
        <v>-12.379530000000001</v>
      </c>
      <c r="E1395">
        <v>130.84298799999999</v>
      </c>
      <c r="F1395">
        <v>3</v>
      </c>
      <c r="G1395" t="s">
        <v>508</v>
      </c>
      <c r="H1395">
        <v>75</v>
      </c>
      <c r="I1395">
        <v>255</v>
      </c>
      <c r="J1395">
        <v>261</v>
      </c>
      <c r="K1395">
        <v>81</v>
      </c>
      <c r="L1395">
        <v>312</v>
      </c>
      <c r="M1395">
        <v>132</v>
      </c>
      <c r="T1395">
        <v>142</v>
      </c>
      <c r="U1395">
        <v>60</v>
      </c>
      <c r="Y1395">
        <v>137</v>
      </c>
      <c r="Z1395">
        <v>8</v>
      </c>
      <c r="AD1395">
        <v>49</v>
      </c>
      <c r="AE1395">
        <v>32</v>
      </c>
      <c r="AX1395">
        <v>202</v>
      </c>
      <c r="AY1395">
        <v>186</v>
      </c>
      <c r="AZ1395">
        <v>388</v>
      </c>
      <c r="BA1395">
        <v>145</v>
      </c>
      <c r="BB1395">
        <v>174</v>
      </c>
      <c r="BC1395">
        <v>319</v>
      </c>
      <c r="BD1395">
        <v>81</v>
      </c>
      <c r="BE1395">
        <v>68</v>
      </c>
      <c r="BF1395">
        <v>149</v>
      </c>
      <c r="BP1395">
        <v>142</v>
      </c>
      <c r="BR1395">
        <v>226</v>
      </c>
      <c r="BS1395">
        <v>29</v>
      </c>
      <c r="BT1395">
        <v>31</v>
      </c>
      <c r="BV1395">
        <v>0</v>
      </c>
      <c r="BW1395">
        <v>428</v>
      </c>
      <c r="BX1395" t="str">
        <f t="shared" si="167"/>
        <v>no data</v>
      </c>
      <c r="BY1395" s="5"/>
      <c r="BZ1395" s="6"/>
      <c r="CA1395" s="7">
        <v>44528</v>
      </c>
      <c r="CC1395">
        <v>193</v>
      </c>
      <c r="CD1395">
        <v>125</v>
      </c>
      <c r="CE1395">
        <v>110</v>
      </c>
      <c r="CI1395">
        <f t="shared" si="159"/>
        <v>2021</v>
      </c>
      <c r="CJ1395" t="str">
        <f t="shared" si="160"/>
        <v>6323_2021</v>
      </c>
    </row>
    <row r="1396" spans="1:88" x14ac:dyDescent="0.25">
      <c r="A1396" t="s">
        <v>502</v>
      </c>
      <c r="B1396" t="s">
        <v>503</v>
      </c>
      <c r="C1396">
        <v>6324</v>
      </c>
      <c r="D1396">
        <v>-12.376300000000001</v>
      </c>
      <c r="E1396">
        <v>130.8603</v>
      </c>
      <c r="F1396">
        <v>3</v>
      </c>
      <c r="G1396" t="s">
        <v>509</v>
      </c>
      <c r="H1396">
        <v>22</v>
      </c>
      <c r="I1396">
        <v>202</v>
      </c>
      <c r="J1396">
        <v>138</v>
      </c>
      <c r="K1396">
        <v>318</v>
      </c>
      <c r="L1396">
        <v>276</v>
      </c>
      <c r="M1396">
        <v>96</v>
      </c>
      <c r="T1396">
        <v>67</v>
      </c>
      <c r="U1396">
        <v>132</v>
      </c>
      <c r="Y1396">
        <v>58</v>
      </c>
      <c r="Z1396">
        <v>100</v>
      </c>
      <c r="AD1396">
        <v>129</v>
      </c>
      <c r="AE1396">
        <v>94</v>
      </c>
      <c r="AX1396">
        <v>199</v>
      </c>
      <c r="AY1396">
        <v>187</v>
      </c>
      <c r="AZ1396">
        <v>386</v>
      </c>
      <c r="BA1396">
        <v>158</v>
      </c>
      <c r="BB1396">
        <v>161</v>
      </c>
      <c r="BC1396">
        <v>319</v>
      </c>
      <c r="BD1396">
        <v>223</v>
      </c>
      <c r="BE1396">
        <v>232</v>
      </c>
      <c r="BF1396">
        <v>455</v>
      </c>
      <c r="BP1396">
        <v>256</v>
      </c>
      <c r="BR1396">
        <v>173</v>
      </c>
      <c r="BS1396">
        <v>53</v>
      </c>
      <c r="BT1396">
        <v>77</v>
      </c>
      <c r="BV1396">
        <v>21</v>
      </c>
      <c r="BW1396">
        <v>580</v>
      </c>
      <c r="BX1396" t="s">
        <v>82</v>
      </c>
      <c r="BY1396" s="5"/>
      <c r="BZ1396" s="6"/>
      <c r="CA1396" s="7">
        <v>41588</v>
      </c>
      <c r="CI1396">
        <f t="shared" si="159"/>
        <v>2013</v>
      </c>
      <c r="CJ1396" t="str">
        <f t="shared" si="160"/>
        <v>6324_2013</v>
      </c>
    </row>
    <row r="1397" spans="1:88" x14ac:dyDescent="0.25">
      <c r="A1397" t="s">
        <v>502</v>
      </c>
      <c r="B1397" t="s">
        <v>503</v>
      </c>
      <c r="C1397">
        <v>6324</v>
      </c>
      <c r="D1397">
        <v>-12.376300000000001</v>
      </c>
      <c r="E1397">
        <v>130.8603</v>
      </c>
      <c r="F1397">
        <v>3</v>
      </c>
      <c r="G1397" t="s">
        <v>509</v>
      </c>
      <c r="H1397">
        <v>22</v>
      </c>
      <c r="I1397">
        <v>202</v>
      </c>
      <c r="J1397">
        <v>138</v>
      </c>
      <c r="K1397">
        <v>318</v>
      </c>
      <c r="L1397">
        <v>276</v>
      </c>
      <c r="M1397">
        <v>96</v>
      </c>
      <c r="T1397">
        <v>122</v>
      </c>
      <c r="U1397">
        <v>150</v>
      </c>
      <c r="Y1397">
        <v>80</v>
      </c>
      <c r="Z1397">
        <v>144</v>
      </c>
      <c r="AD1397">
        <v>120</v>
      </c>
      <c r="AE1397">
        <v>123</v>
      </c>
      <c r="AX1397">
        <v>272</v>
      </c>
      <c r="AY1397">
        <v>200</v>
      </c>
      <c r="AZ1397">
        <v>472</v>
      </c>
      <c r="BA1397">
        <v>224</v>
      </c>
      <c r="BB1397">
        <v>245</v>
      </c>
      <c r="BC1397">
        <v>469</v>
      </c>
      <c r="BD1397">
        <v>243</v>
      </c>
      <c r="BE1397">
        <v>294</v>
      </c>
      <c r="BF1397">
        <v>537</v>
      </c>
      <c r="BP1397">
        <v>336</v>
      </c>
      <c r="BR1397">
        <v>225</v>
      </c>
      <c r="BS1397">
        <v>36</v>
      </c>
      <c r="BT1397">
        <v>128</v>
      </c>
      <c r="BV1397">
        <v>14</v>
      </c>
      <c r="BW1397">
        <v>739</v>
      </c>
      <c r="BX1397">
        <f t="shared" ref="BX1397:BX1403" si="168">IF(C1397=C1396,IF((CI1397-1)=CI1396,BW1396,"no data"))</f>
        <v>580</v>
      </c>
      <c r="BY1397" s="5">
        <f t="shared" si="162"/>
        <v>0.27413793103448275</v>
      </c>
      <c r="BZ1397" s="6">
        <f t="shared" si="163"/>
        <v>0.27413793103448275</v>
      </c>
      <c r="CA1397" s="7">
        <v>41952</v>
      </c>
      <c r="CI1397">
        <f t="shared" si="159"/>
        <v>2014</v>
      </c>
      <c r="CJ1397" t="str">
        <f t="shared" si="160"/>
        <v>6324_2014</v>
      </c>
    </row>
    <row r="1398" spans="1:88" x14ac:dyDescent="0.25">
      <c r="A1398" t="s">
        <v>502</v>
      </c>
      <c r="B1398" t="s">
        <v>503</v>
      </c>
      <c r="C1398">
        <v>6324</v>
      </c>
      <c r="D1398">
        <v>-12.376300000000001</v>
      </c>
      <c r="E1398">
        <v>130.8603</v>
      </c>
      <c r="F1398">
        <v>3</v>
      </c>
      <c r="G1398" t="s">
        <v>509</v>
      </c>
      <c r="H1398">
        <v>22</v>
      </c>
      <c r="I1398">
        <v>202</v>
      </c>
      <c r="J1398">
        <v>138</v>
      </c>
      <c r="K1398">
        <v>318</v>
      </c>
      <c r="L1398">
        <v>276</v>
      </c>
      <c r="M1398">
        <v>96</v>
      </c>
      <c r="T1398">
        <v>114</v>
      </c>
      <c r="U1398">
        <v>124</v>
      </c>
      <c r="Y1398">
        <v>76</v>
      </c>
      <c r="Z1398">
        <v>114</v>
      </c>
      <c r="AD1398">
        <v>137</v>
      </c>
      <c r="AE1398">
        <v>99</v>
      </c>
      <c r="AX1398">
        <v>238</v>
      </c>
      <c r="AY1398">
        <v>213</v>
      </c>
      <c r="AZ1398">
        <v>451</v>
      </c>
      <c r="BA1398">
        <v>190</v>
      </c>
      <c r="BB1398">
        <v>213</v>
      </c>
      <c r="BC1398">
        <v>403</v>
      </c>
      <c r="BD1398">
        <v>236</v>
      </c>
      <c r="BE1398">
        <v>238</v>
      </c>
      <c r="BF1398">
        <v>474</v>
      </c>
      <c r="BP1398">
        <v>349</v>
      </c>
      <c r="BR1398">
        <v>186</v>
      </c>
      <c r="BS1398">
        <v>38</v>
      </c>
      <c r="BT1398">
        <v>78</v>
      </c>
      <c r="BV1398">
        <v>13</v>
      </c>
      <c r="BW1398">
        <v>664</v>
      </c>
      <c r="BX1398">
        <f t="shared" si="168"/>
        <v>739</v>
      </c>
      <c r="BY1398" s="5">
        <f t="shared" si="162"/>
        <v>-0.10148849797023005</v>
      </c>
      <c r="BZ1398" s="6">
        <f t="shared" si="163"/>
        <v>-0.10148849797023005</v>
      </c>
      <c r="CA1398" s="7">
        <v>42316</v>
      </c>
      <c r="CC1398">
        <v>214</v>
      </c>
      <c r="CD1398">
        <v>216</v>
      </c>
      <c r="CE1398">
        <v>142</v>
      </c>
      <c r="CF1398">
        <v>92</v>
      </c>
      <c r="CI1398">
        <f t="shared" si="159"/>
        <v>2015</v>
      </c>
      <c r="CJ1398" t="str">
        <f t="shared" si="160"/>
        <v>6324_2015</v>
      </c>
    </row>
    <row r="1399" spans="1:88" x14ac:dyDescent="0.25">
      <c r="A1399" t="s">
        <v>502</v>
      </c>
      <c r="B1399" t="s">
        <v>503</v>
      </c>
      <c r="C1399">
        <v>6324</v>
      </c>
      <c r="D1399">
        <v>-12.376265</v>
      </c>
      <c r="E1399">
        <v>130.86034699999999</v>
      </c>
      <c r="F1399">
        <v>3</v>
      </c>
      <c r="G1399" t="s">
        <v>509</v>
      </c>
      <c r="H1399">
        <v>22</v>
      </c>
      <c r="I1399">
        <v>202</v>
      </c>
      <c r="J1399">
        <v>138</v>
      </c>
      <c r="K1399">
        <v>318</v>
      </c>
      <c r="L1399">
        <v>276</v>
      </c>
      <c r="M1399">
        <v>96</v>
      </c>
      <c r="T1399">
        <v>102</v>
      </c>
      <c r="U1399">
        <v>148</v>
      </c>
      <c r="Y1399">
        <v>79</v>
      </c>
      <c r="Z1399">
        <v>114</v>
      </c>
      <c r="AD1399">
        <v>109</v>
      </c>
      <c r="AE1399">
        <v>91</v>
      </c>
      <c r="AX1399">
        <v>250</v>
      </c>
      <c r="AY1399">
        <v>188</v>
      </c>
      <c r="AZ1399">
        <v>438</v>
      </c>
      <c r="BA1399">
        <v>193</v>
      </c>
      <c r="BB1399">
        <v>193</v>
      </c>
      <c r="BC1399">
        <v>386</v>
      </c>
      <c r="BD1399">
        <v>200</v>
      </c>
      <c r="BE1399">
        <v>262</v>
      </c>
      <c r="BF1399">
        <v>462</v>
      </c>
      <c r="BP1399">
        <v>307</v>
      </c>
      <c r="BR1399">
        <v>213</v>
      </c>
      <c r="BS1399">
        <v>21</v>
      </c>
      <c r="BT1399">
        <v>67</v>
      </c>
      <c r="BV1399">
        <v>35</v>
      </c>
      <c r="BW1399">
        <v>643</v>
      </c>
      <c r="BX1399">
        <f t="shared" si="168"/>
        <v>664</v>
      </c>
      <c r="BY1399" s="5">
        <f t="shared" si="162"/>
        <v>-3.1626506024096383E-2</v>
      </c>
      <c r="BZ1399" s="6">
        <f t="shared" si="163"/>
        <v>-3.1626506024096383E-2</v>
      </c>
      <c r="CA1399" s="7">
        <v>42687</v>
      </c>
      <c r="CC1399">
        <v>227</v>
      </c>
      <c r="CD1399">
        <v>194</v>
      </c>
      <c r="CE1399">
        <v>124</v>
      </c>
      <c r="CF1399">
        <v>98</v>
      </c>
      <c r="CI1399">
        <f t="shared" si="159"/>
        <v>2016</v>
      </c>
      <c r="CJ1399" t="str">
        <f t="shared" si="160"/>
        <v>6324_2016</v>
      </c>
    </row>
    <row r="1400" spans="1:88" x14ac:dyDescent="0.25">
      <c r="A1400" t="s">
        <v>502</v>
      </c>
      <c r="B1400" t="s">
        <v>503</v>
      </c>
      <c r="C1400">
        <v>6324</v>
      </c>
      <c r="D1400">
        <v>-12.376265</v>
      </c>
      <c r="E1400">
        <v>130.86034699999999</v>
      </c>
      <c r="F1400">
        <v>3</v>
      </c>
      <c r="G1400" t="s">
        <v>509</v>
      </c>
      <c r="H1400">
        <v>22</v>
      </c>
      <c r="I1400">
        <v>202</v>
      </c>
      <c r="J1400">
        <v>138</v>
      </c>
      <c r="K1400">
        <v>318</v>
      </c>
      <c r="L1400">
        <v>276</v>
      </c>
      <c r="M1400">
        <v>96</v>
      </c>
      <c r="T1400">
        <v>108</v>
      </c>
      <c r="U1400">
        <v>130</v>
      </c>
      <c r="Y1400">
        <v>123</v>
      </c>
      <c r="Z1400">
        <v>74</v>
      </c>
      <c r="AD1400">
        <v>134</v>
      </c>
      <c r="AE1400">
        <v>71</v>
      </c>
      <c r="AX1400">
        <v>238</v>
      </c>
      <c r="AY1400">
        <v>257</v>
      </c>
      <c r="AZ1400">
        <v>495</v>
      </c>
      <c r="BA1400">
        <v>197</v>
      </c>
      <c r="BB1400">
        <v>179</v>
      </c>
      <c r="BC1400">
        <v>376</v>
      </c>
      <c r="BD1400">
        <v>205</v>
      </c>
      <c r="BE1400">
        <v>204</v>
      </c>
      <c r="BF1400">
        <v>409</v>
      </c>
      <c r="BP1400">
        <v>286</v>
      </c>
      <c r="BR1400">
        <v>235</v>
      </c>
      <c r="BS1400">
        <v>24</v>
      </c>
      <c r="BT1400">
        <v>85</v>
      </c>
      <c r="BV1400">
        <v>10</v>
      </c>
      <c r="BW1400">
        <v>640</v>
      </c>
      <c r="BX1400">
        <f t="shared" si="168"/>
        <v>643</v>
      </c>
      <c r="BY1400" s="5">
        <f t="shared" si="162"/>
        <v>-4.6656298600311046E-3</v>
      </c>
      <c r="BZ1400" s="6">
        <f t="shared" si="163"/>
        <v>-4.6656298600311046E-3</v>
      </c>
      <c r="CA1400" s="7">
        <v>43051</v>
      </c>
      <c r="CC1400">
        <v>214</v>
      </c>
      <c r="CD1400">
        <v>209</v>
      </c>
      <c r="CE1400">
        <v>120</v>
      </c>
      <c r="CF1400">
        <v>97</v>
      </c>
      <c r="CI1400">
        <f t="shared" si="159"/>
        <v>2017</v>
      </c>
      <c r="CJ1400" t="str">
        <f t="shared" si="160"/>
        <v>6324_2017</v>
      </c>
    </row>
    <row r="1401" spans="1:88" x14ac:dyDescent="0.25">
      <c r="A1401" t="s">
        <v>502</v>
      </c>
      <c r="B1401" t="s">
        <v>503</v>
      </c>
      <c r="C1401">
        <v>6324</v>
      </c>
      <c r="D1401">
        <v>-12.376265</v>
      </c>
      <c r="E1401">
        <v>130.86034699999999</v>
      </c>
      <c r="F1401">
        <v>3</v>
      </c>
      <c r="G1401" t="s">
        <v>509</v>
      </c>
      <c r="H1401">
        <v>22</v>
      </c>
      <c r="I1401">
        <v>202</v>
      </c>
      <c r="J1401">
        <v>138</v>
      </c>
      <c r="K1401">
        <v>318</v>
      </c>
      <c r="L1401">
        <v>276</v>
      </c>
      <c r="M1401">
        <v>96</v>
      </c>
      <c r="T1401">
        <v>88</v>
      </c>
      <c r="U1401">
        <v>147</v>
      </c>
      <c r="Y1401">
        <v>83</v>
      </c>
      <c r="Z1401">
        <v>92</v>
      </c>
      <c r="AD1401">
        <v>154</v>
      </c>
      <c r="AE1401">
        <v>91</v>
      </c>
      <c r="AX1401">
        <v>235</v>
      </c>
      <c r="AY1401">
        <v>237</v>
      </c>
      <c r="AZ1401">
        <v>472</v>
      </c>
      <c r="BA1401">
        <v>175</v>
      </c>
      <c r="BB1401">
        <v>179</v>
      </c>
      <c r="BC1401">
        <v>354</v>
      </c>
      <c r="BD1401">
        <v>245</v>
      </c>
      <c r="BE1401">
        <v>239</v>
      </c>
      <c r="BF1401">
        <v>484</v>
      </c>
      <c r="BP1401">
        <v>272</v>
      </c>
      <c r="BR1401">
        <v>239</v>
      </c>
      <c r="BS1401">
        <v>39</v>
      </c>
      <c r="BT1401">
        <v>99</v>
      </c>
      <c r="BV1401">
        <v>6</v>
      </c>
      <c r="BW1401">
        <v>655</v>
      </c>
      <c r="BX1401">
        <f t="shared" si="168"/>
        <v>640</v>
      </c>
      <c r="BY1401" s="5">
        <f t="shared" si="162"/>
        <v>2.34375E-2</v>
      </c>
      <c r="BZ1401" s="6">
        <f t="shared" si="163"/>
        <v>2.34375E-2</v>
      </c>
      <c r="CA1401" s="7">
        <v>43415</v>
      </c>
      <c r="CC1401">
        <v>227</v>
      </c>
      <c r="CD1401">
        <v>201</v>
      </c>
      <c r="CE1401">
        <v>133</v>
      </c>
      <c r="CF1401">
        <v>94</v>
      </c>
      <c r="CI1401">
        <f t="shared" si="159"/>
        <v>2018</v>
      </c>
      <c r="CJ1401" t="str">
        <f t="shared" si="160"/>
        <v>6324_2018</v>
      </c>
    </row>
    <row r="1402" spans="1:88" x14ac:dyDescent="0.25">
      <c r="A1402" t="s">
        <v>502</v>
      </c>
      <c r="B1402" t="s">
        <v>503</v>
      </c>
      <c r="C1402">
        <v>6324</v>
      </c>
      <c r="D1402">
        <v>-12.376300000000001</v>
      </c>
      <c r="E1402">
        <v>130.8603</v>
      </c>
      <c r="F1402">
        <v>3</v>
      </c>
      <c r="G1402" t="s">
        <v>509</v>
      </c>
      <c r="H1402">
        <v>22</v>
      </c>
      <c r="I1402">
        <v>202</v>
      </c>
      <c r="J1402">
        <v>138</v>
      </c>
      <c r="K1402">
        <v>318</v>
      </c>
      <c r="L1402">
        <v>276</v>
      </c>
      <c r="M1402">
        <v>96</v>
      </c>
      <c r="T1402">
        <v>75</v>
      </c>
      <c r="U1402">
        <v>148</v>
      </c>
      <c r="Y1402">
        <v>80</v>
      </c>
      <c r="Z1402">
        <v>117</v>
      </c>
      <c r="AD1402">
        <v>114</v>
      </c>
      <c r="AE1402">
        <v>128</v>
      </c>
      <c r="AX1402">
        <v>223</v>
      </c>
      <c r="AY1402">
        <v>194</v>
      </c>
      <c r="AZ1402">
        <v>417</v>
      </c>
      <c r="BA1402">
        <v>197</v>
      </c>
      <c r="BB1402">
        <v>203</v>
      </c>
      <c r="BC1402">
        <v>400</v>
      </c>
      <c r="BD1402">
        <v>242</v>
      </c>
      <c r="BE1402">
        <v>265</v>
      </c>
      <c r="BF1402">
        <v>507</v>
      </c>
      <c r="BP1402">
        <v>252</v>
      </c>
      <c r="BR1402">
        <v>286</v>
      </c>
      <c r="BS1402">
        <v>23</v>
      </c>
      <c r="BT1402">
        <v>91</v>
      </c>
      <c r="BV1402">
        <v>10</v>
      </c>
      <c r="BW1402">
        <v>662</v>
      </c>
      <c r="BX1402">
        <f t="shared" si="168"/>
        <v>655</v>
      </c>
      <c r="BY1402" s="5">
        <f t="shared" si="162"/>
        <v>1.0687022900763359E-2</v>
      </c>
      <c r="BZ1402" s="6">
        <f t="shared" si="163"/>
        <v>1.0687022900763359E-2</v>
      </c>
      <c r="CA1402" s="7">
        <v>43779</v>
      </c>
      <c r="CC1402">
        <v>274</v>
      </c>
      <c r="CD1402">
        <v>176</v>
      </c>
      <c r="CE1402">
        <v>146</v>
      </c>
      <c r="CF1402">
        <v>66</v>
      </c>
      <c r="CI1402">
        <f t="shared" si="159"/>
        <v>2019</v>
      </c>
      <c r="CJ1402" t="str">
        <f t="shared" si="160"/>
        <v>6324_2019</v>
      </c>
    </row>
    <row r="1403" spans="1:88" x14ac:dyDescent="0.25">
      <c r="A1403" t="s">
        <v>502</v>
      </c>
      <c r="B1403" t="s">
        <v>503</v>
      </c>
      <c r="C1403">
        <v>6324</v>
      </c>
      <c r="D1403">
        <v>-12.376265</v>
      </c>
      <c r="E1403">
        <v>130.86034699999999</v>
      </c>
      <c r="F1403">
        <v>3</v>
      </c>
      <c r="G1403" t="s">
        <v>509</v>
      </c>
      <c r="H1403">
        <v>22</v>
      </c>
      <c r="I1403">
        <v>202</v>
      </c>
      <c r="J1403">
        <v>138</v>
      </c>
      <c r="K1403">
        <v>318</v>
      </c>
      <c r="L1403">
        <v>276</v>
      </c>
      <c r="M1403">
        <v>96</v>
      </c>
      <c r="T1403">
        <v>81</v>
      </c>
      <c r="U1403">
        <v>118</v>
      </c>
      <c r="Y1403">
        <v>52</v>
      </c>
      <c r="Z1403">
        <v>59</v>
      </c>
      <c r="AD1403">
        <v>120</v>
      </c>
      <c r="AE1403">
        <v>59</v>
      </c>
      <c r="AX1403">
        <v>199</v>
      </c>
      <c r="AY1403">
        <v>172</v>
      </c>
      <c r="AZ1403">
        <v>371</v>
      </c>
      <c r="BA1403">
        <v>111</v>
      </c>
      <c r="BB1403">
        <v>140</v>
      </c>
      <c r="BC1403">
        <v>251</v>
      </c>
      <c r="BD1403">
        <v>179</v>
      </c>
      <c r="BE1403">
        <v>177</v>
      </c>
      <c r="BF1403">
        <v>356</v>
      </c>
      <c r="BP1403">
        <v>264</v>
      </c>
      <c r="BR1403">
        <v>134</v>
      </c>
      <c r="BS1403">
        <v>46</v>
      </c>
      <c r="BT1403">
        <v>37</v>
      </c>
      <c r="BV1403">
        <v>8</v>
      </c>
      <c r="BW1403">
        <v>489</v>
      </c>
      <c r="BX1403" t="str">
        <f t="shared" si="168"/>
        <v>no data</v>
      </c>
      <c r="BY1403" s="5"/>
      <c r="BZ1403" s="6"/>
      <c r="CA1403" s="7">
        <v>44528</v>
      </c>
      <c r="CC1403">
        <v>211</v>
      </c>
      <c r="CD1403">
        <v>150</v>
      </c>
      <c r="CE1403">
        <v>128</v>
      </c>
      <c r="CI1403">
        <f t="shared" si="159"/>
        <v>2021</v>
      </c>
      <c r="CJ1403" t="str">
        <f t="shared" si="160"/>
        <v>6324_2021</v>
      </c>
    </row>
    <row r="1404" spans="1:88" x14ac:dyDescent="0.25">
      <c r="A1404" t="s">
        <v>277</v>
      </c>
      <c r="B1404" t="s">
        <v>510</v>
      </c>
      <c r="C1404">
        <v>6329</v>
      </c>
      <c r="D1404">
        <v>-35.0916</v>
      </c>
      <c r="E1404">
        <v>138.5436</v>
      </c>
      <c r="F1404">
        <v>4</v>
      </c>
      <c r="G1404" t="s">
        <v>511</v>
      </c>
      <c r="H1404">
        <v>76</v>
      </c>
      <c r="I1404">
        <v>256</v>
      </c>
      <c r="J1404">
        <v>157</v>
      </c>
      <c r="K1404">
        <v>337</v>
      </c>
      <c r="L1404">
        <v>248</v>
      </c>
      <c r="M1404">
        <v>68</v>
      </c>
      <c r="N1404">
        <v>326</v>
      </c>
      <c r="O1404">
        <v>146</v>
      </c>
      <c r="T1404">
        <v>0</v>
      </c>
      <c r="U1404">
        <v>26</v>
      </c>
      <c r="V1404">
        <v>3</v>
      </c>
      <c r="Y1404">
        <v>0</v>
      </c>
      <c r="Z1404">
        <v>10</v>
      </c>
      <c r="AA1404">
        <v>9</v>
      </c>
      <c r="AD1404">
        <v>38</v>
      </c>
      <c r="AE1404">
        <v>6</v>
      </c>
      <c r="AF1404">
        <v>4</v>
      </c>
      <c r="AI1404">
        <v>0</v>
      </c>
      <c r="AJ1404">
        <v>2</v>
      </c>
      <c r="AK1404">
        <v>0</v>
      </c>
      <c r="AX1404">
        <v>29</v>
      </c>
      <c r="AY1404">
        <v>38</v>
      </c>
      <c r="AZ1404">
        <v>67</v>
      </c>
      <c r="BA1404">
        <v>19</v>
      </c>
      <c r="BB1404">
        <v>8</v>
      </c>
      <c r="BC1404">
        <v>27</v>
      </c>
      <c r="BD1404">
        <v>48</v>
      </c>
      <c r="BE1404">
        <v>36</v>
      </c>
      <c r="BF1404">
        <v>84</v>
      </c>
      <c r="BG1404">
        <v>2</v>
      </c>
      <c r="BH1404">
        <v>16</v>
      </c>
      <c r="BI1404">
        <v>18</v>
      </c>
      <c r="BP1404">
        <v>40</v>
      </c>
      <c r="BR1404">
        <v>39</v>
      </c>
      <c r="BS1404">
        <v>1</v>
      </c>
      <c r="BT1404">
        <v>9</v>
      </c>
      <c r="BV1404">
        <v>9</v>
      </c>
      <c r="BW1404">
        <v>98</v>
      </c>
      <c r="BX1404" t="s">
        <v>82</v>
      </c>
      <c r="BY1404" s="5"/>
      <c r="BZ1404" s="6"/>
      <c r="CA1404" s="7">
        <v>41588</v>
      </c>
      <c r="CI1404">
        <f t="shared" si="159"/>
        <v>2013</v>
      </c>
      <c r="CJ1404" t="str">
        <f t="shared" si="160"/>
        <v>6329_2013</v>
      </c>
    </row>
    <row r="1405" spans="1:88" x14ac:dyDescent="0.25">
      <c r="A1405" t="s">
        <v>277</v>
      </c>
      <c r="B1405" t="s">
        <v>510</v>
      </c>
      <c r="C1405">
        <v>6330</v>
      </c>
      <c r="D1405">
        <v>-35.122700000000002</v>
      </c>
      <c r="E1405">
        <v>138.52950000000001</v>
      </c>
      <c r="F1405">
        <v>4</v>
      </c>
      <c r="G1405" t="s">
        <v>512</v>
      </c>
      <c r="H1405">
        <v>87</v>
      </c>
      <c r="I1405">
        <v>267</v>
      </c>
      <c r="J1405">
        <v>165</v>
      </c>
      <c r="K1405">
        <v>345</v>
      </c>
      <c r="L1405">
        <v>275</v>
      </c>
      <c r="M1405">
        <v>95</v>
      </c>
      <c r="N1405">
        <v>345</v>
      </c>
      <c r="O1405">
        <v>165</v>
      </c>
      <c r="T1405">
        <v>0</v>
      </c>
      <c r="U1405">
        <v>6</v>
      </c>
      <c r="V1405">
        <v>5</v>
      </c>
      <c r="Y1405">
        <v>0</v>
      </c>
      <c r="Z1405">
        <v>11</v>
      </c>
      <c r="AA1405">
        <v>69</v>
      </c>
      <c r="AD1405">
        <v>10</v>
      </c>
      <c r="AE1405">
        <v>7</v>
      </c>
      <c r="AF1405">
        <v>15</v>
      </c>
      <c r="AI1405">
        <v>7</v>
      </c>
      <c r="AJ1405">
        <v>59</v>
      </c>
      <c r="AK1405">
        <v>11</v>
      </c>
      <c r="AX1405">
        <v>11</v>
      </c>
      <c r="AY1405">
        <v>17</v>
      </c>
      <c r="AZ1405">
        <v>28</v>
      </c>
      <c r="BA1405">
        <v>80</v>
      </c>
      <c r="BB1405">
        <v>66</v>
      </c>
      <c r="BC1405">
        <v>146</v>
      </c>
      <c r="BD1405">
        <v>32</v>
      </c>
      <c r="BE1405">
        <v>28</v>
      </c>
      <c r="BF1405">
        <v>60</v>
      </c>
      <c r="BG1405">
        <v>77</v>
      </c>
      <c r="BH1405">
        <v>89</v>
      </c>
      <c r="BI1405">
        <v>166</v>
      </c>
      <c r="BP1405">
        <v>105</v>
      </c>
      <c r="BR1405">
        <v>54</v>
      </c>
      <c r="BS1405">
        <v>6</v>
      </c>
      <c r="BT1405">
        <v>33</v>
      </c>
      <c r="BV1405">
        <v>2</v>
      </c>
      <c r="BW1405">
        <v>200</v>
      </c>
      <c r="BX1405" t="s">
        <v>82</v>
      </c>
      <c r="BY1405" s="5"/>
      <c r="BZ1405" s="6"/>
      <c r="CA1405" s="7">
        <v>41588</v>
      </c>
      <c r="CI1405">
        <f t="shared" si="159"/>
        <v>2013</v>
      </c>
      <c r="CJ1405" t="str">
        <f t="shared" si="160"/>
        <v>6330_2013</v>
      </c>
    </row>
    <row r="1406" spans="1:88" x14ac:dyDescent="0.25">
      <c r="A1406" t="s">
        <v>277</v>
      </c>
      <c r="B1406" t="s">
        <v>510</v>
      </c>
      <c r="C1406">
        <v>6331</v>
      </c>
      <c r="D1406">
        <v>-35.164299999999997</v>
      </c>
      <c r="E1406">
        <v>138.50909999999999</v>
      </c>
      <c r="F1406">
        <v>3</v>
      </c>
      <c r="G1406" t="s">
        <v>513</v>
      </c>
      <c r="H1406">
        <v>66</v>
      </c>
      <c r="I1406">
        <v>246</v>
      </c>
      <c r="J1406">
        <v>248</v>
      </c>
      <c r="K1406">
        <v>68</v>
      </c>
      <c r="L1406">
        <v>335</v>
      </c>
      <c r="M1406">
        <v>155</v>
      </c>
      <c r="T1406">
        <v>52</v>
      </c>
      <c r="U1406">
        <v>3</v>
      </c>
      <c r="Y1406">
        <v>54</v>
      </c>
      <c r="Z1406">
        <v>7</v>
      </c>
      <c r="AD1406">
        <v>3</v>
      </c>
      <c r="AE1406">
        <v>26</v>
      </c>
      <c r="AX1406">
        <v>55</v>
      </c>
      <c r="AY1406">
        <v>57</v>
      </c>
      <c r="AZ1406">
        <v>112</v>
      </c>
      <c r="BA1406">
        <v>61</v>
      </c>
      <c r="BB1406">
        <v>78</v>
      </c>
      <c r="BC1406">
        <v>139</v>
      </c>
      <c r="BD1406">
        <v>29</v>
      </c>
      <c r="BE1406">
        <v>10</v>
      </c>
      <c r="BF1406">
        <v>39</v>
      </c>
      <c r="BP1406">
        <v>128</v>
      </c>
      <c r="BR1406">
        <v>9</v>
      </c>
      <c r="BS1406">
        <v>4</v>
      </c>
      <c r="BT1406">
        <v>2</v>
      </c>
      <c r="BV1406">
        <v>2</v>
      </c>
      <c r="BW1406">
        <v>145</v>
      </c>
      <c r="BX1406" t="s">
        <v>82</v>
      </c>
      <c r="BY1406" s="5"/>
      <c r="BZ1406" s="6"/>
      <c r="CA1406" s="7">
        <v>41588</v>
      </c>
      <c r="CI1406">
        <f t="shared" si="159"/>
        <v>2013</v>
      </c>
      <c r="CJ1406" t="str">
        <f t="shared" si="160"/>
        <v>6331_2013</v>
      </c>
    </row>
    <row r="1407" spans="1:88" x14ac:dyDescent="0.25">
      <c r="A1407" t="s">
        <v>277</v>
      </c>
      <c r="B1407" t="s">
        <v>510</v>
      </c>
      <c r="C1407">
        <v>6332</v>
      </c>
      <c r="D1407">
        <v>-35.207599999999999</v>
      </c>
      <c r="E1407">
        <v>138.49430000000001</v>
      </c>
      <c r="F1407">
        <v>4</v>
      </c>
      <c r="G1407" t="s">
        <v>514</v>
      </c>
      <c r="H1407">
        <v>109</v>
      </c>
      <c r="I1407">
        <v>289</v>
      </c>
      <c r="J1407">
        <v>196</v>
      </c>
      <c r="K1407">
        <v>16</v>
      </c>
      <c r="L1407">
        <v>282</v>
      </c>
      <c r="M1407">
        <v>102</v>
      </c>
      <c r="N1407">
        <v>335</v>
      </c>
      <c r="O1407">
        <v>155</v>
      </c>
      <c r="T1407">
        <v>0</v>
      </c>
      <c r="U1407">
        <v>81</v>
      </c>
      <c r="V1407">
        <v>0</v>
      </c>
      <c r="Y1407">
        <v>0</v>
      </c>
      <c r="Z1407">
        <v>0</v>
      </c>
      <c r="AA1407">
        <v>5</v>
      </c>
      <c r="AD1407">
        <v>80</v>
      </c>
      <c r="AE1407">
        <v>0</v>
      </c>
      <c r="AF1407">
        <v>0</v>
      </c>
      <c r="AI1407">
        <v>0</v>
      </c>
      <c r="AJ1407">
        <v>8</v>
      </c>
      <c r="AK1407">
        <v>0</v>
      </c>
      <c r="AX1407">
        <v>81</v>
      </c>
      <c r="AY1407">
        <v>80</v>
      </c>
      <c r="AZ1407">
        <v>161</v>
      </c>
      <c r="BA1407">
        <v>5</v>
      </c>
      <c r="BB1407">
        <v>8</v>
      </c>
      <c r="BC1407">
        <v>13</v>
      </c>
      <c r="BD1407">
        <v>80</v>
      </c>
      <c r="BE1407">
        <v>81</v>
      </c>
      <c r="BF1407">
        <v>161</v>
      </c>
      <c r="BG1407">
        <v>8</v>
      </c>
      <c r="BH1407">
        <v>5</v>
      </c>
      <c r="BI1407">
        <v>13</v>
      </c>
      <c r="BP1407">
        <v>155</v>
      </c>
      <c r="BR1407">
        <v>2</v>
      </c>
      <c r="BS1407">
        <v>3</v>
      </c>
      <c r="BT1407">
        <v>1</v>
      </c>
      <c r="BV1407">
        <v>13</v>
      </c>
      <c r="BW1407">
        <v>174</v>
      </c>
      <c r="BX1407" t="s">
        <v>82</v>
      </c>
      <c r="BY1407" s="5"/>
      <c r="BZ1407" s="6"/>
      <c r="CA1407" s="7">
        <v>41588</v>
      </c>
      <c r="CI1407">
        <f t="shared" si="159"/>
        <v>2013</v>
      </c>
      <c r="CJ1407" t="str">
        <f t="shared" si="160"/>
        <v>6332_2013</v>
      </c>
    </row>
    <row r="1408" spans="1:88" x14ac:dyDescent="0.25">
      <c r="A1408" t="s">
        <v>277</v>
      </c>
      <c r="B1408" t="s">
        <v>510</v>
      </c>
      <c r="C1408">
        <v>6333</v>
      </c>
      <c r="D1408">
        <v>-35.215899999999998</v>
      </c>
      <c r="E1408">
        <v>138.54230000000001</v>
      </c>
      <c r="F1408">
        <v>3</v>
      </c>
      <c r="G1408" t="s">
        <v>515</v>
      </c>
      <c r="H1408">
        <v>113</v>
      </c>
      <c r="I1408">
        <v>293</v>
      </c>
      <c r="J1408">
        <v>220</v>
      </c>
      <c r="K1408">
        <v>40</v>
      </c>
      <c r="L1408">
        <v>293</v>
      </c>
      <c r="M1408">
        <v>113</v>
      </c>
      <c r="T1408">
        <v>16</v>
      </c>
      <c r="U1408">
        <v>64</v>
      </c>
      <c r="Y1408">
        <v>23</v>
      </c>
      <c r="Z1408">
        <v>10</v>
      </c>
      <c r="AD1408">
        <v>53</v>
      </c>
      <c r="AE1408">
        <v>27</v>
      </c>
      <c r="AX1408">
        <v>80</v>
      </c>
      <c r="AY1408">
        <v>76</v>
      </c>
      <c r="AZ1408">
        <v>156</v>
      </c>
      <c r="BA1408">
        <v>33</v>
      </c>
      <c r="BB1408">
        <v>43</v>
      </c>
      <c r="BC1408">
        <v>76</v>
      </c>
      <c r="BD1408">
        <v>80</v>
      </c>
      <c r="BE1408">
        <v>74</v>
      </c>
      <c r="BF1408">
        <v>154</v>
      </c>
      <c r="BP1408">
        <v>89</v>
      </c>
      <c r="BR1408">
        <v>86</v>
      </c>
      <c r="BS1408">
        <v>2</v>
      </c>
      <c r="BT1408">
        <v>13</v>
      </c>
      <c r="BV1408">
        <v>3</v>
      </c>
      <c r="BW1408">
        <v>193</v>
      </c>
      <c r="BX1408" t="s">
        <v>82</v>
      </c>
      <c r="BY1408" s="5"/>
      <c r="BZ1408" s="6"/>
      <c r="CA1408" s="7">
        <v>41588</v>
      </c>
      <c r="CI1408">
        <f t="shared" si="159"/>
        <v>2013</v>
      </c>
      <c r="CJ1408" t="str">
        <f t="shared" si="160"/>
        <v>6333_2013</v>
      </c>
    </row>
    <row r="1409" spans="1:88" x14ac:dyDescent="0.25">
      <c r="A1409" t="s">
        <v>277</v>
      </c>
      <c r="B1409" t="s">
        <v>510</v>
      </c>
      <c r="C1409">
        <v>6334</v>
      </c>
      <c r="D1409">
        <v>-35.139499999999998</v>
      </c>
      <c r="E1409">
        <v>138.47059999999999</v>
      </c>
      <c r="F1409">
        <v>3</v>
      </c>
      <c r="G1409" t="s">
        <v>516</v>
      </c>
      <c r="H1409">
        <v>86</v>
      </c>
      <c r="I1409">
        <v>266</v>
      </c>
      <c r="J1409">
        <v>194</v>
      </c>
      <c r="K1409">
        <v>14</v>
      </c>
      <c r="L1409">
        <v>343</v>
      </c>
      <c r="M1409">
        <v>163</v>
      </c>
      <c r="T1409">
        <v>23</v>
      </c>
      <c r="U1409">
        <v>31</v>
      </c>
      <c r="Y1409">
        <v>19</v>
      </c>
      <c r="Z1409">
        <v>96</v>
      </c>
      <c r="AD1409">
        <v>64</v>
      </c>
      <c r="AE1409">
        <v>76</v>
      </c>
      <c r="AX1409">
        <v>54</v>
      </c>
      <c r="AY1409">
        <v>83</v>
      </c>
      <c r="AZ1409">
        <v>137</v>
      </c>
      <c r="BA1409">
        <v>115</v>
      </c>
      <c r="BB1409">
        <v>99</v>
      </c>
      <c r="BC1409">
        <v>214</v>
      </c>
      <c r="BD1409">
        <v>140</v>
      </c>
      <c r="BE1409">
        <v>127</v>
      </c>
      <c r="BF1409">
        <v>267</v>
      </c>
      <c r="BP1409">
        <v>54</v>
      </c>
      <c r="BR1409">
        <v>175</v>
      </c>
      <c r="BS1409">
        <v>23</v>
      </c>
      <c r="BT1409">
        <v>53</v>
      </c>
      <c r="BV1409">
        <v>4</v>
      </c>
      <c r="BW1409">
        <v>309</v>
      </c>
      <c r="BX1409" t="s">
        <v>82</v>
      </c>
      <c r="BY1409" s="5"/>
      <c r="BZ1409" s="6"/>
      <c r="CA1409" s="7">
        <v>41588</v>
      </c>
      <c r="CI1409">
        <f t="shared" si="159"/>
        <v>2013</v>
      </c>
      <c r="CJ1409" t="str">
        <f t="shared" si="160"/>
        <v>6334_2013</v>
      </c>
    </row>
    <row r="1410" spans="1:88" x14ac:dyDescent="0.25">
      <c r="A1410" t="s">
        <v>277</v>
      </c>
      <c r="B1410" t="s">
        <v>510</v>
      </c>
      <c r="C1410">
        <v>6335</v>
      </c>
      <c r="D1410">
        <v>-35.165700000000001</v>
      </c>
      <c r="E1410">
        <v>138.46969999999999</v>
      </c>
      <c r="F1410">
        <v>3</v>
      </c>
      <c r="G1410" t="s">
        <v>517</v>
      </c>
      <c r="H1410">
        <v>86</v>
      </c>
      <c r="I1410">
        <v>266</v>
      </c>
      <c r="J1410">
        <v>265</v>
      </c>
      <c r="K1410">
        <v>85</v>
      </c>
      <c r="L1410">
        <v>341</v>
      </c>
      <c r="M1410">
        <v>161</v>
      </c>
      <c r="T1410">
        <v>81</v>
      </c>
      <c r="U1410">
        <v>26</v>
      </c>
      <c r="Y1410">
        <v>68</v>
      </c>
      <c r="Z1410">
        <v>3</v>
      </c>
      <c r="AD1410">
        <v>25</v>
      </c>
      <c r="AE1410">
        <v>3</v>
      </c>
      <c r="AX1410">
        <v>107</v>
      </c>
      <c r="AY1410">
        <v>93</v>
      </c>
      <c r="AZ1410">
        <v>200</v>
      </c>
      <c r="BA1410">
        <v>71</v>
      </c>
      <c r="BB1410">
        <v>84</v>
      </c>
      <c r="BC1410">
        <v>155</v>
      </c>
      <c r="BD1410">
        <v>28</v>
      </c>
      <c r="BE1410">
        <v>29</v>
      </c>
      <c r="BF1410">
        <v>57</v>
      </c>
      <c r="BP1410">
        <v>36</v>
      </c>
      <c r="BR1410">
        <v>100</v>
      </c>
      <c r="BS1410">
        <v>21</v>
      </c>
      <c r="BT1410">
        <v>47</v>
      </c>
      <c r="BV1410">
        <v>2</v>
      </c>
      <c r="BW1410">
        <v>206</v>
      </c>
      <c r="BX1410" t="s">
        <v>82</v>
      </c>
      <c r="BY1410" s="5"/>
      <c r="BZ1410" s="6"/>
      <c r="CA1410" s="7">
        <v>41588</v>
      </c>
      <c r="CI1410">
        <f t="shared" si="159"/>
        <v>2013</v>
      </c>
      <c r="CJ1410" t="str">
        <f t="shared" si="160"/>
        <v>6335_2013</v>
      </c>
    </row>
    <row r="1411" spans="1:88" x14ac:dyDescent="0.25">
      <c r="A1411" t="s">
        <v>277</v>
      </c>
      <c r="B1411" t="s">
        <v>510</v>
      </c>
      <c r="C1411">
        <v>6336</v>
      </c>
      <c r="D1411">
        <v>-35.195900000000002</v>
      </c>
      <c r="E1411">
        <v>138.47049999999999</v>
      </c>
      <c r="F1411">
        <v>4</v>
      </c>
      <c r="G1411" t="s">
        <v>518</v>
      </c>
      <c r="H1411">
        <v>87</v>
      </c>
      <c r="I1411">
        <v>267</v>
      </c>
      <c r="J1411">
        <v>174</v>
      </c>
      <c r="K1411">
        <v>354</v>
      </c>
      <c r="L1411">
        <v>267</v>
      </c>
      <c r="M1411">
        <v>87</v>
      </c>
      <c r="N1411">
        <v>352</v>
      </c>
      <c r="O1411">
        <v>172</v>
      </c>
      <c r="T1411">
        <v>11</v>
      </c>
      <c r="U1411">
        <v>8</v>
      </c>
      <c r="V1411">
        <v>0</v>
      </c>
      <c r="Y1411">
        <v>5</v>
      </c>
      <c r="Z1411">
        <v>10</v>
      </c>
      <c r="AA1411">
        <v>153</v>
      </c>
      <c r="AD1411">
        <v>17</v>
      </c>
      <c r="AE1411">
        <v>17</v>
      </c>
      <c r="AF1411">
        <v>19</v>
      </c>
      <c r="AI1411">
        <v>4</v>
      </c>
      <c r="AJ1411">
        <v>109</v>
      </c>
      <c r="AK1411">
        <v>5</v>
      </c>
      <c r="AX1411">
        <v>19</v>
      </c>
      <c r="AY1411">
        <v>26</v>
      </c>
      <c r="AZ1411">
        <v>45</v>
      </c>
      <c r="BA1411">
        <v>168</v>
      </c>
      <c r="BB1411">
        <v>137</v>
      </c>
      <c r="BC1411">
        <v>305</v>
      </c>
      <c r="BD1411">
        <v>53</v>
      </c>
      <c r="BE1411">
        <v>23</v>
      </c>
      <c r="BF1411">
        <v>76</v>
      </c>
      <c r="BG1411">
        <v>118</v>
      </c>
      <c r="BH1411">
        <v>172</v>
      </c>
      <c r="BI1411">
        <v>290</v>
      </c>
      <c r="BP1411">
        <v>95</v>
      </c>
      <c r="BR1411">
        <v>174</v>
      </c>
      <c r="BS1411">
        <v>12</v>
      </c>
      <c r="BT1411">
        <v>58</v>
      </c>
      <c r="BV1411">
        <v>19</v>
      </c>
      <c r="BW1411">
        <v>358</v>
      </c>
      <c r="BX1411" t="s">
        <v>82</v>
      </c>
      <c r="BY1411" s="5"/>
      <c r="BZ1411" s="6"/>
      <c r="CA1411" s="7">
        <v>41588</v>
      </c>
      <c r="CI1411">
        <f t="shared" ref="CI1411:CI1474" si="169">YEAR(CA1411)</f>
        <v>2013</v>
      </c>
      <c r="CJ1411" t="str">
        <f t="shared" ref="CJ1411:CJ1474" si="170">_xlfn.CONCAT(C1411,"_",CI1411)</f>
        <v>6336_2013</v>
      </c>
    </row>
    <row r="1412" spans="1:88" x14ac:dyDescent="0.25">
      <c r="A1412" t="s">
        <v>277</v>
      </c>
      <c r="B1412" t="s">
        <v>510</v>
      </c>
      <c r="C1412">
        <v>6337</v>
      </c>
      <c r="D1412">
        <v>-35.272300000000001</v>
      </c>
      <c r="E1412">
        <v>138.4452</v>
      </c>
      <c r="F1412">
        <v>4</v>
      </c>
      <c r="G1412" t="s">
        <v>519</v>
      </c>
      <c r="H1412">
        <v>22</v>
      </c>
      <c r="I1412">
        <v>202</v>
      </c>
      <c r="J1412">
        <v>114</v>
      </c>
      <c r="K1412">
        <v>294</v>
      </c>
      <c r="L1412">
        <v>203</v>
      </c>
      <c r="M1412">
        <v>23</v>
      </c>
      <c r="N1412">
        <v>294</v>
      </c>
      <c r="O1412">
        <v>114</v>
      </c>
      <c r="T1412">
        <v>10</v>
      </c>
      <c r="U1412">
        <v>3</v>
      </c>
      <c r="V1412">
        <v>5</v>
      </c>
      <c r="Y1412">
        <v>0</v>
      </c>
      <c r="Z1412">
        <v>5</v>
      </c>
      <c r="AA1412">
        <v>21</v>
      </c>
      <c r="AD1412">
        <v>9</v>
      </c>
      <c r="AE1412">
        <v>7</v>
      </c>
      <c r="AF1412">
        <v>2</v>
      </c>
      <c r="AI1412">
        <v>12</v>
      </c>
      <c r="AJ1412">
        <v>8</v>
      </c>
      <c r="AK1412">
        <v>2</v>
      </c>
      <c r="AX1412">
        <v>18</v>
      </c>
      <c r="AY1412">
        <v>21</v>
      </c>
      <c r="AZ1412">
        <v>39</v>
      </c>
      <c r="BA1412">
        <v>26</v>
      </c>
      <c r="BB1412">
        <v>25</v>
      </c>
      <c r="BC1412">
        <v>51</v>
      </c>
      <c r="BD1412">
        <v>18</v>
      </c>
      <c r="BE1412">
        <v>10</v>
      </c>
      <c r="BF1412">
        <v>28</v>
      </c>
      <c r="BG1412">
        <v>22</v>
      </c>
      <c r="BH1412">
        <v>28</v>
      </c>
      <c r="BI1412">
        <v>50</v>
      </c>
      <c r="BP1412">
        <v>4</v>
      </c>
      <c r="BR1412">
        <v>57</v>
      </c>
      <c r="BS1412">
        <v>3</v>
      </c>
      <c r="BT1412">
        <v>19</v>
      </c>
      <c r="BV1412">
        <v>1</v>
      </c>
      <c r="BW1412">
        <v>84</v>
      </c>
      <c r="BX1412" t="s">
        <v>82</v>
      </c>
      <c r="BY1412" s="5"/>
      <c r="BZ1412" s="6"/>
      <c r="CA1412" s="7">
        <v>41588</v>
      </c>
      <c r="CI1412">
        <f t="shared" si="169"/>
        <v>2013</v>
      </c>
      <c r="CJ1412" t="str">
        <f t="shared" si="170"/>
        <v>6337_2013</v>
      </c>
    </row>
    <row r="1413" spans="1:88" x14ac:dyDescent="0.25">
      <c r="A1413" t="s">
        <v>277</v>
      </c>
      <c r="B1413" t="s">
        <v>510</v>
      </c>
      <c r="C1413">
        <v>6338</v>
      </c>
      <c r="D1413">
        <v>-35.110500000000002</v>
      </c>
      <c r="E1413">
        <v>138.63120000000001</v>
      </c>
      <c r="F1413">
        <v>3</v>
      </c>
      <c r="G1413" t="s">
        <v>520</v>
      </c>
      <c r="H1413">
        <v>29</v>
      </c>
      <c r="I1413">
        <v>209</v>
      </c>
      <c r="J1413">
        <v>121</v>
      </c>
      <c r="K1413">
        <v>301</v>
      </c>
      <c r="L1413">
        <v>300</v>
      </c>
      <c r="M1413">
        <v>120</v>
      </c>
      <c r="T1413">
        <v>0</v>
      </c>
      <c r="U1413">
        <v>4</v>
      </c>
      <c r="Y1413">
        <v>0</v>
      </c>
      <c r="Z1413">
        <v>22</v>
      </c>
      <c r="AD1413">
        <v>3</v>
      </c>
      <c r="AE1413">
        <v>25</v>
      </c>
      <c r="AX1413">
        <v>4</v>
      </c>
      <c r="AY1413">
        <v>3</v>
      </c>
      <c r="AZ1413">
        <v>7</v>
      </c>
      <c r="BA1413">
        <v>22</v>
      </c>
      <c r="BB1413">
        <v>25</v>
      </c>
      <c r="BC1413">
        <v>47</v>
      </c>
      <c r="BD1413">
        <v>28</v>
      </c>
      <c r="BE1413">
        <v>26</v>
      </c>
      <c r="BF1413">
        <v>54</v>
      </c>
      <c r="BP1413">
        <v>48</v>
      </c>
      <c r="BR1413">
        <v>6</v>
      </c>
      <c r="BS1413">
        <v>0</v>
      </c>
      <c r="BT1413">
        <v>0</v>
      </c>
      <c r="BV1413">
        <v>0</v>
      </c>
      <c r="BW1413">
        <v>54</v>
      </c>
      <c r="BX1413" t="s">
        <v>82</v>
      </c>
      <c r="BY1413" s="5"/>
      <c r="BZ1413" s="6"/>
      <c r="CA1413" s="7">
        <v>41588</v>
      </c>
      <c r="CI1413">
        <f t="shared" si="169"/>
        <v>2013</v>
      </c>
      <c r="CJ1413" t="str">
        <f t="shared" si="170"/>
        <v>6338_2013</v>
      </c>
    </row>
    <row r="1414" spans="1:88" x14ac:dyDescent="0.25">
      <c r="A1414" t="s">
        <v>277</v>
      </c>
      <c r="B1414" t="s">
        <v>510</v>
      </c>
      <c r="C1414">
        <v>6340</v>
      </c>
      <c r="D1414">
        <v>-35.271700000000003</v>
      </c>
      <c r="E1414">
        <v>138.55430000000001</v>
      </c>
      <c r="F1414">
        <v>5</v>
      </c>
      <c r="G1414" t="s">
        <v>521</v>
      </c>
      <c r="H1414">
        <v>86</v>
      </c>
      <c r="I1414">
        <v>266</v>
      </c>
      <c r="J1414">
        <v>130</v>
      </c>
      <c r="K1414">
        <v>310</v>
      </c>
      <c r="L1414">
        <v>177</v>
      </c>
      <c r="M1414">
        <v>357</v>
      </c>
      <c r="N1414">
        <v>266</v>
      </c>
      <c r="O1414">
        <v>86</v>
      </c>
      <c r="P1414">
        <v>356</v>
      </c>
      <c r="Q1414">
        <v>176</v>
      </c>
      <c r="T1414">
        <v>3</v>
      </c>
      <c r="U1414">
        <v>0</v>
      </c>
      <c r="V1414">
        <v>1</v>
      </c>
      <c r="W1414">
        <v>10</v>
      </c>
      <c r="Y1414">
        <v>3</v>
      </c>
      <c r="Z1414">
        <v>8</v>
      </c>
      <c r="AA1414">
        <v>7</v>
      </c>
      <c r="AB1414">
        <v>23</v>
      </c>
      <c r="AD1414">
        <v>0</v>
      </c>
      <c r="AE1414">
        <v>10</v>
      </c>
      <c r="AF1414">
        <v>15</v>
      </c>
      <c r="AG1414">
        <v>11</v>
      </c>
      <c r="AI1414">
        <v>0</v>
      </c>
      <c r="AJ1414">
        <v>20</v>
      </c>
      <c r="AK1414">
        <v>4</v>
      </c>
      <c r="AL1414">
        <v>3</v>
      </c>
      <c r="AN1414">
        <v>4</v>
      </c>
      <c r="AO1414">
        <v>49</v>
      </c>
      <c r="AP1414">
        <v>13</v>
      </c>
      <c r="AQ1414">
        <v>4</v>
      </c>
      <c r="AX1414">
        <v>14</v>
      </c>
      <c r="AY1414">
        <v>7</v>
      </c>
      <c r="AZ1414">
        <v>21</v>
      </c>
      <c r="BA1414">
        <v>41</v>
      </c>
      <c r="BB1414">
        <v>82</v>
      </c>
      <c r="BC1414">
        <v>123</v>
      </c>
      <c r="BD1414">
        <v>36</v>
      </c>
      <c r="BE1414">
        <v>25</v>
      </c>
      <c r="BF1414">
        <v>61</v>
      </c>
      <c r="BG1414">
        <v>27</v>
      </c>
      <c r="BH1414">
        <v>27</v>
      </c>
      <c r="BI1414">
        <v>54</v>
      </c>
      <c r="BJ1414">
        <v>70</v>
      </c>
      <c r="BK1414">
        <v>47</v>
      </c>
      <c r="BL1414">
        <v>117</v>
      </c>
      <c r="BP1414">
        <v>84</v>
      </c>
      <c r="BR1414">
        <v>86</v>
      </c>
      <c r="BS1414">
        <v>3</v>
      </c>
      <c r="BT1414">
        <v>15</v>
      </c>
      <c r="BV1414">
        <v>0</v>
      </c>
      <c r="BW1414">
        <v>188</v>
      </c>
      <c r="BX1414" t="s">
        <v>82</v>
      </c>
      <c r="BY1414" s="5"/>
      <c r="BZ1414" s="6"/>
      <c r="CA1414" s="7">
        <v>41588</v>
      </c>
      <c r="CI1414">
        <f t="shared" si="169"/>
        <v>2013</v>
      </c>
      <c r="CJ1414" t="str">
        <f t="shared" si="170"/>
        <v>6340_2013</v>
      </c>
    </row>
    <row r="1415" spans="1:88" x14ac:dyDescent="0.25">
      <c r="A1415" t="s">
        <v>277</v>
      </c>
      <c r="B1415" t="s">
        <v>510</v>
      </c>
      <c r="C1415">
        <v>6341</v>
      </c>
      <c r="D1415">
        <v>-35.042999999999999</v>
      </c>
      <c r="E1415">
        <v>138.62370000000001</v>
      </c>
      <c r="F1415">
        <v>2</v>
      </c>
      <c r="G1415" t="s">
        <v>522</v>
      </c>
      <c r="H1415">
        <v>61</v>
      </c>
      <c r="I1415">
        <v>241</v>
      </c>
      <c r="J1415">
        <v>274</v>
      </c>
      <c r="K1415">
        <v>94</v>
      </c>
      <c r="T1415">
        <v>73</v>
      </c>
      <c r="Y1415">
        <v>77</v>
      </c>
      <c r="AX1415">
        <v>73</v>
      </c>
      <c r="AY1415">
        <v>77</v>
      </c>
      <c r="AZ1415">
        <v>150</v>
      </c>
      <c r="BA1415">
        <v>77</v>
      </c>
      <c r="BB1415">
        <v>73</v>
      </c>
      <c r="BC1415">
        <v>150</v>
      </c>
      <c r="BP1415">
        <v>11</v>
      </c>
      <c r="BR1415">
        <v>89</v>
      </c>
      <c r="BS1415">
        <v>9</v>
      </c>
      <c r="BT1415">
        <v>39</v>
      </c>
      <c r="BV1415">
        <v>2</v>
      </c>
      <c r="BW1415">
        <v>150</v>
      </c>
      <c r="BX1415" t="s">
        <v>82</v>
      </c>
      <c r="BY1415" s="5"/>
      <c r="BZ1415" s="6"/>
      <c r="CA1415" s="7">
        <v>41588</v>
      </c>
      <c r="CI1415">
        <f t="shared" si="169"/>
        <v>2013</v>
      </c>
      <c r="CJ1415" t="str">
        <f t="shared" si="170"/>
        <v>6341_2013</v>
      </c>
    </row>
    <row r="1416" spans="1:88" x14ac:dyDescent="0.25">
      <c r="A1416" t="s">
        <v>277</v>
      </c>
      <c r="B1416" t="s">
        <v>510</v>
      </c>
      <c r="C1416">
        <v>6342</v>
      </c>
      <c r="D1416">
        <v>-35.138100000000001</v>
      </c>
      <c r="E1416">
        <v>138.49700000000001</v>
      </c>
      <c r="F1416">
        <v>3</v>
      </c>
      <c r="G1416" t="s">
        <v>523</v>
      </c>
      <c r="H1416">
        <v>87</v>
      </c>
      <c r="I1416">
        <v>267</v>
      </c>
      <c r="J1416">
        <v>180</v>
      </c>
      <c r="K1416">
        <v>360</v>
      </c>
      <c r="L1416">
        <v>266</v>
      </c>
      <c r="M1416">
        <v>86</v>
      </c>
      <c r="T1416">
        <v>0</v>
      </c>
      <c r="U1416">
        <v>10</v>
      </c>
      <c r="Y1416">
        <v>3</v>
      </c>
      <c r="Z1416">
        <v>3</v>
      </c>
      <c r="AD1416">
        <v>13</v>
      </c>
      <c r="AE1416">
        <v>3</v>
      </c>
      <c r="AX1416">
        <v>10</v>
      </c>
      <c r="AY1416">
        <v>16</v>
      </c>
      <c r="AZ1416">
        <v>26</v>
      </c>
      <c r="BA1416">
        <v>6</v>
      </c>
      <c r="BB1416">
        <v>3</v>
      </c>
      <c r="BC1416">
        <v>9</v>
      </c>
      <c r="BD1416">
        <v>16</v>
      </c>
      <c r="BE1416">
        <v>13</v>
      </c>
      <c r="BF1416">
        <v>29</v>
      </c>
      <c r="BP1416">
        <v>17</v>
      </c>
      <c r="BR1416">
        <v>10</v>
      </c>
      <c r="BS1416">
        <v>0</v>
      </c>
      <c r="BT1416">
        <v>3</v>
      </c>
      <c r="BV1416">
        <v>2</v>
      </c>
      <c r="BW1416">
        <v>32</v>
      </c>
      <c r="BX1416" t="s">
        <v>82</v>
      </c>
      <c r="BY1416" s="5"/>
      <c r="BZ1416" s="6"/>
      <c r="CA1416" s="7">
        <v>41588</v>
      </c>
      <c r="CI1416">
        <f t="shared" si="169"/>
        <v>2013</v>
      </c>
      <c r="CJ1416" t="str">
        <f t="shared" si="170"/>
        <v>6342_2013</v>
      </c>
    </row>
    <row r="1417" spans="1:88" x14ac:dyDescent="0.25">
      <c r="A1417" t="s">
        <v>111</v>
      </c>
      <c r="B1417" t="s">
        <v>117</v>
      </c>
      <c r="C1417">
        <v>6343</v>
      </c>
      <c r="D1417">
        <v>-38.184899999999999</v>
      </c>
      <c r="E1417">
        <v>144.3544</v>
      </c>
      <c r="F1417">
        <v>4</v>
      </c>
      <c r="G1417" t="s">
        <v>524</v>
      </c>
      <c r="H1417">
        <v>75</v>
      </c>
      <c r="I1417">
        <v>255</v>
      </c>
      <c r="J1417">
        <v>176</v>
      </c>
      <c r="K1417">
        <v>356</v>
      </c>
      <c r="L1417">
        <v>262</v>
      </c>
      <c r="M1417">
        <v>82</v>
      </c>
      <c r="N1417">
        <v>356</v>
      </c>
      <c r="O1417">
        <v>176</v>
      </c>
      <c r="T1417">
        <v>2</v>
      </c>
      <c r="U1417">
        <v>14</v>
      </c>
      <c r="V1417">
        <v>0</v>
      </c>
      <c r="Y1417">
        <v>3</v>
      </c>
      <c r="Z1417">
        <v>1</v>
      </c>
      <c r="AA1417">
        <v>45</v>
      </c>
      <c r="AD1417">
        <v>11</v>
      </c>
      <c r="AE1417">
        <v>1</v>
      </c>
      <c r="AF1417">
        <v>3</v>
      </c>
      <c r="AI1417">
        <v>0</v>
      </c>
      <c r="AJ1417">
        <v>18</v>
      </c>
      <c r="AK1417">
        <v>3</v>
      </c>
      <c r="AX1417">
        <v>16</v>
      </c>
      <c r="AY1417">
        <v>14</v>
      </c>
      <c r="AZ1417">
        <v>30</v>
      </c>
      <c r="BA1417">
        <v>49</v>
      </c>
      <c r="BB1417">
        <v>21</v>
      </c>
      <c r="BC1417">
        <v>70</v>
      </c>
      <c r="BD1417">
        <v>15</v>
      </c>
      <c r="BE1417">
        <v>18</v>
      </c>
      <c r="BF1417">
        <v>33</v>
      </c>
      <c r="BG1417">
        <v>21</v>
      </c>
      <c r="BH1417">
        <v>48</v>
      </c>
      <c r="BI1417">
        <v>69</v>
      </c>
      <c r="BP1417">
        <v>86</v>
      </c>
      <c r="BR1417">
        <v>6</v>
      </c>
      <c r="BS1417">
        <v>2</v>
      </c>
      <c r="BT1417">
        <v>7</v>
      </c>
      <c r="BV1417">
        <v>0</v>
      </c>
      <c r="BW1417">
        <v>101</v>
      </c>
      <c r="BX1417" t="s">
        <v>82</v>
      </c>
      <c r="BY1417" s="5"/>
      <c r="BZ1417" s="6"/>
      <c r="CA1417" s="7">
        <v>41588</v>
      </c>
      <c r="CI1417">
        <f t="shared" si="169"/>
        <v>2013</v>
      </c>
      <c r="CJ1417" t="str">
        <f t="shared" si="170"/>
        <v>6343_2013</v>
      </c>
    </row>
    <row r="1418" spans="1:88" x14ac:dyDescent="0.25">
      <c r="A1418" t="s">
        <v>111</v>
      </c>
      <c r="B1418" t="s">
        <v>117</v>
      </c>
      <c r="C1418">
        <v>6343</v>
      </c>
      <c r="D1418">
        <v>-38.184899999999999</v>
      </c>
      <c r="E1418">
        <v>144.3544</v>
      </c>
      <c r="F1418">
        <v>4</v>
      </c>
      <c r="G1418" t="s">
        <v>524</v>
      </c>
      <c r="H1418">
        <v>75</v>
      </c>
      <c r="I1418">
        <v>255</v>
      </c>
      <c r="J1418">
        <v>176</v>
      </c>
      <c r="K1418">
        <v>356</v>
      </c>
      <c r="L1418">
        <v>262</v>
      </c>
      <c r="M1418">
        <v>82</v>
      </c>
      <c r="N1418">
        <v>356</v>
      </c>
      <c r="O1418">
        <v>176</v>
      </c>
      <c r="T1418">
        <v>3</v>
      </c>
      <c r="U1418">
        <v>25</v>
      </c>
      <c r="V1418">
        <v>0</v>
      </c>
      <c r="Y1418">
        <v>4</v>
      </c>
      <c r="Z1418">
        <v>0</v>
      </c>
      <c r="AA1418">
        <v>64</v>
      </c>
      <c r="AD1418">
        <v>19</v>
      </c>
      <c r="AE1418">
        <v>0</v>
      </c>
      <c r="AF1418">
        <v>1</v>
      </c>
      <c r="AI1418">
        <v>0</v>
      </c>
      <c r="AJ1418">
        <v>26</v>
      </c>
      <c r="AK1418">
        <v>1</v>
      </c>
      <c r="AX1418">
        <v>28</v>
      </c>
      <c r="AY1418">
        <v>23</v>
      </c>
      <c r="AZ1418">
        <v>51</v>
      </c>
      <c r="BA1418">
        <v>68</v>
      </c>
      <c r="BB1418">
        <v>29</v>
      </c>
      <c r="BC1418">
        <v>97</v>
      </c>
      <c r="BD1418">
        <v>20</v>
      </c>
      <c r="BE1418">
        <v>26</v>
      </c>
      <c r="BF1418">
        <v>46</v>
      </c>
      <c r="BG1418">
        <v>27</v>
      </c>
      <c r="BH1418">
        <v>65</v>
      </c>
      <c r="BI1418">
        <v>92</v>
      </c>
      <c r="BP1418">
        <v>143</v>
      </c>
      <c r="BR1418">
        <v>0</v>
      </c>
      <c r="BS1418">
        <v>0</v>
      </c>
      <c r="BT1418">
        <v>0</v>
      </c>
      <c r="BV1418">
        <v>0</v>
      </c>
      <c r="BW1418">
        <v>143</v>
      </c>
      <c r="BX1418">
        <f>IF(C1418=C1417,IF((CI1418-1)=CI1417,BW1417,"no data"))</f>
        <v>101</v>
      </c>
      <c r="BY1418" s="5">
        <f t="shared" si="162"/>
        <v>0.41584158415841582</v>
      </c>
      <c r="BZ1418" s="6">
        <f t="shared" ref="BZ1418:BZ1481" si="171">BY1418</f>
        <v>0.41584158415841582</v>
      </c>
      <c r="CA1418" s="7">
        <v>41952</v>
      </c>
      <c r="CI1418">
        <f t="shared" si="169"/>
        <v>2014</v>
      </c>
      <c r="CJ1418" t="str">
        <f t="shared" si="170"/>
        <v>6343_2014</v>
      </c>
    </row>
    <row r="1419" spans="1:88" x14ac:dyDescent="0.25">
      <c r="A1419" t="s">
        <v>111</v>
      </c>
      <c r="B1419" t="s">
        <v>112</v>
      </c>
      <c r="C1419">
        <v>6344</v>
      </c>
      <c r="D1419">
        <v>-37.755099999999999</v>
      </c>
      <c r="E1419">
        <v>145.07429999999999</v>
      </c>
      <c r="F1419">
        <v>3</v>
      </c>
      <c r="G1419" t="s">
        <v>525</v>
      </c>
      <c r="H1419">
        <v>6</v>
      </c>
      <c r="I1419">
        <v>186</v>
      </c>
      <c r="J1419">
        <v>93</v>
      </c>
      <c r="K1419">
        <v>273</v>
      </c>
      <c r="L1419">
        <v>221</v>
      </c>
      <c r="M1419">
        <v>41</v>
      </c>
      <c r="T1419">
        <v>43</v>
      </c>
      <c r="U1419">
        <v>54</v>
      </c>
      <c r="Y1419">
        <v>40</v>
      </c>
      <c r="Z1419">
        <v>119</v>
      </c>
      <c r="AD1419">
        <v>42</v>
      </c>
      <c r="AE1419">
        <v>99</v>
      </c>
      <c r="AX1419">
        <v>97</v>
      </c>
      <c r="AY1419">
        <v>82</v>
      </c>
      <c r="AZ1419">
        <v>179</v>
      </c>
      <c r="BA1419">
        <v>159</v>
      </c>
      <c r="BB1419">
        <v>142</v>
      </c>
      <c r="BC1419">
        <v>301</v>
      </c>
      <c r="BD1419">
        <v>141</v>
      </c>
      <c r="BE1419">
        <v>173</v>
      </c>
      <c r="BF1419">
        <v>314</v>
      </c>
      <c r="BP1419">
        <v>267</v>
      </c>
      <c r="BR1419">
        <v>91</v>
      </c>
      <c r="BS1419">
        <v>21</v>
      </c>
      <c r="BT1419">
        <v>15</v>
      </c>
      <c r="BV1419">
        <v>3</v>
      </c>
      <c r="BW1419">
        <v>397</v>
      </c>
      <c r="BX1419" t="s">
        <v>82</v>
      </c>
      <c r="BY1419" s="5"/>
      <c r="BZ1419" s="6"/>
      <c r="CA1419" s="7">
        <v>41588</v>
      </c>
      <c r="CI1419">
        <f t="shared" si="169"/>
        <v>2013</v>
      </c>
      <c r="CJ1419" t="str">
        <f t="shared" si="170"/>
        <v>6344_2013</v>
      </c>
    </row>
    <row r="1420" spans="1:88" x14ac:dyDescent="0.25">
      <c r="A1420" t="s">
        <v>111</v>
      </c>
      <c r="B1420" t="s">
        <v>112</v>
      </c>
      <c r="C1420">
        <v>6344</v>
      </c>
      <c r="D1420">
        <v>-37.755099999999999</v>
      </c>
      <c r="E1420">
        <v>145.07429999999999</v>
      </c>
      <c r="F1420">
        <v>3</v>
      </c>
      <c r="G1420" t="s">
        <v>525</v>
      </c>
      <c r="H1420">
        <v>6</v>
      </c>
      <c r="I1420">
        <v>186</v>
      </c>
      <c r="J1420">
        <v>93</v>
      </c>
      <c r="K1420">
        <v>273</v>
      </c>
      <c r="L1420">
        <v>221</v>
      </c>
      <c r="M1420">
        <v>41</v>
      </c>
      <c r="T1420">
        <v>95</v>
      </c>
      <c r="U1420">
        <v>57</v>
      </c>
      <c r="Y1420">
        <v>56</v>
      </c>
      <c r="Z1420">
        <v>176</v>
      </c>
      <c r="AD1420">
        <v>68</v>
      </c>
      <c r="AE1420">
        <v>135</v>
      </c>
      <c r="AX1420">
        <v>152</v>
      </c>
      <c r="AY1420">
        <v>124</v>
      </c>
      <c r="AZ1420">
        <v>276</v>
      </c>
      <c r="BA1420">
        <v>232</v>
      </c>
      <c r="BB1420">
        <v>230</v>
      </c>
      <c r="BC1420">
        <v>462</v>
      </c>
      <c r="BD1420">
        <v>203</v>
      </c>
      <c r="BE1420">
        <v>233</v>
      </c>
      <c r="BF1420">
        <v>436</v>
      </c>
      <c r="BP1420">
        <v>385</v>
      </c>
      <c r="BR1420">
        <v>145</v>
      </c>
      <c r="BS1420">
        <v>27</v>
      </c>
      <c r="BT1420">
        <v>17</v>
      </c>
      <c r="BV1420">
        <v>13</v>
      </c>
      <c r="BW1420">
        <v>587</v>
      </c>
      <c r="BX1420" t="str">
        <f>IF(C1420=C1419,IF((CI1420-1)=CI1419,BW1419,"no data"))</f>
        <v>no data</v>
      </c>
      <c r="BY1420" s="5"/>
      <c r="BZ1420" s="6"/>
      <c r="CA1420" s="7">
        <v>42316</v>
      </c>
      <c r="CE1420">
        <v>143</v>
      </c>
      <c r="CF1420">
        <v>176</v>
      </c>
      <c r="CG1420">
        <v>158</v>
      </c>
      <c r="CH1420">
        <v>110</v>
      </c>
      <c r="CI1420">
        <f t="shared" si="169"/>
        <v>2015</v>
      </c>
      <c r="CJ1420" t="str">
        <f t="shared" si="170"/>
        <v>6344_2015</v>
      </c>
    </row>
    <row r="1421" spans="1:88" x14ac:dyDescent="0.25">
      <c r="A1421" t="s">
        <v>111</v>
      </c>
      <c r="B1421" t="s">
        <v>112</v>
      </c>
      <c r="C1421">
        <v>6344</v>
      </c>
      <c r="D1421">
        <v>-37.755144000000001</v>
      </c>
      <c r="E1421">
        <v>145.07432900000001</v>
      </c>
      <c r="F1421">
        <v>3</v>
      </c>
      <c r="G1421" t="s">
        <v>525</v>
      </c>
      <c r="H1421">
        <v>6</v>
      </c>
      <c r="I1421">
        <v>186</v>
      </c>
      <c r="J1421">
        <v>93</v>
      </c>
      <c r="K1421">
        <v>273</v>
      </c>
      <c r="L1421">
        <v>221</v>
      </c>
      <c r="M1421">
        <v>41</v>
      </c>
      <c r="T1421">
        <v>136</v>
      </c>
      <c r="U1421">
        <v>41</v>
      </c>
      <c r="Y1421">
        <v>98</v>
      </c>
      <c r="Z1421">
        <v>96</v>
      </c>
      <c r="AD1421">
        <v>50</v>
      </c>
      <c r="AE1421">
        <v>82</v>
      </c>
      <c r="AX1421">
        <v>177</v>
      </c>
      <c r="AY1421">
        <v>148</v>
      </c>
      <c r="AZ1421">
        <v>325</v>
      </c>
      <c r="BA1421">
        <v>194</v>
      </c>
      <c r="BB1421">
        <v>218</v>
      </c>
      <c r="BC1421">
        <v>412</v>
      </c>
      <c r="BD1421">
        <v>132</v>
      </c>
      <c r="BE1421">
        <v>137</v>
      </c>
      <c r="BF1421">
        <v>269</v>
      </c>
      <c r="BP1421">
        <v>190</v>
      </c>
      <c r="BR1421">
        <v>184</v>
      </c>
      <c r="BS1421">
        <v>77</v>
      </c>
      <c r="BT1421">
        <v>45</v>
      </c>
      <c r="BU1421">
        <v>7</v>
      </c>
      <c r="BV1421">
        <v>0</v>
      </c>
      <c r="BW1421">
        <v>503</v>
      </c>
      <c r="BX1421" t="str">
        <f>IF(C1421=C1420,IF((CI1421-1)=CI1420,BW1420,"no data"))</f>
        <v>no data</v>
      </c>
      <c r="BY1421" s="5"/>
      <c r="BZ1421" s="6"/>
      <c r="CA1421" s="7">
        <v>44878</v>
      </c>
      <c r="CE1421">
        <v>214</v>
      </c>
      <c r="CF1421">
        <v>167</v>
      </c>
      <c r="CG1421">
        <v>122</v>
      </c>
      <c r="CI1421">
        <f t="shared" si="169"/>
        <v>2022</v>
      </c>
      <c r="CJ1421" t="str">
        <f t="shared" si="170"/>
        <v>6344_2022</v>
      </c>
    </row>
    <row r="1422" spans="1:88" x14ac:dyDescent="0.25">
      <c r="A1422" t="s">
        <v>111</v>
      </c>
      <c r="B1422" t="s">
        <v>112</v>
      </c>
      <c r="C1422">
        <v>6345</v>
      </c>
      <c r="D1422">
        <v>-37.729300000000002</v>
      </c>
      <c r="E1422">
        <v>145.1069</v>
      </c>
      <c r="F1422">
        <v>3</v>
      </c>
      <c r="G1422" t="s">
        <v>526</v>
      </c>
      <c r="H1422">
        <v>54</v>
      </c>
      <c r="I1422">
        <v>234</v>
      </c>
      <c r="J1422">
        <v>172</v>
      </c>
      <c r="K1422">
        <v>352</v>
      </c>
      <c r="L1422">
        <v>203</v>
      </c>
      <c r="M1422">
        <v>23</v>
      </c>
      <c r="T1422">
        <v>56</v>
      </c>
      <c r="U1422">
        <v>21</v>
      </c>
      <c r="Y1422">
        <v>53</v>
      </c>
      <c r="Z1422">
        <v>5</v>
      </c>
      <c r="AD1422">
        <v>18</v>
      </c>
      <c r="AE1422">
        <v>7</v>
      </c>
      <c r="AX1422">
        <v>77</v>
      </c>
      <c r="AY1422">
        <v>71</v>
      </c>
      <c r="AZ1422">
        <v>148</v>
      </c>
      <c r="BA1422">
        <v>58</v>
      </c>
      <c r="BB1422">
        <v>63</v>
      </c>
      <c r="BC1422">
        <v>121</v>
      </c>
      <c r="BD1422">
        <v>25</v>
      </c>
      <c r="BE1422">
        <v>26</v>
      </c>
      <c r="BF1422">
        <v>51</v>
      </c>
      <c r="BP1422">
        <v>62</v>
      </c>
      <c r="BR1422">
        <v>57</v>
      </c>
      <c r="BS1422">
        <v>12</v>
      </c>
      <c r="BT1422">
        <v>26</v>
      </c>
      <c r="BV1422">
        <v>3</v>
      </c>
      <c r="BW1422">
        <v>160</v>
      </c>
      <c r="BX1422" t="s">
        <v>82</v>
      </c>
      <c r="BY1422" s="5"/>
      <c r="BZ1422" s="6"/>
      <c r="CA1422" s="7">
        <v>41588</v>
      </c>
      <c r="CI1422">
        <f t="shared" si="169"/>
        <v>2013</v>
      </c>
      <c r="CJ1422" t="str">
        <f t="shared" si="170"/>
        <v>6345_2013</v>
      </c>
    </row>
    <row r="1423" spans="1:88" x14ac:dyDescent="0.25">
      <c r="A1423" t="s">
        <v>111</v>
      </c>
      <c r="B1423" t="s">
        <v>112</v>
      </c>
      <c r="C1423">
        <v>6345</v>
      </c>
      <c r="D1423">
        <v>-37.729300000000002</v>
      </c>
      <c r="E1423">
        <v>145.1069</v>
      </c>
      <c r="F1423">
        <v>3</v>
      </c>
      <c r="G1423" t="s">
        <v>526</v>
      </c>
      <c r="H1423">
        <v>54</v>
      </c>
      <c r="I1423">
        <v>234</v>
      </c>
      <c r="J1423">
        <v>172</v>
      </c>
      <c r="K1423">
        <v>352</v>
      </c>
      <c r="L1423">
        <v>203</v>
      </c>
      <c r="M1423">
        <v>23</v>
      </c>
      <c r="T1423">
        <v>84</v>
      </c>
      <c r="U1423">
        <v>26</v>
      </c>
      <c r="Y1423">
        <v>83</v>
      </c>
      <c r="Z1423">
        <v>2</v>
      </c>
      <c r="AD1423">
        <v>20</v>
      </c>
      <c r="AE1423">
        <v>1</v>
      </c>
      <c r="AX1423">
        <v>110</v>
      </c>
      <c r="AY1423">
        <v>103</v>
      </c>
      <c r="AZ1423">
        <v>213</v>
      </c>
      <c r="BA1423">
        <v>85</v>
      </c>
      <c r="BB1423">
        <v>85</v>
      </c>
      <c r="BC1423">
        <v>170</v>
      </c>
      <c r="BD1423">
        <v>21</v>
      </c>
      <c r="BE1423">
        <v>28</v>
      </c>
      <c r="BF1423">
        <v>49</v>
      </c>
      <c r="BP1423">
        <v>60</v>
      </c>
      <c r="BR1423">
        <v>101</v>
      </c>
      <c r="BS1423">
        <v>25</v>
      </c>
      <c r="BT1423">
        <v>25</v>
      </c>
      <c r="BV1423">
        <v>5</v>
      </c>
      <c r="BW1423">
        <v>216</v>
      </c>
      <c r="BX1423" t="str">
        <f>IF(C1423=C1422,IF((CI1423-1)=CI1422,BW1422,"no data"))</f>
        <v>no data</v>
      </c>
      <c r="BY1423" s="5"/>
      <c r="BZ1423" s="6"/>
      <c r="CA1423" s="7">
        <v>42316</v>
      </c>
      <c r="CE1423">
        <v>41</v>
      </c>
      <c r="CF1423">
        <v>77</v>
      </c>
      <c r="CG1423">
        <v>71</v>
      </c>
      <c r="CH1423">
        <v>27</v>
      </c>
      <c r="CI1423">
        <f t="shared" si="169"/>
        <v>2015</v>
      </c>
      <c r="CJ1423" t="str">
        <f t="shared" si="170"/>
        <v>6345_2015</v>
      </c>
    </row>
    <row r="1424" spans="1:88" x14ac:dyDescent="0.25">
      <c r="A1424" t="s">
        <v>111</v>
      </c>
      <c r="B1424" t="s">
        <v>112</v>
      </c>
      <c r="C1424">
        <v>6345</v>
      </c>
      <c r="D1424">
        <v>-37.729280000000003</v>
      </c>
      <c r="E1424">
        <v>145.10685799999999</v>
      </c>
      <c r="F1424">
        <v>3</v>
      </c>
      <c r="G1424" t="s">
        <v>526</v>
      </c>
      <c r="H1424">
        <v>54</v>
      </c>
      <c r="I1424">
        <v>234</v>
      </c>
      <c r="J1424">
        <v>172</v>
      </c>
      <c r="K1424">
        <v>352</v>
      </c>
      <c r="L1424">
        <v>203</v>
      </c>
      <c r="M1424">
        <v>23</v>
      </c>
      <c r="T1424">
        <v>44</v>
      </c>
      <c r="U1424">
        <v>27</v>
      </c>
      <c r="Y1424">
        <v>46</v>
      </c>
      <c r="Z1424">
        <v>5</v>
      </c>
      <c r="AD1424">
        <v>18</v>
      </c>
      <c r="AE1424">
        <v>2</v>
      </c>
      <c r="AX1424">
        <v>71</v>
      </c>
      <c r="AY1424">
        <v>64</v>
      </c>
      <c r="AZ1424">
        <v>135</v>
      </c>
      <c r="BA1424">
        <v>51</v>
      </c>
      <c r="BB1424">
        <v>46</v>
      </c>
      <c r="BC1424">
        <v>97</v>
      </c>
      <c r="BD1424">
        <v>20</v>
      </c>
      <c r="BE1424">
        <v>32</v>
      </c>
      <c r="BF1424">
        <v>52</v>
      </c>
      <c r="BP1424">
        <v>26</v>
      </c>
      <c r="BR1424">
        <v>82</v>
      </c>
      <c r="BS1424">
        <v>5</v>
      </c>
      <c r="BT1424">
        <v>21</v>
      </c>
      <c r="BU1424">
        <v>0</v>
      </c>
      <c r="BV1424">
        <v>8</v>
      </c>
      <c r="BW1424">
        <v>142</v>
      </c>
      <c r="BX1424" t="str">
        <f>IF(C1424=C1423,IF((CI1424-1)=CI1423,BW1423,"no data"))</f>
        <v>no data</v>
      </c>
      <c r="BY1424" s="5"/>
      <c r="BZ1424" s="6"/>
      <c r="CA1424" s="7">
        <v>44885</v>
      </c>
      <c r="CE1424">
        <v>39</v>
      </c>
      <c r="CF1424">
        <v>66</v>
      </c>
      <c r="CG1424">
        <v>37</v>
      </c>
      <c r="CI1424">
        <f t="shared" si="169"/>
        <v>2022</v>
      </c>
      <c r="CJ1424" t="str">
        <f t="shared" si="170"/>
        <v>6345_2022</v>
      </c>
    </row>
    <row r="1425" spans="1:88" x14ac:dyDescent="0.25">
      <c r="A1425" t="s">
        <v>111</v>
      </c>
      <c r="B1425" t="s">
        <v>138</v>
      </c>
      <c r="C1425">
        <v>6346</v>
      </c>
      <c r="D1425">
        <v>-37.674100000000003</v>
      </c>
      <c r="E1425">
        <v>145.15270000000001</v>
      </c>
      <c r="F1425">
        <v>3</v>
      </c>
      <c r="G1425" t="s">
        <v>527</v>
      </c>
      <c r="H1425">
        <v>51</v>
      </c>
      <c r="I1425">
        <v>231</v>
      </c>
      <c r="J1425">
        <v>132</v>
      </c>
      <c r="K1425">
        <v>312</v>
      </c>
      <c r="L1425">
        <v>344</v>
      </c>
      <c r="M1425">
        <v>164</v>
      </c>
      <c r="T1425">
        <v>149</v>
      </c>
      <c r="U1425">
        <v>30</v>
      </c>
      <c r="Y1425">
        <v>132</v>
      </c>
      <c r="Z1425">
        <v>68</v>
      </c>
      <c r="AD1425">
        <v>20</v>
      </c>
      <c r="AE1425">
        <v>80</v>
      </c>
      <c r="AX1425">
        <v>179</v>
      </c>
      <c r="AY1425">
        <v>152</v>
      </c>
      <c r="AZ1425">
        <v>331</v>
      </c>
      <c r="BA1425">
        <v>200</v>
      </c>
      <c r="BB1425">
        <v>229</v>
      </c>
      <c r="BC1425">
        <v>429</v>
      </c>
      <c r="BD1425">
        <v>100</v>
      </c>
      <c r="BE1425">
        <v>98</v>
      </c>
      <c r="BF1425">
        <v>198</v>
      </c>
      <c r="BP1425">
        <v>213</v>
      </c>
      <c r="BR1425">
        <v>266</v>
      </c>
      <c r="BS1425">
        <v>0</v>
      </c>
      <c r="BT1425">
        <v>0</v>
      </c>
      <c r="BV1425">
        <v>0</v>
      </c>
      <c r="BW1425">
        <v>479</v>
      </c>
      <c r="BX1425" t="s">
        <v>82</v>
      </c>
      <c r="BY1425" s="5"/>
      <c r="BZ1425" s="6"/>
      <c r="CA1425" s="7">
        <v>41952</v>
      </c>
      <c r="CI1425">
        <f t="shared" si="169"/>
        <v>2014</v>
      </c>
      <c r="CJ1425" t="str">
        <f t="shared" si="170"/>
        <v>6346_2014</v>
      </c>
    </row>
    <row r="1426" spans="1:88" x14ac:dyDescent="0.25">
      <c r="A1426" t="s">
        <v>111</v>
      </c>
      <c r="B1426" t="s">
        <v>138</v>
      </c>
      <c r="C1426">
        <v>6346</v>
      </c>
      <c r="D1426">
        <v>-37.674100000000003</v>
      </c>
      <c r="E1426">
        <v>145.15270000000001</v>
      </c>
      <c r="F1426">
        <v>3</v>
      </c>
      <c r="G1426" t="s">
        <v>527</v>
      </c>
      <c r="H1426">
        <v>51</v>
      </c>
      <c r="I1426">
        <v>231</v>
      </c>
      <c r="J1426">
        <v>132</v>
      </c>
      <c r="K1426">
        <v>312</v>
      </c>
      <c r="L1426">
        <v>344</v>
      </c>
      <c r="M1426">
        <v>164</v>
      </c>
      <c r="T1426">
        <v>322</v>
      </c>
      <c r="U1426">
        <v>68</v>
      </c>
      <c r="Y1426">
        <v>322</v>
      </c>
      <c r="Z1426">
        <v>92</v>
      </c>
      <c r="AD1426">
        <v>81</v>
      </c>
      <c r="AE1426">
        <v>82</v>
      </c>
      <c r="AX1426">
        <v>390</v>
      </c>
      <c r="AY1426">
        <v>403</v>
      </c>
      <c r="AZ1426">
        <v>793</v>
      </c>
      <c r="BA1426">
        <v>414</v>
      </c>
      <c r="BB1426">
        <v>404</v>
      </c>
      <c r="BC1426">
        <v>818</v>
      </c>
      <c r="BD1426">
        <v>163</v>
      </c>
      <c r="BE1426">
        <v>160</v>
      </c>
      <c r="BF1426">
        <v>323</v>
      </c>
      <c r="BP1426">
        <v>275</v>
      </c>
      <c r="BR1426">
        <v>484</v>
      </c>
      <c r="BS1426">
        <v>85</v>
      </c>
      <c r="BT1426">
        <v>75</v>
      </c>
      <c r="BV1426">
        <v>48</v>
      </c>
      <c r="BW1426">
        <v>967</v>
      </c>
      <c r="BX1426">
        <f>IF(C1426=C1425,IF((CI1426-1)=CI1425,BW1425,"no data"))</f>
        <v>479</v>
      </c>
      <c r="BY1426" s="5">
        <f t="shared" ref="BY1426:BY1483" si="172">(BW1426-BX1426)/BX1426</f>
        <v>1.0187891440501045</v>
      </c>
      <c r="BZ1426" s="6">
        <f t="shared" si="171"/>
        <v>1.0187891440501045</v>
      </c>
      <c r="CA1426" s="7">
        <v>42316</v>
      </c>
      <c r="CE1426">
        <v>209</v>
      </c>
      <c r="CF1426">
        <v>404</v>
      </c>
      <c r="CG1426">
        <v>215</v>
      </c>
      <c r="CH1426">
        <v>139</v>
      </c>
      <c r="CI1426">
        <f t="shared" si="169"/>
        <v>2015</v>
      </c>
      <c r="CJ1426" t="str">
        <f t="shared" si="170"/>
        <v>6346_2015</v>
      </c>
    </row>
    <row r="1427" spans="1:88" x14ac:dyDescent="0.25">
      <c r="A1427" t="s">
        <v>111</v>
      </c>
      <c r="B1427" t="s">
        <v>138</v>
      </c>
      <c r="C1427">
        <v>6346</v>
      </c>
      <c r="D1427">
        <v>-37.674106000000002</v>
      </c>
      <c r="E1427">
        <v>145.152681</v>
      </c>
      <c r="F1427">
        <v>3</v>
      </c>
      <c r="G1427" t="s">
        <v>527</v>
      </c>
      <c r="H1427">
        <v>51</v>
      </c>
      <c r="I1427">
        <v>231</v>
      </c>
      <c r="J1427">
        <v>132</v>
      </c>
      <c r="K1427">
        <v>312</v>
      </c>
      <c r="L1427">
        <v>344</v>
      </c>
      <c r="M1427">
        <v>164</v>
      </c>
      <c r="BX1427">
        <f>IF(C1427=C1426,IF((CI1427-1)=CI1426,BW1426,"no data"))</f>
        <v>967</v>
      </c>
      <c r="BY1427" s="5">
        <f t="shared" si="172"/>
        <v>-1</v>
      </c>
      <c r="BZ1427" s="6">
        <f t="shared" si="171"/>
        <v>-1</v>
      </c>
      <c r="CA1427" s="7">
        <v>42715</v>
      </c>
      <c r="CI1427">
        <f t="shared" si="169"/>
        <v>2016</v>
      </c>
      <c r="CJ1427" t="str">
        <f t="shared" si="170"/>
        <v>6346_2016</v>
      </c>
    </row>
    <row r="1428" spans="1:88" x14ac:dyDescent="0.25">
      <c r="A1428" t="s">
        <v>111</v>
      </c>
      <c r="B1428" t="s">
        <v>138</v>
      </c>
      <c r="C1428">
        <v>6346</v>
      </c>
      <c r="D1428">
        <v>-37.674106000000002</v>
      </c>
      <c r="E1428">
        <v>145.152681</v>
      </c>
      <c r="F1428">
        <v>3</v>
      </c>
      <c r="G1428" t="s">
        <v>527</v>
      </c>
      <c r="H1428">
        <v>51</v>
      </c>
      <c r="I1428">
        <v>231</v>
      </c>
      <c r="J1428">
        <v>132</v>
      </c>
      <c r="K1428">
        <v>312</v>
      </c>
      <c r="L1428">
        <v>344</v>
      </c>
      <c r="M1428">
        <v>164</v>
      </c>
      <c r="T1428">
        <v>150</v>
      </c>
      <c r="U1428">
        <v>60</v>
      </c>
      <c r="Y1428">
        <v>116</v>
      </c>
      <c r="Z1428">
        <v>42</v>
      </c>
      <c r="AD1428">
        <v>52</v>
      </c>
      <c r="AE1428">
        <v>55</v>
      </c>
      <c r="AX1428">
        <v>210</v>
      </c>
      <c r="AY1428">
        <v>168</v>
      </c>
      <c r="AZ1428">
        <v>378</v>
      </c>
      <c r="BA1428">
        <v>158</v>
      </c>
      <c r="BB1428">
        <v>205</v>
      </c>
      <c r="BC1428">
        <v>363</v>
      </c>
      <c r="BD1428">
        <v>107</v>
      </c>
      <c r="BE1428">
        <v>102</v>
      </c>
      <c r="BF1428">
        <v>209</v>
      </c>
      <c r="BP1428">
        <v>122</v>
      </c>
      <c r="BR1428">
        <v>241</v>
      </c>
      <c r="BS1428">
        <v>54</v>
      </c>
      <c r="BT1428">
        <v>49</v>
      </c>
      <c r="BV1428">
        <v>9</v>
      </c>
      <c r="BW1428">
        <v>475</v>
      </c>
      <c r="BX1428">
        <f>IF(C1428=C1427,IF((CI1428-1)=CI1427,BW1427,"no data"))</f>
        <v>0</v>
      </c>
      <c r="BY1428" s="5"/>
      <c r="BZ1428" s="6"/>
      <c r="CA1428" s="7">
        <v>43051</v>
      </c>
      <c r="CE1428">
        <v>113</v>
      </c>
      <c r="CF1428">
        <v>159</v>
      </c>
      <c r="CG1428">
        <v>125</v>
      </c>
      <c r="CH1428">
        <v>78</v>
      </c>
      <c r="CI1428">
        <f t="shared" si="169"/>
        <v>2017</v>
      </c>
      <c r="CJ1428" t="str">
        <f t="shared" si="170"/>
        <v>6346_2017</v>
      </c>
    </row>
    <row r="1429" spans="1:88" x14ac:dyDescent="0.25">
      <c r="A1429" t="s">
        <v>111</v>
      </c>
      <c r="B1429" t="s">
        <v>228</v>
      </c>
      <c r="C1429">
        <v>6349</v>
      </c>
      <c r="D1429">
        <v>-37.7164</v>
      </c>
      <c r="E1429">
        <v>145.01679999999999</v>
      </c>
      <c r="F1429">
        <v>2</v>
      </c>
      <c r="G1429" t="s">
        <v>528</v>
      </c>
      <c r="H1429">
        <v>90</v>
      </c>
      <c r="I1429">
        <v>270</v>
      </c>
      <c r="J1429">
        <v>270</v>
      </c>
      <c r="K1429">
        <v>90</v>
      </c>
      <c r="T1429">
        <v>9</v>
      </c>
      <c r="Y1429">
        <v>22</v>
      </c>
      <c r="AX1429">
        <v>9</v>
      </c>
      <c r="AY1429">
        <v>22</v>
      </c>
      <c r="AZ1429">
        <v>31</v>
      </c>
      <c r="BA1429">
        <v>22</v>
      </c>
      <c r="BB1429">
        <v>9</v>
      </c>
      <c r="BC1429">
        <v>31</v>
      </c>
      <c r="BP1429">
        <v>9</v>
      </c>
      <c r="BR1429">
        <v>16</v>
      </c>
      <c r="BS1429">
        <v>0</v>
      </c>
      <c r="BT1429">
        <v>5</v>
      </c>
      <c r="BV1429">
        <v>1</v>
      </c>
      <c r="BW1429">
        <v>31</v>
      </c>
      <c r="BX1429" t="s">
        <v>82</v>
      </c>
      <c r="BY1429" s="5"/>
      <c r="BZ1429" s="6"/>
      <c r="CA1429" s="7">
        <v>41588</v>
      </c>
      <c r="CI1429">
        <f t="shared" si="169"/>
        <v>2013</v>
      </c>
      <c r="CJ1429" t="str">
        <f t="shared" si="170"/>
        <v>6349_2013</v>
      </c>
    </row>
    <row r="1430" spans="1:88" x14ac:dyDescent="0.25">
      <c r="A1430" t="s">
        <v>111</v>
      </c>
      <c r="B1430" t="s">
        <v>133</v>
      </c>
      <c r="C1430">
        <v>6357</v>
      </c>
      <c r="D1430">
        <v>-37.771999999999998</v>
      </c>
      <c r="E1430">
        <v>145.29939999999999</v>
      </c>
      <c r="F1430">
        <v>4</v>
      </c>
      <c r="G1430" t="s">
        <v>529</v>
      </c>
      <c r="H1430">
        <v>101</v>
      </c>
      <c r="I1430">
        <v>281</v>
      </c>
      <c r="J1430">
        <v>151</v>
      </c>
      <c r="K1430">
        <v>331</v>
      </c>
      <c r="L1430">
        <v>278</v>
      </c>
      <c r="M1430">
        <v>98</v>
      </c>
      <c r="N1430">
        <v>324</v>
      </c>
      <c r="O1430">
        <v>144</v>
      </c>
      <c r="T1430">
        <v>14</v>
      </c>
      <c r="U1430">
        <v>36</v>
      </c>
      <c r="V1430">
        <v>18</v>
      </c>
      <c r="Y1430">
        <v>9</v>
      </c>
      <c r="Z1430">
        <v>11</v>
      </c>
      <c r="AA1430">
        <v>11</v>
      </c>
      <c r="AD1430">
        <v>30</v>
      </c>
      <c r="AE1430">
        <v>6</v>
      </c>
      <c r="AF1430">
        <v>3</v>
      </c>
      <c r="AI1430">
        <v>10</v>
      </c>
      <c r="AJ1430">
        <v>20</v>
      </c>
      <c r="AK1430">
        <v>2</v>
      </c>
      <c r="AX1430">
        <v>68</v>
      </c>
      <c r="AY1430">
        <v>49</v>
      </c>
      <c r="AZ1430">
        <v>117</v>
      </c>
      <c r="BA1430">
        <v>31</v>
      </c>
      <c r="BB1430">
        <v>40</v>
      </c>
      <c r="BC1430">
        <v>71</v>
      </c>
      <c r="BD1430">
        <v>39</v>
      </c>
      <c r="BE1430">
        <v>49</v>
      </c>
      <c r="BF1430">
        <v>88</v>
      </c>
      <c r="BG1430">
        <v>32</v>
      </c>
      <c r="BH1430">
        <v>32</v>
      </c>
      <c r="BI1430">
        <v>64</v>
      </c>
      <c r="BP1430">
        <v>26</v>
      </c>
      <c r="BR1430">
        <v>99</v>
      </c>
      <c r="BS1430">
        <v>11</v>
      </c>
      <c r="BT1430">
        <v>24</v>
      </c>
      <c r="BV1430">
        <v>10</v>
      </c>
      <c r="BW1430">
        <v>170</v>
      </c>
      <c r="BX1430" t="s">
        <v>82</v>
      </c>
      <c r="BY1430" s="5"/>
      <c r="BZ1430" s="6"/>
      <c r="CA1430" s="7">
        <v>42316</v>
      </c>
      <c r="CE1430">
        <v>38</v>
      </c>
      <c r="CF1430">
        <v>29</v>
      </c>
      <c r="CG1430">
        <v>63</v>
      </c>
      <c r="CH1430">
        <v>40</v>
      </c>
      <c r="CI1430">
        <f t="shared" si="169"/>
        <v>2015</v>
      </c>
      <c r="CJ1430" t="str">
        <f t="shared" si="170"/>
        <v>6357_2015</v>
      </c>
    </row>
    <row r="1431" spans="1:88" x14ac:dyDescent="0.25">
      <c r="A1431" t="s">
        <v>111</v>
      </c>
      <c r="B1431" t="s">
        <v>133</v>
      </c>
      <c r="C1431">
        <v>6368</v>
      </c>
      <c r="D1431">
        <v>-37.817100000000003</v>
      </c>
      <c r="E1431">
        <v>145.23990000000001</v>
      </c>
      <c r="F1431">
        <v>3</v>
      </c>
      <c r="G1431" t="s">
        <v>530</v>
      </c>
      <c r="H1431">
        <v>19</v>
      </c>
      <c r="I1431">
        <v>199</v>
      </c>
      <c r="J1431">
        <v>117</v>
      </c>
      <c r="K1431">
        <v>297</v>
      </c>
      <c r="L1431">
        <v>297</v>
      </c>
      <c r="M1431">
        <v>117</v>
      </c>
      <c r="T1431">
        <v>15</v>
      </c>
      <c r="U1431">
        <v>16</v>
      </c>
      <c r="Y1431">
        <v>10</v>
      </c>
      <c r="Z1431">
        <v>57</v>
      </c>
      <c r="AD1431">
        <v>8</v>
      </c>
      <c r="AE1431">
        <v>56</v>
      </c>
      <c r="AX1431">
        <v>31</v>
      </c>
      <c r="AY1431">
        <v>18</v>
      </c>
      <c r="AZ1431">
        <v>49</v>
      </c>
      <c r="BA1431">
        <v>67</v>
      </c>
      <c r="BB1431">
        <v>71</v>
      </c>
      <c r="BC1431">
        <v>138</v>
      </c>
      <c r="BD1431">
        <v>64</v>
      </c>
      <c r="BE1431">
        <v>73</v>
      </c>
      <c r="BF1431">
        <v>137</v>
      </c>
      <c r="BP1431">
        <v>28</v>
      </c>
      <c r="BR1431">
        <v>85</v>
      </c>
      <c r="BS1431">
        <v>23</v>
      </c>
      <c r="BT1431">
        <v>17</v>
      </c>
      <c r="BV1431">
        <v>9</v>
      </c>
      <c r="BW1431">
        <v>162</v>
      </c>
      <c r="BX1431" t="s">
        <v>82</v>
      </c>
      <c r="BY1431" s="5"/>
      <c r="BZ1431" s="6"/>
      <c r="CA1431" s="7">
        <v>42316</v>
      </c>
      <c r="CE1431">
        <v>38</v>
      </c>
      <c r="CF1431">
        <v>54</v>
      </c>
      <c r="CG1431">
        <v>44</v>
      </c>
      <c r="CH1431">
        <v>26</v>
      </c>
      <c r="CI1431">
        <f t="shared" si="169"/>
        <v>2015</v>
      </c>
      <c r="CJ1431" t="str">
        <f t="shared" si="170"/>
        <v>6368_2015</v>
      </c>
    </row>
    <row r="1432" spans="1:88" x14ac:dyDescent="0.25">
      <c r="A1432" t="s">
        <v>79</v>
      </c>
      <c r="B1432" t="s">
        <v>80</v>
      </c>
      <c r="C1432">
        <v>6431</v>
      </c>
      <c r="D1432">
        <v>-33.927</v>
      </c>
      <c r="E1432">
        <v>151.15860000000001</v>
      </c>
      <c r="F1432">
        <v>4</v>
      </c>
      <c r="G1432" t="s">
        <v>531</v>
      </c>
      <c r="H1432">
        <v>31</v>
      </c>
      <c r="I1432">
        <v>211</v>
      </c>
      <c r="J1432">
        <v>143</v>
      </c>
      <c r="K1432">
        <v>323</v>
      </c>
      <c r="L1432">
        <v>213</v>
      </c>
      <c r="M1432">
        <v>33</v>
      </c>
      <c r="N1432">
        <v>279</v>
      </c>
      <c r="O1432">
        <v>99</v>
      </c>
      <c r="T1432">
        <v>17</v>
      </c>
      <c r="U1432">
        <v>38</v>
      </c>
      <c r="V1432">
        <v>7</v>
      </c>
      <c r="Y1432">
        <v>28</v>
      </c>
      <c r="Z1432">
        <v>65</v>
      </c>
      <c r="AA1432">
        <v>102</v>
      </c>
      <c r="AD1432">
        <v>90</v>
      </c>
      <c r="AE1432">
        <v>47</v>
      </c>
      <c r="AF1432">
        <v>151</v>
      </c>
      <c r="AI1432">
        <v>2</v>
      </c>
      <c r="AJ1432">
        <v>83</v>
      </c>
      <c r="AK1432">
        <v>95</v>
      </c>
      <c r="AX1432">
        <v>62</v>
      </c>
      <c r="AY1432">
        <v>120</v>
      </c>
      <c r="AZ1432">
        <v>182</v>
      </c>
      <c r="BA1432">
        <v>195</v>
      </c>
      <c r="BB1432">
        <v>147</v>
      </c>
      <c r="BC1432">
        <v>342</v>
      </c>
      <c r="BD1432">
        <v>288</v>
      </c>
      <c r="BE1432">
        <v>198</v>
      </c>
      <c r="BF1432">
        <v>486</v>
      </c>
      <c r="BG1432">
        <v>180</v>
      </c>
      <c r="BH1432">
        <v>260</v>
      </c>
      <c r="BI1432">
        <v>440</v>
      </c>
      <c r="BP1432">
        <v>607</v>
      </c>
      <c r="BR1432">
        <v>85</v>
      </c>
      <c r="BS1432">
        <v>5</v>
      </c>
      <c r="BT1432">
        <v>13</v>
      </c>
      <c r="BV1432">
        <v>15</v>
      </c>
      <c r="BW1432">
        <v>725</v>
      </c>
      <c r="BX1432" t="s">
        <v>82</v>
      </c>
      <c r="BY1432" s="5"/>
      <c r="BZ1432" s="6"/>
      <c r="CA1432" s="7">
        <v>41952</v>
      </c>
      <c r="CI1432">
        <f t="shared" si="169"/>
        <v>2014</v>
      </c>
      <c r="CJ1432" t="str">
        <f t="shared" si="170"/>
        <v>6431_2014</v>
      </c>
    </row>
    <row r="1433" spans="1:88" x14ac:dyDescent="0.25">
      <c r="A1433" t="s">
        <v>79</v>
      </c>
      <c r="B1433" t="s">
        <v>80</v>
      </c>
      <c r="C1433">
        <v>6431</v>
      </c>
      <c r="D1433">
        <v>-33.927</v>
      </c>
      <c r="E1433">
        <v>151.15860000000001</v>
      </c>
      <c r="F1433">
        <v>4</v>
      </c>
      <c r="G1433" t="s">
        <v>531</v>
      </c>
      <c r="H1433">
        <v>31</v>
      </c>
      <c r="I1433">
        <v>211</v>
      </c>
      <c r="J1433">
        <v>143</v>
      </c>
      <c r="K1433">
        <v>323</v>
      </c>
      <c r="L1433">
        <v>213</v>
      </c>
      <c r="M1433">
        <v>33</v>
      </c>
      <c r="N1433">
        <v>279</v>
      </c>
      <c r="O1433">
        <v>99</v>
      </c>
      <c r="T1433">
        <v>12</v>
      </c>
      <c r="U1433">
        <v>55</v>
      </c>
      <c r="V1433">
        <v>12</v>
      </c>
      <c r="Y1433">
        <v>6</v>
      </c>
      <c r="Z1433">
        <v>33</v>
      </c>
      <c r="AA1433">
        <v>89</v>
      </c>
      <c r="AD1433">
        <v>114</v>
      </c>
      <c r="AE1433">
        <v>60</v>
      </c>
      <c r="AF1433">
        <v>93</v>
      </c>
      <c r="AI1433">
        <v>8</v>
      </c>
      <c r="AJ1433">
        <v>76</v>
      </c>
      <c r="AK1433">
        <v>38</v>
      </c>
      <c r="AX1433">
        <v>79</v>
      </c>
      <c r="AY1433">
        <v>128</v>
      </c>
      <c r="AZ1433">
        <v>207</v>
      </c>
      <c r="BA1433">
        <v>128</v>
      </c>
      <c r="BB1433">
        <v>148</v>
      </c>
      <c r="BC1433">
        <v>276</v>
      </c>
      <c r="BD1433">
        <v>267</v>
      </c>
      <c r="BE1433">
        <v>126</v>
      </c>
      <c r="BF1433">
        <v>393</v>
      </c>
      <c r="BG1433">
        <v>122</v>
      </c>
      <c r="BH1433">
        <v>194</v>
      </c>
      <c r="BI1433">
        <v>316</v>
      </c>
      <c r="BP1433">
        <v>413</v>
      </c>
      <c r="BR1433">
        <v>155</v>
      </c>
      <c r="BS1433">
        <v>14</v>
      </c>
      <c r="BT1433">
        <v>13</v>
      </c>
      <c r="BV1433">
        <v>1</v>
      </c>
      <c r="BW1433">
        <v>596</v>
      </c>
      <c r="BX1433">
        <f>IF(C1433=C1432,IF((CI1433-1)=CI1432,BW1432,"no data"))</f>
        <v>725</v>
      </c>
      <c r="BY1433" s="5">
        <f t="shared" si="172"/>
        <v>-0.17793103448275863</v>
      </c>
      <c r="BZ1433" s="6">
        <f t="shared" si="171"/>
        <v>-0.17793103448275863</v>
      </c>
      <c r="CA1433" s="7">
        <v>42316</v>
      </c>
      <c r="CE1433">
        <v>211</v>
      </c>
      <c r="CF1433">
        <v>158</v>
      </c>
      <c r="CG1433">
        <v>126</v>
      </c>
      <c r="CH1433">
        <v>101</v>
      </c>
      <c r="CI1433">
        <f t="shared" si="169"/>
        <v>2015</v>
      </c>
      <c r="CJ1433" t="str">
        <f t="shared" si="170"/>
        <v>6431_2015</v>
      </c>
    </row>
    <row r="1434" spans="1:88" x14ac:dyDescent="0.25">
      <c r="A1434" t="s">
        <v>79</v>
      </c>
      <c r="B1434" t="s">
        <v>80</v>
      </c>
      <c r="C1434">
        <v>6431</v>
      </c>
      <c r="D1434">
        <v>-33.927045</v>
      </c>
      <c r="E1434">
        <v>151.15859399999999</v>
      </c>
      <c r="F1434">
        <v>4</v>
      </c>
      <c r="G1434" t="s">
        <v>531</v>
      </c>
      <c r="H1434">
        <v>31</v>
      </c>
      <c r="I1434">
        <v>211</v>
      </c>
      <c r="J1434">
        <v>143</v>
      </c>
      <c r="K1434">
        <v>323</v>
      </c>
      <c r="L1434">
        <v>213</v>
      </c>
      <c r="M1434">
        <v>33</v>
      </c>
      <c r="N1434">
        <v>279</v>
      </c>
      <c r="O1434">
        <v>99</v>
      </c>
      <c r="T1434">
        <v>4</v>
      </c>
      <c r="U1434">
        <v>42</v>
      </c>
      <c r="V1434">
        <v>12</v>
      </c>
      <c r="Y1434">
        <v>10</v>
      </c>
      <c r="Z1434">
        <v>78</v>
      </c>
      <c r="AA1434">
        <v>71</v>
      </c>
      <c r="AD1434">
        <v>91</v>
      </c>
      <c r="AE1434">
        <v>65</v>
      </c>
      <c r="AF1434">
        <v>132</v>
      </c>
      <c r="AI1434">
        <v>14</v>
      </c>
      <c r="AJ1434">
        <v>79</v>
      </c>
      <c r="AK1434">
        <v>96</v>
      </c>
      <c r="AX1434">
        <v>58</v>
      </c>
      <c r="AY1434">
        <v>115</v>
      </c>
      <c r="AZ1434">
        <v>173</v>
      </c>
      <c r="BA1434">
        <v>159</v>
      </c>
      <c r="BB1434">
        <v>148</v>
      </c>
      <c r="BC1434">
        <v>307</v>
      </c>
      <c r="BD1434">
        <v>288</v>
      </c>
      <c r="BE1434">
        <v>216</v>
      </c>
      <c r="BF1434">
        <v>504</v>
      </c>
      <c r="BG1434">
        <v>189</v>
      </c>
      <c r="BH1434">
        <v>215</v>
      </c>
      <c r="BI1434">
        <v>404</v>
      </c>
      <c r="BP1434">
        <v>525</v>
      </c>
      <c r="BR1434">
        <v>146</v>
      </c>
      <c r="BS1434">
        <v>9</v>
      </c>
      <c r="BT1434">
        <v>12</v>
      </c>
      <c r="BV1434">
        <v>2</v>
      </c>
      <c r="BW1434">
        <v>694</v>
      </c>
      <c r="BX1434">
        <f>IF(C1434=C1433,IF((CI1434-1)=CI1433,BW1433,"no data"))</f>
        <v>596</v>
      </c>
      <c r="BY1434" s="5">
        <f t="shared" si="172"/>
        <v>0.16442953020134229</v>
      </c>
      <c r="BZ1434" s="6">
        <f t="shared" si="171"/>
        <v>0.16442953020134229</v>
      </c>
      <c r="CA1434" s="7">
        <v>42687</v>
      </c>
      <c r="CE1434">
        <v>215</v>
      </c>
      <c r="CF1434">
        <v>203</v>
      </c>
      <c r="CG1434">
        <v>177</v>
      </c>
      <c r="CH1434">
        <v>99</v>
      </c>
      <c r="CI1434">
        <f t="shared" si="169"/>
        <v>2016</v>
      </c>
      <c r="CJ1434" t="str">
        <f t="shared" si="170"/>
        <v>6431_2016</v>
      </c>
    </row>
    <row r="1435" spans="1:88" x14ac:dyDescent="0.25">
      <c r="A1435" t="s">
        <v>79</v>
      </c>
      <c r="B1435" t="s">
        <v>80</v>
      </c>
      <c r="C1435">
        <v>6431</v>
      </c>
      <c r="D1435">
        <v>-33.927045</v>
      </c>
      <c r="E1435">
        <v>151.15859399999999</v>
      </c>
      <c r="F1435">
        <v>4</v>
      </c>
      <c r="G1435" t="s">
        <v>531</v>
      </c>
      <c r="H1435">
        <v>31</v>
      </c>
      <c r="I1435">
        <v>211</v>
      </c>
      <c r="J1435">
        <v>143</v>
      </c>
      <c r="K1435">
        <v>323</v>
      </c>
      <c r="L1435">
        <v>213</v>
      </c>
      <c r="M1435">
        <v>33</v>
      </c>
      <c r="N1435">
        <v>279</v>
      </c>
      <c r="O1435">
        <v>99</v>
      </c>
      <c r="T1435">
        <v>18</v>
      </c>
      <c r="U1435">
        <v>48</v>
      </c>
      <c r="V1435">
        <v>23</v>
      </c>
      <c r="Y1435">
        <v>10</v>
      </c>
      <c r="Z1435">
        <v>67</v>
      </c>
      <c r="AA1435">
        <v>80</v>
      </c>
      <c r="AD1435">
        <v>100</v>
      </c>
      <c r="AE1435">
        <v>56</v>
      </c>
      <c r="AF1435">
        <v>139</v>
      </c>
      <c r="AI1435">
        <v>10</v>
      </c>
      <c r="AJ1435">
        <v>79</v>
      </c>
      <c r="AK1435">
        <v>80</v>
      </c>
      <c r="AX1435">
        <v>89</v>
      </c>
      <c r="AY1435">
        <v>120</v>
      </c>
      <c r="AZ1435">
        <v>209</v>
      </c>
      <c r="BA1435">
        <v>157</v>
      </c>
      <c r="BB1435">
        <v>153</v>
      </c>
      <c r="BC1435">
        <v>310</v>
      </c>
      <c r="BD1435">
        <v>295</v>
      </c>
      <c r="BE1435">
        <v>195</v>
      </c>
      <c r="BF1435">
        <v>490</v>
      </c>
      <c r="BG1435">
        <v>169</v>
      </c>
      <c r="BH1435">
        <v>242</v>
      </c>
      <c r="BI1435">
        <v>411</v>
      </c>
      <c r="BP1435">
        <v>503</v>
      </c>
      <c r="BR1435">
        <v>164</v>
      </c>
      <c r="BS1435">
        <v>17</v>
      </c>
      <c r="BT1435">
        <v>15</v>
      </c>
      <c r="BV1435">
        <v>11</v>
      </c>
      <c r="BW1435">
        <v>710</v>
      </c>
      <c r="BX1435">
        <f>IF(C1435=C1434,IF((CI1435-1)=CI1434,BW1434,"no data"))</f>
        <v>694</v>
      </c>
      <c r="BY1435" s="5">
        <f t="shared" si="172"/>
        <v>2.3054755043227664E-2</v>
      </c>
      <c r="BZ1435" s="6">
        <f t="shared" si="171"/>
        <v>2.3054755043227664E-2</v>
      </c>
      <c r="CA1435" s="7">
        <v>43051</v>
      </c>
      <c r="CE1435">
        <v>239</v>
      </c>
      <c r="CF1435">
        <v>185</v>
      </c>
      <c r="CG1435">
        <v>154</v>
      </c>
      <c r="CH1435">
        <v>132</v>
      </c>
      <c r="CI1435">
        <f t="shared" si="169"/>
        <v>2017</v>
      </c>
      <c r="CJ1435" t="str">
        <f t="shared" si="170"/>
        <v>6431_2017</v>
      </c>
    </row>
    <row r="1436" spans="1:88" x14ac:dyDescent="0.25">
      <c r="A1436" t="s">
        <v>79</v>
      </c>
      <c r="B1436" t="s">
        <v>80</v>
      </c>
      <c r="C1436">
        <v>6431</v>
      </c>
      <c r="D1436">
        <v>-33.927045</v>
      </c>
      <c r="E1436">
        <v>151.15859399999999</v>
      </c>
      <c r="F1436">
        <v>4</v>
      </c>
      <c r="G1436" t="s">
        <v>531</v>
      </c>
      <c r="H1436">
        <v>31</v>
      </c>
      <c r="I1436">
        <v>211</v>
      </c>
      <c r="J1436">
        <v>143</v>
      </c>
      <c r="K1436">
        <v>323</v>
      </c>
      <c r="L1436">
        <v>213</v>
      </c>
      <c r="M1436">
        <v>33</v>
      </c>
      <c r="N1436">
        <v>279</v>
      </c>
      <c r="O1436">
        <v>99</v>
      </c>
      <c r="T1436">
        <v>17</v>
      </c>
      <c r="U1436">
        <v>27</v>
      </c>
      <c r="V1436">
        <v>12</v>
      </c>
      <c r="Y1436">
        <v>16</v>
      </c>
      <c r="Z1436">
        <v>53</v>
      </c>
      <c r="AA1436">
        <v>82</v>
      </c>
      <c r="AD1436">
        <v>64</v>
      </c>
      <c r="AE1436">
        <v>51</v>
      </c>
      <c r="AF1436">
        <v>47</v>
      </c>
      <c r="AI1436">
        <v>5</v>
      </c>
      <c r="AJ1436">
        <v>122</v>
      </c>
      <c r="AK1436">
        <v>36</v>
      </c>
      <c r="AX1436">
        <v>56</v>
      </c>
      <c r="AY1436">
        <v>85</v>
      </c>
      <c r="AZ1436">
        <v>141</v>
      </c>
      <c r="BA1436">
        <v>151</v>
      </c>
      <c r="BB1436">
        <v>190</v>
      </c>
      <c r="BC1436">
        <v>341</v>
      </c>
      <c r="BD1436">
        <v>162</v>
      </c>
      <c r="BE1436">
        <v>116</v>
      </c>
      <c r="BF1436">
        <v>278</v>
      </c>
      <c r="BG1436">
        <v>163</v>
      </c>
      <c r="BH1436">
        <v>141</v>
      </c>
      <c r="BI1436">
        <v>304</v>
      </c>
      <c r="BP1436">
        <v>361</v>
      </c>
      <c r="BR1436">
        <v>142</v>
      </c>
      <c r="BS1436">
        <v>12</v>
      </c>
      <c r="BT1436">
        <v>7</v>
      </c>
      <c r="BV1436">
        <v>10</v>
      </c>
      <c r="BW1436">
        <v>532</v>
      </c>
      <c r="BX1436">
        <f>IF(C1436=C1435,IF((CI1436-1)=CI1435,BW1435,"no data"))</f>
        <v>710</v>
      </c>
      <c r="BY1436" s="5">
        <f t="shared" si="172"/>
        <v>-0.25070422535211268</v>
      </c>
      <c r="BZ1436" s="6">
        <f t="shared" si="171"/>
        <v>-0.25070422535211268</v>
      </c>
      <c r="CA1436" s="7">
        <v>43443</v>
      </c>
      <c r="CE1436">
        <v>158</v>
      </c>
      <c r="CF1436">
        <v>180</v>
      </c>
      <c r="CG1436">
        <v>93</v>
      </c>
      <c r="CH1436">
        <v>101</v>
      </c>
      <c r="CI1436">
        <f t="shared" si="169"/>
        <v>2018</v>
      </c>
      <c r="CJ1436" t="str">
        <f t="shared" si="170"/>
        <v>6431_2018</v>
      </c>
    </row>
    <row r="1437" spans="1:88" x14ac:dyDescent="0.25">
      <c r="A1437" t="s">
        <v>140</v>
      </c>
      <c r="B1437" t="s">
        <v>532</v>
      </c>
      <c r="C1437">
        <v>6433</v>
      </c>
      <c r="D1437">
        <v>-32.528289000000001</v>
      </c>
      <c r="E1437">
        <v>115.746993</v>
      </c>
      <c r="F1437">
        <v>4</v>
      </c>
      <c r="G1437" t="s">
        <v>533</v>
      </c>
      <c r="H1437">
        <v>12</v>
      </c>
      <c r="I1437">
        <v>192</v>
      </c>
      <c r="J1437">
        <v>107</v>
      </c>
      <c r="K1437">
        <v>287</v>
      </c>
      <c r="L1437">
        <v>192</v>
      </c>
      <c r="M1437">
        <v>12</v>
      </c>
      <c r="N1437">
        <v>291</v>
      </c>
      <c r="O1437">
        <v>111</v>
      </c>
      <c r="T1437">
        <v>1</v>
      </c>
      <c r="U1437">
        <v>1</v>
      </c>
      <c r="V1437">
        <v>5</v>
      </c>
      <c r="Y1437">
        <v>1</v>
      </c>
      <c r="Z1437">
        <v>6</v>
      </c>
      <c r="AA1437">
        <v>36</v>
      </c>
      <c r="AD1437">
        <v>2</v>
      </c>
      <c r="AE1437">
        <v>4</v>
      </c>
      <c r="AF1437">
        <v>16</v>
      </c>
      <c r="AI1437">
        <v>13</v>
      </c>
      <c r="AJ1437">
        <v>51</v>
      </c>
      <c r="AK1437">
        <v>3</v>
      </c>
      <c r="AX1437">
        <v>7</v>
      </c>
      <c r="AY1437">
        <v>16</v>
      </c>
      <c r="AZ1437">
        <v>23</v>
      </c>
      <c r="BA1437">
        <v>43</v>
      </c>
      <c r="BB1437">
        <v>56</v>
      </c>
      <c r="BC1437">
        <v>99</v>
      </c>
      <c r="BD1437">
        <v>22</v>
      </c>
      <c r="BE1437">
        <v>10</v>
      </c>
      <c r="BF1437">
        <v>32</v>
      </c>
      <c r="BG1437">
        <v>67</v>
      </c>
      <c r="BH1437">
        <v>57</v>
      </c>
      <c r="BI1437">
        <v>124</v>
      </c>
      <c r="BP1437">
        <v>52</v>
      </c>
      <c r="BR1437">
        <v>81</v>
      </c>
      <c r="BS1437">
        <v>0</v>
      </c>
      <c r="BT1437">
        <v>0</v>
      </c>
      <c r="BV1437">
        <v>6</v>
      </c>
      <c r="BW1437">
        <v>139</v>
      </c>
      <c r="BX1437" t="s">
        <v>82</v>
      </c>
      <c r="BY1437" s="5"/>
      <c r="BZ1437" s="6"/>
      <c r="CA1437" s="7">
        <v>42687</v>
      </c>
      <c r="CE1437">
        <v>41</v>
      </c>
      <c r="CF1437">
        <v>30</v>
      </c>
      <c r="CG1437">
        <v>30</v>
      </c>
      <c r="CH1437">
        <v>38</v>
      </c>
      <c r="CI1437">
        <f t="shared" si="169"/>
        <v>2016</v>
      </c>
      <c r="CJ1437" t="str">
        <f t="shared" si="170"/>
        <v>6433_2016</v>
      </c>
    </row>
    <row r="1438" spans="1:88" x14ac:dyDescent="0.25">
      <c r="A1438" t="s">
        <v>140</v>
      </c>
      <c r="B1438" t="s">
        <v>532</v>
      </c>
      <c r="C1438">
        <v>6434</v>
      </c>
      <c r="D1438">
        <v>-32.527799999999999</v>
      </c>
      <c r="E1438">
        <v>115.744917</v>
      </c>
      <c r="F1438">
        <v>3</v>
      </c>
      <c r="G1438" t="s">
        <v>534</v>
      </c>
      <c r="H1438">
        <v>0</v>
      </c>
      <c r="I1438">
        <v>180</v>
      </c>
      <c r="J1438">
        <v>96</v>
      </c>
      <c r="K1438">
        <v>276</v>
      </c>
      <c r="L1438">
        <v>269</v>
      </c>
      <c r="M1438">
        <v>89</v>
      </c>
      <c r="T1438">
        <v>7</v>
      </c>
      <c r="U1438">
        <v>21</v>
      </c>
      <c r="Y1438">
        <v>0</v>
      </c>
      <c r="Z1438">
        <v>25</v>
      </c>
      <c r="AD1438">
        <v>5</v>
      </c>
      <c r="AE1438">
        <v>13</v>
      </c>
      <c r="AX1438">
        <v>28</v>
      </c>
      <c r="AY1438">
        <v>5</v>
      </c>
      <c r="AZ1438">
        <v>33</v>
      </c>
      <c r="BA1438">
        <v>25</v>
      </c>
      <c r="BB1438">
        <v>20</v>
      </c>
      <c r="BC1438">
        <v>45</v>
      </c>
      <c r="BD1438">
        <v>18</v>
      </c>
      <c r="BE1438">
        <v>46</v>
      </c>
      <c r="BF1438">
        <v>64</v>
      </c>
      <c r="BP1438">
        <v>32</v>
      </c>
      <c r="BR1438">
        <v>32</v>
      </c>
      <c r="BS1438">
        <v>0</v>
      </c>
      <c r="BT1438">
        <v>0</v>
      </c>
      <c r="BV1438">
        <v>7</v>
      </c>
      <c r="BW1438">
        <v>71</v>
      </c>
      <c r="BX1438" t="s">
        <v>82</v>
      </c>
      <c r="BY1438" s="5"/>
      <c r="BZ1438" s="6"/>
      <c r="CA1438" s="7">
        <v>42687</v>
      </c>
      <c r="CE1438">
        <v>27</v>
      </c>
      <c r="CF1438">
        <v>8</v>
      </c>
      <c r="CG1438">
        <v>12</v>
      </c>
      <c r="CH1438">
        <v>24</v>
      </c>
      <c r="CI1438">
        <f t="shared" si="169"/>
        <v>2016</v>
      </c>
      <c r="CJ1438" t="str">
        <f t="shared" si="170"/>
        <v>6434_2016</v>
      </c>
    </row>
    <row r="1439" spans="1:88" x14ac:dyDescent="0.25">
      <c r="A1439" t="s">
        <v>140</v>
      </c>
      <c r="B1439" t="s">
        <v>532</v>
      </c>
      <c r="C1439">
        <v>6435</v>
      </c>
      <c r="D1439">
        <v>-32.537405999999997</v>
      </c>
      <c r="E1439">
        <v>115.74480699999999</v>
      </c>
      <c r="F1439">
        <v>4</v>
      </c>
      <c r="G1439" t="s">
        <v>535</v>
      </c>
      <c r="H1439">
        <v>12</v>
      </c>
      <c r="I1439">
        <v>192</v>
      </c>
      <c r="J1439">
        <v>102</v>
      </c>
      <c r="K1439">
        <v>282</v>
      </c>
      <c r="L1439">
        <v>192</v>
      </c>
      <c r="M1439">
        <v>12</v>
      </c>
      <c r="N1439">
        <v>282</v>
      </c>
      <c r="O1439">
        <v>102</v>
      </c>
      <c r="T1439">
        <v>8</v>
      </c>
      <c r="U1439">
        <v>0</v>
      </c>
      <c r="V1439">
        <v>4</v>
      </c>
      <c r="Y1439">
        <v>0</v>
      </c>
      <c r="Z1439">
        <v>0</v>
      </c>
      <c r="AA1439">
        <v>61</v>
      </c>
      <c r="AD1439">
        <v>4</v>
      </c>
      <c r="AE1439">
        <v>1</v>
      </c>
      <c r="AF1439">
        <v>8</v>
      </c>
      <c r="AI1439">
        <v>4</v>
      </c>
      <c r="AJ1439">
        <v>67</v>
      </c>
      <c r="AK1439">
        <v>4</v>
      </c>
      <c r="AX1439">
        <v>12</v>
      </c>
      <c r="AY1439">
        <v>8</v>
      </c>
      <c r="AZ1439">
        <v>20</v>
      </c>
      <c r="BA1439">
        <v>61</v>
      </c>
      <c r="BB1439">
        <v>76</v>
      </c>
      <c r="BC1439">
        <v>137</v>
      </c>
      <c r="BD1439">
        <v>13</v>
      </c>
      <c r="BE1439">
        <v>4</v>
      </c>
      <c r="BF1439">
        <v>17</v>
      </c>
      <c r="BG1439">
        <v>75</v>
      </c>
      <c r="BH1439">
        <v>73</v>
      </c>
      <c r="BI1439">
        <v>148</v>
      </c>
      <c r="BP1439">
        <v>49</v>
      </c>
      <c r="BR1439">
        <v>101</v>
      </c>
      <c r="BS1439">
        <v>1</v>
      </c>
      <c r="BT1439">
        <v>1</v>
      </c>
      <c r="BV1439">
        <v>9</v>
      </c>
      <c r="BW1439">
        <v>161</v>
      </c>
      <c r="BX1439" t="s">
        <v>82</v>
      </c>
      <c r="BY1439" s="5"/>
      <c r="BZ1439" s="6"/>
      <c r="CA1439" s="7">
        <v>42687</v>
      </c>
      <c r="CE1439">
        <v>32</v>
      </c>
      <c r="CF1439">
        <v>33</v>
      </c>
      <c r="CG1439">
        <v>47</v>
      </c>
      <c r="CH1439">
        <v>49</v>
      </c>
      <c r="CI1439">
        <f t="shared" si="169"/>
        <v>2016</v>
      </c>
      <c r="CJ1439" t="str">
        <f t="shared" si="170"/>
        <v>6435_2016</v>
      </c>
    </row>
    <row r="1440" spans="1:88" x14ac:dyDescent="0.25">
      <c r="A1440" t="s">
        <v>140</v>
      </c>
      <c r="B1440" t="s">
        <v>532</v>
      </c>
      <c r="C1440">
        <v>6436</v>
      </c>
      <c r="D1440">
        <v>-32.534793000000001</v>
      </c>
      <c r="E1440">
        <v>115.721107</v>
      </c>
      <c r="F1440">
        <v>4</v>
      </c>
      <c r="G1440" t="s">
        <v>536</v>
      </c>
      <c r="H1440">
        <v>4</v>
      </c>
      <c r="I1440">
        <v>184</v>
      </c>
      <c r="J1440">
        <v>91</v>
      </c>
      <c r="K1440">
        <v>271</v>
      </c>
      <c r="L1440">
        <v>164</v>
      </c>
      <c r="M1440">
        <v>344</v>
      </c>
      <c r="N1440">
        <v>271</v>
      </c>
      <c r="O1440">
        <v>91</v>
      </c>
      <c r="T1440">
        <v>6</v>
      </c>
      <c r="U1440">
        <v>65</v>
      </c>
      <c r="V1440">
        <v>41</v>
      </c>
      <c r="Y1440">
        <v>3</v>
      </c>
      <c r="Z1440">
        <v>6</v>
      </c>
      <c r="AA1440">
        <v>15</v>
      </c>
      <c r="AD1440">
        <v>59</v>
      </c>
      <c r="AE1440">
        <v>3</v>
      </c>
      <c r="AF1440">
        <v>20</v>
      </c>
      <c r="AI1440">
        <v>40</v>
      </c>
      <c r="AJ1440">
        <v>7</v>
      </c>
      <c r="AK1440">
        <v>13</v>
      </c>
      <c r="AX1440">
        <v>112</v>
      </c>
      <c r="AY1440">
        <v>102</v>
      </c>
      <c r="AZ1440">
        <v>214</v>
      </c>
      <c r="BA1440">
        <v>24</v>
      </c>
      <c r="BB1440">
        <v>16</v>
      </c>
      <c r="BC1440">
        <v>40</v>
      </c>
      <c r="BD1440">
        <v>82</v>
      </c>
      <c r="BE1440">
        <v>84</v>
      </c>
      <c r="BF1440">
        <v>166</v>
      </c>
      <c r="BG1440">
        <v>60</v>
      </c>
      <c r="BH1440">
        <v>76</v>
      </c>
      <c r="BI1440">
        <v>136</v>
      </c>
      <c r="BP1440">
        <v>42</v>
      </c>
      <c r="BR1440">
        <v>234</v>
      </c>
      <c r="BS1440">
        <v>0</v>
      </c>
      <c r="BT1440">
        <v>2</v>
      </c>
      <c r="BV1440">
        <v>0</v>
      </c>
      <c r="BW1440">
        <v>278</v>
      </c>
      <c r="BX1440" t="s">
        <v>82</v>
      </c>
      <c r="BY1440" s="5"/>
      <c r="BZ1440" s="6"/>
      <c r="CA1440" s="7">
        <v>42687</v>
      </c>
      <c r="CE1440">
        <v>75</v>
      </c>
      <c r="CF1440">
        <v>86</v>
      </c>
      <c r="CG1440">
        <v>66</v>
      </c>
      <c r="CH1440">
        <v>51</v>
      </c>
      <c r="CI1440">
        <f t="shared" si="169"/>
        <v>2016</v>
      </c>
      <c r="CJ1440" t="str">
        <f t="shared" si="170"/>
        <v>6436_2016</v>
      </c>
    </row>
    <row r="1441" spans="1:88" x14ac:dyDescent="0.25">
      <c r="A1441" t="s">
        <v>140</v>
      </c>
      <c r="B1441" t="s">
        <v>532</v>
      </c>
      <c r="C1441">
        <v>6437</v>
      </c>
      <c r="D1441">
        <v>-32.534832999999999</v>
      </c>
      <c r="E1441">
        <v>115.71887599999999</v>
      </c>
      <c r="F1441">
        <v>4</v>
      </c>
      <c r="G1441" t="s">
        <v>537</v>
      </c>
      <c r="H1441">
        <v>1</v>
      </c>
      <c r="I1441">
        <v>181</v>
      </c>
      <c r="J1441">
        <v>79</v>
      </c>
      <c r="K1441">
        <v>259</v>
      </c>
      <c r="L1441">
        <v>157</v>
      </c>
      <c r="M1441">
        <v>337</v>
      </c>
      <c r="N1441">
        <v>247</v>
      </c>
      <c r="O1441">
        <v>67</v>
      </c>
      <c r="T1441">
        <v>69</v>
      </c>
      <c r="U1441">
        <v>69</v>
      </c>
      <c r="V1441">
        <v>188</v>
      </c>
      <c r="Y1441">
        <v>90</v>
      </c>
      <c r="Z1441">
        <v>10</v>
      </c>
      <c r="AA1441">
        <v>18</v>
      </c>
      <c r="AD1441">
        <v>74</v>
      </c>
      <c r="AE1441">
        <v>9</v>
      </c>
      <c r="AF1441">
        <v>8</v>
      </c>
      <c r="AI1441">
        <v>217</v>
      </c>
      <c r="AJ1441">
        <v>18</v>
      </c>
      <c r="AK1441">
        <v>5</v>
      </c>
      <c r="AX1441">
        <v>326</v>
      </c>
      <c r="AY1441">
        <v>381</v>
      </c>
      <c r="AZ1441">
        <v>707</v>
      </c>
      <c r="BA1441">
        <v>118</v>
      </c>
      <c r="BB1441">
        <v>96</v>
      </c>
      <c r="BC1441">
        <v>214</v>
      </c>
      <c r="BD1441">
        <v>91</v>
      </c>
      <c r="BE1441">
        <v>84</v>
      </c>
      <c r="BF1441">
        <v>175</v>
      </c>
      <c r="BG1441">
        <v>240</v>
      </c>
      <c r="BH1441">
        <v>214</v>
      </c>
      <c r="BI1441">
        <v>454</v>
      </c>
      <c r="BP1441">
        <v>169</v>
      </c>
      <c r="BR1441">
        <v>526</v>
      </c>
      <c r="BS1441">
        <v>7</v>
      </c>
      <c r="BT1441">
        <v>44</v>
      </c>
      <c r="BV1441">
        <v>29</v>
      </c>
      <c r="BW1441">
        <v>775</v>
      </c>
      <c r="BX1441" t="s">
        <v>82</v>
      </c>
      <c r="BY1441" s="5"/>
      <c r="BZ1441" s="6"/>
      <c r="CA1441" s="7">
        <v>42687</v>
      </c>
      <c r="CE1441">
        <v>217</v>
      </c>
      <c r="CF1441">
        <v>210</v>
      </c>
      <c r="CG1441">
        <v>217</v>
      </c>
      <c r="CH1441">
        <v>131</v>
      </c>
      <c r="CI1441">
        <f t="shared" si="169"/>
        <v>2016</v>
      </c>
      <c r="CJ1441" t="str">
        <f t="shared" si="170"/>
        <v>6437_2016</v>
      </c>
    </row>
    <row r="1442" spans="1:88" x14ac:dyDescent="0.25">
      <c r="A1442" t="s">
        <v>140</v>
      </c>
      <c r="B1442" t="s">
        <v>532</v>
      </c>
      <c r="C1442">
        <v>6438</v>
      </c>
      <c r="D1442">
        <v>-32.526108999999998</v>
      </c>
      <c r="E1442">
        <v>115.722015</v>
      </c>
      <c r="F1442">
        <v>4</v>
      </c>
      <c r="G1442" t="s">
        <v>538</v>
      </c>
      <c r="H1442">
        <v>48</v>
      </c>
      <c r="I1442">
        <v>228</v>
      </c>
      <c r="J1442">
        <v>112</v>
      </c>
      <c r="K1442">
        <v>292</v>
      </c>
      <c r="L1442">
        <v>196</v>
      </c>
      <c r="M1442">
        <v>16</v>
      </c>
      <c r="N1442">
        <v>319</v>
      </c>
      <c r="O1442">
        <v>139</v>
      </c>
      <c r="T1442">
        <v>11</v>
      </c>
      <c r="U1442">
        <v>61</v>
      </c>
      <c r="V1442">
        <v>25</v>
      </c>
      <c r="Y1442">
        <v>8</v>
      </c>
      <c r="Z1442">
        <v>25</v>
      </c>
      <c r="AA1442">
        <v>14</v>
      </c>
      <c r="AD1442">
        <v>35</v>
      </c>
      <c r="AE1442">
        <v>26</v>
      </c>
      <c r="AF1442">
        <v>39</v>
      </c>
      <c r="AI1442">
        <v>29</v>
      </c>
      <c r="AJ1442">
        <v>1</v>
      </c>
      <c r="AK1442">
        <v>27</v>
      </c>
      <c r="AX1442">
        <v>97</v>
      </c>
      <c r="AY1442">
        <v>72</v>
      </c>
      <c r="AZ1442">
        <v>169</v>
      </c>
      <c r="BA1442">
        <v>47</v>
      </c>
      <c r="BB1442">
        <v>38</v>
      </c>
      <c r="BC1442">
        <v>85</v>
      </c>
      <c r="BD1442">
        <v>100</v>
      </c>
      <c r="BE1442">
        <v>113</v>
      </c>
      <c r="BF1442">
        <v>213</v>
      </c>
      <c r="BG1442">
        <v>57</v>
      </c>
      <c r="BH1442">
        <v>78</v>
      </c>
      <c r="BI1442">
        <v>135</v>
      </c>
      <c r="BP1442">
        <v>65</v>
      </c>
      <c r="BR1442">
        <v>208</v>
      </c>
      <c r="BS1442">
        <v>2</v>
      </c>
      <c r="BT1442">
        <v>5</v>
      </c>
      <c r="BV1442">
        <v>21</v>
      </c>
      <c r="BW1442">
        <v>301</v>
      </c>
      <c r="BX1442" t="s">
        <v>82</v>
      </c>
      <c r="BY1442" s="5"/>
      <c r="BZ1442" s="6"/>
      <c r="CA1442" s="7">
        <v>42687</v>
      </c>
      <c r="CE1442">
        <v>83</v>
      </c>
      <c r="CF1442">
        <v>87</v>
      </c>
      <c r="CG1442">
        <v>79</v>
      </c>
      <c r="CH1442">
        <v>52</v>
      </c>
      <c r="CI1442">
        <f t="shared" si="169"/>
        <v>2016</v>
      </c>
      <c r="CJ1442" t="str">
        <f t="shared" si="170"/>
        <v>6438_2016</v>
      </c>
    </row>
    <row r="1443" spans="1:88" x14ac:dyDescent="0.25">
      <c r="A1443" t="s">
        <v>140</v>
      </c>
      <c r="B1443" t="s">
        <v>532</v>
      </c>
      <c r="C1443">
        <v>6439</v>
      </c>
      <c r="D1443">
        <v>-32.527309000000002</v>
      </c>
      <c r="E1443">
        <v>115.732542</v>
      </c>
      <c r="F1443">
        <v>4</v>
      </c>
      <c r="G1443" t="s">
        <v>539</v>
      </c>
      <c r="H1443">
        <v>0</v>
      </c>
      <c r="I1443">
        <v>180</v>
      </c>
      <c r="J1443">
        <v>64</v>
      </c>
      <c r="K1443">
        <v>244</v>
      </c>
      <c r="L1443">
        <v>180</v>
      </c>
      <c r="M1443">
        <v>360</v>
      </c>
      <c r="N1443">
        <v>244</v>
      </c>
      <c r="O1443">
        <v>64</v>
      </c>
      <c r="T1443">
        <v>3</v>
      </c>
      <c r="U1443">
        <v>5</v>
      </c>
      <c r="V1443">
        <v>1</v>
      </c>
      <c r="Y1443">
        <v>6</v>
      </c>
      <c r="Z1443">
        <v>2</v>
      </c>
      <c r="AA1443">
        <v>2</v>
      </c>
      <c r="AD1443">
        <v>8</v>
      </c>
      <c r="AE1443">
        <v>5</v>
      </c>
      <c r="AF1443">
        <v>5</v>
      </c>
      <c r="AI1443">
        <v>2</v>
      </c>
      <c r="AJ1443">
        <v>1</v>
      </c>
      <c r="AK1443">
        <v>6</v>
      </c>
      <c r="AX1443">
        <v>9</v>
      </c>
      <c r="AY1443">
        <v>16</v>
      </c>
      <c r="AZ1443">
        <v>25</v>
      </c>
      <c r="BA1443">
        <v>10</v>
      </c>
      <c r="BB1443">
        <v>9</v>
      </c>
      <c r="BC1443">
        <v>19</v>
      </c>
      <c r="BD1443">
        <v>18</v>
      </c>
      <c r="BE1443">
        <v>13</v>
      </c>
      <c r="BF1443">
        <v>31</v>
      </c>
      <c r="BG1443">
        <v>9</v>
      </c>
      <c r="BH1443">
        <v>8</v>
      </c>
      <c r="BI1443">
        <v>17</v>
      </c>
      <c r="BP1443">
        <v>15</v>
      </c>
      <c r="BR1443">
        <v>27</v>
      </c>
      <c r="BS1443">
        <v>0</v>
      </c>
      <c r="BT1443">
        <v>1</v>
      </c>
      <c r="BV1443">
        <v>3</v>
      </c>
      <c r="BW1443">
        <v>46</v>
      </c>
      <c r="BX1443" t="s">
        <v>82</v>
      </c>
      <c r="BY1443" s="5"/>
      <c r="BZ1443" s="6"/>
      <c r="CA1443" s="7">
        <v>42715</v>
      </c>
      <c r="CE1443">
        <v>14</v>
      </c>
      <c r="CF1443">
        <v>15</v>
      </c>
      <c r="CG1443">
        <v>13</v>
      </c>
      <c r="CH1443">
        <v>4</v>
      </c>
      <c r="CI1443">
        <f t="shared" si="169"/>
        <v>2016</v>
      </c>
      <c r="CJ1443" t="str">
        <f t="shared" si="170"/>
        <v>6439_2016</v>
      </c>
    </row>
    <row r="1444" spans="1:88" x14ac:dyDescent="0.25">
      <c r="A1444" t="s">
        <v>140</v>
      </c>
      <c r="B1444" t="s">
        <v>532</v>
      </c>
      <c r="C1444">
        <v>6440</v>
      </c>
      <c r="D1444">
        <v>-32.536329000000002</v>
      </c>
      <c r="E1444">
        <v>115.738505</v>
      </c>
      <c r="F1444">
        <v>4</v>
      </c>
      <c r="G1444" t="s">
        <v>540</v>
      </c>
      <c r="H1444">
        <v>11</v>
      </c>
      <c r="I1444">
        <v>191</v>
      </c>
      <c r="J1444">
        <v>100</v>
      </c>
      <c r="K1444">
        <v>280</v>
      </c>
      <c r="L1444">
        <v>187</v>
      </c>
      <c r="M1444">
        <v>7</v>
      </c>
      <c r="N1444">
        <v>280</v>
      </c>
      <c r="O1444">
        <v>100</v>
      </c>
      <c r="T1444">
        <v>39</v>
      </c>
      <c r="U1444">
        <v>4</v>
      </c>
      <c r="V1444">
        <v>15</v>
      </c>
      <c r="Y1444">
        <v>35</v>
      </c>
      <c r="Z1444">
        <v>9</v>
      </c>
      <c r="AA1444">
        <v>24</v>
      </c>
      <c r="AD1444">
        <v>8</v>
      </c>
      <c r="AE1444">
        <v>14</v>
      </c>
      <c r="AF1444">
        <v>1</v>
      </c>
      <c r="AI1444">
        <v>3</v>
      </c>
      <c r="AJ1444">
        <v>40</v>
      </c>
      <c r="AK1444">
        <v>3</v>
      </c>
      <c r="AX1444">
        <v>58</v>
      </c>
      <c r="AY1444">
        <v>46</v>
      </c>
      <c r="AZ1444">
        <v>104</v>
      </c>
      <c r="BA1444">
        <v>68</v>
      </c>
      <c r="BB1444">
        <v>93</v>
      </c>
      <c r="BC1444">
        <v>161</v>
      </c>
      <c r="BD1444">
        <v>23</v>
      </c>
      <c r="BE1444">
        <v>16</v>
      </c>
      <c r="BF1444">
        <v>39</v>
      </c>
      <c r="BG1444">
        <v>46</v>
      </c>
      <c r="BH1444">
        <v>40</v>
      </c>
      <c r="BI1444">
        <v>86</v>
      </c>
      <c r="BP1444">
        <v>27</v>
      </c>
      <c r="BR1444">
        <v>149</v>
      </c>
      <c r="BS1444">
        <v>0</v>
      </c>
      <c r="BT1444">
        <v>2</v>
      </c>
      <c r="BV1444">
        <v>17</v>
      </c>
      <c r="BW1444">
        <v>195</v>
      </c>
      <c r="BX1444" t="s">
        <v>82</v>
      </c>
      <c r="BY1444" s="5"/>
      <c r="BZ1444" s="6"/>
      <c r="CA1444" s="7">
        <v>42687</v>
      </c>
      <c r="CE1444">
        <v>27</v>
      </c>
      <c r="CF1444">
        <v>45</v>
      </c>
      <c r="CG1444">
        <v>60</v>
      </c>
      <c r="CH1444">
        <v>63</v>
      </c>
      <c r="CI1444">
        <f t="shared" si="169"/>
        <v>2016</v>
      </c>
      <c r="CJ1444" t="str">
        <f t="shared" si="170"/>
        <v>6440_2016</v>
      </c>
    </row>
    <row r="1445" spans="1:88" x14ac:dyDescent="0.25">
      <c r="A1445" t="s">
        <v>140</v>
      </c>
      <c r="B1445" t="s">
        <v>532</v>
      </c>
      <c r="C1445">
        <v>6441</v>
      </c>
      <c r="D1445">
        <v>-32.535359999999997</v>
      </c>
      <c r="E1445">
        <v>115.73252599999999</v>
      </c>
      <c r="F1445">
        <v>4</v>
      </c>
      <c r="G1445" t="s">
        <v>541</v>
      </c>
      <c r="H1445">
        <v>0</v>
      </c>
      <c r="I1445">
        <v>180</v>
      </c>
      <c r="J1445">
        <v>98</v>
      </c>
      <c r="K1445">
        <v>278</v>
      </c>
      <c r="L1445">
        <v>180</v>
      </c>
      <c r="M1445">
        <v>360</v>
      </c>
      <c r="N1445">
        <v>278</v>
      </c>
      <c r="O1445">
        <v>98</v>
      </c>
      <c r="T1445">
        <v>1</v>
      </c>
      <c r="U1445">
        <v>4</v>
      </c>
      <c r="V1445">
        <v>2</v>
      </c>
      <c r="Y1445">
        <v>1</v>
      </c>
      <c r="Z1445">
        <v>7</v>
      </c>
      <c r="AA1445">
        <v>7</v>
      </c>
      <c r="AD1445">
        <v>3</v>
      </c>
      <c r="AE1445">
        <v>4</v>
      </c>
      <c r="AF1445">
        <v>2</v>
      </c>
      <c r="AI1445">
        <v>0</v>
      </c>
      <c r="AJ1445">
        <v>7</v>
      </c>
      <c r="AK1445">
        <v>1</v>
      </c>
      <c r="AX1445">
        <v>7</v>
      </c>
      <c r="AY1445">
        <v>4</v>
      </c>
      <c r="AZ1445">
        <v>11</v>
      </c>
      <c r="BA1445">
        <v>15</v>
      </c>
      <c r="BB1445">
        <v>12</v>
      </c>
      <c r="BC1445">
        <v>27</v>
      </c>
      <c r="BD1445">
        <v>9</v>
      </c>
      <c r="BE1445">
        <v>12</v>
      </c>
      <c r="BF1445">
        <v>21</v>
      </c>
      <c r="BG1445">
        <v>8</v>
      </c>
      <c r="BH1445">
        <v>11</v>
      </c>
      <c r="BI1445">
        <v>19</v>
      </c>
      <c r="BP1445">
        <v>13</v>
      </c>
      <c r="BR1445">
        <v>23</v>
      </c>
      <c r="BS1445">
        <v>0</v>
      </c>
      <c r="BT1445">
        <v>1</v>
      </c>
      <c r="BV1445">
        <v>2</v>
      </c>
      <c r="BW1445">
        <v>39</v>
      </c>
      <c r="BX1445" t="s">
        <v>82</v>
      </c>
      <c r="BY1445" s="5"/>
      <c r="BZ1445" s="6"/>
      <c r="CA1445" s="7">
        <v>42687</v>
      </c>
      <c r="CE1445">
        <v>14</v>
      </c>
      <c r="CF1445">
        <v>7</v>
      </c>
      <c r="CG1445">
        <v>13</v>
      </c>
      <c r="CH1445">
        <v>5</v>
      </c>
      <c r="CI1445">
        <f t="shared" si="169"/>
        <v>2016</v>
      </c>
      <c r="CJ1445" t="str">
        <f t="shared" si="170"/>
        <v>6441_2016</v>
      </c>
    </row>
    <row r="1446" spans="1:88" x14ac:dyDescent="0.25">
      <c r="A1446" t="s">
        <v>140</v>
      </c>
      <c r="B1446" t="s">
        <v>532</v>
      </c>
      <c r="C1446">
        <v>6442</v>
      </c>
      <c r="D1446">
        <v>-32.507466000000001</v>
      </c>
      <c r="E1446">
        <v>115.741112</v>
      </c>
      <c r="F1446">
        <v>3</v>
      </c>
      <c r="G1446" t="s">
        <v>542</v>
      </c>
      <c r="H1446">
        <v>176</v>
      </c>
      <c r="I1446">
        <v>356</v>
      </c>
      <c r="J1446">
        <v>258</v>
      </c>
      <c r="K1446">
        <v>78</v>
      </c>
      <c r="L1446">
        <v>358</v>
      </c>
      <c r="M1446">
        <v>178</v>
      </c>
      <c r="T1446">
        <v>0</v>
      </c>
      <c r="U1446">
        <v>2</v>
      </c>
      <c r="Y1446">
        <v>9</v>
      </c>
      <c r="Z1446">
        <v>2</v>
      </c>
      <c r="AD1446">
        <v>3</v>
      </c>
      <c r="AE1446">
        <v>2</v>
      </c>
      <c r="AX1446">
        <v>2</v>
      </c>
      <c r="AY1446">
        <v>12</v>
      </c>
      <c r="AZ1446">
        <v>14</v>
      </c>
      <c r="BA1446">
        <v>11</v>
      </c>
      <c r="BB1446">
        <v>2</v>
      </c>
      <c r="BC1446">
        <v>13</v>
      </c>
      <c r="BD1446">
        <v>5</v>
      </c>
      <c r="BE1446">
        <v>4</v>
      </c>
      <c r="BF1446">
        <v>9</v>
      </c>
      <c r="BP1446">
        <v>14</v>
      </c>
      <c r="BR1446">
        <v>3</v>
      </c>
      <c r="BS1446">
        <v>0</v>
      </c>
      <c r="BT1446">
        <v>1</v>
      </c>
      <c r="BV1446">
        <v>0</v>
      </c>
      <c r="BW1446">
        <v>18</v>
      </c>
      <c r="BX1446" t="s">
        <v>82</v>
      </c>
      <c r="BY1446" s="5"/>
      <c r="BZ1446" s="6"/>
      <c r="CA1446" s="7">
        <v>42687</v>
      </c>
      <c r="CE1446">
        <v>12</v>
      </c>
      <c r="CF1446">
        <v>6</v>
      </c>
      <c r="CG1446">
        <v>0</v>
      </c>
      <c r="CH1446">
        <v>0</v>
      </c>
      <c r="CI1446">
        <f t="shared" si="169"/>
        <v>2016</v>
      </c>
      <c r="CJ1446" t="str">
        <f t="shared" si="170"/>
        <v>6442_2016</v>
      </c>
    </row>
    <row r="1447" spans="1:88" x14ac:dyDescent="0.25">
      <c r="A1447" t="s">
        <v>140</v>
      </c>
      <c r="B1447" t="s">
        <v>532</v>
      </c>
      <c r="C1447">
        <v>6443</v>
      </c>
      <c r="D1447">
        <v>-32.519981999999999</v>
      </c>
      <c r="E1447">
        <v>115.730705</v>
      </c>
      <c r="F1447">
        <v>4</v>
      </c>
      <c r="G1447" t="s">
        <v>543</v>
      </c>
      <c r="H1447">
        <v>43</v>
      </c>
      <c r="I1447">
        <v>223</v>
      </c>
      <c r="J1447">
        <v>133</v>
      </c>
      <c r="K1447">
        <v>313</v>
      </c>
      <c r="L1447">
        <v>223</v>
      </c>
      <c r="M1447">
        <v>43</v>
      </c>
      <c r="N1447">
        <v>309</v>
      </c>
      <c r="O1447">
        <v>129</v>
      </c>
      <c r="T1447">
        <v>2</v>
      </c>
      <c r="U1447">
        <v>15</v>
      </c>
      <c r="V1447">
        <v>5</v>
      </c>
      <c r="Y1447">
        <v>10</v>
      </c>
      <c r="Z1447">
        <v>0</v>
      </c>
      <c r="AA1447">
        <v>20</v>
      </c>
      <c r="AD1447">
        <v>13</v>
      </c>
      <c r="AE1447">
        <v>0</v>
      </c>
      <c r="AF1447">
        <v>0</v>
      </c>
      <c r="AI1447">
        <v>8</v>
      </c>
      <c r="AJ1447">
        <v>23</v>
      </c>
      <c r="AK1447">
        <v>3</v>
      </c>
      <c r="AX1447">
        <v>22</v>
      </c>
      <c r="AY1447">
        <v>31</v>
      </c>
      <c r="AZ1447">
        <v>53</v>
      </c>
      <c r="BA1447">
        <v>30</v>
      </c>
      <c r="BB1447">
        <v>25</v>
      </c>
      <c r="BC1447">
        <v>55</v>
      </c>
      <c r="BD1447">
        <v>13</v>
      </c>
      <c r="BE1447">
        <v>18</v>
      </c>
      <c r="BF1447">
        <v>31</v>
      </c>
      <c r="BG1447">
        <v>34</v>
      </c>
      <c r="BH1447">
        <v>25</v>
      </c>
      <c r="BI1447">
        <v>59</v>
      </c>
      <c r="BP1447">
        <v>36</v>
      </c>
      <c r="BR1447">
        <v>61</v>
      </c>
      <c r="BS1447">
        <v>0</v>
      </c>
      <c r="BT1447">
        <v>2</v>
      </c>
      <c r="BV1447">
        <v>0</v>
      </c>
      <c r="BW1447">
        <v>99</v>
      </c>
      <c r="BX1447" t="s">
        <v>82</v>
      </c>
      <c r="BY1447" s="5"/>
      <c r="BZ1447" s="6"/>
      <c r="CA1447" s="7">
        <v>42687</v>
      </c>
      <c r="CE1447">
        <v>19</v>
      </c>
      <c r="CF1447">
        <v>24</v>
      </c>
      <c r="CG1447">
        <v>17</v>
      </c>
      <c r="CH1447">
        <v>39</v>
      </c>
      <c r="CI1447">
        <f t="shared" si="169"/>
        <v>2016</v>
      </c>
      <c r="CJ1447" t="str">
        <f t="shared" si="170"/>
        <v>6443_2016</v>
      </c>
    </row>
    <row r="1448" spans="1:88" x14ac:dyDescent="0.25">
      <c r="A1448" t="s">
        <v>140</v>
      </c>
      <c r="B1448" t="s">
        <v>532</v>
      </c>
      <c r="C1448">
        <v>6444</v>
      </c>
      <c r="D1448">
        <v>-32.546511000000002</v>
      </c>
      <c r="E1448">
        <v>115.73877400000001</v>
      </c>
      <c r="F1448">
        <v>3</v>
      </c>
      <c r="G1448" t="s">
        <v>544</v>
      </c>
      <c r="H1448">
        <v>48</v>
      </c>
      <c r="I1448">
        <v>228</v>
      </c>
      <c r="J1448">
        <v>141</v>
      </c>
      <c r="K1448">
        <v>321</v>
      </c>
      <c r="L1448">
        <v>233</v>
      </c>
      <c r="M1448">
        <v>53</v>
      </c>
      <c r="T1448">
        <v>0</v>
      </c>
      <c r="U1448">
        <v>14</v>
      </c>
      <c r="Y1448">
        <v>0</v>
      </c>
      <c r="Z1448">
        <v>0</v>
      </c>
      <c r="AD1448">
        <v>11</v>
      </c>
      <c r="AE1448">
        <v>0</v>
      </c>
      <c r="AX1448">
        <v>14</v>
      </c>
      <c r="AY1448">
        <v>11</v>
      </c>
      <c r="AZ1448">
        <v>25</v>
      </c>
      <c r="BA1448">
        <v>0</v>
      </c>
      <c r="BB1448">
        <v>0</v>
      </c>
      <c r="BC1448">
        <v>0</v>
      </c>
      <c r="BD1448">
        <v>11</v>
      </c>
      <c r="BE1448">
        <v>14</v>
      </c>
      <c r="BF1448">
        <v>25</v>
      </c>
      <c r="BP1448">
        <v>9</v>
      </c>
      <c r="BR1448">
        <v>8</v>
      </c>
      <c r="BS1448">
        <v>0</v>
      </c>
      <c r="BT1448">
        <v>7</v>
      </c>
      <c r="BV1448">
        <v>1</v>
      </c>
      <c r="BW1448">
        <v>25</v>
      </c>
      <c r="BX1448" t="s">
        <v>82</v>
      </c>
      <c r="BY1448" s="5"/>
      <c r="BZ1448" s="6"/>
      <c r="CA1448" s="7">
        <v>42687</v>
      </c>
      <c r="CE1448">
        <v>19</v>
      </c>
      <c r="CF1448">
        <v>6</v>
      </c>
      <c r="CG1448">
        <v>0</v>
      </c>
      <c r="CH1448">
        <v>0</v>
      </c>
      <c r="CI1448">
        <f t="shared" si="169"/>
        <v>2016</v>
      </c>
      <c r="CJ1448" t="str">
        <f t="shared" si="170"/>
        <v>6444_2016</v>
      </c>
    </row>
    <row r="1449" spans="1:88" x14ac:dyDescent="0.25">
      <c r="A1449" t="s">
        <v>140</v>
      </c>
      <c r="B1449" t="s">
        <v>532</v>
      </c>
      <c r="C1449">
        <v>6445</v>
      </c>
      <c r="D1449">
        <v>-32.548223999999998</v>
      </c>
      <c r="E1449">
        <v>115.75019500000001</v>
      </c>
      <c r="F1449">
        <v>4</v>
      </c>
      <c r="G1449" t="s">
        <v>545</v>
      </c>
      <c r="H1449">
        <v>31</v>
      </c>
      <c r="I1449">
        <v>211</v>
      </c>
      <c r="J1449">
        <v>119</v>
      </c>
      <c r="K1449">
        <v>299</v>
      </c>
      <c r="L1449">
        <v>212</v>
      </c>
      <c r="M1449">
        <v>32</v>
      </c>
      <c r="N1449">
        <v>303</v>
      </c>
      <c r="O1449">
        <v>123</v>
      </c>
      <c r="T1449">
        <v>0</v>
      </c>
      <c r="U1449">
        <v>21</v>
      </c>
      <c r="V1449">
        <v>1</v>
      </c>
      <c r="Y1449">
        <v>0</v>
      </c>
      <c r="Z1449">
        <v>1</v>
      </c>
      <c r="AA1449">
        <v>2</v>
      </c>
      <c r="AD1449">
        <v>12</v>
      </c>
      <c r="AE1449">
        <v>0</v>
      </c>
      <c r="AF1449">
        <v>0</v>
      </c>
      <c r="AI1449">
        <v>5</v>
      </c>
      <c r="AJ1449">
        <v>1</v>
      </c>
      <c r="AK1449">
        <v>0</v>
      </c>
      <c r="AX1449">
        <v>22</v>
      </c>
      <c r="AY1449">
        <v>17</v>
      </c>
      <c r="AZ1449">
        <v>39</v>
      </c>
      <c r="BA1449">
        <v>3</v>
      </c>
      <c r="BB1449">
        <v>1</v>
      </c>
      <c r="BC1449">
        <v>4</v>
      </c>
      <c r="BD1449">
        <v>12</v>
      </c>
      <c r="BE1449">
        <v>22</v>
      </c>
      <c r="BF1449">
        <v>34</v>
      </c>
      <c r="BG1449">
        <v>6</v>
      </c>
      <c r="BH1449">
        <v>3</v>
      </c>
      <c r="BI1449">
        <v>9</v>
      </c>
      <c r="BP1449">
        <v>19</v>
      </c>
      <c r="BR1449">
        <v>16</v>
      </c>
      <c r="BS1449">
        <v>0</v>
      </c>
      <c r="BT1449">
        <v>3</v>
      </c>
      <c r="BV1449">
        <v>5</v>
      </c>
      <c r="BW1449">
        <v>43</v>
      </c>
      <c r="BX1449" t="s">
        <v>82</v>
      </c>
      <c r="BY1449" s="5"/>
      <c r="BZ1449" s="6"/>
      <c r="CA1449" s="7">
        <v>42687</v>
      </c>
      <c r="CE1449">
        <v>12</v>
      </c>
      <c r="CF1449">
        <v>11</v>
      </c>
      <c r="CG1449">
        <v>9</v>
      </c>
      <c r="CH1449">
        <v>11</v>
      </c>
      <c r="CI1449">
        <f t="shared" si="169"/>
        <v>2016</v>
      </c>
      <c r="CJ1449" t="str">
        <f t="shared" si="170"/>
        <v>6445_2016</v>
      </c>
    </row>
    <row r="1450" spans="1:88" x14ac:dyDescent="0.25">
      <c r="A1450" t="s">
        <v>140</v>
      </c>
      <c r="B1450" t="s">
        <v>532</v>
      </c>
      <c r="C1450">
        <v>6446</v>
      </c>
      <c r="D1450">
        <v>-32.539520000000003</v>
      </c>
      <c r="E1450">
        <v>115.756592</v>
      </c>
      <c r="F1450">
        <v>4</v>
      </c>
      <c r="G1450" t="s">
        <v>546</v>
      </c>
      <c r="H1450">
        <v>33</v>
      </c>
      <c r="I1450">
        <v>213</v>
      </c>
      <c r="J1450">
        <v>97</v>
      </c>
      <c r="K1450">
        <v>277</v>
      </c>
      <c r="L1450">
        <v>214</v>
      </c>
      <c r="M1450">
        <v>34</v>
      </c>
      <c r="N1450">
        <v>281</v>
      </c>
      <c r="O1450">
        <v>101</v>
      </c>
      <c r="T1450">
        <v>37</v>
      </c>
      <c r="U1450">
        <v>0</v>
      </c>
      <c r="V1450">
        <v>0</v>
      </c>
      <c r="Y1450">
        <v>0</v>
      </c>
      <c r="Z1450">
        <v>0</v>
      </c>
      <c r="AA1450">
        <v>0</v>
      </c>
      <c r="AD1450">
        <v>0</v>
      </c>
      <c r="AE1450">
        <v>0</v>
      </c>
      <c r="AF1450">
        <v>0</v>
      </c>
      <c r="AI1450">
        <v>0</v>
      </c>
      <c r="AJ1450">
        <v>0</v>
      </c>
      <c r="AK1450">
        <v>0</v>
      </c>
      <c r="AX1450">
        <v>37</v>
      </c>
      <c r="AY1450">
        <v>0</v>
      </c>
      <c r="AZ1450">
        <v>37</v>
      </c>
      <c r="BA1450">
        <v>0</v>
      </c>
      <c r="BB1450">
        <v>37</v>
      </c>
      <c r="BC1450">
        <v>37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P1450">
        <v>12</v>
      </c>
      <c r="BR1450">
        <v>19</v>
      </c>
      <c r="BS1450">
        <v>0</v>
      </c>
      <c r="BT1450">
        <v>5</v>
      </c>
      <c r="BV1450">
        <v>1</v>
      </c>
      <c r="BW1450">
        <v>37</v>
      </c>
      <c r="BX1450" t="s">
        <v>82</v>
      </c>
      <c r="BY1450" s="5"/>
      <c r="BZ1450" s="6"/>
      <c r="CA1450" s="7">
        <v>42687</v>
      </c>
      <c r="CE1450">
        <v>16</v>
      </c>
      <c r="CF1450">
        <v>4</v>
      </c>
      <c r="CG1450">
        <v>11</v>
      </c>
      <c r="CH1450">
        <v>6</v>
      </c>
      <c r="CI1450">
        <f t="shared" si="169"/>
        <v>2016</v>
      </c>
      <c r="CJ1450" t="str">
        <f t="shared" si="170"/>
        <v>6446_2016</v>
      </c>
    </row>
    <row r="1451" spans="1:88" x14ac:dyDescent="0.25">
      <c r="A1451" t="s">
        <v>140</v>
      </c>
      <c r="B1451" t="s">
        <v>532</v>
      </c>
      <c r="C1451">
        <v>6447</v>
      </c>
      <c r="D1451">
        <v>-32.510908000000001</v>
      </c>
      <c r="E1451">
        <v>115.747604</v>
      </c>
      <c r="F1451">
        <v>3</v>
      </c>
      <c r="G1451" t="s">
        <v>547</v>
      </c>
      <c r="H1451">
        <v>0</v>
      </c>
      <c r="I1451">
        <v>180</v>
      </c>
      <c r="J1451">
        <v>91</v>
      </c>
      <c r="K1451">
        <v>271</v>
      </c>
      <c r="L1451">
        <v>269</v>
      </c>
      <c r="M1451">
        <v>89</v>
      </c>
      <c r="T1451">
        <v>3</v>
      </c>
      <c r="U1451">
        <v>1</v>
      </c>
      <c r="Y1451">
        <v>4</v>
      </c>
      <c r="Z1451">
        <v>6</v>
      </c>
      <c r="AD1451">
        <v>1</v>
      </c>
      <c r="AE1451">
        <v>8</v>
      </c>
      <c r="AX1451">
        <v>4</v>
      </c>
      <c r="AY1451">
        <v>5</v>
      </c>
      <c r="AZ1451">
        <v>9</v>
      </c>
      <c r="BA1451">
        <v>10</v>
      </c>
      <c r="BB1451">
        <v>11</v>
      </c>
      <c r="BC1451">
        <v>21</v>
      </c>
      <c r="BD1451">
        <v>9</v>
      </c>
      <c r="BE1451">
        <v>7</v>
      </c>
      <c r="BF1451">
        <v>16</v>
      </c>
      <c r="BP1451">
        <v>19</v>
      </c>
      <c r="BR1451">
        <v>1</v>
      </c>
      <c r="BS1451">
        <v>1</v>
      </c>
      <c r="BT1451">
        <v>2</v>
      </c>
      <c r="BV1451">
        <v>0</v>
      </c>
      <c r="BW1451">
        <v>23</v>
      </c>
      <c r="BX1451" t="s">
        <v>82</v>
      </c>
      <c r="BY1451" s="5"/>
      <c r="BZ1451" s="6"/>
      <c r="CA1451" s="7">
        <v>42687</v>
      </c>
      <c r="CE1451">
        <v>9</v>
      </c>
      <c r="CF1451">
        <v>4</v>
      </c>
      <c r="CG1451">
        <v>4</v>
      </c>
      <c r="CH1451">
        <v>6</v>
      </c>
      <c r="CI1451">
        <f t="shared" si="169"/>
        <v>2016</v>
      </c>
      <c r="CJ1451" t="str">
        <f t="shared" si="170"/>
        <v>6447_2016</v>
      </c>
    </row>
    <row r="1452" spans="1:88" x14ac:dyDescent="0.25">
      <c r="A1452" t="s">
        <v>140</v>
      </c>
      <c r="B1452" t="s">
        <v>532</v>
      </c>
      <c r="C1452">
        <v>6448</v>
      </c>
      <c r="D1452">
        <v>-32.531872999999997</v>
      </c>
      <c r="E1452">
        <v>115.76223299999999</v>
      </c>
      <c r="F1452">
        <v>3</v>
      </c>
      <c r="G1452" t="s">
        <v>548</v>
      </c>
      <c r="H1452">
        <v>31</v>
      </c>
      <c r="I1452">
        <v>211</v>
      </c>
      <c r="J1452">
        <v>212</v>
      </c>
      <c r="K1452">
        <v>32</v>
      </c>
      <c r="L1452">
        <v>302</v>
      </c>
      <c r="M1452">
        <v>122</v>
      </c>
      <c r="T1452">
        <v>12</v>
      </c>
      <c r="U1452">
        <v>7</v>
      </c>
      <c r="Y1452">
        <v>10</v>
      </c>
      <c r="Z1452">
        <v>5</v>
      </c>
      <c r="AD1452">
        <v>1</v>
      </c>
      <c r="AE1452">
        <v>4</v>
      </c>
      <c r="AX1452">
        <v>19</v>
      </c>
      <c r="AY1452">
        <v>11</v>
      </c>
      <c r="AZ1452">
        <v>30</v>
      </c>
      <c r="BA1452">
        <v>15</v>
      </c>
      <c r="BB1452">
        <v>16</v>
      </c>
      <c r="BC1452">
        <v>31</v>
      </c>
      <c r="BD1452">
        <v>5</v>
      </c>
      <c r="BE1452">
        <v>12</v>
      </c>
      <c r="BF1452">
        <v>17</v>
      </c>
      <c r="BP1452">
        <v>18</v>
      </c>
      <c r="BR1452">
        <v>16</v>
      </c>
      <c r="BS1452">
        <v>0</v>
      </c>
      <c r="BT1452">
        <v>2</v>
      </c>
      <c r="BV1452">
        <v>3</v>
      </c>
      <c r="BW1452">
        <v>39</v>
      </c>
      <c r="BX1452" t="s">
        <v>82</v>
      </c>
      <c r="BY1452" s="5"/>
      <c r="BZ1452" s="6"/>
      <c r="CA1452" s="7">
        <v>42715</v>
      </c>
      <c r="CE1452">
        <v>13</v>
      </c>
      <c r="CF1452">
        <v>13</v>
      </c>
      <c r="CG1452">
        <v>4</v>
      </c>
      <c r="CH1452">
        <v>9</v>
      </c>
      <c r="CI1452">
        <f t="shared" si="169"/>
        <v>2016</v>
      </c>
      <c r="CJ1452" t="str">
        <f t="shared" si="170"/>
        <v>6448_2016</v>
      </c>
    </row>
    <row r="1453" spans="1:88" x14ac:dyDescent="0.25">
      <c r="A1453" t="s">
        <v>140</v>
      </c>
      <c r="B1453" t="s">
        <v>532</v>
      </c>
      <c r="C1453">
        <v>6449</v>
      </c>
      <c r="D1453">
        <v>-32.511277999999997</v>
      </c>
      <c r="E1453">
        <v>115.742527</v>
      </c>
      <c r="F1453">
        <v>4</v>
      </c>
      <c r="G1453" t="s">
        <v>549</v>
      </c>
      <c r="H1453">
        <v>65</v>
      </c>
      <c r="I1453">
        <v>245</v>
      </c>
      <c r="J1453">
        <v>145</v>
      </c>
      <c r="K1453">
        <v>325</v>
      </c>
      <c r="L1453">
        <v>247</v>
      </c>
      <c r="M1453">
        <v>67</v>
      </c>
      <c r="N1453">
        <v>330</v>
      </c>
      <c r="O1453">
        <v>150</v>
      </c>
      <c r="T1453">
        <v>0</v>
      </c>
      <c r="U1453">
        <v>6</v>
      </c>
      <c r="V1453">
        <v>1</v>
      </c>
      <c r="Y1453">
        <v>1</v>
      </c>
      <c r="Z1453">
        <v>3</v>
      </c>
      <c r="AA1453">
        <v>1</v>
      </c>
      <c r="AD1453">
        <v>14</v>
      </c>
      <c r="AE1453">
        <v>0</v>
      </c>
      <c r="AF1453">
        <v>1</v>
      </c>
      <c r="AI1453">
        <v>1</v>
      </c>
      <c r="AJ1453">
        <v>1</v>
      </c>
      <c r="AK1453">
        <v>2</v>
      </c>
      <c r="AX1453">
        <v>7</v>
      </c>
      <c r="AY1453">
        <v>16</v>
      </c>
      <c r="AZ1453">
        <v>23</v>
      </c>
      <c r="BA1453">
        <v>5</v>
      </c>
      <c r="BB1453">
        <v>1</v>
      </c>
      <c r="BC1453">
        <v>6</v>
      </c>
      <c r="BD1453">
        <v>15</v>
      </c>
      <c r="BE1453">
        <v>11</v>
      </c>
      <c r="BF1453">
        <v>26</v>
      </c>
      <c r="BG1453">
        <v>4</v>
      </c>
      <c r="BH1453">
        <v>3</v>
      </c>
      <c r="BI1453">
        <v>7</v>
      </c>
      <c r="BP1453">
        <v>28</v>
      </c>
      <c r="BR1453">
        <v>2</v>
      </c>
      <c r="BS1453">
        <v>1</v>
      </c>
      <c r="BT1453">
        <v>0</v>
      </c>
      <c r="BV1453">
        <v>0</v>
      </c>
      <c r="BW1453">
        <v>31</v>
      </c>
      <c r="BX1453" t="s">
        <v>82</v>
      </c>
      <c r="BY1453" s="5"/>
      <c r="BZ1453" s="6"/>
      <c r="CA1453" s="7">
        <v>42715</v>
      </c>
      <c r="CE1453">
        <v>13</v>
      </c>
      <c r="CF1453">
        <v>4</v>
      </c>
      <c r="CG1453">
        <v>4</v>
      </c>
      <c r="CH1453">
        <v>10</v>
      </c>
      <c r="CI1453">
        <f t="shared" si="169"/>
        <v>2016</v>
      </c>
      <c r="CJ1453" t="str">
        <f t="shared" si="170"/>
        <v>6449_2016</v>
      </c>
    </row>
    <row r="1454" spans="1:88" x14ac:dyDescent="0.25">
      <c r="A1454" t="s">
        <v>140</v>
      </c>
      <c r="B1454" t="s">
        <v>532</v>
      </c>
      <c r="C1454">
        <v>6450</v>
      </c>
      <c r="D1454">
        <v>-32.519474000000002</v>
      </c>
      <c r="E1454">
        <v>115.75050400000001</v>
      </c>
      <c r="F1454">
        <v>4</v>
      </c>
      <c r="G1454" t="s">
        <v>550</v>
      </c>
      <c r="H1454">
        <v>45</v>
      </c>
      <c r="I1454">
        <v>225</v>
      </c>
      <c r="J1454">
        <v>110</v>
      </c>
      <c r="K1454">
        <v>290</v>
      </c>
      <c r="L1454">
        <v>222</v>
      </c>
      <c r="M1454">
        <v>42</v>
      </c>
      <c r="N1454">
        <v>325</v>
      </c>
      <c r="O1454">
        <v>145</v>
      </c>
      <c r="T1454">
        <v>0</v>
      </c>
      <c r="U1454">
        <v>3</v>
      </c>
      <c r="V1454">
        <v>0</v>
      </c>
      <c r="Y1454">
        <v>0</v>
      </c>
      <c r="Z1454">
        <v>7</v>
      </c>
      <c r="AA1454">
        <v>6</v>
      </c>
      <c r="AD1454">
        <v>5</v>
      </c>
      <c r="AE1454">
        <v>4</v>
      </c>
      <c r="AF1454">
        <v>1</v>
      </c>
      <c r="AI1454">
        <v>2</v>
      </c>
      <c r="AJ1454">
        <v>3</v>
      </c>
      <c r="AK1454">
        <v>0</v>
      </c>
      <c r="AX1454">
        <v>3</v>
      </c>
      <c r="AY1454">
        <v>7</v>
      </c>
      <c r="AZ1454">
        <v>10</v>
      </c>
      <c r="BA1454">
        <v>13</v>
      </c>
      <c r="BB1454">
        <v>7</v>
      </c>
      <c r="BC1454">
        <v>20</v>
      </c>
      <c r="BD1454">
        <v>10</v>
      </c>
      <c r="BE1454">
        <v>10</v>
      </c>
      <c r="BF1454">
        <v>20</v>
      </c>
      <c r="BG1454">
        <v>5</v>
      </c>
      <c r="BH1454">
        <v>7</v>
      </c>
      <c r="BI1454">
        <v>12</v>
      </c>
      <c r="BP1454">
        <v>24</v>
      </c>
      <c r="BR1454">
        <v>5</v>
      </c>
      <c r="BS1454">
        <v>0</v>
      </c>
      <c r="BT1454">
        <v>0</v>
      </c>
      <c r="BV1454">
        <v>2</v>
      </c>
      <c r="BW1454">
        <v>31</v>
      </c>
      <c r="BX1454" t="s">
        <v>82</v>
      </c>
      <c r="BY1454" s="5"/>
      <c r="BZ1454" s="6"/>
      <c r="CA1454" s="7">
        <v>42715</v>
      </c>
      <c r="CE1454">
        <v>19</v>
      </c>
      <c r="CF1454">
        <v>3</v>
      </c>
      <c r="CG1454">
        <v>7</v>
      </c>
      <c r="CH1454">
        <v>2</v>
      </c>
      <c r="CI1454">
        <f t="shared" si="169"/>
        <v>2016</v>
      </c>
      <c r="CJ1454" t="str">
        <f t="shared" si="170"/>
        <v>6450_2016</v>
      </c>
    </row>
    <row r="1455" spans="1:88" x14ac:dyDescent="0.25">
      <c r="A1455" t="s">
        <v>140</v>
      </c>
      <c r="B1455" t="s">
        <v>532</v>
      </c>
      <c r="C1455">
        <v>6451</v>
      </c>
      <c r="D1455">
        <v>-32.495311000000001</v>
      </c>
      <c r="E1455">
        <v>115.749613</v>
      </c>
      <c r="F1455">
        <v>3</v>
      </c>
      <c r="G1455" t="s">
        <v>551</v>
      </c>
      <c r="H1455">
        <v>124</v>
      </c>
      <c r="I1455">
        <v>304</v>
      </c>
      <c r="J1455">
        <v>214</v>
      </c>
      <c r="K1455">
        <v>34</v>
      </c>
      <c r="L1455">
        <v>300</v>
      </c>
      <c r="M1455">
        <v>120</v>
      </c>
      <c r="T1455">
        <v>6</v>
      </c>
      <c r="U1455">
        <v>21</v>
      </c>
      <c r="Y1455">
        <v>10</v>
      </c>
      <c r="Z1455">
        <v>13</v>
      </c>
      <c r="AD1455">
        <v>20</v>
      </c>
      <c r="AE1455">
        <v>19</v>
      </c>
      <c r="AX1455">
        <v>27</v>
      </c>
      <c r="AY1455">
        <v>30</v>
      </c>
      <c r="AZ1455">
        <v>57</v>
      </c>
      <c r="BA1455">
        <v>23</v>
      </c>
      <c r="BB1455">
        <v>25</v>
      </c>
      <c r="BC1455">
        <v>48</v>
      </c>
      <c r="BD1455">
        <v>39</v>
      </c>
      <c r="BE1455">
        <v>34</v>
      </c>
      <c r="BF1455">
        <v>73</v>
      </c>
      <c r="BP1455">
        <v>17</v>
      </c>
      <c r="BR1455">
        <v>61</v>
      </c>
      <c r="BS1455">
        <v>1</v>
      </c>
      <c r="BT1455">
        <v>8</v>
      </c>
      <c r="BV1455">
        <v>2</v>
      </c>
      <c r="BW1455">
        <v>89</v>
      </c>
      <c r="BX1455" t="s">
        <v>82</v>
      </c>
      <c r="BY1455" s="5"/>
      <c r="BZ1455" s="6"/>
      <c r="CA1455" s="7">
        <v>42687</v>
      </c>
      <c r="CE1455">
        <v>28</v>
      </c>
      <c r="CF1455">
        <v>26</v>
      </c>
      <c r="CG1455">
        <v>15</v>
      </c>
      <c r="CH1455">
        <v>20</v>
      </c>
      <c r="CI1455">
        <f t="shared" si="169"/>
        <v>2016</v>
      </c>
      <c r="CJ1455" t="str">
        <f t="shared" si="170"/>
        <v>6451_2016</v>
      </c>
    </row>
    <row r="1456" spans="1:88" x14ac:dyDescent="0.25">
      <c r="A1456" t="s">
        <v>140</v>
      </c>
      <c r="B1456" t="s">
        <v>532</v>
      </c>
      <c r="C1456">
        <v>6452</v>
      </c>
      <c r="D1456">
        <v>-32.493671999999997</v>
      </c>
      <c r="E1456">
        <v>115.746129</v>
      </c>
      <c r="F1456">
        <v>3</v>
      </c>
      <c r="G1456" t="s">
        <v>552</v>
      </c>
      <c r="H1456">
        <v>28</v>
      </c>
      <c r="I1456">
        <v>208</v>
      </c>
      <c r="J1456">
        <v>120</v>
      </c>
      <c r="K1456">
        <v>300</v>
      </c>
      <c r="L1456">
        <v>208</v>
      </c>
      <c r="M1456">
        <v>28</v>
      </c>
      <c r="T1456">
        <v>6</v>
      </c>
      <c r="U1456">
        <v>6</v>
      </c>
      <c r="Y1456">
        <v>4</v>
      </c>
      <c r="Z1456">
        <v>7</v>
      </c>
      <c r="AD1456">
        <v>6</v>
      </c>
      <c r="AE1456">
        <v>12</v>
      </c>
      <c r="AX1456">
        <v>12</v>
      </c>
      <c r="AY1456">
        <v>10</v>
      </c>
      <c r="AZ1456">
        <v>22</v>
      </c>
      <c r="BA1456">
        <v>11</v>
      </c>
      <c r="BB1456">
        <v>18</v>
      </c>
      <c r="BC1456">
        <v>29</v>
      </c>
      <c r="BD1456">
        <v>18</v>
      </c>
      <c r="BE1456">
        <v>13</v>
      </c>
      <c r="BF1456">
        <v>31</v>
      </c>
      <c r="BP1456">
        <v>15</v>
      </c>
      <c r="BR1456">
        <v>21</v>
      </c>
      <c r="BS1456">
        <v>1</v>
      </c>
      <c r="BT1456">
        <v>4</v>
      </c>
      <c r="BV1456">
        <v>0</v>
      </c>
      <c r="BW1456">
        <v>41</v>
      </c>
      <c r="BX1456" t="s">
        <v>82</v>
      </c>
      <c r="BY1456" s="5"/>
      <c r="BZ1456" s="6"/>
      <c r="CA1456" s="7">
        <v>42687</v>
      </c>
      <c r="CE1456">
        <v>9</v>
      </c>
      <c r="CF1456">
        <v>10</v>
      </c>
      <c r="CG1456">
        <v>12</v>
      </c>
      <c r="CH1456">
        <v>10</v>
      </c>
      <c r="CI1456">
        <f t="shared" si="169"/>
        <v>2016</v>
      </c>
      <c r="CJ1456" t="str">
        <f t="shared" si="170"/>
        <v>6452_2016</v>
      </c>
    </row>
    <row r="1457" spans="1:88" x14ac:dyDescent="0.25">
      <c r="A1457" t="s">
        <v>140</v>
      </c>
      <c r="B1457" t="s">
        <v>532</v>
      </c>
      <c r="C1457">
        <v>6453</v>
      </c>
      <c r="D1457">
        <v>-32.476771999999997</v>
      </c>
      <c r="E1457">
        <v>115.757571</v>
      </c>
      <c r="F1457">
        <v>3</v>
      </c>
      <c r="G1457" t="s">
        <v>553</v>
      </c>
      <c r="H1457">
        <v>9</v>
      </c>
      <c r="I1457">
        <v>189</v>
      </c>
      <c r="J1457">
        <v>99</v>
      </c>
      <c r="K1457">
        <v>279</v>
      </c>
      <c r="L1457">
        <v>189</v>
      </c>
      <c r="M1457">
        <v>9</v>
      </c>
      <c r="T1457">
        <v>6</v>
      </c>
      <c r="U1457">
        <v>13</v>
      </c>
      <c r="Y1457">
        <v>5</v>
      </c>
      <c r="Z1457">
        <v>3</v>
      </c>
      <c r="AD1457">
        <v>7</v>
      </c>
      <c r="AE1457">
        <v>2</v>
      </c>
      <c r="AX1457">
        <v>19</v>
      </c>
      <c r="AY1457">
        <v>12</v>
      </c>
      <c r="AZ1457">
        <v>31</v>
      </c>
      <c r="BA1457">
        <v>8</v>
      </c>
      <c r="BB1457">
        <v>8</v>
      </c>
      <c r="BC1457">
        <v>16</v>
      </c>
      <c r="BD1457">
        <v>9</v>
      </c>
      <c r="BE1457">
        <v>16</v>
      </c>
      <c r="BF1457">
        <v>25</v>
      </c>
      <c r="BP1457">
        <v>8</v>
      </c>
      <c r="BR1457">
        <v>20</v>
      </c>
      <c r="BS1457">
        <v>1</v>
      </c>
      <c r="BT1457">
        <v>4</v>
      </c>
      <c r="BV1457">
        <v>3</v>
      </c>
      <c r="BW1457">
        <v>36</v>
      </c>
      <c r="BX1457" t="s">
        <v>82</v>
      </c>
      <c r="BY1457" s="5"/>
      <c r="BZ1457" s="6"/>
      <c r="CA1457" s="7">
        <v>42715</v>
      </c>
      <c r="CE1457">
        <v>15</v>
      </c>
      <c r="CF1457">
        <v>10</v>
      </c>
      <c r="CG1457">
        <v>10</v>
      </c>
      <c r="CH1457">
        <v>1</v>
      </c>
      <c r="CI1457">
        <f t="shared" si="169"/>
        <v>2016</v>
      </c>
      <c r="CJ1457" t="str">
        <f t="shared" si="170"/>
        <v>6453_2016</v>
      </c>
    </row>
    <row r="1458" spans="1:88" x14ac:dyDescent="0.25">
      <c r="A1458" t="s">
        <v>140</v>
      </c>
      <c r="B1458" t="s">
        <v>532</v>
      </c>
      <c r="C1458">
        <v>6454</v>
      </c>
      <c r="D1458">
        <v>-32.549171000000001</v>
      </c>
      <c r="E1458">
        <v>115.732125</v>
      </c>
      <c r="F1458">
        <v>4</v>
      </c>
      <c r="G1458" t="s">
        <v>554</v>
      </c>
      <c r="H1458">
        <v>76</v>
      </c>
      <c r="I1458">
        <v>256</v>
      </c>
      <c r="J1458">
        <v>167</v>
      </c>
      <c r="K1458">
        <v>347</v>
      </c>
      <c r="L1458">
        <v>259</v>
      </c>
      <c r="M1458">
        <v>79</v>
      </c>
      <c r="N1458">
        <v>346</v>
      </c>
      <c r="O1458">
        <v>166</v>
      </c>
      <c r="T1458">
        <v>0</v>
      </c>
      <c r="U1458">
        <v>1</v>
      </c>
      <c r="V1458">
        <v>3</v>
      </c>
      <c r="Y1458">
        <v>0</v>
      </c>
      <c r="Z1458">
        <v>1</v>
      </c>
      <c r="AA1458">
        <v>24</v>
      </c>
      <c r="AD1458">
        <v>12</v>
      </c>
      <c r="AE1458">
        <v>0</v>
      </c>
      <c r="AF1458">
        <v>0</v>
      </c>
      <c r="AI1458">
        <v>3</v>
      </c>
      <c r="AJ1458">
        <v>24</v>
      </c>
      <c r="AK1458">
        <v>3</v>
      </c>
      <c r="AX1458">
        <v>4</v>
      </c>
      <c r="AY1458">
        <v>15</v>
      </c>
      <c r="AZ1458">
        <v>19</v>
      </c>
      <c r="BA1458">
        <v>25</v>
      </c>
      <c r="BB1458">
        <v>24</v>
      </c>
      <c r="BC1458">
        <v>49</v>
      </c>
      <c r="BD1458">
        <v>12</v>
      </c>
      <c r="BE1458">
        <v>5</v>
      </c>
      <c r="BF1458">
        <v>17</v>
      </c>
      <c r="BG1458">
        <v>30</v>
      </c>
      <c r="BH1458">
        <v>27</v>
      </c>
      <c r="BI1458">
        <v>57</v>
      </c>
      <c r="BP1458">
        <v>33</v>
      </c>
      <c r="BR1458">
        <v>28</v>
      </c>
      <c r="BS1458">
        <v>1</v>
      </c>
      <c r="BT1458">
        <v>7</v>
      </c>
      <c r="BV1458">
        <v>2</v>
      </c>
      <c r="BW1458">
        <v>71</v>
      </c>
      <c r="BX1458" t="s">
        <v>82</v>
      </c>
      <c r="BY1458" s="5"/>
      <c r="BZ1458" s="6"/>
      <c r="CA1458" s="7">
        <v>42687</v>
      </c>
      <c r="CE1458">
        <v>25</v>
      </c>
      <c r="CF1458">
        <v>19</v>
      </c>
      <c r="CG1458">
        <v>18</v>
      </c>
      <c r="CH1458">
        <v>9</v>
      </c>
      <c r="CI1458">
        <f t="shared" si="169"/>
        <v>2016</v>
      </c>
      <c r="CJ1458" t="str">
        <f t="shared" si="170"/>
        <v>6454_2016</v>
      </c>
    </row>
    <row r="1459" spans="1:88" x14ac:dyDescent="0.25">
      <c r="A1459" t="s">
        <v>140</v>
      </c>
      <c r="B1459" t="s">
        <v>532</v>
      </c>
      <c r="C1459">
        <v>6456</v>
      </c>
      <c r="D1459">
        <v>-32.551445999999999</v>
      </c>
      <c r="E1459">
        <v>115.70191</v>
      </c>
      <c r="F1459">
        <v>3</v>
      </c>
      <c r="G1459" t="s">
        <v>555</v>
      </c>
      <c r="H1459">
        <v>55</v>
      </c>
      <c r="I1459">
        <v>235</v>
      </c>
      <c r="J1459">
        <v>237</v>
      </c>
      <c r="K1459">
        <v>57</v>
      </c>
      <c r="L1459">
        <v>323</v>
      </c>
      <c r="M1459">
        <v>143</v>
      </c>
      <c r="T1459">
        <v>10</v>
      </c>
      <c r="U1459">
        <v>7</v>
      </c>
      <c r="Y1459">
        <v>14</v>
      </c>
      <c r="Z1459">
        <v>42</v>
      </c>
      <c r="AD1459">
        <v>9</v>
      </c>
      <c r="AE1459">
        <v>27</v>
      </c>
      <c r="AX1459">
        <v>17</v>
      </c>
      <c r="AY1459">
        <v>23</v>
      </c>
      <c r="AZ1459">
        <v>40</v>
      </c>
      <c r="BA1459">
        <v>56</v>
      </c>
      <c r="BB1459">
        <v>37</v>
      </c>
      <c r="BC1459">
        <v>93</v>
      </c>
      <c r="BD1459">
        <v>36</v>
      </c>
      <c r="BE1459">
        <v>49</v>
      </c>
      <c r="BF1459">
        <v>85</v>
      </c>
      <c r="BP1459">
        <v>61</v>
      </c>
      <c r="BR1459">
        <v>34</v>
      </c>
      <c r="BS1459">
        <v>1</v>
      </c>
      <c r="BT1459">
        <v>0</v>
      </c>
      <c r="BV1459">
        <v>13</v>
      </c>
      <c r="BW1459">
        <v>109</v>
      </c>
      <c r="BX1459" t="s">
        <v>82</v>
      </c>
      <c r="BY1459" s="5"/>
      <c r="BZ1459" s="6"/>
      <c r="CA1459" s="7">
        <v>42687</v>
      </c>
      <c r="CE1459">
        <v>40</v>
      </c>
      <c r="CF1459">
        <v>28</v>
      </c>
      <c r="CG1459">
        <v>28</v>
      </c>
      <c r="CH1459">
        <v>13</v>
      </c>
      <c r="CI1459">
        <f t="shared" si="169"/>
        <v>2016</v>
      </c>
      <c r="CJ1459" t="str">
        <f t="shared" si="170"/>
        <v>6456_2016</v>
      </c>
    </row>
    <row r="1460" spans="1:88" x14ac:dyDescent="0.25">
      <c r="A1460" t="s">
        <v>140</v>
      </c>
      <c r="B1460" t="s">
        <v>532</v>
      </c>
      <c r="C1460">
        <v>6457</v>
      </c>
      <c r="D1460">
        <v>-32.547640000000001</v>
      </c>
      <c r="E1460">
        <v>115.69962</v>
      </c>
      <c r="F1460">
        <v>3</v>
      </c>
      <c r="G1460" t="s">
        <v>556</v>
      </c>
      <c r="H1460">
        <v>59</v>
      </c>
      <c r="I1460">
        <v>239</v>
      </c>
      <c r="J1460">
        <v>153</v>
      </c>
      <c r="K1460">
        <v>333</v>
      </c>
      <c r="L1460">
        <v>320</v>
      </c>
      <c r="M1460">
        <v>140</v>
      </c>
      <c r="T1460">
        <v>2</v>
      </c>
      <c r="U1460">
        <v>22</v>
      </c>
      <c r="Y1460">
        <v>0</v>
      </c>
      <c r="Z1460">
        <v>16</v>
      </c>
      <c r="AD1460">
        <v>14</v>
      </c>
      <c r="AE1460">
        <v>22</v>
      </c>
      <c r="AX1460">
        <v>24</v>
      </c>
      <c r="AY1460">
        <v>14</v>
      </c>
      <c r="AZ1460">
        <v>38</v>
      </c>
      <c r="BA1460">
        <v>16</v>
      </c>
      <c r="BB1460">
        <v>24</v>
      </c>
      <c r="BC1460">
        <v>40</v>
      </c>
      <c r="BD1460">
        <v>36</v>
      </c>
      <c r="BE1460">
        <v>38</v>
      </c>
      <c r="BF1460">
        <v>74</v>
      </c>
      <c r="BP1460">
        <v>24</v>
      </c>
      <c r="BR1460">
        <v>42</v>
      </c>
      <c r="BS1460">
        <v>0</v>
      </c>
      <c r="BT1460">
        <v>7</v>
      </c>
      <c r="BV1460">
        <v>3</v>
      </c>
      <c r="BW1460">
        <v>76</v>
      </c>
      <c r="BX1460" t="s">
        <v>82</v>
      </c>
      <c r="BY1460" s="5"/>
      <c r="BZ1460" s="6"/>
      <c r="CA1460" s="7">
        <v>42687</v>
      </c>
      <c r="CE1460">
        <v>31</v>
      </c>
      <c r="CF1460">
        <v>16</v>
      </c>
      <c r="CG1460">
        <v>18</v>
      </c>
      <c r="CH1460">
        <v>11</v>
      </c>
      <c r="CI1460">
        <f t="shared" si="169"/>
        <v>2016</v>
      </c>
      <c r="CJ1460" t="str">
        <f t="shared" si="170"/>
        <v>6457_2016</v>
      </c>
    </row>
    <row r="1461" spans="1:88" x14ac:dyDescent="0.25">
      <c r="A1461" t="s">
        <v>140</v>
      </c>
      <c r="B1461" t="s">
        <v>532</v>
      </c>
      <c r="C1461">
        <v>6458</v>
      </c>
      <c r="D1461">
        <v>-32.543028999999997</v>
      </c>
      <c r="E1461">
        <v>115.691879</v>
      </c>
      <c r="F1461">
        <v>3</v>
      </c>
      <c r="G1461" t="s">
        <v>557</v>
      </c>
      <c r="H1461">
        <v>88</v>
      </c>
      <c r="I1461">
        <v>268</v>
      </c>
      <c r="J1461">
        <v>253</v>
      </c>
      <c r="K1461">
        <v>73</v>
      </c>
      <c r="L1461">
        <v>358</v>
      </c>
      <c r="M1461">
        <v>178</v>
      </c>
      <c r="T1461">
        <v>8</v>
      </c>
      <c r="U1461">
        <v>8</v>
      </c>
      <c r="Y1461">
        <v>8</v>
      </c>
      <c r="Z1461">
        <v>17</v>
      </c>
      <c r="AD1461">
        <v>10</v>
      </c>
      <c r="AE1461">
        <v>10</v>
      </c>
      <c r="AX1461">
        <v>16</v>
      </c>
      <c r="AY1461">
        <v>18</v>
      </c>
      <c r="AZ1461">
        <v>34</v>
      </c>
      <c r="BA1461">
        <v>25</v>
      </c>
      <c r="BB1461">
        <v>18</v>
      </c>
      <c r="BC1461">
        <v>43</v>
      </c>
      <c r="BD1461">
        <v>20</v>
      </c>
      <c r="BE1461">
        <v>25</v>
      </c>
      <c r="BF1461">
        <v>45</v>
      </c>
      <c r="BP1461">
        <v>29</v>
      </c>
      <c r="BR1461">
        <v>25</v>
      </c>
      <c r="BS1461">
        <v>0</v>
      </c>
      <c r="BT1461">
        <v>6</v>
      </c>
      <c r="BV1461">
        <v>1</v>
      </c>
      <c r="BW1461">
        <v>61</v>
      </c>
      <c r="BX1461" t="s">
        <v>82</v>
      </c>
      <c r="BY1461" s="5"/>
      <c r="BZ1461" s="6"/>
      <c r="CA1461" s="7">
        <v>42687</v>
      </c>
      <c r="CE1461">
        <v>17</v>
      </c>
      <c r="CF1461">
        <v>15</v>
      </c>
      <c r="CG1461">
        <v>23</v>
      </c>
      <c r="CH1461">
        <v>6</v>
      </c>
      <c r="CI1461">
        <f t="shared" si="169"/>
        <v>2016</v>
      </c>
      <c r="CJ1461" t="str">
        <f t="shared" si="170"/>
        <v>6458_2016</v>
      </c>
    </row>
    <row r="1462" spans="1:88" x14ac:dyDescent="0.25">
      <c r="A1462" t="s">
        <v>140</v>
      </c>
      <c r="B1462" t="s">
        <v>532</v>
      </c>
      <c r="C1462">
        <v>6460</v>
      </c>
      <c r="D1462">
        <v>-32.556953999999998</v>
      </c>
      <c r="E1462">
        <v>115.693147</v>
      </c>
      <c r="F1462">
        <v>4</v>
      </c>
      <c r="G1462" t="s">
        <v>558</v>
      </c>
      <c r="H1462">
        <v>50</v>
      </c>
      <c r="I1462">
        <v>230</v>
      </c>
      <c r="J1462">
        <v>139</v>
      </c>
      <c r="K1462">
        <v>319</v>
      </c>
      <c r="L1462">
        <v>232</v>
      </c>
      <c r="M1462">
        <v>52</v>
      </c>
      <c r="N1462">
        <v>323</v>
      </c>
      <c r="O1462">
        <v>143</v>
      </c>
      <c r="T1462">
        <v>11</v>
      </c>
      <c r="U1462">
        <v>28</v>
      </c>
      <c r="V1462">
        <v>14</v>
      </c>
      <c r="Y1462">
        <v>13</v>
      </c>
      <c r="Z1462">
        <v>7</v>
      </c>
      <c r="AA1462">
        <v>7</v>
      </c>
      <c r="AD1462">
        <v>23</v>
      </c>
      <c r="AE1462">
        <v>11</v>
      </c>
      <c r="AF1462">
        <v>0</v>
      </c>
      <c r="AI1462">
        <v>17</v>
      </c>
      <c r="AJ1462">
        <v>11</v>
      </c>
      <c r="AK1462">
        <v>5</v>
      </c>
      <c r="AX1462">
        <v>53</v>
      </c>
      <c r="AY1462">
        <v>53</v>
      </c>
      <c r="AZ1462">
        <v>106</v>
      </c>
      <c r="BA1462">
        <v>27</v>
      </c>
      <c r="BB1462">
        <v>33</v>
      </c>
      <c r="BC1462">
        <v>60</v>
      </c>
      <c r="BD1462">
        <v>34</v>
      </c>
      <c r="BE1462">
        <v>40</v>
      </c>
      <c r="BF1462">
        <v>74</v>
      </c>
      <c r="BG1462">
        <v>33</v>
      </c>
      <c r="BH1462">
        <v>21</v>
      </c>
      <c r="BI1462">
        <v>54</v>
      </c>
      <c r="BP1462">
        <v>80</v>
      </c>
      <c r="BR1462">
        <v>42</v>
      </c>
      <c r="BS1462">
        <v>0</v>
      </c>
      <c r="BT1462">
        <v>10</v>
      </c>
      <c r="BV1462">
        <v>15</v>
      </c>
      <c r="BW1462">
        <v>147</v>
      </c>
      <c r="BX1462" t="s">
        <v>82</v>
      </c>
      <c r="BY1462" s="5"/>
      <c r="BZ1462" s="6"/>
      <c r="CA1462" s="7">
        <v>42687</v>
      </c>
      <c r="CE1462">
        <v>49</v>
      </c>
      <c r="CF1462">
        <v>41</v>
      </c>
      <c r="CG1462">
        <v>31</v>
      </c>
      <c r="CH1462">
        <v>26</v>
      </c>
      <c r="CI1462">
        <f t="shared" si="169"/>
        <v>2016</v>
      </c>
      <c r="CJ1462" t="str">
        <f t="shared" si="170"/>
        <v>6460_2016</v>
      </c>
    </row>
    <row r="1463" spans="1:88" x14ac:dyDescent="0.25">
      <c r="A1463" t="s">
        <v>140</v>
      </c>
      <c r="B1463" t="s">
        <v>532</v>
      </c>
      <c r="C1463">
        <v>6461</v>
      </c>
      <c r="D1463">
        <v>-32.550443000000001</v>
      </c>
      <c r="E1463">
        <v>115.68673699999999</v>
      </c>
      <c r="F1463">
        <v>4</v>
      </c>
      <c r="G1463" t="s">
        <v>559</v>
      </c>
      <c r="H1463">
        <v>15</v>
      </c>
      <c r="I1463">
        <v>195</v>
      </c>
      <c r="J1463">
        <v>105</v>
      </c>
      <c r="K1463">
        <v>285</v>
      </c>
      <c r="L1463">
        <v>196</v>
      </c>
      <c r="M1463">
        <v>16</v>
      </c>
      <c r="N1463">
        <v>286</v>
      </c>
      <c r="O1463">
        <v>106</v>
      </c>
      <c r="T1463">
        <v>3</v>
      </c>
      <c r="U1463">
        <v>8</v>
      </c>
      <c r="V1463">
        <v>14</v>
      </c>
      <c r="Y1463">
        <v>4</v>
      </c>
      <c r="Z1463">
        <v>1</v>
      </c>
      <c r="AA1463">
        <v>9</v>
      </c>
      <c r="AD1463">
        <v>11</v>
      </c>
      <c r="AE1463">
        <v>8</v>
      </c>
      <c r="AF1463">
        <v>2</v>
      </c>
      <c r="AI1463">
        <v>6</v>
      </c>
      <c r="AJ1463">
        <v>18</v>
      </c>
      <c r="AK1463">
        <v>5</v>
      </c>
      <c r="AX1463">
        <v>25</v>
      </c>
      <c r="AY1463">
        <v>21</v>
      </c>
      <c r="AZ1463">
        <v>46</v>
      </c>
      <c r="BA1463">
        <v>14</v>
      </c>
      <c r="BB1463">
        <v>29</v>
      </c>
      <c r="BC1463">
        <v>43</v>
      </c>
      <c r="BD1463">
        <v>21</v>
      </c>
      <c r="BE1463">
        <v>14</v>
      </c>
      <c r="BF1463">
        <v>35</v>
      </c>
      <c r="BG1463">
        <v>29</v>
      </c>
      <c r="BH1463">
        <v>25</v>
      </c>
      <c r="BI1463">
        <v>54</v>
      </c>
      <c r="BP1463">
        <v>34</v>
      </c>
      <c r="BR1463">
        <v>43</v>
      </c>
      <c r="BS1463">
        <v>1</v>
      </c>
      <c r="BT1463">
        <v>5</v>
      </c>
      <c r="BV1463">
        <v>6</v>
      </c>
      <c r="BW1463">
        <v>89</v>
      </c>
      <c r="BX1463" t="s">
        <v>82</v>
      </c>
      <c r="BY1463" s="5"/>
      <c r="BZ1463" s="6"/>
      <c r="CA1463" s="7">
        <v>42687</v>
      </c>
      <c r="CE1463">
        <v>38</v>
      </c>
      <c r="CF1463">
        <v>11</v>
      </c>
      <c r="CG1463">
        <v>37</v>
      </c>
      <c r="CH1463">
        <v>3</v>
      </c>
      <c r="CI1463">
        <f t="shared" si="169"/>
        <v>2016</v>
      </c>
      <c r="CJ1463" t="str">
        <f t="shared" si="170"/>
        <v>6461_2016</v>
      </c>
    </row>
    <row r="1464" spans="1:88" x14ac:dyDescent="0.25">
      <c r="A1464" t="s">
        <v>140</v>
      </c>
      <c r="B1464" t="s">
        <v>532</v>
      </c>
      <c r="C1464">
        <v>6462</v>
      </c>
      <c r="D1464">
        <v>-32.554020000000001</v>
      </c>
      <c r="E1464">
        <v>115.69741999999999</v>
      </c>
      <c r="F1464">
        <v>3</v>
      </c>
      <c r="G1464" t="s">
        <v>560</v>
      </c>
      <c r="H1464">
        <v>52</v>
      </c>
      <c r="I1464">
        <v>232</v>
      </c>
      <c r="J1464">
        <v>143</v>
      </c>
      <c r="K1464">
        <v>323</v>
      </c>
      <c r="L1464">
        <v>231</v>
      </c>
      <c r="M1464">
        <v>51</v>
      </c>
      <c r="T1464">
        <v>4</v>
      </c>
      <c r="U1464">
        <v>23</v>
      </c>
      <c r="Y1464">
        <v>9</v>
      </c>
      <c r="Z1464">
        <v>14</v>
      </c>
      <c r="AD1464">
        <v>30</v>
      </c>
      <c r="AE1464">
        <v>13</v>
      </c>
      <c r="AX1464">
        <v>27</v>
      </c>
      <c r="AY1464">
        <v>39</v>
      </c>
      <c r="AZ1464">
        <v>66</v>
      </c>
      <c r="BA1464">
        <v>23</v>
      </c>
      <c r="BB1464">
        <v>17</v>
      </c>
      <c r="BC1464">
        <v>40</v>
      </c>
      <c r="BD1464">
        <v>43</v>
      </c>
      <c r="BE1464">
        <v>37</v>
      </c>
      <c r="BF1464">
        <v>80</v>
      </c>
      <c r="BP1464">
        <v>49</v>
      </c>
      <c r="BR1464">
        <v>27</v>
      </c>
      <c r="BS1464">
        <v>3</v>
      </c>
      <c r="BT1464">
        <v>12</v>
      </c>
      <c r="BV1464">
        <v>2</v>
      </c>
      <c r="BW1464">
        <v>93</v>
      </c>
      <c r="BX1464" t="s">
        <v>82</v>
      </c>
      <c r="BY1464" s="5"/>
      <c r="BZ1464" s="6"/>
      <c r="CA1464" s="7">
        <v>42687</v>
      </c>
      <c r="CE1464">
        <v>21</v>
      </c>
      <c r="CF1464">
        <v>28</v>
      </c>
      <c r="CG1464">
        <v>24</v>
      </c>
      <c r="CH1464">
        <v>20</v>
      </c>
      <c r="CI1464">
        <f t="shared" si="169"/>
        <v>2016</v>
      </c>
      <c r="CJ1464" t="str">
        <f t="shared" si="170"/>
        <v>6462_2016</v>
      </c>
    </row>
    <row r="1465" spans="1:88" x14ac:dyDescent="0.25">
      <c r="A1465" t="s">
        <v>140</v>
      </c>
      <c r="B1465" t="s">
        <v>532</v>
      </c>
      <c r="C1465">
        <v>6463</v>
      </c>
      <c r="D1465">
        <v>-32.583874999999999</v>
      </c>
      <c r="E1465">
        <v>115.659826</v>
      </c>
      <c r="F1465">
        <v>4</v>
      </c>
      <c r="G1465" t="s">
        <v>561</v>
      </c>
      <c r="H1465">
        <v>32</v>
      </c>
      <c r="I1465">
        <v>212</v>
      </c>
      <c r="J1465">
        <v>121</v>
      </c>
      <c r="K1465">
        <v>301</v>
      </c>
      <c r="L1465">
        <v>212</v>
      </c>
      <c r="M1465">
        <v>32</v>
      </c>
      <c r="N1465">
        <v>305</v>
      </c>
      <c r="O1465">
        <v>125</v>
      </c>
      <c r="T1465">
        <v>2</v>
      </c>
      <c r="U1465">
        <v>35</v>
      </c>
      <c r="V1465">
        <v>9</v>
      </c>
      <c r="Y1465">
        <v>0</v>
      </c>
      <c r="Z1465">
        <v>14</v>
      </c>
      <c r="AA1465">
        <v>7</v>
      </c>
      <c r="AD1465">
        <v>149</v>
      </c>
      <c r="AE1465">
        <v>7</v>
      </c>
      <c r="AF1465">
        <v>9</v>
      </c>
      <c r="AI1465">
        <v>10</v>
      </c>
      <c r="AJ1465">
        <v>10</v>
      </c>
      <c r="AK1465">
        <v>19</v>
      </c>
      <c r="AX1465">
        <v>46</v>
      </c>
      <c r="AY1465">
        <v>159</v>
      </c>
      <c r="AZ1465">
        <v>205</v>
      </c>
      <c r="BA1465">
        <v>21</v>
      </c>
      <c r="BB1465">
        <v>19</v>
      </c>
      <c r="BC1465">
        <v>40</v>
      </c>
      <c r="BD1465">
        <v>165</v>
      </c>
      <c r="BE1465">
        <v>68</v>
      </c>
      <c r="BF1465">
        <v>233</v>
      </c>
      <c r="BG1465">
        <v>39</v>
      </c>
      <c r="BH1465">
        <v>25</v>
      </c>
      <c r="BI1465">
        <v>64</v>
      </c>
      <c r="BP1465">
        <v>154</v>
      </c>
      <c r="BR1465">
        <v>84</v>
      </c>
      <c r="BS1465">
        <v>2</v>
      </c>
      <c r="BT1465">
        <v>7</v>
      </c>
      <c r="BV1465">
        <v>24</v>
      </c>
      <c r="BW1465">
        <v>271</v>
      </c>
      <c r="BX1465" t="s">
        <v>82</v>
      </c>
      <c r="BY1465" s="5"/>
      <c r="BZ1465" s="6"/>
      <c r="CA1465" s="7">
        <v>42687</v>
      </c>
      <c r="CE1465">
        <v>22</v>
      </c>
      <c r="CF1465">
        <v>41</v>
      </c>
      <c r="CG1465">
        <v>160</v>
      </c>
      <c r="CH1465">
        <v>48</v>
      </c>
      <c r="CI1465">
        <f t="shared" si="169"/>
        <v>2016</v>
      </c>
      <c r="CJ1465" t="str">
        <f t="shared" si="170"/>
        <v>6463_2016</v>
      </c>
    </row>
    <row r="1466" spans="1:88" x14ac:dyDescent="0.25">
      <c r="A1466" t="s">
        <v>79</v>
      </c>
      <c r="B1466" t="s">
        <v>98</v>
      </c>
      <c r="C1466">
        <v>6556</v>
      </c>
      <c r="D1466">
        <v>-33.715899999999998</v>
      </c>
      <c r="E1466">
        <v>151.2697</v>
      </c>
      <c r="F1466">
        <v>2</v>
      </c>
      <c r="G1466" t="s">
        <v>562</v>
      </c>
      <c r="H1466">
        <v>0</v>
      </c>
      <c r="I1466">
        <v>180</v>
      </c>
      <c r="J1466">
        <v>165</v>
      </c>
      <c r="K1466">
        <v>345</v>
      </c>
      <c r="T1466">
        <v>63</v>
      </c>
      <c r="Y1466">
        <v>71</v>
      </c>
      <c r="AX1466">
        <v>63</v>
      </c>
      <c r="AY1466">
        <v>71</v>
      </c>
      <c r="AZ1466">
        <v>134</v>
      </c>
      <c r="BA1466">
        <v>71</v>
      </c>
      <c r="BB1466">
        <v>63</v>
      </c>
      <c r="BC1466">
        <v>134</v>
      </c>
      <c r="BP1466">
        <v>134</v>
      </c>
      <c r="BR1466">
        <v>0</v>
      </c>
      <c r="BS1466">
        <v>0</v>
      </c>
      <c r="BT1466">
        <v>0</v>
      </c>
      <c r="BV1466">
        <v>0</v>
      </c>
      <c r="BW1466">
        <v>134</v>
      </c>
      <c r="BX1466" t="s">
        <v>82</v>
      </c>
      <c r="BY1466" s="5"/>
      <c r="BZ1466" s="6"/>
      <c r="CA1466" s="7">
        <v>41588</v>
      </c>
      <c r="CI1466">
        <f t="shared" si="169"/>
        <v>2013</v>
      </c>
      <c r="CJ1466" t="str">
        <f t="shared" si="170"/>
        <v>6556_2013</v>
      </c>
    </row>
    <row r="1467" spans="1:88" x14ac:dyDescent="0.25">
      <c r="A1467" t="s">
        <v>79</v>
      </c>
      <c r="B1467" t="s">
        <v>98</v>
      </c>
      <c r="C1467">
        <v>6556</v>
      </c>
      <c r="D1467">
        <v>-33.715899999999998</v>
      </c>
      <c r="E1467">
        <v>151.2697</v>
      </c>
      <c r="F1467">
        <v>2</v>
      </c>
      <c r="G1467" t="s">
        <v>562</v>
      </c>
      <c r="H1467">
        <v>0</v>
      </c>
      <c r="I1467">
        <v>180</v>
      </c>
      <c r="J1467">
        <v>165</v>
      </c>
      <c r="K1467">
        <v>345</v>
      </c>
      <c r="T1467">
        <v>207</v>
      </c>
      <c r="Y1467">
        <v>261</v>
      </c>
      <c r="AX1467">
        <v>207</v>
      </c>
      <c r="AY1467">
        <v>261</v>
      </c>
      <c r="AZ1467">
        <v>468</v>
      </c>
      <c r="BA1467">
        <v>261</v>
      </c>
      <c r="BB1467">
        <v>207</v>
      </c>
      <c r="BC1467">
        <v>468</v>
      </c>
      <c r="BP1467">
        <v>264</v>
      </c>
      <c r="BR1467">
        <v>204</v>
      </c>
      <c r="BS1467">
        <v>0</v>
      </c>
      <c r="BT1467">
        <v>0</v>
      </c>
      <c r="BV1467">
        <v>0</v>
      </c>
      <c r="BW1467">
        <v>468</v>
      </c>
      <c r="BX1467">
        <f>IF(C1467=C1466,IF((CI1467-1)=CI1466,BW1466,"no data"))</f>
        <v>134</v>
      </c>
      <c r="BY1467" s="5">
        <f t="shared" si="172"/>
        <v>2.4925373134328357</v>
      </c>
      <c r="BZ1467" s="6">
        <f t="shared" si="171"/>
        <v>2.4925373134328357</v>
      </c>
      <c r="CA1467" s="7">
        <v>41952</v>
      </c>
      <c r="CI1467">
        <f t="shared" si="169"/>
        <v>2014</v>
      </c>
      <c r="CJ1467" t="str">
        <f t="shared" si="170"/>
        <v>6556_2014</v>
      </c>
    </row>
    <row r="1468" spans="1:88" x14ac:dyDescent="0.25">
      <c r="A1468" t="s">
        <v>79</v>
      </c>
      <c r="B1468" t="s">
        <v>98</v>
      </c>
      <c r="C1468">
        <v>6556</v>
      </c>
      <c r="D1468">
        <v>-33.715899999999998</v>
      </c>
      <c r="E1468">
        <v>151.2697</v>
      </c>
      <c r="F1468">
        <v>2</v>
      </c>
      <c r="G1468" t="s">
        <v>562</v>
      </c>
      <c r="H1468">
        <v>0</v>
      </c>
      <c r="I1468">
        <v>180</v>
      </c>
      <c r="J1468">
        <v>165</v>
      </c>
      <c r="K1468">
        <v>345</v>
      </c>
      <c r="T1468">
        <v>365</v>
      </c>
      <c r="Y1468">
        <v>373</v>
      </c>
      <c r="AX1468">
        <v>365</v>
      </c>
      <c r="AY1468">
        <v>373</v>
      </c>
      <c r="AZ1468">
        <v>738</v>
      </c>
      <c r="BA1468">
        <v>373</v>
      </c>
      <c r="BB1468">
        <v>365</v>
      </c>
      <c r="BC1468">
        <v>738</v>
      </c>
      <c r="BP1468">
        <v>366</v>
      </c>
      <c r="BR1468">
        <v>372</v>
      </c>
      <c r="BS1468">
        <v>0</v>
      </c>
      <c r="BT1468">
        <v>0</v>
      </c>
      <c r="BV1468">
        <v>0</v>
      </c>
      <c r="BW1468">
        <v>738</v>
      </c>
      <c r="BX1468">
        <f>IF(C1468=C1467,IF((CI1468-1)=CI1467,BW1467,"no data"))</f>
        <v>468</v>
      </c>
      <c r="BY1468" s="5">
        <f t="shared" si="172"/>
        <v>0.57692307692307687</v>
      </c>
      <c r="BZ1468" s="6">
        <f t="shared" si="171"/>
        <v>0.57692307692307687</v>
      </c>
      <c r="CA1468" s="7">
        <v>42316</v>
      </c>
      <c r="CE1468">
        <v>164</v>
      </c>
      <c r="CF1468">
        <v>190</v>
      </c>
      <c r="CG1468">
        <v>193</v>
      </c>
      <c r="CH1468">
        <v>191</v>
      </c>
      <c r="CI1468">
        <f t="shared" si="169"/>
        <v>2015</v>
      </c>
      <c r="CJ1468" t="str">
        <f t="shared" si="170"/>
        <v>6556_2015</v>
      </c>
    </row>
    <row r="1469" spans="1:88" x14ac:dyDescent="0.25">
      <c r="A1469" t="s">
        <v>79</v>
      </c>
      <c r="B1469" t="s">
        <v>98</v>
      </c>
      <c r="C1469">
        <v>6556</v>
      </c>
      <c r="D1469">
        <v>-33.715919999999997</v>
      </c>
      <c r="E1469">
        <v>151.26966300000001</v>
      </c>
      <c r="F1469">
        <v>2</v>
      </c>
      <c r="G1469" t="s">
        <v>562</v>
      </c>
      <c r="H1469">
        <v>0</v>
      </c>
      <c r="I1469">
        <v>180</v>
      </c>
      <c r="J1469">
        <v>165</v>
      </c>
      <c r="K1469">
        <v>345</v>
      </c>
      <c r="T1469">
        <v>174</v>
      </c>
      <c r="Y1469">
        <v>155</v>
      </c>
      <c r="AX1469">
        <v>174</v>
      </c>
      <c r="AY1469">
        <v>155</v>
      </c>
      <c r="AZ1469">
        <v>329</v>
      </c>
      <c r="BA1469">
        <v>155</v>
      </c>
      <c r="BB1469">
        <v>174</v>
      </c>
      <c r="BC1469">
        <v>329</v>
      </c>
      <c r="BP1469">
        <v>154</v>
      </c>
      <c r="BR1469">
        <v>98</v>
      </c>
      <c r="BS1469">
        <v>66</v>
      </c>
      <c r="BT1469">
        <v>10</v>
      </c>
      <c r="BV1469">
        <v>1</v>
      </c>
      <c r="BW1469">
        <v>329</v>
      </c>
      <c r="BX1469">
        <f>IF(C1469=C1468,IF((CI1469-1)=CI1468,BW1468,"no data"))</f>
        <v>738</v>
      </c>
      <c r="BY1469" s="5">
        <f t="shared" si="172"/>
        <v>-0.55420054200542002</v>
      </c>
      <c r="BZ1469" s="6">
        <f t="shared" si="171"/>
        <v>-0.55420054200542002</v>
      </c>
      <c r="CA1469" s="7">
        <v>42687</v>
      </c>
      <c r="CE1469">
        <v>172</v>
      </c>
      <c r="CF1469">
        <v>157</v>
      </c>
      <c r="CG1469">
        <v>0</v>
      </c>
      <c r="CH1469">
        <v>0</v>
      </c>
      <c r="CI1469">
        <f t="shared" si="169"/>
        <v>2016</v>
      </c>
      <c r="CJ1469" t="str">
        <f t="shared" si="170"/>
        <v>6556_2016</v>
      </c>
    </row>
    <row r="1470" spans="1:88" x14ac:dyDescent="0.25">
      <c r="A1470" t="s">
        <v>111</v>
      </c>
      <c r="B1470" t="s">
        <v>259</v>
      </c>
      <c r="C1470">
        <v>6615</v>
      </c>
      <c r="D1470">
        <v>-37.892200000000003</v>
      </c>
      <c r="E1470">
        <v>145.11490000000001</v>
      </c>
      <c r="F1470">
        <v>4</v>
      </c>
      <c r="G1470" t="s">
        <v>563</v>
      </c>
      <c r="H1470">
        <v>9</v>
      </c>
      <c r="I1470">
        <v>189</v>
      </c>
      <c r="J1470">
        <v>78</v>
      </c>
      <c r="K1470">
        <v>258</v>
      </c>
      <c r="L1470">
        <v>189</v>
      </c>
      <c r="M1470">
        <v>9</v>
      </c>
      <c r="N1470">
        <v>260</v>
      </c>
      <c r="O1470">
        <v>80</v>
      </c>
      <c r="T1470">
        <v>7</v>
      </c>
      <c r="U1470">
        <v>4</v>
      </c>
      <c r="V1470">
        <v>14</v>
      </c>
      <c r="Y1470">
        <v>11</v>
      </c>
      <c r="Z1470">
        <v>15</v>
      </c>
      <c r="AA1470">
        <v>76</v>
      </c>
      <c r="AD1470">
        <v>6</v>
      </c>
      <c r="AE1470">
        <v>5</v>
      </c>
      <c r="AF1470">
        <v>16</v>
      </c>
      <c r="AI1470">
        <v>7</v>
      </c>
      <c r="AJ1470">
        <v>93</v>
      </c>
      <c r="AK1470">
        <v>17</v>
      </c>
      <c r="AX1470">
        <v>25</v>
      </c>
      <c r="AY1470">
        <v>24</v>
      </c>
      <c r="AZ1470">
        <v>49</v>
      </c>
      <c r="BA1470">
        <v>102</v>
      </c>
      <c r="BB1470">
        <v>105</v>
      </c>
      <c r="BC1470">
        <v>207</v>
      </c>
      <c r="BD1470">
        <v>27</v>
      </c>
      <c r="BE1470">
        <v>36</v>
      </c>
      <c r="BF1470">
        <v>63</v>
      </c>
      <c r="BG1470">
        <v>117</v>
      </c>
      <c r="BH1470">
        <v>106</v>
      </c>
      <c r="BI1470">
        <v>223</v>
      </c>
      <c r="BP1470">
        <v>134</v>
      </c>
      <c r="BR1470">
        <v>92</v>
      </c>
      <c r="BS1470">
        <v>12</v>
      </c>
      <c r="BT1470">
        <v>33</v>
      </c>
      <c r="BV1470">
        <v>0</v>
      </c>
      <c r="BW1470">
        <v>271</v>
      </c>
      <c r="BX1470" t="s">
        <v>82</v>
      </c>
      <c r="BY1470" s="5"/>
      <c r="BZ1470" s="6"/>
      <c r="CA1470" s="7">
        <v>41952</v>
      </c>
      <c r="CI1470">
        <f t="shared" si="169"/>
        <v>2014</v>
      </c>
      <c r="CJ1470" t="str">
        <f t="shared" si="170"/>
        <v>6615_2014</v>
      </c>
    </row>
    <row r="1471" spans="1:88" x14ac:dyDescent="0.25">
      <c r="A1471" t="s">
        <v>111</v>
      </c>
      <c r="B1471" t="s">
        <v>259</v>
      </c>
      <c r="C1471">
        <v>6615</v>
      </c>
      <c r="D1471">
        <v>-37.892200000000003</v>
      </c>
      <c r="E1471">
        <v>145.11490000000001</v>
      </c>
      <c r="F1471">
        <v>4</v>
      </c>
      <c r="G1471" t="s">
        <v>563</v>
      </c>
      <c r="H1471">
        <v>9</v>
      </c>
      <c r="I1471">
        <v>189</v>
      </c>
      <c r="J1471">
        <v>78</v>
      </c>
      <c r="K1471">
        <v>258</v>
      </c>
      <c r="L1471">
        <v>189</v>
      </c>
      <c r="M1471">
        <v>9</v>
      </c>
      <c r="N1471">
        <v>260</v>
      </c>
      <c r="O1471">
        <v>80</v>
      </c>
      <c r="T1471">
        <v>2</v>
      </c>
      <c r="U1471">
        <v>10</v>
      </c>
      <c r="V1471">
        <v>10</v>
      </c>
      <c r="Y1471">
        <v>1</v>
      </c>
      <c r="Z1471">
        <v>3</v>
      </c>
      <c r="AA1471">
        <v>45</v>
      </c>
      <c r="AD1471">
        <v>12</v>
      </c>
      <c r="AE1471">
        <v>4</v>
      </c>
      <c r="AF1471">
        <v>17</v>
      </c>
      <c r="AI1471">
        <v>7</v>
      </c>
      <c r="AJ1471">
        <v>50</v>
      </c>
      <c r="AK1471">
        <v>8</v>
      </c>
      <c r="AX1471">
        <v>22</v>
      </c>
      <c r="AY1471">
        <v>20</v>
      </c>
      <c r="AZ1471">
        <v>42</v>
      </c>
      <c r="BA1471">
        <v>49</v>
      </c>
      <c r="BB1471">
        <v>56</v>
      </c>
      <c r="BC1471">
        <v>105</v>
      </c>
      <c r="BD1471">
        <v>33</v>
      </c>
      <c r="BE1471">
        <v>21</v>
      </c>
      <c r="BF1471">
        <v>54</v>
      </c>
      <c r="BG1471">
        <v>65</v>
      </c>
      <c r="BH1471">
        <v>72</v>
      </c>
      <c r="BI1471">
        <v>137</v>
      </c>
      <c r="BP1471">
        <v>46</v>
      </c>
      <c r="BR1471">
        <v>72</v>
      </c>
      <c r="BS1471">
        <v>23</v>
      </c>
      <c r="BT1471">
        <v>28</v>
      </c>
      <c r="BV1471">
        <v>0</v>
      </c>
      <c r="BW1471">
        <v>169</v>
      </c>
      <c r="BX1471">
        <f t="shared" ref="BX1471:BX1478" si="173">IF(C1471=C1470,IF((CI1471-1)=CI1470,BW1470,"no data"))</f>
        <v>271</v>
      </c>
      <c r="BY1471" s="5">
        <f t="shared" si="172"/>
        <v>-0.37638376383763839</v>
      </c>
      <c r="BZ1471" s="6">
        <f t="shared" si="171"/>
        <v>-0.37638376383763839</v>
      </c>
      <c r="CA1471" s="7">
        <v>42316</v>
      </c>
      <c r="CE1471">
        <v>51</v>
      </c>
      <c r="CF1471">
        <v>31</v>
      </c>
      <c r="CG1471">
        <v>32</v>
      </c>
      <c r="CH1471">
        <v>55</v>
      </c>
      <c r="CI1471">
        <f t="shared" si="169"/>
        <v>2015</v>
      </c>
      <c r="CJ1471" t="str">
        <f t="shared" si="170"/>
        <v>6615_2015</v>
      </c>
    </row>
    <row r="1472" spans="1:88" x14ac:dyDescent="0.25">
      <c r="A1472" t="s">
        <v>111</v>
      </c>
      <c r="B1472" t="s">
        <v>259</v>
      </c>
      <c r="C1472">
        <v>6615</v>
      </c>
      <c r="D1472">
        <v>-37.892198999999998</v>
      </c>
      <c r="E1472">
        <v>145.11489700000001</v>
      </c>
      <c r="F1472">
        <v>4</v>
      </c>
      <c r="G1472" t="s">
        <v>563</v>
      </c>
      <c r="H1472">
        <v>9</v>
      </c>
      <c r="I1472">
        <v>189</v>
      </c>
      <c r="J1472">
        <v>78</v>
      </c>
      <c r="K1472">
        <v>258</v>
      </c>
      <c r="L1472">
        <v>189</v>
      </c>
      <c r="M1472">
        <v>9</v>
      </c>
      <c r="N1472">
        <v>260</v>
      </c>
      <c r="O1472">
        <v>80</v>
      </c>
      <c r="T1472">
        <v>2</v>
      </c>
      <c r="U1472">
        <v>10</v>
      </c>
      <c r="V1472">
        <v>10</v>
      </c>
      <c r="Y1472">
        <v>1</v>
      </c>
      <c r="Z1472">
        <v>3</v>
      </c>
      <c r="AA1472">
        <v>45</v>
      </c>
      <c r="AD1472">
        <v>12</v>
      </c>
      <c r="AE1472">
        <v>4</v>
      </c>
      <c r="AF1472">
        <v>17</v>
      </c>
      <c r="AI1472">
        <v>7</v>
      </c>
      <c r="AJ1472">
        <v>50</v>
      </c>
      <c r="AK1472">
        <v>8</v>
      </c>
      <c r="AX1472">
        <v>22</v>
      </c>
      <c r="AY1472">
        <v>20</v>
      </c>
      <c r="AZ1472">
        <v>42</v>
      </c>
      <c r="BA1472">
        <v>49</v>
      </c>
      <c r="BB1472">
        <v>56</v>
      </c>
      <c r="BC1472">
        <v>105</v>
      </c>
      <c r="BD1472">
        <v>33</v>
      </c>
      <c r="BE1472">
        <v>21</v>
      </c>
      <c r="BF1472">
        <v>54</v>
      </c>
      <c r="BG1472">
        <v>65</v>
      </c>
      <c r="BH1472">
        <v>72</v>
      </c>
      <c r="BI1472">
        <v>137</v>
      </c>
      <c r="BP1472">
        <v>46</v>
      </c>
      <c r="BR1472">
        <v>72</v>
      </c>
      <c r="BS1472">
        <v>23</v>
      </c>
      <c r="BT1472">
        <v>28</v>
      </c>
      <c r="BV1472">
        <v>0</v>
      </c>
      <c r="BW1472">
        <v>169</v>
      </c>
      <c r="BX1472">
        <f t="shared" si="173"/>
        <v>169</v>
      </c>
      <c r="BY1472" s="5">
        <f t="shared" si="172"/>
        <v>0</v>
      </c>
      <c r="BZ1472" s="6">
        <f t="shared" si="171"/>
        <v>0</v>
      </c>
      <c r="CA1472" s="7">
        <v>42687</v>
      </c>
      <c r="CE1472">
        <v>51</v>
      </c>
      <c r="CF1472">
        <v>31</v>
      </c>
      <c r="CG1472">
        <v>32</v>
      </c>
      <c r="CH1472">
        <v>55</v>
      </c>
      <c r="CI1472">
        <f t="shared" si="169"/>
        <v>2016</v>
      </c>
      <c r="CJ1472" t="str">
        <f t="shared" si="170"/>
        <v>6615_2016</v>
      </c>
    </row>
    <row r="1473" spans="1:88" x14ac:dyDescent="0.25">
      <c r="A1473" t="s">
        <v>111</v>
      </c>
      <c r="B1473" t="s">
        <v>259</v>
      </c>
      <c r="C1473">
        <v>6615</v>
      </c>
      <c r="D1473">
        <v>-37.892198999999998</v>
      </c>
      <c r="E1473">
        <v>145.11489700000001</v>
      </c>
      <c r="F1473">
        <v>4</v>
      </c>
      <c r="G1473" t="s">
        <v>563</v>
      </c>
      <c r="H1473">
        <v>9</v>
      </c>
      <c r="I1473">
        <v>189</v>
      </c>
      <c r="J1473">
        <v>78</v>
      </c>
      <c r="K1473">
        <v>258</v>
      </c>
      <c r="L1473">
        <v>189</v>
      </c>
      <c r="M1473">
        <v>9</v>
      </c>
      <c r="N1473">
        <v>260</v>
      </c>
      <c r="O1473">
        <v>80</v>
      </c>
      <c r="T1473">
        <v>7</v>
      </c>
      <c r="U1473">
        <v>17</v>
      </c>
      <c r="V1473">
        <v>14</v>
      </c>
      <c r="Y1473">
        <v>7</v>
      </c>
      <c r="Z1473">
        <v>14</v>
      </c>
      <c r="AA1473">
        <v>105</v>
      </c>
      <c r="AD1473">
        <v>18</v>
      </c>
      <c r="AE1473">
        <v>14</v>
      </c>
      <c r="AF1473">
        <v>26</v>
      </c>
      <c r="AI1473">
        <v>11</v>
      </c>
      <c r="AJ1473">
        <v>102</v>
      </c>
      <c r="AK1473">
        <v>42</v>
      </c>
      <c r="AX1473">
        <v>38</v>
      </c>
      <c r="AY1473">
        <v>36</v>
      </c>
      <c r="AZ1473">
        <v>74</v>
      </c>
      <c r="BA1473">
        <v>126</v>
      </c>
      <c r="BB1473">
        <v>123</v>
      </c>
      <c r="BC1473">
        <v>249</v>
      </c>
      <c r="BD1473">
        <v>58</v>
      </c>
      <c r="BE1473">
        <v>73</v>
      </c>
      <c r="BF1473">
        <v>131</v>
      </c>
      <c r="BG1473">
        <v>155</v>
      </c>
      <c r="BH1473">
        <v>145</v>
      </c>
      <c r="BI1473">
        <v>300</v>
      </c>
      <c r="BP1473">
        <v>131</v>
      </c>
      <c r="BR1473">
        <v>154</v>
      </c>
      <c r="BS1473">
        <v>51</v>
      </c>
      <c r="BT1473">
        <v>40</v>
      </c>
      <c r="BV1473">
        <v>1</v>
      </c>
      <c r="BW1473">
        <v>377</v>
      </c>
      <c r="BX1473">
        <f t="shared" si="173"/>
        <v>169</v>
      </c>
      <c r="BY1473" s="5">
        <f t="shared" si="172"/>
        <v>1.2307692307692308</v>
      </c>
      <c r="BZ1473" s="6">
        <f t="shared" si="171"/>
        <v>1.2307692307692308</v>
      </c>
      <c r="CA1473" s="7">
        <v>43051</v>
      </c>
      <c r="CE1473">
        <v>99</v>
      </c>
      <c r="CF1473">
        <v>93</v>
      </c>
      <c r="CG1473">
        <v>98</v>
      </c>
      <c r="CH1473">
        <v>87</v>
      </c>
      <c r="CI1473">
        <f t="shared" si="169"/>
        <v>2017</v>
      </c>
      <c r="CJ1473" t="str">
        <f t="shared" si="170"/>
        <v>6615_2017</v>
      </c>
    </row>
    <row r="1474" spans="1:88" x14ac:dyDescent="0.25">
      <c r="A1474" t="s">
        <v>111</v>
      </c>
      <c r="B1474" t="s">
        <v>259</v>
      </c>
      <c r="C1474">
        <v>6615</v>
      </c>
      <c r="D1474">
        <v>-37.892200000000003</v>
      </c>
      <c r="E1474">
        <v>145.11490000000001</v>
      </c>
      <c r="F1474">
        <v>4</v>
      </c>
      <c r="G1474" t="s">
        <v>563</v>
      </c>
      <c r="H1474">
        <v>9</v>
      </c>
      <c r="I1474">
        <v>189</v>
      </c>
      <c r="J1474">
        <v>78</v>
      </c>
      <c r="K1474">
        <v>258</v>
      </c>
      <c r="L1474">
        <v>189</v>
      </c>
      <c r="M1474">
        <v>9</v>
      </c>
      <c r="N1474">
        <v>260</v>
      </c>
      <c r="O1474">
        <v>80</v>
      </c>
      <c r="T1474">
        <v>2</v>
      </c>
      <c r="U1474">
        <v>10</v>
      </c>
      <c r="V1474">
        <v>20</v>
      </c>
      <c r="Y1474">
        <v>4</v>
      </c>
      <c r="Z1474">
        <v>28</v>
      </c>
      <c r="AA1474">
        <v>139</v>
      </c>
      <c r="AD1474">
        <v>18</v>
      </c>
      <c r="AE1474">
        <v>36</v>
      </c>
      <c r="AF1474">
        <v>48</v>
      </c>
      <c r="AI1474">
        <v>1</v>
      </c>
      <c r="AJ1474">
        <v>113</v>
      </c>
      <c r="AK1474">
        <v>52</v>
      </c>
      <c r="AX1474">
        <v>32</v>
      </c>
      <c r="AY1474">
        <v>23</v>
      </c>
      <c r="AZ1474">
        <v>55</v>
      </c>
      <c r="BA1474">
        <v>171</v>
      </c>
      <c r="BB1474">
        <v>151</v>
      </c>
      <c r="BC1474">
        <v>322</v>
      </c>
      <c r="BD1474">
        <v>102</v>
      </c>
      <c r="BE1474">
        <v>90</v>
      </c>
      <c r="BF1474">
        <v>192</v>
      </c>
      <c r="BG1474">
        <v>166</v>
      </c>
      <c r="BH1474">
        <v>207</v>
      </c>
      <c r="BI1474">
        <v>373</v>
      </c>
      <c r="BP1474">
        <v>169</v>
      </c>
      <c r="BR1474">
        <v>221</v>
      </c>
      <c r="BS1474">
        <v>35</v>
      </c>
      <c r="BT1474">
        <v>38</v>
      </c>
      <c r="BV1474">
        <v>8</v>
      </c>
      <c r="BW1474">
        <v>471</v>
      </c>
      <c r="BX1474">
        <f t="shared" si="173"/>
        <v>377</v>
      </c>
      <c r="BY1474" s="5">
        <f t="shared" si="172"/>
        <v>0.24933687002652519</v>
      </c>
      <c r="BZ1474" s="6">
        <f t="shared" si="171"/>
        <v>0.24933687002652519</v>
      </c>
      <c r="CA1474" s="7">
        <v>43415</v>
      </c>
      <c r="CE1474">
        <v>120</v>
      </c>
      <c r="CF1474">
        <v>161</v>
      </c>
      <c r="CG1474">
        <v>97</v>
      </c>
      <c r="CH1474">
        <v>93</v>
      </c>
      <c r="CI1474">
        <f t="shared" si="169"/>
        <v>2018</v>
      </c>
      <c r="CJ1474" t="str">
        <f t="shared" si="170"/>
        <v>6615_2018</v>
      </c>
    </row>
    <row r="1475" spans="1:88" x14ac:dyDescent="0.25">
      <c r="A1475" t="s">
        <v>111</v>
      </c>
      <c r="B1475" t="s">
        <v>259</v>
      </c>
      <c r="C1475">
        <v>6615</v>
      </c>
      <c r="D1475">
        <v>-37.892200000000003</v>
      </c>
      <c r="E1475">
        <v>145.11490000000001</v>
      </c>
      <c r="F1475">
        <v>4</v>
      </c>
      <c r="G1475" t="s">
        <v>563</v>
      </c>
      <c r="H1475">
        <v>9</v>
      </c>
      <c r="I1475">
        <v>189</v>
      </c>
      <c r="J1475">
        <v>78</v>
      </c>
      <c r="K1475">
        <v>258</v>
      </c>
      <c r="L1475">
        <v>189</v>
      </c>
      <c r="M1475">
        <v>9</v>
      </c>
      <c r="N1475">
        <v>260</v>
      </c>
      <c r="O1475">
        <v>80</v>
      </c>
      <c r="T1475">
        <v>18</v>
      </c>
      <c r="U1475">
        <v>41</v>
      </c>
      <c r="V1475">
        <v>16</v>
      </c>
      <c r="Y1475">
        <v>8</v>
      </c>
      <c r="Z1475">
        <v>10</v>
      </c>
      <c r="AA1475">
        <v>167</v>
      </c>
      <c r="AD1475">
        <v>40</v>
      </c>
      <c r="AE1475">
        <v>20</v>
      </c>
      <c r="AF1475">
        <v>17</v>
      </c>
      <c r="AI1475">
        <v>25</v>
      </c>
      <c r="AJ1475">
        <v>173</v>
      </c>
      <c r="AK1475">
        <v>10</v>
      </c>
      <c r="AX1475">
        <v>75</v>
      </c>
      <c r="AY1475">
        <v>73</v>
      </c>
      <c r="AZ1475">
        <v>148</v>
      </c>
      <c r="BA1475">
        <v>185</v>
      </c>
      <c r="BB1475">
        <v>211</v>
      </c>
      <c r="BC1475">
        <v>396</v>
      </c>
      <c r="BD1475">
        <v>77</v>
      </c>
      <c r="BE1475">
        <v>61</v>
      </c>
      <c r="BF1475">
        <v>138</v>
      </c>
      <c r="BG1475">
        <v>208</v>
      </c>
      <c r="BH1475">
        <v>200</v>
      </c>
      <c r="BI1475">
        <v>408</v>
      </c>
      <c r="BP1475">
        <v>207</v>
      </c>
      <c r="BR1475">
        <v>195</v>
      </c>
      <c r="BS1475">
        <v>96</v>
      </c>
      <c r="BT1475">
        <v>35</v>
      </c>
      <c r="BV1475">
        <v>12</v>
      </c>
      <c r="BW1475">
        <v>545</v>
      </c>
      <c r="BX1475">
        <f t="shared" si="173"/>
        <v>471</v>
      </c>
      <c r="BY1475" s="5">
        <f t="shared" si="172"/>
        <v>0.15711252653927812</v>
      </c>
      <c r="BZ1475" s="6">
        <f t="shared" si="171"/>
        <v>0.15711252653927812</v>
      </c>
      <c r="CA1475" s="7">
        <v>43779</v>
      </c>
      <c r="CE1475">
        <v>106</v>
      </c>
      <c r="CF1475">
        <v>181</v>
      </c>
      <c r="CG1475">
        <v>143</v>
      </c>
      <c r="CH1475">
        <v>115</v>
      </c>
      <c r="CI1475">
        <f t="shared" ref="CI1475:CI1538" si="174">YEAR(CA1475)</f>
        <v>2019</v>
      </c>
      <c r="CJ1475" t="str">
        <f t="shared" ref="CJ1475:CJ1538" si="175">_xlfn.CONCAT(C1475,"_",CI1475)</f>
        <v>6615_2019</v>
      </c>
    </row>
    <row r="1476" spans="1:88" x14ac:dyDescent="0.25">
      <c r="A1476" t="s">
        <v>111</v>
      </c>
      <c r="B1476" t="s">
        <v>259</v>
      </c>
      <c r="C1476">
        <v>6615</v>
      </c>
      <c r="D1476">
        <v>-37.892200000000003</v>
      </c>
      <c r="E1476">
        <v>145.11490000000001</v>
      </c>
      <c r="F1476">
        <v>4</v>
      </c>
      <c r="G1476" t="s">
        <v>563</v>
      </c>
      <c r="H1476">
        <v>9</v>
      </c>
      <c r="I1476">
        <v>189</v>
      </c>
      <c r="J1476">
        <v>78</v>
      </c>
      <c r="K1476">
        <v>258</v>
      </c>
      <c r="L1476">
        <v>189</v>
      </c>
      <c r="M1476">
        <v>9</v>
      </c>
      <c r="N1476">
        <v>260</v>
      </c>
      <c r="O1476">
        <v>80</v>
      </c>
      <c r="T1476">
        <v>23</v>
      </c>
      <c r="U1476">
        <v>42</v>
      </c>
      <c r="V1476">
        <v>38</v>
      </c>
      <c r="Y1476">
        <v>17</v>
      </c>
      <c r="Z1476">
        <v>63</v>
      </c>
      <c r="AA1476">
        <v>271</v>
      </c>
      <c r="AD1476">
        <v>54</v>
      </c>
      <c r="AE1476">
        <v>95</v>
      </c>
      <c r="AF1476">
        <v>91</v>
      </c>
      <c r="AI1476">
        <v>28</v>
      </c>
      <c r="AJ1476">
        <v>325</v>
      </c>
      <c r="AK1476">
        <v>143</v>
      </c>
      <c r="AX1476">
        <v>103</v>
      </c>
      <c r="AY1476">
        <v>99</v>
      </c>
      <c r="AZ1476">
        <v>202</v>
      </c>
      <c r="BA1476">
        <v>351</v>
      </c>
      <c r="BB1476">
        <v>443</v>
      </c>
      <c r="BC1476">
        <v>794</v>
      </c>
      <c r="BD1476">
        <v>240</v>
      </c>
      <c r="BE1476">
        <v>248</v>
      </c>
      <c r="BF1476">
        <v>488</v>
      </c>
      <c r="BG1476">
        <v>496</v>
      </c>
      <c r="BH1476">
        <v>400</v>
      </c>
      <c r="BI1476">
        <v>896</v>
      </c>
      <c r="BP1476">
        <v>434</v>
      </c>
      <c r="BR1476">
        <v>593</v>
      </c>
      <c r="BS1476">
        <v>57</v>
      </c>
      <c r="BT1476">
        <v>100</v>
      </c>
      <c r="BV1476">
        <v>6</v>
      </c>
      <c r="BW1476">
        <v>1190</v>
      </c>
      <c r="BX1476">
        <f t="shared" si="173"/>
        <v>545</v>
      </c>
      <c r="BY1476" s="5">
        <f t="shared" si="172"/>
        <v>1.1834862385321101</v>
      </c>
      <c r="BZ1476" s="6">
        <f t="shared" si="171"/>
        <v>1.1834862385321101</v>
      </c>
      <c r="CA1476" s="7">
        <v>44143</v>
      </c>
      <c r="CE1476">
        <v>289</v>
      </c>
      <c r="CF1476">
        <v>277</v>
      </c>
      <c r="CG1476">
        <v>420</v>
      </c>
      <c r="CH1476">
        <v>204</v>
      </c>
      <c r="CI1476">
        <f t="shared" si="174"/>
        <v>2020</v>
      </c>
      <c r="CJ1476" t="str">
        <f t="shared" si="175"/>
        <v>6615_2020</v>
      </c>
    </row>
    <row r="1477" spans="1:88" x14ac:dyDescent="0.25">
      <c r="A1477" t="s">
        <v>111</v>
      </c>
      <c r="B1477" t="s">
        <v>259</v>
      </c>
      <c r="C1477">
        <v>6615</v>
      </c>
      <c r="D1477">
        <v>-37.892198999999998</v>
      </c>
      <c r="E1477">
        <v>145.11489700000001</v>
      </c>
      <c r="F1477">
        <v>4</v>
      </c>
      <c r="G1477" t="s">
        <v>563</v>
      </c>
      <c r="H1477">
        <v>9</v>
      </c>
      <c r="I1477">
        <v>189</v>
      </c>
      <c r="J1477">
        <v>78</v>
      </c>
      <c r="K1477">
        <v>258</v>
      </c>
      <c r="L1477">
        <v>189</v>
      </c>
      <c r="M1477">
        <v>9</v>
      </c>
      <c r="N1477">
        <v>260</v>
      </c>
      <c r="O1477">
        <v>80</v>
      </c>
      <c r="T1477">
        <v>8</v>
      </c>
      <c r="U1477">
        <v>29</v>
      </c>
      <c r="V1477">
        <v>22</v>
      </c>
      <c r="Y1477">
        <v>6</v>
      </c>
      <c r="Z1477">
        <v>41</v>
      </c>
      <c r="AA1477">
        <v>126</v>
      </c>
      <c r="AD1477">
        <v>25</v>
      </c>
      <c r="AE1477">
        <v>29</v>
      </c>
      <c r="AF1477">
        <v>72</v>
      </c>
      <c r="AI1477">
        <v>4</v>
      </c>
      <c r="AJ1477">
        <v>142</v>
      </c>
      <c r="AK1477">
        <v>60</v>
      </c>
      <c r="AX1477">
        <v>59</v>
      </c>
      <c r="AY1477">
        <v>35</v>
      </c>
      <c r="AZ1477">
        <v>94</v>
      </c>
      <c r="BA1477">
        <v>173</v>
      </c>
      <c r="BB1477">
        <v>179</v>
      </c>
      <c r="BC1477">
        <v>352</v>
      </c>
      <c r="BD1477">
        <v>126</v>
      </c>
      <c r="BE1477">
        <v>130</v>
      </c>
      <c r="BF1477">
        <v>256</v>
      </c>
      <c r="BG1477">
        <v>206</v>
      </c>
      <c r="BH1477">
        <v>220</v>
      </c>
      <c r="BI1477">
        <v>426</v>
      </c>
      <c r="BP1477">
        <v>150</v>
      </c>
      <c r="BR1477">
        <v>297</v>
      </c>
      <c r="BS1477">
        <v>26</v>
      </c>
      <c r="BT1477">
        <v>72</v>
      </c>
      <c r="BV1477">
        <v>19</v>
      </c>
      <c r="BW1477">
        <v>564</v>
      </c>
      <c r="BX1477">
        <f t="shared" si="173"/>
        <v>1190</v>
      </c>
      <c r="BY1477" s="5">
        <f t="shared" si="172"/>
        <v>-0.52605042016806725</v>
      </c>
      <c r="BZ1477" s="6">
        <f t="shared" si="171"/>
        <v>-0.52605042016806725</v>
      </c>
      <c r="CA1477" s="7">
        <v>44528</v>
      </c>
      <c r="CE1477">
        <v>172</v>
      </c>
      <c r="CF1477">
        <v>203</v>
      </c>
      <c r="CG1477">
        <v>189</v>
      </c>
      <c r="CI1477">
        <f t="shared" si="174"/>
        <v>2021</v>
      </c>
      <c r="CJ1477" t="str">
        <f t="shared" si="175"/>
        <v>6615_2021</v>
      </c>
    </row>
    <row r="1478" spans="1:88" x14ac:dyDescent="0.25">
      <c r="A1478" t="s">
        <v>111</v>
      </c>
      <c r="B1478" t="s">
        <v>259</v>
      </c>
      <c r="C1478">
        <v>6615</v>
      </c>
      <c r="D1478">
        <v>-37.892198999999998</v>
      </c>
      <c r="E1478">
        <v>145.11489700000001</v>
      </c>
      <c r="F1478">
        <v>4</v>
      </c>
      <c r="G1478" t="s">
        <v>563</v>
      </c>
      <c r="H1478">
        <v>9</v>
      </c>
      <c r="I1478">
        <v>189</v>
      </c>
      <c r="J1478">
        <v>78</v>
      </c>
      <c r="K1478">
        <v>258</v>
      </c>
      <c r="L1478">
        <v>189</v>
      </c>
      <c r="M1478">
        <v>9</v>
      </c>
      <c r="N1478">
        <v>260</v>
      </c>
      <c r="O1478">
        <v>80</v>
      </c>
      <c r="T1478">
        <v>7</v>
      </c>
      <c r="U1478">
        <v>21</v>
      </c>
      <c r="V1478">
        <v>15</v>
      </c>
      <c r="Y1478">
        <v>2</v>
      </c>
      <c r="Z1478">
        <v>48</v>
      </c>
      <c r="AA1478">
        <v>118</v>
      </c>
      <c r="AD1478">
        <v>21</v>
      </c>
      <c r="AE1478">
        <v>28</v>
      </c>
      <c r="AF1478">
        <v>71</v>
      </c>
      <c r="AI1478">
        <v>29</v>
      </c>
      <c r="AJ1478">
        <v>131</v>
      </c>
      <c r="AK1478">
        <v>70</v>
      </c>
      <c r="AX1478">
        <v>43</v>
      </c>
      <c r="AY1478">
        <v>52</v>
      </c>
      <c r="AZ1478">
        <v>95</v>
      </c>
      <c r="BA1478">
        <v>168</v>
      </c>
      <c r="BB1478">
        <v>166</v>
      </c>
      <c r="BC1478">
        <v>334</v>
      </c>
      <c r="BD1478">
        <v>120</v>
      </c>
      <c r="BE1478">
        <v>139</v>
      </c>
      <c r="BF1478">
        <v>259</v>
      </c>
      <c r="BG1478">
        <v>230</v>
      </c>
      <c r="BH1478">
        <v>204</v>
      </c>
      <c r="BI1478">
        <v>434</v>
      </c>
      <c r="BP1478">
        <v>162</v>
      </c>
      <c r="BR1478">
        <v>272</v>
      </c>
      <c r="BS1478">
        <v>40</v>
      </c>
      <c r="BT1478">
        <v>79</v>
      </c>
      <c r="BU1478">
        <v>8</v>
      </c>
      <c r="BV1478">
        <v>0</v>
      </c>
      <c r="BW1478">
        <v>561</v>
      </c>
      <c r="BX1478">
        <f t="shared" si="173"/>
        <v>564</v>
      </c>
      <c r="BY1478" s="5">
        <f t="shared" si="172"/>
        <v>-5.3191489361702126E-3</v>
      </c>
      <c r="BZ1478" s="6">
        <f t="shared" si="171"/>
        <v>-5.3191489361702126E-3</v>
      </c>
      <c r="CA1478" s="7">
        <v>44878</v>
      </c>
      <c r="CE1478">
        <v>152</v>
      </c>
      <c r="CF1478">
        <v>204</v>
      </c>
      <c r="CG1478">
        <v>205</v>
      </c>
      <c r="CI1478">
        <f t="shared" si="174"/>
        <v>2022</v>
      </c>
      <c r="CJ1478" t="str">
        <f t="shared" si="175"/>
        <v>6615_2022</v>
      </c>
    </row>
    <row r="1479" spans="1:88" x14ac:dyDescent="0.25">
      <c r="A1479" t="s">
        <v>111</v>
      </c>
      <c r="B1479" t="s">
        <v>135</v>
      </c>
      <c r="C1479">
        <v>6616</v>
      </c>
      <c r="D1479">
        <v>-37.768743999999998</v>
      </c>
      <c r="E1479">
        <v>144.937657</v>
      </c>
      <c r="F1479">
        <v>2</v>
      </c>
      <c r="G1479" t="s">
        <v>564</v>
      </c>
      <c r="H1479">
        <v>5</v>
      </c>
      <c r="I1479">
        <v>185</v>
      </c>
      <c r="J1479">
        <v>240</v>
      </c>
      <c r="K1479">
        <v>60</v>
      </c>
      <c r="T1479">
        <v>178</v>
      </c>
      <c r="Y1479">
        <v>163</v>
      </c>
      <c r="AX1479">
        <v>178</v>
      </c>
      <c r="AY1479">
        <v>163</v>
      </c>
      <c r="AZ1479">
        <v>341</v>
      </c>
      <c r="BA1479">
        <v>163</v>
      </c>
      <c r="BB1479">
        <v>178</v>
      </c>
      <c r="BC1479">
        <v>341</v>
      </c>
      <c r="BP1479">
        <v>209</v>
      </c>
      <c r="BR1479">
        <v>28</v>
      </c>
      <c r="BS1479">
        <v>30</v>
      </c>
      <c r="BT1479">
        <v>72</v>
      </c>
      <c r="BV1479">
        <v>2</v>
      </c>
      <c r="BW1479">
        <v>341</v>
      </c>
      <c r="BX1479" t="s">
        <v>82</v>
      </c>
      <c r="BY1479" s="5"/>
      <c r="BZ1479" s="6"/>
      <c r="CA1479" s="7">
        <v>41952</v>
      </c>
      <c r="CI1479">
        <f t="shared" si="174"/>
        <v>2014</v>
      </c>
      <c r="CJ1479" t="str">
        <f t="shared" si="175"/>
        <v>6616_2014</v>
      </c>
    </row>
    <row r="1480" spans="1:88" x14ac:dyDescent="0.25">
      <c r="A1480" t="s">
        <v>111</v>
      </c>
      <c r="B1480" t="s">
        <v>135</v>
      </c>
      <c r="C1480">
        <v>6616</v>
      </c>
      <c r="D1480">
        <v>-37.768743999999998</v>
      </c>
      <c r="E1480">
        <v>144.937657</v>
      </c>
      <c r="F1480">
        <v>2</v>
      </c>
      <c r="G1480" t="s">
        <v>564</v>
      </c>
      <c r="H1480">
        <v>5</v>
      </c>
      <c r="I1480">
        <v>185</v>
      </c>
      <c r="J1480">
        <v>240</v>
      </c>
      <c r="K1480">
        <v>60</v>
      </c>
      <c r="T1480">
        <v>209</v>
      </c>
      <c r="Y1480">
        <v>210</v>
      </c>
      <c r="AX1480">
        <v>209</v>
      </c>
      <c r="AY1480">
        <v>210</v>
      </c>
      <c r="AZ1480">
        <v>419</v>
      </c>
      <c r="BA1480">
        <v>210</v>
      </c>
      <c r="BB1480">
        <v>209</v>
      </c>
      <c r="BC1480">
        <v>419</v>
      </c>
      <c r="BP1480">
        <v>301</v>
      </c>
      <c r="BR1480">
        <v>47</v>
      </c>
      <c r="BS1480">
        <v>43</v>
      </c>
      <c r="BT1480">
        <v>23</v>
      </c>
      <c r="BV1480">
        <v>5</v>
      </c>
      <c r="BW1480">
        <v>419</v>
      </c>
      <c r="BX1480">
        <f>IF(C1480=C1479,IF((CI1480-1)=CI1479,BW1479,"no data"))</f>
        <v>341</v>
      </c>
      <c r="BY1480" s="5">
        <f t="shared" si="172"/>
        <v>0.22873900293255131</v>
      </c>
      <c r="BZ1480" s="6">
        <f t="shared" si="171"/>
        <v>0.22873900293255131</v>
      </c>
      <c r="CA1480" s="7">
        <v>42316</v>
      </c>
      <c r="CE1480">
        <v>116</v>
      </c>
      <c r="CF1480">
        <v>107</v>
      </c>
      <c r="CG1480">
        <v>114</v>
      </c>
      <c r="CH1480">
        <v>82</v>
      </c>
      <c r="CI1480">
        <f t="shared" si="174"/>
        <v>2015</v>
      </c>
      <c r="CJ1480" t="str">
        <f t="shared" si="175"/>
        <v>6616_2015</v>
      </c>
    </row>
    <row r="1481" spans="1:88" x14ac:dyDescent="0.25">
      <c r="A1481" t="s">
        <v>111</v>
      </c>
      <c r="B1481" t="s">
        <v>135</v>
      </c>
      <c r="C1481">
        <v>6616</v>
      </c>
      <c r="D1481">
        <v>-37.768743999999998</v>
      </c>
      <c r="E1481">
        <v>144.937657</v>
      </c>
      <c r="F1481">
        <v>2</v>
      </c>
      <c r="G1481" t="s">
        <v>564</v>
      </c>
      <c r="H1481">
        <v>5</v>
      </c>
      <c r="I1481">
        <v>185</v>
      </c>
      <c r="J1481">
        <v>240</v>
      </c>
      <c r="K1481">
        <v>60</v>
      </c>
      <c r="T1481">
        <v>13</v>
      </c>
      <c r="Y1481">
        <v>21</v>
      </c>
      <c r="AX1481">
        <v>13</v>
      </c>
      <c r="AY1481">
        <v>21</v>
      </c>
      <c r="AZ1481">
        <v>34</v>
      </c>
      <c r="BA1481">
        <v>21</v>
      </c>
      <c r="BB1481">
        <v>13</v>
      </c>
      <c r="BC1481">
        <v>34</v>
      </c>
      <c r="BP1481">
        <v>14</v>
      </c>
      <c r="BR1481">
        <v>8</v>
      </c>
      <c r="BS1481">
        <v>7</v>
      </c>
      <c r="BT1481">
        <v>5</v>
      </c>
      <c r="BV1481">
        <v>0</v>
      </c>
      <c r="BW1481">
        <v>34</v>
      </c>
      <c r="BX1481">
        <f>IF(C1481=C1480,IF((CI1481-1)=CI1480,BW1480,"no data"))</f>
        <v>419</v>
      </c>
      <c r="BY1481" s="5">
        <f t="shared" si="172"/>
        <v>-0.91885441527446299</v>
      </c>
      <c r="BZ1481" s="6">
        <f t="shared" si="171"/>
        <v>-0.91885441527446299</v>
      </c>
      <c r="CA1481" s="7">
        <v>42687</v>
      </c>
      <c r="CE1481">
        <v>6</v>
      </c>
      <c r="CF1481">
        <v>6</v>
      </c>
      <c r="CG1481">
        <v>15</v>
      </c>
      <c r="CH1481">
        <v>7</v>
      </c>
      <c r="CI1481">
        <f t="shared" si="174"/>
        <v>2016</v>
      </c>
      <c r="CJ1481" t="str">
        <f t="shared" si="175"/>
        <v>6616_2016</v>
      </c>
    </row>
    <row r="1482" spans="1:88" x14ac:dyDescent="0.25">
      <c r="A1482" t="s">
        <v>111</v>
      </c>
      <c r="B1482" t="s">
        <v>135</v>
      </c>
      <c r="C1482">
        <v>6616</v>
      </c>
      <c r="D1482">
        <v>-37.768743999999998</v>
      </c>
      <c r="E1482">
        <v>144.937657</v>
      </c>
      <c r="F1482">
        <v>2</v>
      </c>
      <c r="G1482" t="s">
        <v>564</v>
      </c>
      <c r="H1482">
        <v>5</v>
      </c>
      <c r="I1482">
        <v>185</v>
      </c>
      <c r="J1482">
        <v>240</v>
      </c>
      <c r="K1482">
        <v>60</v>
      </c>
      <c r="T1482">
        <v>145</v>
      </c>
      <c r="Y1482">
        <v>116</v>
      </c>
      <c r="AX1482">
        <v>145</v>
      </c>
      <c r="AY1482">
        <v>116</v>
      </c>
      <c r="AZ1482">
        <v>261</v>
      </c>
      <c r="BA1482">
        <v>116</v>
      </c>
      <c r="BB1482">
        <v>145</v>
      </c>
      <c r="BC1482">
        <v>261</v>
      </c>
      <c r="BP1482">
        <v>216</v>
      </c>
      <c r="BR1482">
        <v>8</v>
      </c>
      <c r="BS1482">
        <v>29</v>
      </c>
      <c r="BT1482">
        <v>4</v>
      </c>
      <c r="BV1482">
        <v>4</v>
      </c>
      <c r="BW1482">
        <v>261</v>
      </c>
      <c r="BX1482">
        <f>IF(C1482=C1481,IF((CI1482-1)=CI1481,BW1481,"no data"))</f>
        <v>34</v>
      </c>
      <c r="BY1482" s="5">
        <f t="shared" si="172"/>
        <v>6.6764705882352944</v>
      </c>
      <c r="BZ1482" s="6">
        <f t="shared" ref="BZ1482:BZ1539" si="176">BY1482</f>
        <v>6.6764705882352944</v>
      </c>
      <c r="CA1482" s="7">
        <v>43051</v>
      </c>
      <c r="CE1482">
        <v>63</v>
      </c>
      <c r="CF1482">
        <v>61</v>
      </c>
      <c r="CG1482">
        <v>65</v>
      </c>
      <c r="CH1482">
        <v>72</v>
      </c>
      <c r="CI1482">
        <f t="shared" si="174"/>
        <v>2017</v>
      </c>
      <c r="CJ1482" t="str">
        <f t="shared" si="175"/>
        <v>6616_2017</v>
      </c>
    </row>
    <row r="1483" spans="1:88" x14ac:dyDescent="0.25">
      <c r="A1483" t="s">
        <v>111</v>
      </c>
      <c r="B1483" t="s">
        <v>135</v>
      </c>
      <c r="C1483">
        <v>6616</v>
      </c>
      <c r="D1483">
        <v>-37.768743999999998</v>
      </c>
      <c r="E1483">
        <v>144.937657</v>
      </c>
      <c r="F1483">
        <v>2</v>
      </c>
      <c r="G1483" t="s">
        <v>564</v>
      </c>
      <c r="H1483">
        <v>5</v>
      </c>
      <c r="I1483">
        <v>185</v>
      </c>
      <c r="J1483">
        <v>240</v>
      </c>
      <c r="K1483">
        <v>60</v>
      </c>
      <c r="T1483">
        <v>217</v>
      </c>
      <c r="Y1483">
        <v>208</v>
      </c>
      <c r="AX1483">
        <v>217</v>
      </c>
      <c r="AY1483">
        <v>208</v>
      </c>
      <c r="AZ1483">
        <v>425</v>
      </c>
      <c r="BA1483">
        <v>208</v>
      </c>
      <c r="BB1483">
        <v>217</v>
      </c>
      <c r="BC1483">
        <v>425</v>
      </c>
      <c r="BP1483">
        <v>239</v>
      </c>
      <c r="BR1483">
        <v>86</v>
      </c>
      <c r="BS1483">
        <v>47</v>
      </c>
      <c r="BT1483">
        <v>52</v>
      </c>
      <c r="BV1483">
        <v>1</v>
      </c>
      <c r="BW1483">
        <v>425</v>
      </c>
      <c r="BX1483">
        <f>IF(C1483=C1482,IF((CI1483-1)=CI1482,BW1482,"no data"))</f>
        <v>261</v>
      </c>
      <c r="BY1483" s="5">
        <f t="shared" si="172"/>
        <v>0.62835249042145591</v>
      </c>
      <c r="BZ1483" s="6">
        <f t="shared" si="176"/>
        <v>0.62835249042145591</v>
      </c>
      <c r="CA1483" s="7">
        <v>43415</v>
      </c>
      <c r="CE1483">
        <v>116</v>
      </c>
      <c r="CF1483">
        <v>98</v>
      </c>
      <c r="CG1483">
        <v>109</v>
      </c>
      <c r="CH1483">
        <v>102</v>
      </c>
      <c r="CI1483">
        <f t="shared" si="174"/>
        <v>2018</v>
      </c>
      <c r="CJ1483" t="str">
        <f t="shared" si="175"/>
        <v>6616_2018</v>
      </c>
    </row>
    <row r="1484" spans="1:88" x14ac:dyDescent="0.25">
      <c r="A1484" t="s">
        <v>111</v>
      </c>
      <c r="B1484" t="s">
        <v>135</v>
      </c>
      <c r="C1484">
        <v>6617</v>
      </c>
      <c r="D1484">
        <v>-37.770071999999999</v>
      </c>
      <c r="E1484">
        <v>144.90203399999999</v>
      </c>
      <c r="F1484">
        <v>3</v>
      </c>
      <c r="G1484" t="s">
        <v>565</v>
      </c>
      <c r="H1484">
        <v>25</v>
      </c>
      <c r="I1484">
        <v>205</v>
      </c>
      <c r="J1484">
        <v>99</v>
      </c>
      <c r="K1484">
        <v>279</v>
      </c>
      <c r="L1484">
        <v>279</v>
      </c>
      <c r="M1484">
        <v>99</v>
      </c>
      <c r="T1484">
        <v>1073</v>
      </c>
      <c r="U1484">
        <v>4</v>
      </c>
      <c r="Y1484">
        <v>502</v>
      </c>
      <c r="Z1484">
        <v>45</v>
      </c>
      <c r="AD1484">
        <v>7</v>
      </c>
      <c r="AE1484">
        <v>38</v>
      </c>
      <c r="AX1484">
        <v>1077</v>
      </c>
      <c r="AY1484">
        <v>509</v>
      </c>
      <c r="AZ1484">
        <v>1586</v>
      </c>
      <c r="BA1484">
        <v>547</v>
      </c>
      <c r="BB1484">
        <v>1111</v>
      </c>
      <c r="BC1484">
        <v>1658</v>
      </c>
      <c r="BD1484">
        <v>45</v>
      </c>
      <c r="BE1484">
        <v>49</v>
      </c>
      <c r="BF1484">
        <v>94</v>
      </c>
      <c r="BP1484">
        <v>174</v>
      </c>
      <c r="BR1484">
        <v>1035</v>
      </c>
      <c r="BS1484">
        <v>262</v>
      </c>
      <c r="BT1484">
        <v>148</v>
      </c>
      <c r="BV1484">
        <v>50</v>
      </c>
      <c r="BW1484">
        <v>1669</v>
      </c>
      <c r="BX1484" t="s">
        <v>82</v>
      </c>
      <c r="BY1484" s="5"/>
      <c r="BZ1484" s="6"/>
      <c r="CA1484" s="7">
        <v>41952</v>
      </c>
      <c r="CI1484">
        <f t="shared" si="174"/>
        <v>2014</v>
      </c>
      <c r="CJ1484" t="str">
        <f t="shared" si="175"/>
        <v>6617_2014</v>
      </c>
    </row>
    <row r="1485" spans="1:88" x14ac:dyDescent="0.25">
      <c r="A1485" t="s">
        <v>111</v>
      </c>
      <c r="B1485" t="s">
        <v>135</v>
      </c>
      <c r="C1485">
        <v>6617</v>
      </c>
      <c r="D1485">
        <v>-37.770071999999999</v>
      </c>
      <c r="E1485">
        <v>144.90203399999999</v>
      </c>
      <c r="F1485">
        <v>3</v>
      </c>
      <c r="G1485" t="s">
        <v>565</v>
      </c>
      <c r="H1485">
        <v>25</v>
      </c>
      <c r="I1485">
        <v>205</v>
      </c>
      <c r="J1485">
        <v>99</v>
      </c>
      <c r="K1485">
        <v>279</v>
      </c>
      <c r="L1485">
        <v>279</v>
      </c>
      <c r="M1485">
        <v>99</v>
      </c>
      <c r="T1485">
        <v>149</v>
      </c>
      <c r="U1485">
        <v>416</v>
      </c>
      <c r="Y1485">
        <v>276</v>
      </c>
      <c r="Z1485">
        <v>78</v>
      </c>
      <c r="AD1485">
        <v>1166</v>
      </c>
      <c r="AE1485">
        <v>131</v>
      </c>
      <c r="AX1485">
        <v>565</v>
      </c>
      <c r="AY1485">
        <v>1442</v>
      </c>
      <c r="AZ1485">
        <v>2007</v>
      </c>
      <c r="BA1485">
        <v>354</v>
      </c>
      <c r="BB1485">
        <v>280</v>
      </c>
      <c r="BC1485">
        <v>634</v>
      </c>
      <c r="BD1485">
        <v>1297</v>
      </c>
      <c r="BE1485">
        <v>494</v>
      </c>
      <c r="BF1485">
        <v>1791</v>
      </c>
      <c r="BP1485">
        <v>244</v>
      </c>
      <c r="BR1485">
        <v>1418</v>
      </c>
      <c r="BS1485">
        <v>315</v>
      </c>
      <c r="BT1485">
        <v>165</v>
      </c>
      <c r="BV1485">
        <v>74</v>
      </c>
      <c r="BW1485">
        <v>2216</v>
      </c>
      <c r="BX1485">
        <f>IF(C1485=C1484,IF((CI1485-1)=CI1484,BW1484,"no data"))</f>
        <v>1669</v>
      </c>
      <c r="BY1485" s="5">
        <f t="shared" ref="BY1485:BY1547" si="177">(BW1485-BX1485)/BX1485</f>
        <v>0.32774116237267825</v>
      </c>
      <c r="BZ1485" s="6">
        <f t="shared" si="176"/>
        <v>0.32774116237267825</v>
      </c>
      <c r="CA1485" s="7">
        <v>42316</v>
      </c>
      <c r="CE1485">
        <v>587</v>
      </c>
      <c r="CF1485">
        <v>569</v>
      </c>
      <c r="CG1485">
        <v>618</v>
      </c>
      <c r="CH1485">
        <v>442</v>
      </c>
      <c r="CI1485">
        <f t="shared" si="174"/>
        <v>2015</v>
      </c>
      <c r="CJ1485" t="str">
        <f t="shared" si="175"/>
        <v>6617_2015</v>
      </c>
    </row>
    <row r="1486" spans="1:88" x14ac:dyDescent="0.25">
      <c r="A1486" t="s">
        <v>111</v>
      </c>
      <c r="B1486" t="s">
        <v>135</v>
      </c>
      <c r="C1486">
        <v>6617</v>
      </c>
      <c r="D1486">
        <v>-37.770071999999999</v>
      </c>
      <c r="E1486">
        <v>144.90203399999999</v>
      </c>
      <c r="F1486">
        <v>3</v>
      </c>
      <c r="G1486" t="s">
        <v>565</v>
      </c>
      <c r="H1486">
        <v>25</v>
      </c>
      <c r="I1486">
        <v>205</v>
      </c>
      <c r="J1486">
        <v>99</v>
      </c>
      <c r="K1486">
        <v>279</v>
      </c>
      <c r="L1486">
        <v>279</v>
      </c>
      <c r="M1486">
        <v>99</v>
      </c>
      <c r="T1486">
        <v>76</v>
      </c>
      <c r="U1486">
        <v>157</v>
      </c>
      <c r="Y1486">
        <v>125</v>
      </c>
      <c r="Z1486">
        <v>48</v>
      </c>
      <c r="AD1486">
        <v>381</v>
      </c>
      <c r="AE1486">
        <v>58</v>
      </c>
      <c r="AX1486">
        <v>233</v>
      </c>
      <c r="AY1486">
        <v>506</v>
      </c>
      <c r="AZ1486">
        <v>739</v>
      </c>
      <c r="BA1486">
        <v>173</v>
      </c>
      <c r="BB1486">
        <v>134</v>
      </c>
      <c r="BC1486">
        <v>307</v>
      </c>
      <c r="BD1486">
        <v>439</v>
      </c>
      <c r="BE1486">
        <v>205</v>
      </c>
      <c r="BF1486">
        <v>644</v>
      </c>
      <c r="BP1486">
        <v>65</v>
      </c>
      <c r="BR1486">
        <v>500</v>
      </c>
      <c r="BS1486">
        <v>166</v>
      </c>
      <c r="BT1486">
        <v>92</v>
      </c>
      <c r="BV1486">
        <v>22</v>
      </c>
      <c r="BW1486">
        <v>845</v>
      </c>
      <c r="BX1486">
        <f>IF(C1486=C1485,IF((CI1486-1)=CI1485,BW1485,"no data"))</f>
        <v>2216</v>
      </c>
      <c r="BY1486" s="5">
        <f t="shared" si="177"/>
        <v>-0.6186823104693141</v>
      </c>
      <c r="BZ1486" s="6">
        <f t="shared" si="176"/>
        <v>-0.6186823104693141</v>
      </c>
      <c r="CA1486" s="7">
        <v>42687</v>
      </c>
      <c r="CE1486">
        <v>271</v>
      </c>
      <c r="CF1486">
        <v>250</v>
      </c>
      <c r="CG1486">
        <v>140</v>
      </c>
      <c r="CH1486">
        <v>184</v>
      </c>
      <c r="CI1486">
        <f t="shared" si="174"/>
        <v>2016</v>
      </c>
      <c r="CJ1486" t="str">
        <f t="shared" si="175"/>
        <v>6617_2016</v>
      </c>
    </row>
    <row r="1487" spans="1:88" x14ac:dyDescent="0.25">
      <c r="A1487" t="s">
        <v>111</v>
      </c>
      <c r="B1487" t="s">
        <v>135</v>
      </c>
      <c r="C1487">
        <v>6617</v>
      </c>
      <c r="D1487">
        <v>-37.770071999999999</v>
      </c>
      <c r="E1487">
        <v>144.90203399999999</v>
      </c>
      <c r="F1487">
        <v>3</v>
      </c>
      <c r="G1487" t="s">
        <v>565</v>
      </c>
      <c r="H1487">
        <v>25</v>
      </c>
      <c r="I1487">
        <v>205</v>
      </c>
      <c r="J1487">
        <v>99</v>
      </c>
      <c r="K1487">
        <v>279</v>
      </c>
      <c r="L1487">
        <v>279</v>
      </c>
      <c r="M1487">
        <v>99</v>
      </c>
      <c r="T1487">
        <v>164</v>
      </c>
      <c r="U1487">
        <v>266</v>
      </c>
      <c r="Y1487">
        <v>238</v>
      </c>
      <c r="Z1487">
        <v>64</v>
      </c>
      <c r="AD1487">
        <v>787</v>
      </c>
      <c r="AE1487">
        <v>96</v>
      </c>
      <c r="AX1487">
        <v>430</v>
      </c>
      <c r="AY1487">
        <v>1025</v>
      </c>
      <c r="AZ1487">
        <v>1455</v>
      </c>
      <c r="BA1487">
        <v>302</v>
      </c>
      <c r="BB1487">
        <v>260</v>
      </c>
      <c r="BC1487">
        <v>562</v>
      </c>
      <c r="BD1487">
        <v>883</v>
      </c>
      <c r="BE1487">
        <v>330</v>
      </c>
      <c r="BF1487">
        <v>1213</v>
      </c>
      <c r="BP1487">
        <v>152</v>
      </c>
      <c r="BR1487">
        <v>1043</v>
      </c>
      <c r="BS1487">
        <v>215</v>
      </c>
      <c r="BT1487">
        <v>160</v>
      </c>
      <c r="BV1487">
        <v>45</v>
      </c>
      <c r="BW1487">
        <v>1615</v>
      </c>
      <c r="BX1487">
        <f>IF(C1487=C1486,IF((CI1487-1)=CI1486,BW1486,"no data"))</f>
        <v>845</v>
      </c>
      <c r="BY1487" s="5">
        <f t="shared" si="177"/>
        <v>0.91124260355029585</v>
      </c>
      <c r="BZ1487" s="6">
        <f t="shared" si="176"/>
        <v>0.91124260355029585</v>
      </c>
      <c r="CA1487" s="7">
        <v>43051</v>
      </c>
      <c r="CE1487">
        <v>482</v>
      </c>
      <c r="CF1487">
        <v>454</v>
      </c>
      <c r="CG1487">
        <v>378</v>
      </c>
      <c r="CH1487">
        <v>301</v>
      </c>
      <c r="CI1487">
        <f t="shared" si="174"/>
        <v>2017</v>
      </c>
      <c r="CJ1487" t="str">
        <f t="shared" si="175"/>
        <v>6617_2017</v>
      </c>
    </row>
    <row r="1488" spans="1:88" x14ac:dyDescent="0.25">
      <c r="A1488" t="s">
        <v>111</v>
      </c>
      <c r="B1488" t="s">
        <v>135</v>
      </c>
      <c r="C1488">
        <v>6617</v>
      </c>
      <c r="D1488">
        <v>-37.770071999999999</v>
      </c>
      <c r="E1488">
        <v>144.90203399999999</v>
      </c>
      <c r="F1488">
        <v>3</v>
      </c>
      <c r="G1488" t="s">
        <v>565</v>
      </c>
      <c r="H1488">
        <v>25</v>
      </c>
      <c r="I1488">
        <v>205</v>
      </c>
      <c r="J1488">
        <v>99</v>
      </c>
      <c r="K1488">
        <v>279</v>
      </c>
      <c r="L1488">
        <v>279</v>
      </c>
      <c r="M1488">
        <v>99</v>
      </c>
      <c r="T1488">
        <v>109</v>
      </c>
      <c r="U1488">
        <v>495</v>
      </c>
      <c r="Y1488">
        <v>111</v>
      </c>
      <c r="Z1488">
        <v>79</v>
      </c>
      <c r="AD1488">
        <v>1113</v>
      </c>
      <c r="AE1488">
        <v>96</v>
      </c>
      <c r="AX1488">
        <v>604</v>
      </c>
      <c r="AY1488">
        <v>1224</v>
      </c>
      <c r="AZ1488">
        <v>1828</v>
      </c>
      <c r="BA1488">
        <v>190</v>
      </c>
      <c r="BB1488">
        <v>205</v>
      </c>
      <c r="BC1488">
        <v>395</v>
      </c>
      <c r="BD1488">
        <v>1209</v>
      </c>
      <c r="BE1488">
        <v>574</v>
      </c>
      <c r="BF1488">
        <v>1783</v>
      </c>
      <c r="BP1488">
        <v>212</v>
      </c>
      <c r="BR1488">
        <v>1290</v>
      </c>
      <c r="BS1488">
        <v>215</v>
      </c>
      <c r="BT1488">
        <v>202</v>
      </c>
      <c r="BV1488">
        <v>84</v>
      </c>
      <c r="BW1488">
        <v>2003</v>
      </c>
      <c r="BX1488">
        <f>IF(C1488=C1487,IF((CI1488-1)=CI1487,BW1487,"no data"))</f>
        <v>1615</v>
      </c>
      <c r="BY1488" s="5">
        <f t="shared" si="177"/>
        <v>0.24024767801857586</v>
      </c>
      <c r="BZ1488" s="6">
        <f t="shared" si="176"/>
        <v>0.24024767801857586</v>
      </c>
      <c r="CA1488" s="7">
        <v>43415</v>
      </c>
      <c r="CE1488">
        <v>452</v>
      </c>
      <c r="CF1488">
        <v>674</v>
      </c>
      <c r="CG1488">
        <v>463</v>
      </c>
      <c r="CH1488">
        <v>414</v>
      </c>
      <c r="CI1488">
        <f t="shared" si="174"/>
        <v>2018</v>
      </c>
      <c r="CJ1488" t="str">
        <f t="shared" si="175"/>
        <v>6617_2018</v>
      </c>
    </row>
    <row r="1489" spans="1:88" x14ac:dyDescent="0.25">
      <c r="A1489" t="s">
        <v>111</v>
      </c>
      <c r="B1489" t="s">
        <v>244</v>
      </c>
      <c r="C1489">
        <v>6618</v>
      </c>
      <c r="D1489">
        <v>-37.849350999999999</v>
      </c>
      <c r="E1489">
        <v>145.110614</v>
      </c>
      <c r="F1489">
        <v>3</v>
      </c>
      <c r="G1489" t="s">
        <v>566</v>
      </c>
      <c r="H1489">
        <v>12</v>
      </c>
      <c r="I1489">
        <v>192</v>
      </c>
      <c r="J1489">
        <v>96</v>
      </c>
      <c r="K1489">
        <v>276</v>
      </c>
      <c r="L1489">
        <v>271</v>
      </c>
      <c r="M1489">
        <v>91</v>
      </c>
      <c r="T1489">
        <v>2</v>
      </c>
      <c r="U1489">
        <v>32</v>
      </c>
      <c r="Y1489">
        <v>1</v>
      </c>
      <c r="Z1489">
        <v>49</v>
      </c>
      <c r="AD1489">
        <v>48</v>
      </c>
      <c r="AE1489">
        <v>40</v>
      </c>
      <c r="AX1489">
        <v>34</v>
      </c>
      <c r="AY1489">
        <v>49</v>
      </c>
      <c r="AZ1489">
        <v>83</v>
      </c>
      <c r="BA1489">
        <v>50</v>
      </c>
      <c r="BB1489">
        <v>42</v>
      </c>
      <c r="BC1489">
        <v>92</v>
      </c>
      <c r="BD1489">
        <v>88</v>
      </c>
      <c r="BE1489">
        <v>81</v>
      </c>
      <c r="BF1489">
        <v>169</v>
      </c>
      <c r="BP1489">
        <v>108</v>
      </c>
      <c r="BR1489">
        <v>39</v>
      </c>
      <c r="BS1489">
        <v>0</v>
      </c>
      <c r="BT1489">
        <v>19</v>
      </c>
      <c r="BV1489">
        <v>6</v>
      </c>
      <c r="BW1489">
        <v>172</v>
      </c>
      <c r="BX1489" t="s">
        <v>82</v>
      </c>
      <c r="BY1489" s="5"/>
      <c r="BZ1489" s="6"/>
      <c r="CA1489" s="7">
        <v>41952</v>
      </c>
      <c r="CI1489">
        <f t="shared" si="174"/>
        <v>2014</v>
      </c>
      <c r="CJ1489" t="str">
        <f t="shared" si="175"/>
        <v>6618_2014</v>
      </c>
    </row>
    <row r="1490" spans="1:88" x14ac:dyDescent="0.25">
      <c r="A1490" t="s">
        <v>111</v>
      </c>
      <c r="B1490" t="s">
        <v>244</v>
      </c>
      <c r="C1490">
        <v>6618</v>
      </c>
      <c r="D1490">
        <v>-37.849350999999999</v>
      </c>
      <c r="E1490">
        <v>145.110614</v>
      </c>
      <c r="F1490">
        <v>3</v>
      </c>
      <c r="G1490" t="s">
        <v>566</v>
      </c>
      <c r="H1490">
        <v>12</v>
      </c>
      <c r="I1490">
        <v>192</v>
      </c>
      <c r="J1490">
        <v>96</v>
      </c>
      <c r="K1490">
        <v>276</v>
      </c>
      <c r="L1490">
        <v>271</v>
      </c>
      <c r="M1490">
        <v>91</v>
      </c>
      <c r="T1490">
        <v>42</v>
      </c>
      <c r="U1490">
        <v>58</v>
      </c>
      <c r="Y1490">
        <v>48</v>
      </c>
      <c r="Z1490">
        <v>54</v>
      </c>
      <c r="AD1490">
        <v>54</v>
      </c>
      <c r="AE1490">
        <v>29</v>
      </c>
      <c r="AX1490">
        <v>100</v>
      </c>
      <c r="AY1490">
        <v>102</v>
      </c>
      <c r="AZ1490">
        <v>202</v>
      </c>
      <c r="BA1490">
        <v>102</v>
      </c>
      <c r="BB1490">
        <v>71</v>
      </c>
      <c r="BC1490">
        <v>173</v>
      </c>
      <c r="BD1490">
        <v>83</v>
      </c>
      <c r="BE1490">
        <v>112</v>
      </c>
      <c r="BF1490">
        <v>195</v>
      </c>
      <c r="BP1490">
        <v>129</v>
      </c>
      <c r="BR1490">
        <v>94</v>
      </c>
      <c r="BS1490">
        <v>31</v>
      </c>
      <c r="BT1490">
        <v>28</v>
      </c>
      <c r="BV1490">
        <v>3</v>
      </c>
      <c r="BW1490">
        <v>285</v>
      </c>
      <c r="BX1490">
        <f>IF(C1490=C1489,IF((CI1490-1)=CI1489,BW1489,"no data"))</f>
        <v>172</v>
      </c>
      <c r="BY1490" s="5">
        <f t="shared" si="177"/>
        <v>0.65697674418604646</v>
      </c>
      <c r="BZ1490" s="6">
        <f t="shared" si="176"/>
        <v>0.65697674418604646</v>
      </c>
      <c r="CA1490" s="7">
        <v>42316</v>
      </c>
      <c r="CE1490">
        <v>83</v>
      </c>
      <c r="CF1490">
        <v>114</v>
      </c>
      <c r="CG1490">
        <v>40</v>
      </c>
      <c r="CH1490">
        <v>48</v>
      </c>
      <c r="CI1490">
        <f t="shared" si="174"/>
        <v>2015</v>
      </c>
      <c r="CJ1490" t="str">
        <f t="shared" si="175"/>
        <v>6618_2015</v>
      </c>
    </row>
    <row r="1491" spans="1:88" x14ac:dyDescent="0.25">
      <c r="A1491" t="s">
        <v>111</v>
      </c>
      <c r="B1491" t="s">
        <v>244</v>
      </c>
      <c r="C1491">
        <v>6618</v>
      </c>
      <c r="D1491">
        <v>-37.849350999999999</v>
      </c>
      <c r="E1491">
        <v>145.110614</v>
      </c>
      <c r="F1491">
        <v>3</v>
      </c>
      <c r="G1491" t="s">
        <v>566</v>
      </c>
      <c r="H1491">
        <v>12</v>
      </c>
      <c r="I1491">
        <v>192</v>
      </c>
      <c r="J1491">
        <v>96</v>
      </c>
      <c r="K1491">
        <v>276</v>
      </c>
      <c r="L1491">
        <v>271</v>
      </c>
      <c r="M1491">
        <v>91</v>
      </c>
      <c r="T1491">
        <v>0</v>
      </c>
      <c r="U1491">
        <v>26</v>
      </c>
      <c r="Y1491">
        <v>4</v>
      </c>
      <c r="Z1491">
        <v>10</v>
      </c>
      <c r="AD1491">
        <v>26</v>
      </c>
      <c r="AE1491">
        <v>20</v>
      </c>
      <c r="AX1491">
        <v>26</v>
      </c>
      <c r="AY1491">
        <v>30</v>
      </c>
      <c r="AZ1491">
        <v>56</v>
      </c>
      <c r="BA1491">
        <v>14</v>
      </c>
      <c r="BB1491">
        <v>20</v>
      </c>
      <c r="BC1491">
        <v>34</v>
      </c>
      <c r="BD1491">
        <v>46</v>
      </c>
      <c r="BE1491">
        <v>36</v>
      </c>
      <c r="BF1491">
        <v>82</v>
      </c>
      <c r="BP1491">
        <v>10</v>
      </c>
      <c r="BR1491">
        <v>36</v>
      </c>
      <c r="BS1491">
        <v>33</v>
      </c>
      <c r="BT1491">
        <v>6</v>
      </c>
      <c r="BV1491">
        <v>1</v>
      </c>
      <c r="BW1491">
        <v>86</v>
      </c>
      <c r="BX1491">
        <f>IF(C1491=C1490,IF((CI1491-1)=CI1490,BW1490,"no data"))</f>
        <v>285</v>
      </c>
      <c r="BY1491" s="5">
        <f t="shared" si="177"/>
        <v>-0.69824561403508767</v>
      </c>
      <c r="BZ1491" s="6">
        <f t="shared" si="176"/>
        <v>-0.69824561403508767</v>
      </c>
      <c r="CA1491" s="7">
        <v>42687</v>
      </c>
      <c r="CE1491">
        <v>16</v>
      </c>
      <c r="CF1491">
        <v>41</v>
      </c>
      <c r="CG1491">
        <v>19</v>
      </c>
      <c r="CH1491">
        <v>10</v>
      </c>
      <c r="CI1491">
        <f t="shared" si="174"/>
        <v>2016</v>
      </c>
      <c r="CJ1491" t="str">
        <f t="shared" si="175"/>
        <v>6618_2016</v>
      </c>
    </row>
    <row r="1492" spans="1:88" x14ac:dyDescent="0.25">
      <c r="A1492" t="s">
        <v>111</v>
      </c>
      <c r="B1492" t="s">
        <v>244</v>
      </c>
      <c r="C1492">
        <v>6618</v>
      </c>
      <c r="D1492">
        <v>-37.849350999999999</v>
      </c>
      <c r="E1492">
        <v>145.110614</v>
      </c>
      <c r="F1492">
        <v>3</v>
      </c>
      <c r="G1492" t="s">
        <v>566</v>
      </c>
      <c r="H1492">
        <v>12</v>
      </c>
      <c r="I1492">
        <v>192</v>
      </c>
      <c r="J1492">
        <v>96</v>
      </c>
      <c r="K1492">
        <v>276</v>
      </c>
      <c r="L1492">
        <v>271</v>
      </c>
      <c r="M1492">
        <v>91</v>
      </c>
      <c r="T1492">
        <v>6</v>
      </c>
      <c r="U1492">
        <v>56</v>
      </c>
      <c r="Y1492">
        <v>7</v>
      </c>
      <c r="Z1492">
        <v>17</v>
      </c>
      <c r="AD1492">
        <v>50</v>
      </c>
      <c r="AE1492">
        <v>13</v>
      </c>
      <c r="AX1492">
        <v>62</v>
      </c>
      <c r="AY1492">
        <v>57</v>
      </c>
      <c r="AZ1492">
        <v>119</v>
      </c>
      <c r="BA1492">
        <v>24</v>
      </c>
      <c r="BB1492">
        <v>19</v>
      </c>
      <c r="BC1492">
        <v>43</v>
      </c>
      <c r="BD1492">
        <v>63</v>
      </c>
      <c r="BE1492">
        <v>73</v>
      </c>
      <c r="BF1492">
        <v>136</v>
      </c>
      <c r="BP1492">
        <v>74</v>
      </c>
      <c r="BR1492">
        <v>47</v>
      </c>
      <c r="BS1492">
        <v>16</v>
      </c>
      <c r="BT1492">
        <v>9</v>
      </c>
      <c r="BV1492">
        <v>3</v>
      </c>
      <c r="BW1492">
        <v>149</v>
      </c>
      <c r="BX1492">
        <f>IF(C1492=C1491,IF((CI1492-1)=CI1491,BW1491,"no data"))</f>
        <v>86</v>
      </c>
      <c r="BY1492" s="5">
        <f t="shared" si="177"/>
        <v>0.73255813953488369</v>
      </c>
      <c r="BZ1492" s="6">
        <f t="shared" si="176"/>
        <v>0.73255813953488369</v>
      </c>
      <c r="CA1492" s="7">
        <v>43051</v>
      </c>
      <c r="CE1492">
        <v>38</v>
      </c>
      <c r="CF1492">
        <v>38</v>
      </c>
      <c r="CG1492">
        <v>32</v>
      </c>
      <c r="CH1492">
        <v>41</v>
      </c>
      <c r="CI1492">
        <f t="shared" si="174"/>
        <v>2017</v>
      </c>
      <c r="CJ1492" t="str">
        <f t="shared" si="175"/>
        <v>6618_2017</v>
      </c>
    </row>
    <row r="1493" spans="1:88" x14ac:dyDescent="0.25">
      <c r="A1493" t="s">
        <v>111</v>
      </c>
      <c r="B1493" t="s">
        <v>244</v>
      </c>
      <c r="C1493">
        <v>6618</v>
      </c>
      <c r="D1493">
        <v>-37.849350999999999</v>
      </c>
      <c r="E1493">
        <v>145.110614</v>
      </c>
      <c r="F1493">
        <v>3</v>
      </c>
      <c r="G1493" t="s">
        <v>566</v>
      </c>
      <c r="H1493">
        <v>12</v>
      </c>
      <c r="I1493">
        <v>192</v>
      </c>
      <c r="J1493">
        <v>96</v>
      </c>
      <c r="K1493">
        <v>276</v>
      </c>
      <c r="L1493">
        <v>271</v>
      </c>
      <c r="M1493">
        <v>91</v>
      </c>
      <c r="T1493">
        <v>37</v>
      </c>
      <c r="U1493">
        <v>81</v>
      </c>
      <c r="Y1493">
        <v>28</v>
      </c>
      <c r="Z1493">
        <v>13</v>
      </c>
      <c r="AD1493">
        <v>70</v>
      </c>
      <c r="AE1493">
        <v>18</v>
      </c>
      <c r="AX1493">
        <v>118</v>
      </c>
      <c r="AY1493">
        <v>98</v>
      </c>
      <c r="AZ1493">
        <v>216</v>
      </c>
      <c r="BA1493">
        <v>41</v>
      </c>
      <c r="BB1493">
        <v>55</v>
      </c>
      <c r="BC1493">
        <v>96</v>
      </c>
      <c r="BD1493">
        <v>88</v>
      </c>
      <c r="BE1493">
        <v>94</v>
      </c>
      <c r="BF1493">
        <v>182</v>
      </c>
      <c r="BP1493">
        <v>100</v>
      </c>
      <c r="BR1493">
        <v>99</v>
      </c>
      <c r="BS1493">
        <v>23</v>
      </c>
      <c r="BT1493">
        <v>18</v>
      </c>
      <c r="BV1493">
        <v>7</v>
      </c>
      <c r="BW1493">
        <v>247</v>
      </c>
      <c r="BX1493">
        <f>IF(C1493=C1492,IF((CI1493-1)=CI1492,BW1492,"no data"))</f>
        <v>149</v>
      </c>
      <c r="BY1493" s="5">
        <f t="shared" si="177"/>
        <v>0.65771812080536918</v>
      </c>
      <c r="BZ1493" s="6">
        <f t="shared" si="176"/>
        <v>0.65771812080536918</v>
      </c>
      <c r="CA1493" s="7">
        <v>43415</v>
      </c>
      <c r="CE1493">
        <v>86</v>
      </c>
      <c r="CF1493">
        <v>42</v>
      </c>
      <c r="CG1493">
        <v>74</v>
      </c>
      <c r="CH1493">
        <v>45</v>
      </c>
      <c r="CI1493">
        <f t="shared" si="174"/>
        <v>2018</v>
      </c>
      <c r="CJ1493" t="str">
        <f t="shared" si="175"/>
        <v>6618_2018</v>
      </c>
    </row>
    <row r="1494" spans="1:88" x14ac:dyDescent="0.25">
      <c r="A1494" t="s">
        <v>111</v>
      </c>
      <c r="B1494" t="s">
        <v>152</v>
      </c>
      <c r="C1494">
        <v>6619</v>
      </c>
      <c r="D1494">
        <v>-37.662399999999998</v>
      </c>
      <c r="E1494">
        <v>145.0515</v>
      </c>
      <c r="F1494">
        <v>3</v>
      </c>
      <c r="G1494" t="s">
        <v>567</v>
      </c>
      <c r="H1494">
        <v>87</v>
      </c>
      <c r="I1494">
        <v>267</v>
      </c>
      <c r="J1494">
        <v>228</v>
      </c>
      <c r="K1494">
        <v>48</v>
      </c>
      <c r="L1494">
        <v>267</v>
      </c>
      <c r="M1494">
        <v>87</v>
      </c>
      <c r="T1494">
        <v>17</v>
      </c>
      <c r="U1494">
        <v>28</v>
      </c>
      <c r="Y1494">
        <v>5</v>
      </c>
      <c r="Z1494">
        <v>2</v>
      </c>
      <c r="AD1494">
        <v>21</v>
      </c>
      <c r="AE1494">
        <v>3</v>
      </c>
      <c r="AX1494">
        <v>45</v>
      </c>
      <c r="AY1494">
        <v>26</v>
      </c>
      <c r="AZ1494">
        <v>71</v>
      </c>
      <c r="BA1494">
        <v>7</v>
      </c>
      <c r="BB1494">
        <v>20</v>
      </c>
      <c r="BC1494">
        <v>27</v>
      </c>
      <c r="BD1494">
        <v>24</v>
      </c>
      <c r="BE1494">
        <v>30</v>
      </c>
      <c r="BF1494">
        <v>54</v>
      </c>
      <c r="BP1494">
        <v>21</v>
      </c>
      <c r="BR1494">
        <v>40</v>
      </c>
      <c r="BS1494">
        <v>2</v>
      </c>
      <c r="BT1494">
        <v>3</v>
      </c>
      <c r="BV1494">
        <v>10</v>
      </c>
      <c r="BW1494">
        <v>76</v>
      </c>
      <c r="BX1494" t="s">
        <v>82</v>
      </c>
      <c r="BY1494" s="5"/>
      <c r="BZ1494" s="6"/>
      <c r="CA1494" s="7">
        <v>41952</v>
      </c>
      <c r="CI1494">
        <f t="shared" si="174"/>
        <v>2014</v>
      </c>
      <c r="CJ1494" t="str">
        <f t="shared" si="175"/>
        <v>6619_2014</v>
      </c>
    </row>
    <row r="1495" spans="1:88" x14ac:dyDescent="0.25">
      <c r="A1495" t="s">
        <v>111</v>
      </c>
      <c r="B1495" t="s">
        <v>152</v>
      </c>
      <c r="C1495">
        <v>6619</v>
      </c>
      <c r="D1495">
        <v>-37.662399999999998</v>
      </c>
      <c r="E1495">
        <v>145.0515</v>
      </c>
      <c r="F1495">
        <v>3</v>
      </c>
      <c r="G1495" t="s">
        <v>567</v>
      </c>
      <c r="H1495">
        <v>87</v>
      </c>
      <c r="I1495">
        <v>267</v>
      </c>
      <c r="J1495">
        <v>228</v>
      </c>
      <c r="K1495">
        <v>48</v>
      </c>
      <c r="L1495">
        <v>267</v>
      </c>
      <c r="M1495">
        <v>87</v>
      </c>
      <c r="T1495">
        <v>15</v>
      </c>
      <c r="U1495">
        <v>37</v>
      </c>
      <c r="Y1495">
        <v>25</v>
      </c>
      <c r="Z1495">
        <v>17</v>
      </c>
      <c r="AD1495">
        <v>42</v>
      </c>
      <c r="AE1495">
        <v>5</v>
      </c>
      <c r="AX1495">
        <v>52</v>
      </c>
      <c r="AY1495">
        <v>67</v>
      </c>
      <c r="AZ1495">
        <v>119</v>
      </c>
      <c r="BA1495">
        <v>42</v>
      </c>
      <c r="BB1495">
        <v>20</v>
      </c>
      <c r="BC1495">
        <v>62</v>
      </c>
      <c r="BD1495">
        <v>47</v>
      </c>
      <c r="BE1495">
        <v>54</v>
      </c>
      <c r="BF1495">
        <v>101</v>
      </c>
      <c r="BP1495">
        <v>12</v>
      </c>
      <c r="BR1495">
        <v>84</v>
      </c>
      <c r="BS1495">
        <v>10</v>
      </c>
      <c r="BT1495">
        <v>33</v>
      </c>
      <c r="BV1495">
        <v>2</v>
      </c>
      <c r="BW1495">
        <v>141</v>
      </c>
      <c r="BX1495">
        <f>IF(C1495=C1494,IF((CI1495-1)=CI1494,BW1494,"no data"))</f>
        <v>76</v>
      </c>
      <c r="BY1495" s="5">
        <f t="shared" si="177"/>
        <v>0.85526315789473684</v>
      </c>
      <c r="BZ1495" s="6">
        <f t="shared" si="176"/>
        <v>0.85526315789473684</v>
      </c>
      <c r="CA1495" s="7">
        <v>42316</v>
      </c>
      <c r="CE1495">
        <v>55</v>
      </c>
      <c r="CF1495">
        <v>25</v>
      </c>
      <c r="CG1495">
        <v>34</v>
      </c>
      <c r="CH1495">
        <v>27</v>
      </c>
      <c r="CI1495">
        <f t="shared" si="174"/>
        <v>2015</v>
      </c>
      <c r="CJ1495" t="str">
        <f t="shared" si="175"/>
        <v>6619_2015</v>
      </c>
    </row>
    <row r="1496" spans="1:88" x14ac:dyDescent="0.25">
      <c r="A1496" t="s">
        <v>111</v>
      </c>
      <c r="B1496" t="s">
        <v>152</v>
      </c>
      <c r="C1496">
        <v>6619</v>
      </c>
      <c r="D1496">
        <v>-37.662365000000001</v>
      </c>
      <c r="E1496">
        <v>145.051524</v>
      </c>
      <c r="F1496">
        <v>3</v>
      </c>
      <c r="G1496" t="s">
        <v>567</v>
      </c>
      <c r="H1496">
        <v>87</v>
      </c>
      <c r="I1496">
        <v>267</v>
      </c>
      <c r="J1496">
        <v>228</v>
      </c>
      <c r="K1496">
        <v>48</v>
      </c>
      <c r="L1496">
        <v>267</v>
      </c>
      <c r="M1496">
        <v>87</v>
      </c>
      <c r="T1496">
        <v>7</v>
      </c>
      <c r="U1496">
        <v>10</v>
      </c>
      <c r="Y1496">
        <v>0</v>
      </c>
      <c r="Z1496">
        <v>2</v>
      </c>
      <c r="AD1496">
        <v>18</v>
      </c>
      <c r="AE1496">
        <v>3</v>
      </c>
      <c r="AX1496">
        <v>17</v>
      </c>
      <c r="AY1496">
        <v>18</v>
      </c>
      <c r="AZ1496">
        <v>35</v>
      </c>
      <c r="BA1496">
        <v>2</v>
      </c>
      <c r="BB1496">
        <v>10</v>
      </c>
      <c r="BC1496">
        <v>12</v>
      </c>
      <c r="BD1496">
        <v>21</v>
      </c>
      <c r="BE1496">
        <v>12</v>
      </c>
      <c r="BF1496">
        <v>33</v>
      </c>
      <c r="BP1496">
        <v>11</v>
      </c>
      <c r="BR1496">
        <v>23</v>
      </c>
      <c r="BS1496">
        <v>2</v>
      </c>
      <c r="BT1496">
        <v>4</v>
      </c>
      <c r="BV1496">
        <v>0</v>
      </c>
      <c r="BW1496">
        <v>40</v>
      </c>
      <c r="BX1496">
        <f>IF(C1496=C1495,IF((CI1496-1)=CI1495,BW1495,"no data"))</f>
        <v>141</v>
      </c>
      <c r="BY1496" s="5">
        <f t="shared" si="177"/>
        <v>-0.71631205673758869</v>
      </c>
      <c r="BZ1496" s="6">
        <f t="shared" si="176"/>
        <v>-0.71631205673758869</v>
      </c>
      <c r="CA1496" s="7">
        <v>42715</v>
      </c>
      <c r="CE1496">
        <v>15</v>
      </c>
      <c r="CF1496">
        <v>6</v>
      </c>
      <c r="CG1496">
        <v>8</v>
      </c>
      <c r="CH1496">
        <v>11</v>
      </c>
      <c r="CI1496">
        <f t="shared" si="174"/>
        <v>2016</v>
      </c>
      <c r="CJ1496" t="str">
        <f t="shared" si="175"/>
        <v>6619_2016</v>
      </c>
    </row>
    <row r="1497" spans="1:88" x14ac:dyDescent="0.25">
      <c r="A1497" t="s">
        <v>111</v>
      </c>
      <c r="B1497" t="s">
        <v>152</v>
      </c>
      <c r="C1497">
        <v>6619</v>
      </c>
      <c r="D1497">
        <v>-37.662365000000001</v>
      </c>
      <c r="E1497">
        <v>145.051524</v>
      </c>
      <c r="F1497">
        <v>3</v>
      </c>
      <c r="G1497" t="s">
        <v>567</v>
      </c>
      <c r="H1497">
        <v>87</v>
      </c>
      <c r="I1497">
        <v>267</v>
      </c>
      <c r="J1497">
        <v>228</v>
      </c>
      <c r="K1497">
        <v>48</v>
      </c>
      <c r="L1497">
        <v>267</v>
      </c>
      <c r="M1497">
        <v>87</v>
      </c>
      <c r="T1497">
        <v>14</v>
      </c>
      <c r="U1497">
        <v>18</v>
      </c>
      <c r="Y1497">
        <v>18</v>
      </c>
      <c r="Z1497">
        <v>12</v>
      </c>
      <c r="AD1497">
        <v>30</v>
      </c>
      <c r="AE1497">
        <v>13</v>
      </c>
      <c r="AX1497">
        <v>32</v>
      </c>
      <c r="AY1497">
        <v>48</v>
      </c>
      <c r="AZ1497">
        <v>80</v>
      </c>
      <c r="BA1497">
        <v>30</v>
      </c>
      <c r="BB1497">
        <v>27</v>
      </c>
      <c r="BC1497">
        <v>57</v>
      </c>
      <c r="BD1497">
        <v>43</v>
      </c>
      <c r="BE1497">
        <v>30</v>
      </c>
      <c r="BF1497">
        <v>73</v>
      </c>
      <c r="BP1497">
        <v>48</v>
      </c>
      <c r="BR1497">
        <v>38</v>
      </c>
      <c r="BS1497">
        <v>7</v>
      </c>
      <c r="BT1497">
        <v>12</v>
      </c>
      <c r="BV1497">
        <v>0</v>
      </c>
      <c r="BW1497">
        <v>105</v>
      </c>
      <c r="BX1497">
        <f>IF(C1497=C1496,IF((CI1497-1)=CI1496,BW1496,"no data"))</f>
        <v>40</v>
      </c>
      <c r="BY1497" s="5">
        <f t="shared" si="177"/>
        <v>1.625</v>
      </c>
      <c r="BZ1497" s="6">
        <f t="shared" si="176"/>
        <v>1.625</v>
      </c>
      <c r="CA1497" s="7">
        <v>43051</v>
      </c>
      <c r="CE1497">
        <v>43</v>
      </c>
      <c r="CF1497">
        <v>34</v>
      </c>
      <c r="CG1497">
        <v>18</v>
      </c>
      <c r="CH1497">
        <v>10</v>
      </c>
      <c r="CI1497">
        <f t="shared" si="174"/>
        <v>2017</v>
      </c>
      <c r="CJ1497" t="str">
        <f t="shared" si="175"/>
        <v>6619_2017</v>
      </c>
    </row>
    <row r="1498" spans="1:88" x14ac:dyDescent="0.25">
      <c r="A1498" t="s">
        <v>111</v>
      </c>
      <c r="B1498" t="s">
        <v>152</v>
      </c>
      <c r="C1498">
        <v>6619</v>
      </c>
      <c r="D1498">
        <v>-37.662365000000001</v>
      </c>
      <c r="E1498">
        <v>145.051524</v>
      </c>
      <c r="F1498">
        <v>3</v>
      </c>
      <c r="G1498" t="s">
        <v>567</v>
      </c>
      <c r="H1498">
        <v>87</v>
      </c>
      <c r="I1498">
        <v>267</v>
      </c>
      <c r="J1498">
        <v>228</v>
      </c>
      <c r="K1498">
        <v>48</v>
      </c>
      <c r="L1498">
        <v>267</v>
      </c>
      <c r="M1498">
        <v>87</v>
      </c>
      <c r="T1498">
        <v>4</v>
      </c>
      <c r="U1498">
        <v>22</v>
      </c>
      <c r="Y1498">
        <v>13</v>
      </c>
      <c r="Z1498">
        <v>14</v>
      </c>
      <c r="AD1498">
        <v>33</v>
      </c>
      <c r="AE1498">
        <v>5</v>
      </c>
      <c r="AX1498">
        <v>26</v>
      </c>
      <c r="AY1498">
        <v>46</v>
      </c>
      <c r="AZ1498">
        <v>72</v>
      </c>
      <c r="BA1498">
        <v>27</v>
      </c>
      <c r="BB1498">
        <v>9</v>
      </c>
      <c r="BC1498">
        <v>36</v>
      </c>
      <c r="BD1498">
        <v>38</v>
      </c>
      <c r="BE1498">
        <v>36</v>
      </c>
      <c r="BF1498">
        <v>74</v>
      </c>
      <c r="BP1498">
        <v>3</v>
      </c>
      <c r="BR1498">
        <v>67</v>
      </c>
      <c r="BS1498">
        <v>2</v>
      </c>
      <c r="BT1498">
        <v>17</v>
      </c>
      <c r="BV1498">
        <v>2</v>
      </c>
      <c r="BW1498">
        <v>91</v>
      </c>
      <c r="BX1498">
        <f>IF(C1498=C1497,IF((CI1498-1)=CI1497,BW1497,"no data"))</f>
        <v>105</v>
      </c>
      <c r="BY1498" s="5">
        <f t="shared" si="177"/>
        <v>-0.13333333333333333</v>
      </c>
      <c r="BZ1498" s="6">
        <f t="shared" si="176"/>
        <v>-0.13333333333333333</v>
      </c>
      <c r="CA1498" s="7">
        <v>43415</v>
      </c>
      <c r="CE1498">
        <v>39</v>
      </c>
      <c r="CF1498">
        <v>12</v>
      </c>
      <c r="CG1498">
        <v>26</v>
      </c>
      <c r="CH1498">
        <v>14</v>
      </c>
      <c r="CI1498">
        <f t="shared" si="174"/>
        <v>2018</v>
      </c>
      <c r="CJ1498" t="str">
        <f t="shared" si="175"/>
        <v>6619_2018</v>
      </c>
    </row>
    <row r="1499" spans="1:88" x14ac:dyDescent="0.25">
      <c r="A1499" t="s">
        <v>111</v>
      </c>
      <c r="B1499" t="s">
        <v>152</v>
      </c>
      <c r="C1499">
        <v>6619</v>
      </c>
      <c r="D1499">
        <v>-37.662399999999998</v>
      </c>
      <c r="E1499">
        <v>145.0515</v>
      </c>
      <c r="F1499">
        <v>3</v>
      </c>
      <c r="G1499" t="s">
        <v>567</v>
      </c>
      <c r="H1499">
        <v>87</v>
      </c>
      <c r="I1499">
        <v>267</v>
      </c>
      <c r="J1499">
        <v>228</v>
      </c>
      <c r="K1499">
        <v>48</v>
      </c>
      <c r="L1499">
        <v>267</v>
      </c>
      <c r="M1499">
        <v>87</v>
      </c>
      <c r="T1499">
        <v>8</v>
      </c>
      <c r="U1499">
        <v>19</v>
      </c>
      <c r="Y1499">
        <v>7</v>
      </c>
      <c r="Z1499">
        <v>3</v>
      </c>
      <c r="AD1499">
        <v>29</v>
      </c>
      <c r="AE1499">
        <v>5</v>
      </c>
      <c r="AX1499">
        <v>27</v>
      </c>
      <c r="AY1499">
        <v>36</v>
      </c>
      <c r="AZ1499">
        <v>63</v>
      </c>
      <c r="BA1499">
        <v>10</v>
      </c>
      <c r="BB1499">
        <v>13</v>
      </c>
      <c r="BC1499">
        <v>23</v>
      </c>
      <c r="BD1499">
        <v>34</v>
      </c>
      <c r="BE1499">
        <v>22</v>
      </c>
      <c r="BF1499">
        <v>56</v>
      </c>
      <c r="BP1499">
        <v>5</v>
      </c>
      <c r="BR1499">
        <v>31</v>
      </c>
      <c r="BS1499">
        <v>4</v>
      </c>
      <c r="BT1499">
        <v>30</v>
      </c>
      <c r="BV1499">
        <v>1</v>
      </c>
      <c r="BW1499">
        <v>71</v>
      </c>
      <c r="BX1499">
        <f>IF(C1499=C1498,IF((CI1499-1)=CI1498,BW1498,"no data"))</f>
        <v>91</v>
      </c>
      <c r="BY1499" s="5">
        <f t="shared" si="177"/>
        <v>-0.21978021978021978</v>
      </c>
      <c r="BZ1499" s="6">
        <f t="shared" si="176"/>
        <v>-0.21978021978021978</v>
      </c>
      <c r="CA1499" s="7">
        <v>43779</v>
      </c>
      <c r="CE1499">
        <v>19</v>
      </c>
      <c r="CF1499">
        <v>18</v>
      </c>
      <c r="CG1499">
        <v>22</v>
      </c>
      <c r="CH1499">
        <v>12</v>
      </c>
      <c r="CI1499">
        <f t="shared" si="174"/>
        <v>2019</v>
      </c>
      <c r="CJ1499" t="str">
        <f t="shared" si="175"/>
        <v>6619_2019</v>
      </c>
    </row>
    <row r="1500" spans="1:88" x14ac:dyDescent="0.25">
      <c r="A1500" t="s">
        <v>111</v>
      </c>
      <c r="B1500" t="s">
        <v>152</v>
      </c>
      <c r="C1500">
        <v>6620</v>
      </c>
      <c r="D1500">
        <v>-37.686300000000003</v>
      </c>
      <c r="E1500">
        <v>145.02879999999999</v>
      </c>
      <c r="F1500">
        <v>4</v>
      </c>
      <c r="G1500" t="s">
        <v>568</v>
      </c>
      <c r="H1500">
        <v>10</v>
      </c>
      <c r="I1500">
        <v>190</v>
      </c>
      <c r="J1500">
        <v>101</v>
      </c>
      <c r="K1500">
        <v>281</v>
      </c>
      <c r="L1500">
        <v>190</v>
      </c>
      <c r="M1500">
        <v>10</v>
      </c>
      <c r="N1500">
        <v>272</v>
      </c>
      <c r="O1500">
        <v>92</v>
      </c>
      <c r="T1500">
        <v>8</v>
      </c>
      <c r="U1500">
        <v>30</v>
      </c>
      <c r="V1500">
        <v>4</v>
      </c>
      <c r="Y1500">
        <v>7</v>
      </c>
      <c r="Z1500">
        <v>1</v>
      </c>
      <c r="AA1500">
        <v>33</v>
      </c>
      <c r="AD1500">
        <v>32</v>
      </c>
      <c r="AE1500">
        <v>2</v>
      </c>
      <c r="AF1500">
        <v>6</v>
      </c>
      <c r="AI1500">
        <v>7</v>
      </c>
      <c r="AJ1500">
        <v>34</v>
      </c>
      <c r="AK1500">
        <v>3</v>
      </c>
      <c r="AX1500">
        <v>42</v>
      </c>
      <c r="AY1500">
        <v>46</v>
      </c>
      <c r="AZ1500">
        <v>88</v>
      </c>
      <c r="BA1500">
        <v>41</v>
      </c>
      <c r="BB1500">
        <v>44</v>
      </c>
      <c r="BC1500">
        <v>85</v>
      </c>
      <c r="BD1500">
        <v>40</v>
      </c>
      <c r="BE1500">
        <v>34</v>
      </c>
      <c r="BF1500">
        <v>74</v>
      </c>
      <c r="BG1500">
        <v>44</v>
      </c>
      <c r="BH1500">
        <v>43</v>
      </c>
      <c r="BI1500">
        <v>87</v>
      </c>
      <c r="BP1500">
        <v>103</v>
      </c>
      <c r="BR1500">
        <v>53</v>
      </c>
      <c r="BS1500">
        <v>3</v>
      </c>
      <c r="BT1500">
        <v>5</v>
      </c>
      <c r="BV1500">
        <v>3</v>
      </c>
      <c r="BW1500">
        <v>167</v>
      </c>
      <c r="BX1500" t="s">
        <v>82</v>
      </c>
      <c r="BY1500" s="5"/>
      <c r="BZ1500" s="6"/>
      <c r="CA1500" s="7">
        <v>41952</v>
      </c>
      <c r="CI1500">
        <f t="shared" si="174"/>
        <v>2014</v>
      </c>
      <c r="CJ1500" t="str">
        <f t="shared" si="175"/>
        <v>6620_2014</v>
      </c>
    </row>
    <row r="1501" spans="1:88" x14ac:dyDescent="0.25">
      <c r="A1501" t="s">
        <v>111</v>
      </c>
      <c r="B1501" t="s">
        <v>152</v>
      </c>
      <c r="C1501">
        <v>6620</v>
      </c>
      <c r="D1501">
        <v>-37.686300000000003</v>
      </c>
      <c r="E1501">
        <v>145.02879999999999</v>
      </c>
      <c r="F1501">
        <v>4</v>
      </c>
      <c r="G1501" t="s">
        <v>568</v>
      </c>
      <c r="H1501">
        <v>10</v>
      </c>
      <c r="I1501">
        <v>190</v>
      </c>
      <c r="J1501">
        <v>101</v>
      </c>
      <c r="K1501">
        <v>281</v>
      </c>
      <c r="L1501">
        <v>190</v>
      </c>
      <c r="M1501">
        <v>10</v>
      </c>
      <c r="N1501">
        <v>272</v>
      </c>
      <c r="O1501">
        <v>92</v>
      </c>
      <c r="T1501">
        <v>5</v>
      </c>
      <c r="U1501">
        <v>43</v>
      </c>
      <c r="V1501">
        <v>7</v>
      </c>
      <c r="Y1501">
        <v>14</v>
      </c>
      <c r="Z1501">
        <v>11</v>
      </c>
      <c r="AA1501">
        <v>53</v>
      </c>
      <c r="AD1501">
        <v>31</v>
      </c>
      <c r="AE1501">
        <v>7</v>
      </c>
      <c r="AF1501">
        <v>1</v>
      </c>
      <c r="AI1501">
        <v>5</v>
      </c>
      <c r="AJ1501">
        <v>55</v>
      </c>
      <c r="AK1501">
        <v>9</v>
      </c>
      <c r="AX1501">
        <v>55</v>
      </c>
      <c r="AY1501">
        <v>50</v>
      </c>
      <c r="AZ1501">
        <v>105</v>
      </c>
      <c r="BA1501">
        <v>78</v>
      </c>
      <c r="BB1501">
        <v>67</v>
      </c>
      <c r="BC1501">
        <v>145</v>
      </c>
      <c r="BD1501">
        <v>39</v>
      </c>
      <c r="BE1501">
        <v>63</v>
      </c>
      <c r="BF1501">
        <v>102</v>
      </c>
      <c r="BG1501">
        <v>69</v>
      </c>
      <c r="BH1501">
        <v>61</v>
      </c>
      <c r="BI1501">
        <v>130</v>
      </c>
      <c r="BP1501">
        <v>166</v>
      </c>
      <c r="BR1501">
        <v>63</v>
      </c>
      <c r="BS1501">
        <v>5</v>
      </c>
      <c r="BT1501">
        <v>5</v>
      </c>
      <c r="BV1501">
        <v>2</v>
      </c>
      <c r="BW1501">
        <v>241</v>
      </c>
      <c r="BX1501">
        <f>IF(C1501=C1500,IF((CI1501-1)=CI1500,BW1500,"no data"))</f>
        <v>167</v>
      </c>
      <c r="BY1501" s="5">
        <f t="shared" si="177"/>
        <v>0.44311377245508982</v>
      </c>
      <c r="BZ1501" s="6">
        <f t="shared" si="176"/>
        <v>0.44311377245508982</v>
      </c>
      <c r="CA1501" s="7">
        <v>42316</v>
      </c>
      <c r="CE1501">
        <v>58</v>
      </c>
      <c r="CF1501">
        <v>74</v>
      </c>
      <c r="CG1501">
        <v>62</v>
      </c>
      <c r="CH1501">
        <v>47</v>
      </c>
      <c r="CI1501">
        <f t="shared" si="174"/>
        <v>2015</v>
      </c>
      <c r="CJ1501" t="str">
        <f t="shared" si="175"/>
        <v>6620_2015</v>
      </c>
    </row>
    <row r="1502" spans="1:88" x14ac:dyDescent="0.25">
      <c r="A1502" t="s">
        <v>111</v>
      </c>
      <c r="B1502" t="s">
        <v>152</v>
      </c>
      <c r="C1502">
        <v>6620</v>
      </c>
      <c r="D1502">
        <v>-37.686326999999999</v>
      </c>
      <c r="E1502">
        <v>145.02882500000001</v>
      </c>
      <c r="F1502">
        <v>4</v>
      </c>
      <c r="G1502" t="s">
        <v>568</v>
      </c>
      <c r="H1502">
        <v>10</v>
      </c>
      <c r="I1502">
        <v>190</v>
      </c>
      <c r="J1502">
        <v>101</v>
      </c>
      <c r="K1502">
        <v>281</v>
      </c>
      <c r="L1502">
        <v>190</v>
      </c>
      <c r="M1502">
        <v>10</v>
      </c>
      <c r="N1502">
        <v>272</v>
      </c>
      <c r="O1502">
        <v>92</v>
      </c>
      <c r="T1502">
        <v>3</v>
      </c>
      <c r="U1502">
        <v>9</v>
      </c>
      <c r="V1502">
        <v>3</v>
      </c>
      <c r="Y1502">
        <v>2</v>
      </c>
      <c r="Z1502">
        <v>4</v>
      </c>
      <c r="AA1502">
        <v>5</v>
      </c>
      <c r="AD1502">
        <v>9</v>
      </c>
      <c r="AE1502">
        <v>0</v>
      </c>
      <c r="AF1502">
        <v>1</v>
      </c>
      <c r="AI1502">
        <v>1</v>
      </c>
      <c r="AJ1502">
        <v>15</v>
      </c>
      <c r="AK1502">
        <v>1</v>
      </c>
      <c r="AX1502">
        <v>15</v>
      </c>
      <c r="AY1502">
        <v>12</v>
      </c>
      <c r="AZ1502">
        <v>27</v>
      </c>
      <c r="BA1502">
        <v>11</v>
      </c>
      <c r="BB1502">
        <v>18</v>
      </c>
      <c r="BC1502">
        <v>29</v>
      </c>
      <c r="BD1502">
        <v>10</v>
      </c>
      <c r="BE1502">
        <v>14</v>
      </c>
      <c r="BF1502">
        <v>24</v>
      </c>
      <c r="BG1502">
        <v>17</v>
      </c>
      <c r="BH1502">
        <v>9</v>
      </c>
      <c r="BI1502">
        <v>26</v>
      </c>
      <c r="BP1502">
        <v>33</v>
      </c>
      <c r="BR1502">
        <v>17</v>
      </c>
      <c r="BS1502">
        <v>0</v>
      </c>
      <c r="BT1502">
        <v>1</v>
      </c>
      <c r="BV1502">
        <v>2</v>
      </c>
      <c r="BW1502">
        <v>53</v>
      </c>
      <c r="BX1502">
        <f>IF(C1502=C1501,IF((CI1502-1)=CI1501,BW1501,"no data"))</f>
        <v>241</v>
      </c>
      <c r="BY1502" s="5">
        <f t="shared" si="177"/>
        <v>-0.78008298755186722</v>
      </c>
      <c r="BZ1502" s="6">
        <f t="shared" si="176"/>
        <v>-0.78008298755186722</v>
      </c>
      <c r="CA1502" s="7">
        <v>42687</v>
      </c>
      <c r="CE1502">
        <v>9</v>
      </c>
      <c r="CF1502">
        <v>23</v>
      </c>
      <c r="CG1502">
        <v>10</v>
      </c>
      <c r="CH1502">
        <v>11</v>
      </c>
      <c r="CI1502">
        <f t="shared" si="174"/>
        <v>2016</v>
      </c>
      <c r="CJ1502" t="str">
        <f t="shared" si="175"/>
        <v>6620_2016</v>
      </c>
    </row>
    <row r="1503" spans="1:88" x14ac:dyDescent="0.25">
      <c r="A1503" t="s">
        <v>111</v>
      </c>
      <c r="B1503" t="s">
        <v>152</v>
      </c>
      <c r="C1503">
        <v>6620</v>
      </c>
      <c r="D1503">
        <v>-37.686326999999999</v>
      </c>
      <c r="E1503">
        <v>145.02882500000001</v>
      </c>
      <c r="F1503">
        <v>4</v>
      </c>
      <c r="G1503" t="s">
        <v>568</v>
      </c>
      <c r="H1503">
        <v>10</v>
      </c>
      <c r="I1503">
        <v>190</v>
      </c>
      <c r="J1503">
        <v>101</v>
      </c>
      <c r="K1503">
        <v>281</v>
      </c>
      <c r="L1503">
        <v>190</v>
      </c>
      <c r="M1503">
        <v>10</v>
      </c>
      <c r="N1503">
        <v>272</v>
      </c>
      <c r="O1503">
        <v>92</v>
      </c>
      <c r="T1503">
        <v>1</v>
      </c>
      <c r="U1503">
        <v>29</v>
      </c>
      <c r="V1503">
        <v>2</v>
      </c>
      <c r="Y1503">
        <v>4</v>
      </c>
      <c r="Z1503">
        <v>10</v>
      </c>
      <c r="AA1503">
        <v>46</v>
      </c>
      <c r="AD1503">
        <v>31</v>
      </c>
      <c r="AE1503">
        <v>8</v>
      </c>
      <c r="AF1503">
        <v>6</v>
      </c>
      <c r="AI1503">
        <v>5</v>
      </c>
      <c r="AJ1503">
        <v>39</v>
      </c>
      <c r="AK1503">
        <v>7</v>
      </c>
      <c r="AX1503">
        <v>32</v>
      </c>
      <c r="AY1503">
        <v>40</v>
      </c>
      <c r="AZ1503">
        <v>72</v>
      </c>
      <c r="BA1503">
        <v>60</v>
      </c>
      <c r="BB1503">
        <v>48</v>
      </c>
      <c r="BC1503">
        <v>108</v>
      </c>
      <c r="BD1503">
        <v>45</v>
      </c>
      <c r="BE1503">
        <v>46</v>
      </c>
      <c r="BF1503">
        <v>91</v>
      </c>
      <c r="BG1503">
        <v>51</v>
      </c>
      <c r="BH1503">
        <v>54</v>
      </c>
      <c r="BI1503">
        <v>105</v>
      </c>
      <c r="BP1503">
        <v>127</v>
      </c>
      <c r="BR1503">
        <v>59</v>
      </c>
      <c r="BS1503">
        <v>1</v>
      </c>
      <c r="BT1503">
        <v>1</v>
      </c>
      <c r="BV1503">
        <v>0</v>
      </c>
      <c r="BW1503">
        <v>188</v>
      </c>
      <c r="BX1503">
        <f>IF(C1503=C1502,IF((CI1503-1)=CI1502,BW1502,"no data"))</f>
        <v>53</v>
      </c>
      <c r="BY1503" s="5">
        <f t="shared" si="177"/>
        <v>2.5471698113207548</v>
      </c>
      <c r="BZ1503" s="6">
        <f t="shared" si="176"/>
        <v>2.5471698113207548</v>
      </c>
      <c r="CA1503" s="7">
        <v>43051</v>
      </c>
      <c r="CE1503">
        <v>53</v>
      </c>
      <c r="CF1503">
        <v>51</v>
      </c>
      <c r="CG1503">
        <v>52</v>
      </c>
      <c r="CH1503">
        <v>32</v>
      </c>
      <c r="CI1503">
        <f t="shared" si="174"/>
        <v>2017</v>
      </c>
      <c r="CJ1503" t="str">
        <f t="shared" si="175"/>
        <v>6620_2017</v>
      </c>
    </row>
    <row r="1504" spans="1:88" x14ac:dyDescent="0.25">
      <c r="A1504" t="s">
        <v>111</v>
      </c>
      <c r="B1504" t="s">
        <v>152</v>
      </c>
      <c r="C1504">
        <v>6620</v>
      </c>
      <c r="D1504">
        <v>-37.686326999999999</v>
      </c>
      <c r="E1504">
        <v>145.02882500000001</v>
      </c>
      <c r="F1504">
        <v>4</v>
      </c>
      <c r="G1504" t="s">
        <v>568</v>
      </c>
      <c r="H1504">
        <v>10</v>
      </c>
      <c r="I1504">
        <v>190</v>
      </c>
      <c r="J1504">
        <v>101</v>
      </c>
      <c r="K1504">
        <v>281</v>
      </c>
      <c r="L1504">
        <v>190</v>
      </c>
      <c r="M1504">
        <v>10</v>
      </c>
      <c r="N1504">
        <v>272</v>
      </c>
      <c r="O1504">
        <v>92</v>
      </c>
      <c r="T1504">
        <v>8</v>
      </c>
      <c r="U1504">
        <v>22</v>
      </c>
      <c r="V1504">
        <v>5</v>
      </c>
      <c r="Y1504">
        <v>10</v>
      </c>
      <c r="Z1504">
        <v>17</v>
      </c>
      <c r="AA1504">
        <v>40</v>
      </c>
      <c r="AD1504">
        <v>27</v>
      </c>
      <c r="AE1504">
        <v>10</v>
      </c>
      <c r="AF1504">
        <v>0</v>
      </c>
      <c r="AI1504">
        <v>9</v>
      </c>
      <c r="AJ1504">
        <v>34</v>
      </c>
      <c r="AK1504">
        <v>6</v>
      </c>
      <c r="AX1504">
        <v>35</v>
      </c>
      <c r="AY1504">
        <v>46</v>
      </c>
      <c r="AZ1504">
        <v>81</v>
      </c>
      <c r="BA1504">
        <v>67</v>
      </c>
      <c r="BB1504">
        <v>52</v>
      </c>
      <c r="BC1504">
        <v>119</v>
      </c>
      <c r="BD1504">
        <v>37</v>
      </c>
      <c r="BE1504">
        <v>45</v>
      </c>
      <c r="BF1504">
        <v>82</v>
      </c>
      <c r="BG1504">
        <v>49</v>
      </c>
      <c r="BH1504">
        <v>45</v>
      </c>
      <c r="BI1504">
        <v>94</v>
      </c>
      <c r="BP1504">
        <v>140</v>
      </c>
      <c r="BR1504">
        <v>39</v>
      </c>
      <c r="BS1504">
        <v>9</v>
      </c>
      <c r="BT1504">
        <v>0</v>
      </c>
      <c r="BV1504">
        <v>0</v>
      </c>
      <c r="BW1504">
        <v>188</v>
      </c>
      <c r="BX1504">
        <f>IF(C1504=C1503,IF((CI1504-1)=CI1503,BW1503,"no data"))</f>
        <v>188</v>
      </c>
      <c r="BY1504" s="5">
        <f t="shared" si="177"/>
        <v>0</v>
      </c>
      <c r="BZ1504" s="6">
        <f t="shared" si="176"/>
        <v>0</v>
      </c>
      <c r="CA1504" s="7">
        <v>43415</v>
      </c>
      <c r="CE1504">
        <v>51</v>
      </c>
      <c r="CF1504">
        <v>61</v>
      </c>
      <c r="CG1504">
        <v>46</v>
      </c>
      <c r="CH1504">
        <v>30</v>
      </c>
      <c r="CI1504">
        <f t="shared" si="174"/>
        <v>2018</v>
      </c>
      <c r="CJ1504" t="str">
        <f t="shared" si="175"/>
        <v>6620_2018</v>
      </c>
    </row>
    <row r="1505" spans="1:88" x14ac:dyDescent="0.25">
      <c r="A1505" t="s">
        <v>111</v>
      </c>
      <c r="B1505" t="s">
        <v>152</v>
      </c>
      <c r="C1505">
        <v>6620</v>
      </c>
      <c r="D1505">
        <v>-37.686300000000003</v>
      </c>
      <c r="E1505">
        <v>145.02879999999999</v>
      </c>
      <c r="F1505">
        <v>4</v>
      </c>
      <c r="G1505" t="s">
        <v>568</v>
      </c>
      <c r="H1505">
        <v>10</v>
      </c>
      <c r="I1505">
        <v>190</v>
      </c>
      <c r="J1505">
        <v>101</v>
      </c>
      <c r="K1505">
        <v>281</v>
      </c>
      <c r="L1505">
        <v>190</v>
      </c>
      <c r="M1505">
        <v>10</v>
      </c>
      <c r="N1505">
        <v>272</v>
      </c>
      <c r="O1505">
        <v>92</v>
      </c>
      <c r="T1505">
        <v>14</v>
      </c>
      <c r="U1505">
        <v>10</v>
      </c>
      <c r="V1505">
        <v>3</v>
      </c>
      <c r="Y1505">
        <v>2</v>
      </c>
      <c r="Z1505">
        <v>0</v>
      </c>
      <c r="AA1505">
        <v>54</v>
      </c>
      <c r="AD1505">
        <v>18</v>
      </c>
      <c r="AE1505">
        <v>3</v>
      </c>
      <c r="AF1505">
        <v>0</v>
      </c>
      <c r="AI1505">
        <v>2</v>
      </c>
      <c r="AJ1505">
        <v>53</v>
      </c>
      <c r="AK1505">
        <v>10</v>
      </c>
      <c r="AX1505">
        <v>27</v>
      </c>
      <c r="AY1505">
        <v>22</v>
      </c>
      <c r="AZ1505">
        <v>49</v>
      </c>
      <c r="BA1505">
        <v>56</v>
      </c>
      <c r="BB1505">
        <v>70</v>
      </c>
      <c r="BC1505">
        <v>126</v>
      </c>
      <c r="BD1505">
        <v>21</v>
      </c>
      <c r="BE1505">
        <v>20</v>
      </c>
      <c r="BF1505">
        <v>41</v>
      </c>
      <c r="BG1505">
        <v>65</v>
      </c>
      <c r="BH1505">
        <v>57</v>
      </c>
      <c r="BI1505">
        <v>122</v>
      </c>
      <c r="BP1505">
        <v>120</v>
      </c>
      <c r="BR1505">
        <v>30</v>
      </c>
      <c r="BS1505">
        <v>11</v>
      </c>
      <c r="BT1505">
        <v>5</v>
      </c>
      <c r="BV1505">
        <v>3</v>
      </c>
      <c r="BW1505">
        <v>169</v>
      </c>
      <c r="BX1505">
        <f>IF(C1505=C1504,IF((CI1505-1)=CI1504,BW1504,"no data"))</f>
        <v>188</v>
      </c>
      <c r="BY1505" s="5">
        <f t="shared" si="177"/>
        <v>-0.10106382978723404</v>
      </c>
      <c r="BZ1505" s="6">
        <f t="shared" si="176"/>
        <v>-0.10106382978723404</v>
      </c>
      <c r="CA1505" s="7">
        <v>43779</v>
      </c>
      <c r="CE1505">
        <v>41</v>
      </c>
      <c r="CF1505">
        <v>21</v>
      </c>
      <c r="CG1505">
        <v>53</v>
      </c>
      <c r="CH1505">
        <v>54</v>
      </c>
      <c r="CI1505">
        <f t="shared" si="174"/>
        <v>2019</v>
      </c>
      <c r="CJ1505" t="str">
        <f t="shared" si="175"/>
        <v>6620_2019</v>
      </c>
    </row>
    <row r="1506" spans="1:88" x14ac:dyDescent="0.25">
      <c r="A1506" t="s">
        <v>111</v>
      </c>
      <c r="B1506" t="s">
        <v>152</v>
      </c>
      <c r="C1506">
        <v>6621</v>
      </c>
      <c r="D1506">
        <v>-37.514099999999999</v>
      </c>
      <c r="E1506">
        <v>145.1148</v>
      </c>
      <c r="F1506">
        <v>4</v>
      </c>
      <c r="G1506" t="s">
        <v>569</v>
      </c>
      <c r="H1506">
        <v>18</v>
      </c>
      <c r="I1506">
        <v>198</v>
      </c>
      <c r="J1506">
        <v>99</v>
      </c>
      <c r="K1506">
        <v>279</v>
      </c>
      <c r="L1506">
        <v>190</v>
      </c>
      <c r="M1506">
        <v>10</v>
      </c>
      <c r="N1506">
        <v>337</v>
      </c>
      <c r="O1506">
        <v>157</v>
      </c>
      <c r="T1506">
        <v>3</v>
      </c>
      <c r="U1506">
        <v>78</v>
      </c>
      <c r="V1506">
        <v>2</v>
      </c>
      <c r="Y1506">
        <v>2</v>
      </c>
      <c r="Z1506">
        <v>29</v>
      </c>
      <c r="AA1506">
        <v>1</v>
      </c>
      <c r="AD1506">
        <v>40</v>
      </c>
      <c r="AE1506">
        <v>28</v>
      </c>
      <c r="AF1506">
        <v>5</v>
      </c>
      <c r="AI1506">
        <v>3</v>
      </c>
      <c r="AJ1506">
        <v>2</v>
      </c>
      <c r="AK1506">
        <v>5</v>
      </c>
      <c r="AX1506">
        <v>83</v>
      </c>
      <c r="AY1506">
        <v>45</v>
      </c>
      <c r="AZ1506">
        <v>128</v>
      </c>
      <c r="BA1506">
        <v>32</v>
      </c>
      <c r="BB1506">
        <v>33</v>
      </c>
      <c r="BC1506">
        <v>65</v>
      </c>
      <c r="BD1506">
        <v>73</v>
      </c>
      <c r="BE1506">
        <v>112</v>
      </c>
      <c r="BF1506">
        <v>185</v>
      </c>
      <c r="BG1506">
        <v>10</v>
      </c>
      <c r="BH1506">
        <v>8</v>
      </c>
      <c r="BI1506">
        <v>18</v>
      </c>
      <c r="BP1506">
        <v>142</v>
      </c>
      <c r="BR1506">
        <v>37</v>
      </c>
      <c r="BS1506">
        <v>4</v>
      </c>
      <c r="BT1506">
        <v>3</v>
      </c>
      <c r="BV1506">
        <v>12</v>
      </c>
      <c r="BW1506">
        <v>198</v>
      </c>
      <c r="BX1506" t="s">
        <v>82</v>
      </c>
      <c r="BY1506" s="5"/>
      <c r="BZ1506" s="6"/>
      <c r="CA1506" s="7">
        <v>41952</v>
      </c>
      <c r="CI1506">
        <f t="shared" si="174"/>
        <v>2014</v>
      </c>
      <c r="CJ1506" t="str">
        <f t="shared" si="175"/>
        <v>6621_2014</v>
      </c>
    </row>
    <row r="1507" spans="1:88" x14ac:dyDescent="0.25">
      <c r="A1507" t="s">
        <v>111</v>
      </c>
      <c r="B1507" t="s">
        <v>152</v>
      </c>
      <c r="C1507">
        <v>6621</v>
      </c>
      <c r="D1507">
        <v>-37.514099999999999</v>
      </c>
      <c r="E1507">
        <v>145.1148</v>
      </c>
      <c r="F1507">
        <v>4</v>
      </c>
      <c r="G1507" t="s">
        <v>569</v>
      </c>
      <c r="H1507">
        <v>18</v>
      </c>
      <c r="I1507">
        <v>198</v>
      </c>
      <c r="J1507">
        <v>99</v>
      </c>
      <c r="K1507">
        <v>279</v>
      </c>
      <c r="L1507">
        <v>190</v>
      </c>
      <c r="M1507">
        <v>10</v>
      </c>
      <c r="N1507">
        <v>337</v>
      </c>
      <c r="O1507">
        <v>157</v>
      </c>
      <c r="T1507">
        <v>7</v>
      </c>
      <c r="U1507">
        <v>79</v>
      </c>
      <c r="V1507">
        <v>3</v>
      </c>
      <c r="Y1507">
        <v>5</v>
      </c>
      <c r="Z1507">
        <v>46</v>
      </c>
      <c r="AA1507">
        <v>4</v>
      </c>
      <c r="AD1507">
        <v>46</v>
      </c>
      <c r="AE1507">
        <v>86</v>
      </c>
      <c r="AF1507">
        <v>10</v>
      </c>
      <c r="AI1507">
        <v>0</v>
      </c>
      <c r="AJ1507">
        <v>5</v>
      </c>
      <c r="AK1507">
        <v>17</v>
      </c>
      <c r="AX1507">
        <v>89</v>
      </c>
      <c r="AY1507">
        <v>51</v>
      </c>
      <c r="AZ1507">
        <v>140</v>
      </c>
      <c r="BA1507">
        <v>55</v>
      </c>
      <c r="BB1507">
        <v>98</v>
      </c>
      <c r="BC1507">
        <v>153</v>
      </c>
      <c r="BD1507">
        <v>142</v>
      </c>
      <c r="BE1507">
        <v>142</v>
      </c>
      <c r="BF1507">
        <v>284</v>
      </c>
      <c r="BG1507">
        <v>22</v>
      </c>
      <c r="BH1507">
        <v>17</v>
      </c>
      <c r="BI1507">
        <v>39</v>
      </c>
      <c r="BP1507">
        <v>146</v>
      </c>
      <c r="BR1507">
        <v>130</v>
      </c>
      <c r="BS1507">
        <v>6</v>
      </c>
      <c r="BT1507">
        <v>17</v>
      </c>
      <c r="BV1507">
        <v>9</v>
      </c>
      <c r="BW1507">
        <v>308</v>
      </c>
      <c r="BX1507">
        <f>IF(C1507=C1506,IF((CI1507-1)=CI1506,BW1506,"no data"))</f>
        <v>198</v>
      </c>
      <c r="BY1507" s="5">
        <f t="shared" si="177"/>
        <v>0.55555555555555558</v>
      </c>
      <c r="BZ1507" s="6">
        <f t="shared" si="176"/>
        <v>0.55555555555555558</v>
      </c>
      <c r="CA1507" s="7">
        <v>42316</v>
      </c>
      <c r="CE1507">
        <v>73</v>
      </c>
      <c r="CF1507">
        <v>101</v>
      </c>
      <c r="CG1507">
        <v>68</v>
      </c>
      <c r="CH1507">
        <v>66</v>
      </c>
      <c r="CI1507">
        <f t="shared" si="174"/>
        <v>2015</v>
      </c>
      <c r="CJ1507" t="str">
        <f t="shared" si="175"/>
        <v>6621_2015</v>
      </c>
    </row>
    <row r="1508" spans="1:88" x14ac:dyDescent="0.25">
      <c r="A1508" t="s">
        <v>111</v>
      </c>
      <c r="B1508" t="s">
        <v>152</v>
      </c>
      <c r="C1508">
        <v>6621</v>
      </c>
      <c r="D1508">
        <v>-37.514125</v>
      </c>
      <c r="E1508">
        <v>145.11478399999999</v>
      </c>
      <c r="F1508">
        <v>4</v>
      </c>
      <c r="G1508" t="s">
        <v>569</v>
      </c>
      <c r="H1508">
        <v>18</v>
      </c>
      <c r="I1508">
        <v>198</v>
      </c>
      <c r="J1508">
        <v>99</v>
      </c>
      <c r="K1508">
        <v>279</v>
      </c>
      <c r="L1508">
        <v>190</v>
      </c>
      <c r="M1508">
        <v>10</v>
      </c>
      <c r="N1508">
        <v>337</v>
      </c>
      <c r="O1508">
        <v>157</v>
      </c>
      <c r="T1508">
        <v>0</v>
      </c>
      <c r="U1508">
        <v>1</v>
      </c>
      <c r="V1508">
        <v>1</v>
      </c>
      <c r="Y1508">
        <v>1</v>
      </c>
      <c r="Z1508">
        <v>8</v>
      </c>
      <c r="AA1508">
        <v>3</v>
      </c>
      <c r="AD1508">
        <v>6</v>
      </c>
      <c r="AE1508">
        <v>8</v>
      </c>
      <c r="AF1508">
        <v>3</v>
      </c>
      <c r="AI1508">
        <v>1</v>
      </c>
      <c r="AJ1508">
        <v>0</v>
      </c>
      <c r="AK1508">
        <v>7</v>
      </c>
      <c r="AX1508">
        <v>2</v>
      </c>
      <c r="AY1508">
        <v>8</v>
      </c>
      <c r="AZ1508">
        <v>10</v>
      </c>
      <c r="BA1508">
        <v>12</v>
      </c>
      <c r="BB1508">
        <v>8</v>
      </c>
      <c r="BC1508">
        <v>20</v>
      </c>
      <c r="BD1508">
        <v>17</v>
      </c>
      <c r="BE1508">
        <v>16</v>
      </c>
      <c r="BF1508">
        <v>33</v>
      </c>
      <c r="BG1508">
        <v>8</v>
      </c>
      <c r="BH1508">
        <v>7</v>
      </c>
      <c r="BI1508">
        <v>15</v>
      </c>
      <c r="BP1508">
        <v>15</v>
      </c>
      <c r="BR1508">
        <v>12</v>
      </c>
      <c r="BS1508">
        <v>8</v>
      </c>
      <c r="BT1508">
        <v>4</v>
      </c>
      <c r="BV1508">
        <v>0</v>
      </c>
      <c r="BW1508">
        <v>39</v>
      </c>
      <c r="BX1508">
        <f>IF(C1508=C1507,IF((CI1508-1)=CI1507,BW1507,"no data"))</f>
        <v>308</v>
      </c>
      <c r="BY1508" s="5">
        <f t="shared" si="177"/>
        <v>-0.87337662337662336</v>
      </c>
      <c r="BZ1508" s="6">
        <f t="shared" si="176"/>
        <v>-0.87337662337662336</v>
      </c>
      <c r="CA1508" s="7">
        <v>42687</v>
      </c>
      <c r="CE1508">
        <v>22</v>
      </c>
      <c r="CF1508">
        <v>4</v>
      </c>
      <c r="CG1508">
        <v>3</v>
      </c>
      <c r="CH1508">
        <v>10</v>
      </c>
      <c r="CI1508">
        <f t="shared" si="174"/>
        <v>2016</v>
      </c>
      <c r="CJ1508" t="str">
        <f t="shared" si="175"/>
        <v>6621_2016</v>
      </c>
    </row>
    <row r="1509" spans="1:88" x14ac:dyDescent="0.25">
      <c r="A1509" t="s">
        <v>111</v>
      </c>
      <c r="B1509" t="s">
        <v>152</v>
      </c>
      <c r="C1509">
        <v>6621</v>
      </c>
      <c r="D1509">
        <v>-37.514125</v>
      </c>
      <c r="E1509">
        <v>145.11478399999999</v>
      </c>
      <c r="F1509">
        <v>4</v>
      </c>
      <c r="G1509" t="s">
        <v>569</v>
      </c>
      <c r="H1509">
        <v>18</v>
      </c>
      <c r="I1509">
        <v>198</v>
      </c>
      <c r="J1509">
        <v>99</v>
      </c>
      <c r="K1509">
        <v>279</v>
      </c>
      <c r="L1509">
        <v>190</v>
      </c>
      <c r="M1509">
        <v>10</v>
      </c>
      <c r="N1509">
        <v>337</v>
      </c>
      <c r="O1509">
        <v>157</v>
      </c>
      <c r="T1509">
        <v>10</v>
      </c>
      <c r="U1509">
        <v>42</v>
      </c>
      <c r="V1509">
        <v>1</v>
      </c>
      <c r="Y1509">
        <v>1</v>
      </c>
      <c r="Z1509">
        <v>55</v>
      </c>
      <c r="AA1509">
        <v>3</v>
      </c>
      <c r="AD1509">
        <v>44</v>
      </c>
      <c r="AE1509">
        <v>26</v>
      </c>
      <c r="AF1509">
        <v>7</v>
      </c>
      <c r="AI1509">
        <v>1</v>
      </c>
      <c r="AJ1509">
        <v>3</v>
      </c>
      <c r="AK1509">
        <v>6</v>
      </c>
      <c r="AX1509">
        <v>53</v>
      </c>
      <c r="AY1509">
        <v>46</v>
      </c>
      <c r="AZ1509">
        <v>99</v>
      </c>
      <c r="BA1509">
        <v>59</v>
      </c>
      <c r="BB1509">
        <v>39</v>
      </c>
      <c r="BC1509">
        <v>98</v>
      </c>
      <c r="BD1509">
        <v>77</v>
      </c>
      <c r="BE1509">
        <v>103</v>
      </c>
      <c r="BF1509">
        <v>180</v>
      </c>
      <c r="BG1509">
        <v>10</v>
      </c>
      <c r="BH1509">
        <v>11</v>
      </c>
      <c r="BI1509">
        <v>21</v>
      </c>
      <c r="BP1509">
        <v>139</v>
      </c>
      <c r="BR1509">
        <v>46</v>
      </c>
      <c r="BS1509">
        <v>5</v>
      </c>
      <c r="BT1509">
        <v>8</v>
      </c>
      <c r="BV1509">
        <v>1</v>
      </c>
      <c r="BW1509">
        <v>199</v>
      </c>
      <c r="BX1509">
        <f>IF(C1509=C1508,IF((CI1509-1)=CI1508,BW1508,"no data"))</f>
        <v>39</v>
      </c>
      <c r="BY1509" s="5">
        <f t="shared" si="177"/>
        <v>4.1025641025641022</v>
      </c>
      <c r="BZ1509" s="6">
        <f t="shared" si="176"/>
        <v>4.1025641025641022</v>
      </c>
      <c r="CA1509" s="7">
        <v>43051</v>
      </c>
      <c r="CE1509">
        <v>77</v>
      </c>
      <c r="CF1509">
        <v>62</v>
      </c>
      <c r="CG1509">
        <v>34</v>
      </c>
      <c r="CH1509">
        <v>26</v>
      </c>
      <c r="CI1509">
        <f t="shared" si="174"/>
        <v>2017</v>
      </c>
      <c r="CJ1509" t="str">
        <f t="shared" si="175"/>
        <v>6621_2017</v>
      </c>
    </row>
    <row r="1510" spans="1:88" x14ac:dyDescent="0.25">
      <c r="A1510" t="s">
        <v>111</v>
      </c>
      <c r="B1510" t="s">
        <v>152</v>
      </c>
      <c r="C1510">
        <v>6621</v>
      </c>
      <c r="D1510">
        <v>-37.514125</v>
      </c>
      <c r="E1510">
        <v>145.11478399999999</v>
      </c>
      <c r="F1510">
        <v>4</v>
      </c>
      <c r="G1510" t="s">
        <v>569</v>
      </c>
      <c r="H1510">
        <v>18</v>
      </c>
      <c r="I1510">
        <v>198</v>
      </c>
      <c r="J1510">
        <v>99</v>
      </c>
      <c r="K1510">
        <v>279</v>
      </c>
      <c r="L1510">
        <v>190</v>
      </c>
      <c r="M1510">
        <v>10</v>
      </c>
      <c r="N1510">
        <v>337</v>
      </c>
      <c r="O1510">
        <v>157</v>
      </c>
      <c r="T1510">
        <v>9</v>
      </c>
      <c r="U1510">
        <v>27</v>
      </c>
      <c r="V1510">
        <v>0</v>
      </c>
      <c r="Y1510">
        <v>0</v>
      </c>
      <c r="Z1510">
        <v>51</v>
      </c>
      <c r="AA1510">
        <v>2</v>
      </c>
      <c r="AD1510">
        <v>17</v>
      </c>
      <c r="AE1510">
        <v>31</v>
      </c>
      <c r="AF1510">
        <v>6</v>
      </c>
      <c r="AI1510">
        <v>3</v>
      </c>
      <c r="AJ1510">
        <v>7</v>
      </c>
      <c r="AK1510">
        <v>9</v>
      </c>
      <c r="AX1510">
        <v>36</v>
      </c>
      <c r="AY1510">
        <v>20</v>
      </c>
      <c r="AZ1510">
        <v>56</v>
      </c>
      <c r="BA1510">
        <v>53</v>
      </c>
      <c r="BB1510">
        <v>47</v>
      </c>
      <c r="BC1510">
        <v>100</v>
      </c>
      <c r="BD1510">
        <v>54</v>
      </c>
      <c r="BE1510">
        <v>87</v>
      </c>
      <c r="BF1510">
        <v>141</v>
      </c>
      <c r="BG1510">
        <v>19</v>
      </c>
      <c r="BH1510">
        <v>8</v>
      </c>
      <c r="BI1510">
        <v>27</v>
      </c>
      <c r="BP1510">
        <v>77</v>
      </c>
      <c r="BR1510">
        <v>65</v>
      </c>
      <c r="BS1510">
        <v>2</v>
      </c>
      <c r="BT1510">
        <v>14</v>
      </c>
      <c r="BV1510">
        <v>4</v>
      </c>
      <c r="BW1510">
        <v>162</v>
      </c>
      <c r="BX1510">
        <f>IF(C1510=C1509,IF((CI1510-1)=CI1509,BW1509,"no data"))</f>
        <v>199</v>
      </c>
      <c r="BY1510" s="5">
        <f t="shared" si="177"/>
        <v>-0.18592964824120603</v>
      </c>
      <c r="BZ1510" s="6">
        <f t="shared" si="176"/>
        <v>-0.18592964824120603</v>
      </c>
      <c r="CA1510" s="7">
        <v>43415</v>
      </c>
      <c r="CE1510">
        <v>41</v>
      </c>
      <c r="CF1510">
        <v>60</v>
      </c>
      <c r="CG1510">
        <v>45</v>
      </c>
      <c r="CH1510">
        <v>16</v>
      </c>
      <c r="CI1510">
        <f t="shared" si="174"/>
        <v>2018</v>
      </c>
      <c r="CJ1510" t="str">
        <f t="shared" si="175"/>
        <v>6621_2018</v>
      </c>
    </row>
    <row r="1511" spans="1:88" x14ac:dyDescent="0.25">
      <c r="A1511" t="s">
        <v>111</v>
      </c>
      <c r="B1511" t="s">
        <v>152</v>
      </c>
      <c r="C1511">
        <v>6621</v>
      </c>
      <c r="D1511">
        <v>-37.514099999999999</v>
      </c>
      <c r="E1511">
        <v>145.1148</v>
      </c>
      <c r="F1511">
        <v>4</v>
      </c>
      <c r="G1511" t="s">
        <v>569</v>
      </c>
      <c r="H1511">
        <v>18</v>
      </c>
      <c r="I1511">
        <v>198</v>
      </c>
      <c r="J1511">
        <v>99</v>
      </c>
      <c r="K1511">
        <v>279</v>
      </c>
      <c r="L1511">
        <v>190</v>
      </c>
      <c r="M1511">
        <v>10</v>
      </c>
      <c r="N1511">
        <v>337</v>
      </c>
      <c r="O1511">
        <v>157</v>
      </c>
      <c r="T1511">
        <v>14</v>
      </c>
      <c r="U1511">
        <v>23</v>
      </c>
      <c r="V1511">
        <v>0</v>
      </c>
      <c r="Y1511">
        <v>4</v>
      </c>
      <c r="Z1511">
        <v>26</v>
      </c>
      <c r="AA1511">
        <v>2</v>
      </c>
      <c r="AD1511">
        <v>16</v>
      </c>
      <c r="AE1511">
        <v>15</v>
      </c>
      <c r="AF1511">
        <v>4</v>
      </c>
      <c r="AI1511">
        <v>2</v>
      </c>
      <c r="AJ1511">
        <v>5</v>
      </c>
      <c r="AK1511">
        <v>8</v>
      </c>
      <c r="AX1511">
        <v>37</v>
      </c>
      <c r="AY1511">
        <v>22</v>
      </c>
      <c r="AZ1511">
        <v>59</v>
      </c>
      <c r="BA1511">
        <v>32</v>
      </c>
      <c r="BB1511">
        <v>34</v>
      </c>
      <c r="BC1511">
        <v>66</v>
      </c>
      <c r="BD1511">
        <v>35</v>
      </c>
      <c r="BE1511">
        <v>57</v>
      </c>
      <c r="BF1511">
        <v>92</v>
      </c>
      <c r="BG1511">
        <v>15</v>
      </c>
      <c r="BH1511">
        <v>6</v>
      </c>
      <c r="BI1511">
        <v>21</v>
      </c>
      <c r="BP1511">
        <v>64</v>
      </c>
      <c r="BR1511">
        <v>35</v>
      </c>
      <c r="BS1511">
        <v>2</v>
      </c>
      <c r="BT1511">
        <v>16</v>
      </c>
      <c r="BV1511">
        <v>2</v>
      </c>
      <c r="BW1511">
        <v>119</v>
      </c>
      <c r="BX1511">
        <f>IF(C1511=C1510,IF((CI1511-1)=CI1510,BW1510,"no data"))</f>
        <v>162</v>
      </c>
      <c r="BY1511" s="5">
        <f t="shared" si="177"/>
        <v>-0.26543209876543211</v>
      </c>
      <c r="BZ1511" s="6">
        <f t="shared" si="176"/>
        <v>-0.26543209876543211</v>
      </c>
      <c r="CA1511" s="7">
        <v>43779</v>
      </c>
      <c r="CE1511">
        <v>42</v>
      </c>
      <c r="CF1511">
        <v>43</v>
      </c>
      <c r="CG1511">
        <v>22</v>
      </c>
      <c r="CH1511">
        <v>12</v>
      </c>
      <c r="CI1511">
        <f t="shared" si="174"/>
        <v>2019</v>
      </c>
      <c r="CJ1511" t="str">
        <f t="shared" si="175"/>
        <v>6621_2019</v>
      </c>
    </row>
    <row r="1512" spans="1:88" x14ac:dyDescent="0.25">
      <c r="A1512" t="s">
        <v>111</v>
      </c>
      <c r="B1512" t="s">
        <v>152</v>
      </c>
      <c r="C1512">
        <v>6622</v>
      </c>
      <c r="D1512">
        <v>-37.676200000000001</v>
      </c>
      <c r="E1512">
        <v>145.04159999999999</v>
      </c>
      <c r="F1512">
        <v>3</v>
      </c>
      <c r="G1512" t="s">
        <v>570</v>
      </c>
      <c r="H1512">
        <v>109</v>
      </c>
      <c r="I1512">
        <v>289</v>
      </c>
      <c r="J1512">
        <v>167</v>
      </c>
      <c r="K1512">
        <v>347</v>
      </c>
      <c r="L1512">
        <v>288</v>
      </c>
      <c r="M1512">
        <v>108</v>
      </c>
      <c r="T1512">
        <v>24</v>
      </c>
      <c r="U1512">
        <v>13</v>
      </c>
      <c r="Y1512">
        <v>5</v>
      </c>
      <c r="Z1512">
        <v>7</v>
      </c>
      <c r="AD1512">
        <v>30</v>
      </c>
      <c r="AE1512">
        <v>2</v>
      </c>
      <c r="AX1512">
        <v>37</v>
      </c>
      <c r="AY1512">
        <v>35</v>
      </c>
      <c r="AZ1512">
        <v>72</v>
      </c>
      <c r="BA1512">
        <v>12</v>
      </c>
      <c r="BB1512">
        <v>26</v>
      </c>
      <c r="BC1512">
        <v>38</v>
      </c>
      <c r="BD1512">
        <v>32</v>
      </c>
      <c r="BE1512">
        <v>20</v>
      </c>
      <c r="BF1512">
        <v>52</v>
      </c>
      <c r="BP1512">
        <v>38</v>
      </c>
      <c r="BR1512">
        <v>29</v>
      </c>
      <c r="BS1512">
        <v>4</v>
      </c>
      <c r="BT1512">
        <v>7</v>
      </c>
      <c r="BV1512">
        <v>3</v>
      </c>
      <c r="BW1512">
        <v>81</v>
      </c>
      <c r="BX1512" t="s">
        <v>82</v>
      </c>
      <c r="BY1512" s="5"/>
      <c r="BZ1512" s="6"/>
      <c r="CA1512" s="7">
        <v>41952</v>
      </c>
      <c r="CI1512">
        <f t="shared" si="174"/>
        <v>2014</v>
      </c>
      <c r="CJ1512" t="str">
        <f t="shared" si="175"/>
        <v>6622_2014</v>
      </c>
    </row>
    <row r="1513" spans="1:88" x14ac:dyDescent="0.25">
      <c r="A1513" t="s">
        <v>111</v>
      </c>
      <c r="B1513" t="s">
        <v>152</v>
      </c>
      <c r="C1513">
        <v>6622</v>
      </c>
      <c r="D1513">
        <v>-37.676200000000001</v>
      </c>
      <c r="E1513">
        <v>145.04159999999999</v>
      </c>
      <c r="F1513">
        <v>3</v>
      </c>
      <c r="G1513" t="s">
        <v>570</v>
      </c>
      <c r="H1513">
        <v>109</v>
      </c>
      <c r="I1513">
        <v>289</v>
      </c>
      <c r="J1513">
        <v>167</v>
      </c>
      <c r="K1513">
        <v>347</v>
      </c>
      <c r="L1513">
        <v>288</v>
      </c>
      <c r="M1513">
        <v>108</v>
      </c>
      <c r="T1513">
        <v>10</v>
      </c>
      <c r="U1513">
        <v>17</v>
      </c>
      <c r="Y1513">
        <v>10</v>
      </c>
      <c r="Z1513">
        <v>4</v>
      </c>
      <c r="AD1513">
        <v>13</v>
      </c>
      <c r="AE1513">
        <v>7</v>
      </c>
      <c r="AX1513">
        <v>27</v>
      </c>
      <c r="AY1513">
        <v>23</v>
      </c>
      <c r="AZ1513">
        <v>50</v>
      </c>
      <c r="BA1513">
        <v>14</v>
      </c>
      <c r="BB1513">
        <v>17</v>
      </c>
      <c r="BC1513">
        <v>31</v>
      </c>
      <c r="BD1513">
        <v>20</v>
      </c>
      <c r="BE1513">
        <v>21</v>
      </c>
      <c r="BF1513">
        <v>41</v>
      </c>
      <c r="BP1513">
        <v>28</v>
      </c>
      <c r="BR1513">
        <v>23</v>
      </c>
      <c r="BS1513">
        <v>3</v>
      </c>
      <c r="BT1513">
        <v>5</v>
      </c>
      <c r="BV1513">
        <v>2</v>
      </c>
      <c r="BW1513">
        <v>61</v>
      </c>
      <c r="BX1513">
        <f>IF(C1513=C1512,IF((CI1513-1)=CI1512,BW1512,"no data"))</f>
        <v>81</v>
      </c>
      <c r="BY1513" s="5">
        <f t="shared" si="177"/>
        <v>-0.24691358024691357</v>
      </c>
      <c r="BZ1513" s="6">
        <f t="shared" si="176"/>
        <v>-0.24691358024691357</v>
      </c>
      <c r="CA1513" s="7">
        <v>42316</v>
      </c>
      <c r="CE1513">
        <v>12</v>
      </c>
      <c r="CF1513">
        <v>13</v>
      </c>
      <c r="CG1513">
        <v>21</v>
      </c>
      <c r="CH1513">
        <v>15</v>
      </c>
      <c r="CI1513">
        <f t="shared" si="174"/>
        <v>2015</v>
      </c>
      <c r="CJ1513" t="str">
        <f t="shared" si="175"/>
        <v>6622_2015</v>
      </c>
    </row>
    <row r="1514" spans="1:88" x14ac:dyDescent="0.25">
      <c r="A1514" t="s">
        <v>111</v>
      </c>
      <c r="B1514" t="s">
        <v>152</v>
      </c>
      <c r="C1514">
        <v>6622</v>
      </c>
      <c r="D1514">
        <v>-37.676220000000001</v>
      </c>
      <c r="E1514">
        <v>145.04156499999999</v>
      </c>
      <c r="F1514">
        <v>3</v>
      </c>
      <c r="G1514" t="s">
        <v>570</v>
      </c>
      <c r="H1514">
        <v>109</v>
      </c>
      <c r="I1514">
        <v>289</v>
      </c>
      <c r="J1514">
        <v>167</v>
      </c>
      <c r="K1514">
        <v>347</v>
      </c>
      <c r="L1514">
        <v>288</v>
      </c>
      <c r="M1514">
        <v>108</v>
      </c>
      <c r="T1514">
        <v>1</v>
      </c>
      <c r="U1514">
        <v>6</v>
      </c>
      <c r="Y1514">
        <v>5</v>
      </c>
      <c r="Z1514">
        <v>3</v>
      </c>
      <c r="AD1514">
        <v>5</v>
      </c>
      <c r="AE1514">
        <v>1</v>
      </c>
      <c r="AX1514">
        <v>7</v>
      </c>
      <c r="AY1514">
        <v>10</v>
      </c>
      <c r="AZ1514">
        <v>17</v>
      </c>
      <c r="BA1514">
        <v>8</v>
      </c>
      <c r="BB1514">
        <v>2</v>
      </c>
      <c r="BC1514">
        <v>10</v>
      </c>
      <c r="BD1514">
        <v>6</v>
      </c>
      <c r="BE1514">
        <v>9</v>
      </c>
      <c r="BF1514">
        <v>15</v>
      </c>
      <c r="BP1514">
        <v>6</v>
      </c>
      <c r="BR1514">
        <v>11</v>
      </c>
      <c r="BS1514">
        <v>3</v>
      </c>
      <c r="BT1514">
        <v>1</v>
      </c>
      <c r="BV1514">
        <v>0</v>
      </c>
      <c r="BW1514">
        <v>21</v>
      </c>
      <c r="BX1514">
        <f>IF(C1514=C1513,IF((CI1514-1)=CI1513,BW1513,"no data"))</f>
        <v>61</v>
      </c>
      <c r="BY1514" s="5">
        <f t="shared" si="177"/>
        <v>-0.65573770491803274</v>
      </c>
      <c r="BZ1514" s="6">
        <f t="shared" si="176"/>
        <v>-0.65573770491803274</v>
      </c>
      <c r="CA1514" s="7">
        <v>42687</v>
      </c>
      <c r="CE1514">
        <v>8</v>
      </c>
      <c r="CF1514">
        <v>9</v>
      </c>
      <c r="CG1514">
        <v>3</v>
      </c>
      <c r="CH1514">
        <v>1</v>
      </c>
      <c r="CI1514">
        <f t="shared" si="174"/>
        <v>2016</v>
      </c>
      <c r="CJ1514" t="str">
        <f t="shared" si="175"/>
        <v>6622_2016</v>
      </c>
    </row>
    <row r="1515" spans="1:88" x14ac:dyDescent="0.25">
      <c r="A1515" t="s">
        <v>111</v>
      </c>
      <c r="B1515" t="s">
        <v>152</v>
      </c>
      <c r="C1515">
        <v>6622</v>
      </c>
      <c r="D1515">
        <v>-37.676220000000001</v>
      </c>
      <c r="E1515">
        <v>145.04156499999999</v>
      </c>
      <c r="F1515">
        <v>3</v>
      </c>
      <c r="G1515" t="s">
        <v>570</v>
      </c>
      <c r="H1515">
        <v>109</v>
      </c>
      <c r="I1515">
        <v>289</v>
      </c>
      <c r="J1515">
        <v>167</v>
      </c>
      <c r="K1515">
        <v>347</v>
      </c>
      <c r="L1515">
        <v>288</v>
      </c>
      <c r="M1515">
        <v>108</v>
      </c>
      <c r="T1515">
        <v>22</v>
      </c>
      <c r="U1515">
        <v>14</v>
      </c>
      <c r="Y1515">
        <v>24</v>
      </c>
      <c r="Z1515">
        <v>3</v>
      </c>
      <c r="AD1515">
        <v>8</v>
      </c>
      <c r="AE1515">
        <v>7</v>
      </c>
      <c r="AX1515">
        <v>36</v>
      </c>
      <c r="AY1515">
        <v>32</v>
      </c>
      <c r="AZ1515">
        <v>68</v>
      </c>
      <c r="BA1515">
        <v>27</v>
      </c>
      <c r="BB1515">
        <v>29</v>
      </c>
      <c r="BC1515">
        <v>56</v>
      </c>
      <c r="BD1515">
        <v>15</v>
      </c>
      <c r="BE1515">
        <v>17</v>
      </c>
      <c r="BF1515">
        <v>32</v>
      </c>
      <c r="BP1515">
        <v>43</v>
      </c>
      <c r="BR1515">
        <v>17</v>
      </c>
      <c r="BS1515">
        <v>11</v>
      </c>
      <c r="BT1515">
        <v>5</v>
      </c>
      <c r="BV1515">
        <v>2</v>
      </c>
      <c r="BW1515">
        <v>78</v>
      </c>
      <c r="BX1515">
        <f>IF(C1515=C1514,IF((CI1515-1)=CI1514,BW1514,"no data"))</f>
        <v>21</v>
      </c>
      <c r="BY1515" s="5">
        <f t="shared" si="177"/>
        <v>2.7142857142857144</v>
      </c>
      <c r="BZ1515" s="6">
        <f t="shared" si="176"/>
        <v>2.7142857142857144</v>
      </c>
      <c r="CA1515" s="7">
        <v>43051</v>
      </c>
      <c r="CE1515">
        <v>32</v>
      </c>
      <c r="CF1515">
        <v>6</v>
      </c>
      <c r="CG1515">
        <v>22</v>
      </c>
      <c r="CH1515">
        <v>18</v>
      </c>
      <c r="CI1515">
        <f t="shared" si="174"/>
        <v>2017</v>
      </c>
      <c r="CJ1515" t="str">
        <f t="shared" si="175"/>
        <v>6622_2017</v>
      </c>
    </row>
    <row r="1516" spans="1:88" x14ac:dyDescent="0.25">
      <c r="A1516" t="s">
        <v>111</v>
      </c>
      <c r="B1516" t="s">
        <v>152</v>
      </c>
      <c r="C1516">
        <v>6622</v>
      </c>
      <c r="D1516">
        <v>-37.676220000000001</v>
      </c>
      <c r="E1516">
        <v>145.04156499999999</v>
      </c>
      <c r="F1516">
        <v>3</v>
      </c>
      <c r="G1516" t="s">
        <v>570</v>
      </c>
      <c r="H1516">
        <v>109</v>
      </c>
      <c r="I1516">
        <v>289</v>
      </c>
      <c r="J1516">
        <v>167</v>
      </c>
      <c r="K1516">
        <v>347</v>
      </c>
      <c r="L1516">
        <v>288</v>
      </c>
      <c r="M1516">
        <v>108</v>
      </c>
      <c r="T1516">
        <v>22</v>
      </c>
      <c r="U1516">
        <v>11</v>
      </c>
      <c r="Y1516">
        <v>17</v>
      </c>
      <c r="Z1516">
        <v>11</v>
      </c>
      <c r="AD1516">
        <v>15</v>
      </c>
      <c r="AE1516">
        <v>4</v>
      </c>
      <c r="AX1516">
        <v>33</v>
      </c>
      <c r="AY1516">
        <v>32</v>
      </c>
      <c r="AZ1516">
        <v>65</v>
      </c>
      <c r="BA1516">
        <v>28</v>
      </c>
      <c r="BB1516">
        <v>26</v>
      </c>
      <c r="BC1516">
        <v>54</v>
      </c>
      <c r="BD1516">
        <v>19</v>
      </c>
      <c r="BE1516">
        <v>22</v>
      </c>
      <c r="BF1516">
        <v>41</v>
      </c>
      <c r="BP1516">
        <v>45</v>
      </c>
      <c r="BR1516">
        <v>20</v>
      </c>
      <c r="BS1516">
        <v>6</v>
      </c>
      <c r="BT1516">
        <v>9</v>
      </c>
      <c r="BV1516">
        <v>0</v>
      </c>
      <c r="BW1516">
        <v>80</v>
      </c>
      <c r="BX1516">
        <f>IF(C1516=C1515,IF((CI1516-1)=CI1515,BW1515,"no data"))</f>
        <v>78</v>
      </c>
      <c r="BY1516" s="5">
        <f t="shared" si="177"/>
        <v>2.564102564102564E-2</v>
      </c>
      <c r="BZ1516" s="6">
        <f t="shared" si="176"/>
        <v>2.564102564102564E-2</v>
      </c>
      <c r="CA1516" s="7">
        <v>43443</v>
      </c>
      <c r="CE1516">
        <v>20</v>
      </c>
      <c r="CF1516">
        <v>19</v>
      </c>
      <c r="CG1516">
        <v>23</v>
      </c>
      <c r="CH1516">
        <v>18</v>
      </c>
      <c r="CI1516">
        <f t="shared" si="174"/>
        <v>2018</v>
      </c>
      <c r="CJ1516" t="str">
        <f t="shared" si="175"/>
        <v>6622_2018</v>
      </c>
    </row>
    <row r="1517" spans="1:88" x14ac:dyDescent="0.25">
      <c r="A1517" t="s">
        <v>111</v>
      </c>
      <c r="B1517" t="s">
        <v>152</v>
      </c>
      <c r="C1517">
        <v>6622</v>
      </c>
      <c r="D1517">
        <v>-37.676200000000001</v>
      </c>
      <c r="E1517">
        <v>145.04159999999999</v>
      </c>
      <c r="F1517">
        <v>3</v>
      </c>
      <c r="G1517" t="s">
        <v>570</v>
      </c>
      <c r="H1517">
        <v>109</v>
      </c>
      <c r="I1517">
        <v>289</v>
      </c>
      <c r="J1517">
        <v>167</v>
      </c>
      <c r="K1517">
        <v>347</v>
      </c>
      <c r="L1517">
        <v>288</v>
      </c>
      <c r="M1517">
        <v>108</v>
      </c>
      <c r="T1517">
        <v>23</v>
      </c>
      <c r="U1517">
        <v>8</v>
      </c>
      <c r="Y1517">
        <v>25</v>
      </c>
      <c r="Z1517">
        <v>5</v>
      </c>
      <c r="AD1517">
        <v>12</v>
      </c>
      <c r="AE1517">
        <v>5</v>
      </c>
      <c r="AX1517">
        <v>31</v>
      </c>
      <c r="AY1517">
        <v>37</v>
      </c>
      <c r="AZ1517">
        <v>68</v>
      </c>
      <c r="BA1517">
        <v>30</v>
      </c>
      <c r="BB1517">
        <v>28</v>
      </c>
      <c r="BC1517">
        <v>58</v>
      </c>
      <c r="BD1517">
        <v>17</v>
      </c>
      <c r="BE1517">
        <v>13</v>
      </c>
      <c r="BF1517">
        <v>30</v>
      </c>
      <c r="BP1517">
        <v>47</v>
      </c>
      <c r="BR1517">
        <v>22</v>
      </c>
      <c r="BS1517">
        <v>3</v>
      </c>
      <c r="BT1517">
        <v>6</v>
      </c>
      <c r="BV1517">
        <v>0</v>
      </c>
      <c r="BW1517">
        <v>78</v>
      </c>
      <c r="BX1517">
        <f>IF(C1517=C1516,IF((CI1517-1)=CI1516,BW1516,"no data"))</f>
        <v>80</v>
      </c>
      <c r="BY1517" s="5">
        <f t="shared" si="177"/>
        <v>-2.5000000000000001E-2</v>
      </c>
      <c r="BZ1517" s="6">
        <f t="shared" si="176"/>
        <v>-2.5000000000000001E-2</v>
      </c>
      <c r="CA1517" s="7">
        <v>43779</v>
      </c>
      <c r="CE1517">
        <v>17</v>
      </c>
      <c r="CF1517">
        <v>18</v>
      </c>
      <c r="CG1517">
        <v>23</v>
      </c>
      <c r="CH1517">
        <v>20</v>
      </c>
      <c r="CI1517">
        <f t="shared" si="174"/>
        <v>2019</v>
      </c>
      <c r="CJ1517" t="str">
        <f t="shared" si="175"/>
        <v>6622_2019</v>
      </c>
    </row>
    <row r="1518" spans="1:88" x14ac:dyDescent="0.25">
      <c r="A1518" t="s">
        <v>111</v>
      </c>
      <c r="B1518" t="s">
        <v>152</v>
      </c>
      <c r="C1518">
        <v>6623</v>
      </c>
      <c r="D1518">
        <v>-37.6325</v>
      </c>
      <c r="E1518">
        <v>145.09620000000001</v>
      </c>
      <c r="F1518">
        <v>3</v>
      </c>
      <c r="G1518" t="s">
        <v>571</v>
      </c>
      <c r="H1518">
        <v>7</v>
      </c>
      <c r="I1518">
        <v>187</v>
      </c>
      <c r="J1518">
        <v>187</v>
      </c>
      <c r="K1518">
        <v>7</v>
      </c>
      <c r="L1518">
        <v>276</v>
      </c>
      <c r="M1518">
        <v>96</v>
      </c>
      <c r="T1518">
        <v>76</v>
      </c>
      <c r="U1518">
        <v>4</v>
      </c>
      <c r="Y1518">
        <v>29</v>
      </c>
      <c r="Z1518">
        <v>4</v>
      </c>
      <c r="AD1518">
        <v>0</v>
      </c>
      <c r="AE1518">
        <v>6</v>
      </c>
      <c r="AX1518">
        <v>80</v>
      </c>
      <c r="AY1518">
        <v>29</v>
      </c>
      <c r="AZ1518">
        <v>109</v>
      </c>
      <c r="BA1518">
        <v>33</v>
      </c>
      <c r="BB1518">
        <v>82</v>
      </c>
      <c r="BC1518">
        <v>115</v>
      </c>
      <c r="BD1518">
        <v>6</v>
      </c>
      <c r="BE1518">
        <v>8</v>
      </c>
      <c r="BF1518">
        <v>14</v>
      </c>
      <c r="BP1518">
        <v>116</v>
      </c>
      <c r="BR1518">
        <v>2</v>
      </c>
      <c r="BS1518">
        <v>0</v>
      </c>
      <c r="BT1518">
        <v>1</v>
      </c>
      <c r="BV1518">
        <v>0</v>
      </c>
      <c r="BW1518">
        <v>119</v>
      </c>
      <c r="BX1518" t="s">
        <v>82</v>
      </c>
      <c r="BY1518" s="5"/>
      <c r="BZ1518" s="6"/>
      <c r="CA1518" s="7">
        <v>41952</v>
      </c>
      <c r="CI1518">
        <f t="shared" si="174"/>
        <v>2014</v>
      </c>
      <c r="CJ1518" t="str">
        <f t="shared" si="175"/>
        <v>6623_2014</v>
      </c>
    </row>
    <row r="1519" spans="1:88" x14ac:dyDescent="0.25">
      <c r="A1519" t="s">
        <v>111</v>
      </c>
      <c r="B1519" t="s">
        <v>152</v>
      </c>
      <c r="C1519">
        <v>6623</v>
      </c>
      <c r="D1519">
        <v>-37.6325</v>
      </c>
      <c r="E1519">
        <v>145.09620000000001</v>
      </c>
      <c r="F1519">
        <v>3</v>
      </c>
      <c r="G1519" t="s">
        <v>571</v>
      </c>
      <c r="H1519">
        <v>7</v>
      </c>
      <c r="I1519">
        <v>187</v>
      </c>
      <c r="J1519">
        <v>187</v>
      </c>
      <c r="K1519">
        <v>7</v>
      </c>
      <c r="L1519">
        <v>276</v>
      </c>
      <c r="M1519">
        <v>96</v>
      </c>
      <c r="T1519">
        <v>91</v>
      </c>
      <c r="U1519">
        <v>7</v>
      </c>
      <c r="Y1519">
        <v>31</v>
      </c>
      <c r="Z1519">
        <v>5</v>
      </c>
      <c r="AD1519">
        <v>3</v>
      </c>
      <c r="AE1519">
        <v>5</v>
      </c>
      <c r="AX1519">
        <v>98</v>
      </c>
      <c r="AY1519">
        <v>34</v>
      </c>
      <c r="AZ1519">
        <v>132</v>
      </c>
      <c r="BA1519">
        <v>36</v>
      </c>
      <c r="BB1519">
        <v>96</v>
      </c>
      <c r="BC1519">
        <v>132</v>
      </c>
      <c r="BD1519">
        <v>8</v>
      </c>
      <c r="BE1519">
        <v>12</v>
      </c>
      <c r="BF1519">
        <v>20</v>
      </c>
      <c r="BP1519">
        <v>133</v>
      </c>
      <c r="BR1519">
        <v>6</v>
      </c>
      <c r="BS1519">
        <v>0</v>
      </c>
      <c r="BT1519">
        <v>1</v>
      </c>
      <c r="BV1519">
        <v>2</v>
      </c>
      <c r="BW1519">
        <v>142</v>
      </c>
      <c r="BX1519">
        <f>IF(C1519=C1518,IF((CI1519-1)=CI1518,BW1518,"no data"))</f>
        <v>119</v>
      </c>
      <c r="BY1519" s="5">
        <f t="shared" si="177"/>
        <v>0.19327731092436976</v>
      </c>
      <c r="BZ1519" s="6">
        <f t="shared" si="176"/>
        <v>0.19327731092436976</v>
      </c>
      <c r="CA1519" s="7">
        <v>42316</v>
      </c>
      <c r="CE1519">
        <v>51</v>
      </c>
      <c r="CF1519">
        <v>35</v>
      </c>
      <c r="CG1519">
        <v>39</v>
      </c>
      <c r="CH1519">
        <v>17</v>
      </c>
      <c r="CI1519">
        <f t="shared" si="174"/>
        <v>2015</v>
      </c>
      <c r="CJ1519" t="str">
        <f t="shared" si="175"/>
        <v>6623_2015</v>
      </c>
    </row>
    <row r="1520" spans="1:88" x14ac:dyDescent="0.25">
      <c r="A1520" t="s">
        <v>111</v>
      </c>
      <c r="B1520" t="s">
        <v>152</v>
      </c>
      <c r="C1520">
        <v>6623</v>
      </c>
      <c r="D1520">
        <v>-37.632469</v>
      </c>
      <c r="E1520">
        <v>145.09620200000001</v>
      </c>
      <c r="F1520">
        <v>3</v>
      </c>
      <c r="G1520" t="s">
        <v>571</v>
      </c>
      <c r="H1520">
        <v>7</v>
      </c>
      <c r="I1520">
        <v>187</v>
      </c>
      <c r="J1520">
        <v>187</v>
      </c>
      <c r="K1520">
        <v>7</v>
      </c>
      <c r="L1520">
        <v>276</v>
      </c>
      <c r="M1520">
        <v>96</v>
      </c>
      <c r="T1520">
        <v>3</v>
      </c>
      <c r="U1520">
        <v>2</v>
      </c>
      <c r="Y1520">
        <v>5</v>
      </c>
      <c r="Z1520">
        <v>0</v>
      </c>
      <c r="AD1520">
        <v>1</v>
      </c>
      <c r="AE1520">
        <v>0</v>
      </c>
      <c r="AX1520">
        <v>5</v>
      </c>
      <c r="AY1520">
        <v>6</v>
      </c>
      <c r="AZ1520">
        <v>11</v>
      </c>
      <c r="BA1520">
        <v>5</v>
      </c>
      <c r="BB1520">
        <v>3</v>
      </c>
      <c r="BC1520">
        <v>8</v>
      </c>
      <c r="BD1520">
        <v>1</v>
      </c>
      <c r="BE1520">
        <v>2</v>
      </c>
      <c r="BF1520">
        <v>3</v>
      </c>
      <c r="BP1520">
        <v>7</v>
      </c>
      <c r="BR1520">
        <v>2</v>
      </c>
      <c r="BS1520">
        <v>2</v>
      </c>
      <c r="BT1520">
        <v>0</v>
      </c>
      <c r="BV1520">
        <v>0</v>
      </c>
      <c r="BW1520">
        <v>11</v>
      </c>
      <c r="BX1520">
        <f>IF(C1520=C1519,IF((CI1520-1)=CI1519,BW1519,"no data"))</f>
        <v>142</v>
      </c>
      <c r="BY1520" s="5">
        <f t="shared" si="177"/>
        <v>-0.92253521126760563</v>
      </c>
      <c r="BZ1520" s="6">
        <f t="shared" si="176"/>
        <v>-0.92253521126760563</v>
      </c>
      <c r="CA1520" s="7">
        <v>42687</v>
      </c>
      <c r="CE1520">
        <v>2</v>
      </c>
      <c r="CF1520">
        <v>3</v>
      </c>
      <c r="CG1520">
        <v>4</v>
      </c>
      <c r="CH1520">
        <v>2</v>
      </c>
      <c r="CI1520">
        <f t="shared" si="174"/>
        <v>2016</v>
      </c>
      <c r="CJ1520" t="str">
        <f t="shared" si="175"/>
        <v>6623_2016</v>
      </c>
    </row>
    <row r="1521" spans="1:88" x14ac:dyDescent="0.25">
      <c r="A1521" t="s">
        <v>111</v>
      </c>
      <c r="B1521" t="s">
        <v>152</v>
      </c>
      <c r="C1521">
        <v>6623</v>
      </c>
      <c r="D1521">
        <v>-37.632469</v>
      </c>
      <c r="E1521">
        <v>145.09620200000001</v>
      </c>
      <c r="F1521">
        <v>3</v>
      </c>
      <c r="G1521" t="s">
        <v>571</v>
      </c>
      <c r="H1521">
        <v>7</v>
      </c>
      <c r="I1521">
        <v>187</v>
      </c>
      <c r="J1521">
        <v>187</v>
      </c>
      <c r="K1521">
        <v>7</v>
      </c>
      <c r="L1521">
        <v>276</v>
      </c>
      <c r="M1521">
        <v>96</v>
      </c>
      <c r="T1521">
        <v>44</v>
      </c>
      <c r="U1521">
        <v>17</v>
      </c>
      <c r="Y1521">
        <v>16</v>
      </c>
      <c r="Z1521">
        <v>2</v>
      </c>
      <c r="AD1521">
        <v>7</v>
      </c>
      <c r="AE1521">
        <v>0</v>
      </c>
      <c r="AX1521">
        <v>61</v>
      </c>
      <c r="AY1521">
        <v>23</v>
      </c>
      <c r="AZ1521">
        <v>84</v>
      </c>
      <c r="BA1521">
        <v>18</v>
      </c>
      <c r="BB1521">
        <v>44</v>
      </c>
      <c r="BC1521">
        <v>62</v>
      </c>
      <c r="BD1521">
        <v>7</v>
      </c>
      <c r="BE1521">
        <v>19</v>
      </c>
      <c r="BF1521">
        <v>26</v>
      </c>
      <c r="BP1521">
        <v>82</v>
      </c>
      <c r="BR1521">
        <v>3</v>
      </c>
      <c r="BS1521">
        <v>1</v>
      </c>
      <c r="BT1521">
        <v>0</v>
      </c>
      <c r="BV1521">
        <v>0</v>
      </c>
      <c r="BW1521">
        <v>86</v>
      </c>
      <c r="BX1521">
        <f>IF(C1521=C1520,IF((CI1521-1)=CI1520,BW1520,"no data"))</f>
        <v>11</v>
      </c>
      <c r="BY1521" s="5">
        <f t="shared" si="177"/>
        <v>6.8181818181818183</v>
      </c>
      <c r="BZ1521" s="6">
        <f t="shared" si="176"/>
        <v>6.8181818181818183</v>
      </c>
      <c r="CA1521" s="7">
        <v>43051</v>
      </c>
      <c r="CE1521">
        <v>39</v>
      </c>
      <c r="CF1521">
        <v>13</v>
      </c>
      <c r="CG1521">
        <v>25</v>
      </c>
      <c r="CH1521">
        <v>9</v>
      </c>
      <c r="CI1521">
        <f t="shared" si="174"/>
        <v>2017</v>
      </c>
      <c r="CJ1521" t="str">
        <f t="shared" si="175"/>
        <v>6623_2017</v>
      </c>
    </row>
    <row r="1522" spans="1:88" x14ac:dyDescent="0.25">
      <c r="A1522" t="s">
        <v>111</v>
      </c>
      <c r="B1522" t="s">
        <v>152</v>
      </c>
      <c r="C1522">
        <v>6623</v>
      </c>
      <c r="D1522">
        <v>-37.632469</v>
      </c>
      <c r="E1522">
        <v>145.09620200000001</v>
      </c>
      <c r="F1522">
        <v>3</v>
      </c>
      <c r="G1522" t="s">
        <v>571</v>
      </c>
      <c r="H1522">
        <v>7</v>
      </c>
      <c r="I1522">
        <v>187</v>
      </c>
      <c r="J1522">
        <v>187</v>
      </c>
      <c r="K1522">
        <v>7</v>
      </c>
      <c r="L1522">
        <v>276</v>
      </c>
      <c r="M1522">
        <v>96</v>
      </c>
      <c r="T1522">
        <v>41</v>
      </c>
      <c r="U1522">
        <v>8</v>
      </c>
      <c r="Y1522">
        <v>20</v>
      </c>
      <c r="Z1522">
        <v>5</v>
      </c>
      <c r="AD1522">
        <v>8</v>
      </c>
      <c r="AE1522">
        <v>0</v>
      </c>
      <c r="AX1522">
        <v>49</v>
      </c>
      <c r="AY1522">
        <v>28</v>
      </c>
      <c r="AZ1522">
        <v>77</v>
      </c>
      <c r="BA1522">
        <v>25</v>
      </c>
      <c r="BB1522">
        <v>41</v>
      </c>
      <c r="BC1522">
        <v>66</v>
      </c>
      <c r="BD1522">
        <v>8</v>
      </c>
      <c r="BE1522">
        <v>13</v>
      </c>
      <c r="BF1522">
        <v>21</v>
      </c>
      <c r="BP1522">
        <v>61</v>
      </c>
      <c r="BR1522">
        <v>17</v>
      </c>
      <c r="BS1522">
        <v>2</v>
      </c>
      <c r="BT1522">
        <v>0</v>
      </c>
      <c r="BV1522">
        <v>2</v>
      </c>
      <c r="BW1522">
        <v>82</v>
      </c>
      <c r="BX1522">
        <f>IF(C1522=C1521,IF((CI1522-1)=CI1521,BW1521,"no data"))</f>
        <v>86</v>
      </c>
      <c r="BY1522" s="5">
        <f t="shared" si="177"/>
        <v>-4.6511627906976744E-2</v>
      </c>
      <c r="BZ1522" s="6">
        <f t="shared" si="176"/>
        <v>-4.6511627906976744E-2</v>
      </c>
      <c r="CA1522" s="7">
        <v>43415</v>
      </c>
      <c r="CE1522">
        <v>20</v>
      </c>
      <c r="CF1522">
        <v>22</v>
      </c>
      <c r="CG1522">
        <v>25</v>
      </c>
      <c r="CH1522">
        <v>15</v>
      </c>
      <c r="CI1522">
        <f t="shared" si="174"/>
        <v>2018</v>
      </c>
      <c r="CJ1522" t="str">
        <f t="shared" si="175"/>
        <v>6623_2018</v>
      </c>
    </row>
    <row r="1523" spans="1:88" x14ac:dyDescent="0.25">
      <c r="A1523" t="s">
        <v>111</v>
      </c>
      <c r="B1523" t="s">
        <v>152</v>
      </c>
      <c r="C1523">
        <v>6623</v>
      </c>
      <c r="D1523">
        <v>-37.6325</v>
      </c>
      <c r="E1523">
        <v>145.09620000000001</v>
      </c>
      <c r="F1523">
        <v>3</v>
      </c>
      <c r="G1523" t="s">
        <v>571</v>
      </c>
      <c r="H1523">
        <v>7</v>
      </c>
      <c r="I1523">
        <v>187</v>
      </c>
      <c r="J1523">
        <v>187</v>
      </c>
      <c r="K1523">
        <v>7</v>
      </c>
      <c r="L1523">
        <v>276</v>
      </c>
      <c r="M1523">
        <v>96</v>
      </c>
      <c r="T1523">
        <v>16</v>
      </c>
      <c r="U1523">
        <v>4</v>
      </c>
      <c r="Y1523">
        <v>4</v>
      </c>
      <c r="Z1523">
        <v>2</v>
      </c>
      <c r="AD1523">
        <v>2</v>
      </c>
      <c r="AE1523">
        <v>2</v>
      </c>
      <c r="AX1523">
        <v>20</v>
      </c>
      <c r="AY1523">
        <v>6</v>
      </c>
      <c r="AZ1523">
        <v>26</v>
      </c>
      <c r="BA1523">
        <v>6</v>
      </c>
      <c r="BB1523">
        <v>18</v>
      </c>
      <c r="BC1523">
        <v>24</v>
      </c>
      <c r="BD1523">
        <v>4</v>
      </c>
      <c r="BE1523">
        <v>6</v>
      </c>
      <c r="BF1523">
        <v>10</v>
      </c>
      <c r="BP1523">
        <v>27</v>
      </c>
      <c r="BR1523">
        <v>3</v>
      </c>
      <c r="BS1523">
        <v>0</v>
      </c>
      <c r="BT1523">
        <v>0</v>
      </c>
      <c r="BV1523">
        <v>0</v>
      </c>
      <c r="BW1523">
        <v>30</v>
      </c>
      <c r="BX1523">
        <f>IF(C1523=C1522,IF((CI1523-1)=CI1522,BW1522,"no data"))</f>
        <v>82</v>
      </c>
      <c r="BY1523" s="5">
        <f t="shared" si="177"/>
        <v>-0.63414634146341464</v>
      </c>
      <c r="BZ1523" s="6">
        <f t="shared" si="176"/>
        <v>-0.63414634146341464</v>
      </c>
      <c r="CA1523" s="7">
        <v>43779</v>
      </c>
      <c r="CE1523">
        <v>9</v>
      </c>
      <c r="CF1523">
        <v>6</v>
      </c>
      <c r="CG1523">
        <v>7</v>
      </c>
      <c r="CH1523">
        <v>8</v>
      </c>
      <c r="CI1523">
        <f t="shared" si="174"/>
        <v>2019</v>
      </c>
      <c r="CJ1523" t="str">
        <f t="shared" si="175"/>
        <v>6623_2019</v>
      </c>
    </row>
    <row r="1524" spans="1:88" x14ac:dyDescent="0.25">
      <c r="A1524" t="s">
        <v>111</v>
      </c>
      <c r="B1524" t="s">
        <v>152</v>
      </c>
      <c r="C1524">
        <v>6624</v>
      </c>
      <c r="D1524">
        <v>-37.587000000000003</v>
      </c>
      <c r="E1524">
        <v>145.10319999999999</v>
      </c>
      <c r="F1524">
        <v>4</v>
      </c>
      <c r="G1524" t="s">
        <v>572</v>
      </c>
      <c r="H1524">
        <v>10</v>
      </c>
      <c r="I1524">
        <v>190</v>
      </c>
      <c r="J1524">
        <v>97</v>
      </c>
      <c r="K1524">
        <v>277</v>
      </c>
      <c r="L1524">
        <v>190</v>
      </c>
      <c r="M1524">
        <v>10</v>
      </c>
      <c r="N1524">
        <v>279</v>
      </c>
      <c r="O1524">
        <v>99</v>
      </c>
      <c r="T1524">
        <v>14</v>
      </c>
      <c r="U1524">
        <v>82</v>
      </c>
      <c r="V1524">
        <v>6</v>
      </c>
      <c r="Y1524">
        <v>8</v>
      </c>
      <c r="Z1524">
        <v>3</v>
      </c>
      <c r="AA1524">
        <v>5</v>
      </c>
      <c r="AD1524">
        <v>32</v>
      </c>
      <c r="AE1524">
        <v>4</v>
      </c>
      <c r="AF1524">
        <v>8</v>
      </c>
      <c r="AI1524">
        <v>5</v>
      </c>
      <c r="AJ1524">
        <v>4</v>
      </c>
      <c r="AK1524">
        <v>2</v>
      </c>
      <c r="AX1524">
        <v>102</v>
      </c>
      <c r="AY1524">
        <v>45</v>
      </c>
      <c r="AZ1524">
        <v>147</v>
      </c>
      <c r="BA1524">
        <v>16</v>
      </c>
      <c r="BB1524">
        <v>22</v>
      </c>
      <c r="BC1524">
        <v>38</v>
      </c>
      <c r="BD1524">
        <v>44</v>
      </c>
      <c r="BE1524">
        <v>87</v>
      </c>
      <c r="BF1524">
        <v>131</v>
      </c>
      <c r="BG1524">
        <v>11</v>
      </c>
      <c r="BH1524">
        <v>19</v>
      </c>
      <c r="BI1524">
        <v>30</v>
      </c>
      <c r="BP1524">
        <v>158</v>
      </c>
      <c r="BR1524">
        <v>12</v>
      </c>
      <c r="BS1524">
        <v>2</v>
      </c>
      <c r="BT1524">
        <v>1</v>
      </c>
      <c r="BV1524">
        <v>0</v>
      </c>
      <c r="BW1524">
        <v>173</v>
      </c>
      <c r="BX1524" t="s">
        <v>82</v>
      </c>
      <c r="BY1524" s="5"/>
      <c r="BZ1524" s="6"/>
      <c r="CA1524" s="7">
        <v>41952</v>
      </c>
      <c r="CI1524">
        <f t="shared" si="174"/>
        <v>2014</v>
      </c>
      <c r="CJ1524" t="str">
        <f t="shared" si="175"/>
        <v>6624_2014</v>
      </c>
    </row>
    <row r="1525" spans="1:88" x14ac:dyDescent="0.25">
      <c r="A1525" t="s">
        <v>111</v>
      </c>
      <c r="B1525" t="s">
        <v>152</v>
      </c>
      <c r="C1525">
        <v>6624</v>
      </c>
      <c r="D1525">
        <v>-37.587000000000003</v>
      </c>
      <c r="E1525">
        <v>145.10319999999999</v>
      </c>
      <c r="F1525">
        <v>4</v>
      </c>
      <c r="G1525" t="s">
        <v>572</v>
      </c>
      <c r="H1525">
        <v>10</v>
      </c>
      <c r="I1525">
        <v>190</v>
      </c>
      <c r="J1525">
        <v>97</v>
      </c>
      <c r="K1525">
        <v>277</v>
      </c>
      <c r="L1525">
        <v>190</v>
      </c>
      <c r="M1525">
        <v>10</v>
      </c>
      <c r="N1525">
        <v>279</v>
      </c>
      <c r="O1525">
        <v>99</v>
      </c>
      <c r="T1525">
        <v>12</v>
      </c>
      <c r="U1525">
        <v>82</v>
      </c>
      <c r="V1525">
        <v>8</v>
      </c>
      <c r="Y1525">
        <v>9</v>
      </c>
      <c r="Z1525">
        <v>4</v>
      </c>
      <c r="AA1525">
        <v>8</v>
      </c>
      <c r="AD1525">
        <v>38</v>
      </c>
      <c r="AE1525">
        <v>1</v>
      </c>
      <c r="AF1525">
        <v>2</v>
      </c>
      <c r="AI1525">
        <v>2</v>
      </c>
      <c r="AJ1525">
        <v>9</v>
      </c>
      <c r="AK1525">
        <v>12</v>
      </c>
      <c r="AX1525">
        <v>102</v>
      </c>
      <c r="AY1525">
        <v>49</v>
      </c>
      <c r="AZ1525">
        <v>151</v>
      </c>
      <c r="BA1525">
        <v>21</v>
      </c>
      <c r="BB1525">
        <v>22</v>
      </c>
      <c r="BC1525">
        <v>43</v>
      </c>
      <c r="BD1525">
        <v>41</v>
      </c>
      <c r="BE1525">
        <v>98</v>
      </c>
      <c r="BF1525">
        <v>139</v>
      </c>
      <c r="BG1525">
        <v>23</v>
      </c>
      <c r="BH1525">
        <v>18</v>
      </c>
      <c r="BI1525">
        <v>41</v>
      </c>
      <c r="BP1525">
        <v>158</v>
      </c>
      <c r="BR1525">
        <v>21</v>
      </c>
      <c r="BS1525">
        <v>3</v>
      </c>
      <c r="BT1525">
        <v>5</v>
      </c>
      <c r="BV1525">
        <v>0</v>
      </c>
      <c r="BW1525">
        <v>187</v>
      </c>
      <c r="BX1525">
        <f>IF(C1525=C1524,IF((CI1525-1)=CI1524,BW1524,"no data"))</f>
        <v>173</v>
      </c>
      <c r="BY1525" s="5">
        <f t="shared" si="177"/>
        <v>8.0924855491329481E-2</v>
      </c>
      <c r="BZ1525" s="6">
        <f t="shared" si="176"/>
        <v>8.0924855491329481E-2</v>
      </c>
      <c r="CA1525" s="7">
        <v>42316</v>
      </c>
      <c r="CE1525">
        <v>59</v>
      </c>
      <c r="CF1525">
        <v>44</v>
      </c>
      <c r="CG1525">
        <v>54</v>
      </c>
      <c r="CH1525">
        <v>30</v>
      </c>
      <c r="CI1525">
        <f t="shared" si="174"/>
        <v>2015</v>
      </c>
      <c r="CJ1525" t="str">
        <f t="shared" si="175"/>
        <v>6624_2015</v>
      </c>
    </row>
    <row r="1526" spans="1:88" x14ac:dyDescent="0.25">
      <c r="A1526" t="s">
        <v>111</v>
      </c>
      <c r="B1526" t="s">
        <v>152</v>
      </c>
      <c r="C1526">
        <v>6624</v>
      </c>
      <c r="D1526">
        <v>-37.586995999999999</v>
      </c>
      <c r="E1526">
        <v>145.103195</v>
      </c>
      <c r="F1526">
        <v>4</v>
      </c>
      <c r="G1526" t="s">
        <v>572</v>
      </c>
      <c r="H1526">
        <v>10</v>
      </c>
      <c r="I1526">
        <v>190</v>
      </c>
      <c r="J1526">
        <v>97</v>
      </c>
      <c r="K1526">
        <v>277</v>
      </c>
      <c r="L1526">
        <v>190</v>
      </c>
      <c r="M1526">
        <v>10</v>
      </c>
      <c r="N1526">
        <v>279</v>
      </c>
      <c r="O1526">
        <v>99</v>
      </c>
      <c r="T1526">
        <v>0</v>
      </c>
      <c r="U1526">
        <v>2</v>
      </c>
      <c r="V1526">
        <v>0</v>
      </c>
      <c r="Y1526">
        <v>0</v>
      </c>
      <c r="Z1526">
        <v>2</v>
      </c>
      <c r="AA1526">
        <v>3</v>
      </c>
      <c r="AD1526">
        <v>2</v>
      </c>
      <c r="AE1526">
        <v>1</v>
      </c>
      <c r="AF1526">
        <v>2</v>
      </c>
      <c r="AI1526">
        <v>2</v>
      </c>
      <c r="AJ1526">
        <v>0</v>
      </c>
      <c r="AK1526">
        <v>2</v>
      </c>
      <c r="AX1526">
        <v>2</v>
      </c>
      <c r="AY1526">
        <v>4</v>
      </c>
      <c r="AZ1526">
        <v>6</v>
      </c>
      <c r="BA1526">
        <v>5</v>
      </c>
      <c r="BB1526">
        <v>1</v>
      </c>
      <c r="BC1526">
        <v>6</v>
      </c>
      <c r="BD1526">
        <v>5</v>
      </c>
      <c r="BE1526">
        <v>6</v>
      </c>
      <c r="BF1526">
        <v>11</v>
      </c>
      <c r="BG1526">
        <v>4</v>
      </c>
      <c r="BH1526">
        <v>5</v>
      </c>
      <c r="BI1526">
        <v>9</v>
      </c>
      <c r="BP1526">
        <v>11</v>
      </c>
      <c r="BR1526">
        <v>2</v>
      </c>
      <c r="BS1526">
        <v>3</v>
      </c>
      <c r="BT1526">
        <v>0</v>
      </c>
      <c r="BV1526">
        <v>0</v>
      </c>
      <c r="BW1526">
        <v>16</v>
      </c>
      <c r="BX1526">
        <f>IF(C1526=C1525,IF((CI1526-1)=CI1525,BW1525,"no data"))</f>
        <v>187</v>
      </c>
      <c r="BY1526" s="5">
        <f t="shared" si="177"/>
        <v>-0.91443850267379678</v>
      </c>
      <c r="BZ1526" s="6">
        <f t="shared" si="176"/>
        <v>-0.91443850267379678</v>
      </c>
      <c r="CA1526" s="7">
        <v>42687</v>
      </c>
      <c r="CE1526">
        <v>1</v>
      </c>
      <c r="CF1526">
        <v>2</v>
      </c>
      <c r="CG1526">
        <v>8</v>
      </c>
      <c r="CH1526">
        <v>5</v>
      </c>
      <c r="CI1526">
        <f t="shared" si="174"/>
        <v>2016</v>
      </c>
      <c r="CJ1526" t="str">
        <f t="shared" si="175"/>
        <v>6624_2016</v>
      </c>
    </row>
    <row r="1527" spans="1:88" x14ac:dyDescent="0.25">
      <c r="A1527" t="s">
        <v>111</v>
      </c>
      <c r="B1527" t="s">
        <v>152</v>
      </c>
      <c r="C1527">
        <v>6624</v>
      </c>
      <c r="D1527">
        <v>-37.586995999999999</v>
      </c>
      <c r="E1527">
        <v>145.103195</v>
      </c>
      <c r="F1527">
        <v>4</v>
      </c>
      <c r="G1527" t="s">
        <v>572</v>
      </c>
      <c r="H1527">
        <v>10</v>
      </c>
      <c r="I1527">
        <v>190</v>
      </c>
      <c r="J1527">
        <v>97</v>
      </c>
      <c r="K1527">
        <v>277</v>
      </c>
      <c r="L1527">
        <v>190</v>
      </c>
      <c r="M1527">
        <v>10</v>
      </c>
      <c r="N1527">
        <v>279</v>
      </c>
      <c r="O1527">
        <v>99</v>
      </c>
      <c r="T1527">
        <v>10</v>
      </c>
      <c r="U1527">
        <v>75</v>
      </c>
      <c r="V1527">
        <v>9</v>
      </c>
      <c r="Y1527">
        <v>1</v>
      </c>
      <c r="Z1527">
        <v>2</v>
      </c>
      <c r="AA1527">
        <v>10</v>
      </c>
      <c r="AD1527">
        <v>27</v>
      </c>
      <c r="AE1527">
        <v>6</v>
      </c>
      <c r="AF1527">
        <v>10</v>
      </c>
      <c r="AI1527">
        <v>4</v>
      </c>
      <c r="AJ1527">
        <v>7</v>
      </c>
      <c r="AK1527">
        <v>7</v>
      </c>
      <c r="AX1527">
        <v>94</v>
      </c>
      <c r="AY1527">
        <v>32</v>
      </c>
      <c r="AZ1527">
        <v>126</v>
      </c>
      <c r="BA1527">
        <v>13</v>
      </c>
      <c r="BB1527">
        <v>23</v>
      </c>
      <c r="BC1527">
        <v>36</v>
      </c>
      <c r="BD1527">
        <v>43</v>
      </c>
      <c r="BE1527">
        <v>84</v>
      </c>
      <c r="BF1527">
        <v>127</v>
      </c>
      <c r="BG1527">
        <v>18</v>
      </c>
      <c r="BH1527">
        <v>29</v>
      </c>
      <c r="BI1527">
        <v>47</v>
      </c>
      <c r="BP1527">
        <v>134</v>
      </c>
      <c r="BR1527">
        <v>27</v>
      </c>
      <c r="BS1527">
        <v>3</v>
      </c>
      <c r="BT1527">
        <v>4</v>
      </c>
      <c r="BV1527">
        <v>0</v>
      </c>
      <c r="BW1527">
        <v>168</v>
      </c>
      <c r="BX1527">
        <f>IF(C1527=C1526,IF((CI1527-1)=CI1526,BW1526,"no data"))</f>
        <v>16</v>
      </c>
      <c r="BY1527" s="5">
        <f t="shared" si="177"/>
        <v>9.5</v>
      </c>
      <c r="BZ1527" s="6">
        <f t="shared" si="176"/>
        <v>9.5</v>
      </c>
      <c r="CA1527" s="7">
        <v>43051</v>
      </c>
      <c r="CE1527">
        <v>60</v>
      </c>
      <c r="CF1527">
        <v>46</v>
      </c>
      <c r="CG1527">
        <v>42</v>
      </c>
      <c r="CH1527">
        <v>20</v>
      </c>
      <c r="CI1527">
        <f t="shared" si="174"/>
        <v>2017</v>
      </c>
      <c r="CJ1527" t="str">
        <f t="shared" si="175"/>
        <v>6624_2017</v>
      </c>
    </row>
    <row r="1528" spans="1:88" x14ac:dyDescent="0.25">
      <c r="A1528" t="s">
        <v>111</v>
      </c>
      <c r="B1528" t="s">
        <v>152</v>
      </c>
      <c r="C1528">
        <v>6624</v>
      </c>
      <c r="D1528">
        <v>-37.586995999999999</v>
      </c>
      <c r="E1528">
        <v>145.103195</v>
      </c>
      <c r="F1528">
        <v>4</v>
      </c>
      <c r="G1528" t="s">
        <v>572</v>
      </c>
      <c r="H1528">
        <v>10</v>
      </c>
      <c r="I1528">
        <v>190</v>
      </c>
      <c r="J1528">
        <v>97</v>
      </c>
      <c r="K1528">
        <v>277</v>
      </c>
      <c r="L1528">
        <v>190</v>
      </c>
      <c r="M1528">
        <v>10</v>
      </c>
      <c r="N1528">
        <v>279</v>
      </c>
      <c r="O1528">
        <v>99</v>
      </c>
      <c r="T1528">
        <v>20</v>
      </c>
      <c r="U1528">
        <v>37</v>
      </c>
      <c r="V1528">
        <v>6</v>
      </c>
      <c r="Y1528">
        <v>4</v>
      </c>
      <c r="Z1528">
        <v>4</v>
      </c>
      <c r="AA1528">
        <v>18</v>
      </c>
      <c r="AD1528">
        <v>17</v>
      </c>
      <c r="AE1528">
        <v>2</v>
      </c>
      <c r="AF1528">
        <v>7</v>
      </c>
      <c r="AI1528">
        <v>1</v>
      </c>
      <c r="AJ1528">
        <v>17</v>
      </c>
      <c r="AK1528">
        <v>1</v>
      </c>
      <c r="AX1528">
        <v>63</v>
      </c>
      <c r="AY1528">
        <v>22</v>
      </c>
      <c r="AZ1528">
        <v>85</v>
      </c>
      <c r="BA1528">
        <v>26</v>
      </c>
      <c r="BB1528">
        <v>39</v>
      </c>
      <c r="BC1528">
        <v>65</v>
      </c>
      <c r="BD1528">
        <v>26</v>
      </c>
      <c r="BE1528">
        <v>42</v>
      </c>
      <c r="BF1528">
        <v>68</v>
      </c>
      <c r="BG1528">
        <v>19</v>
      </c>
      <c r="BH1528">
        <v>31</v>
      </c>
      <c r="BI1528">
        <v>50</v>
      </c>
      <c r="BP1528">
        <v>90</v>
      </c>
      <c r="BR1528">
        <v>19</v>
      </c>
      <c r="BS1528">
        <v>12</v>
      </c>
      <c r="BT1528">
        <v>6</v>
      </c>
      <c r="BV1528">
        <v>7</v>
      </c>
      <c r="BW1528">
        <v>134</v>
      </c>
      <c r="BX1528">
        <f>IF(C1528=C1527,IF((CI1528-1)=CI1527,BW1527,"no data"))</f>
        <v>168</v>
      </c>
      <c r="BY1528" s="5">
        <f t="shared" si="177"/>
        <v>-0.20238095238095238</v>
      </c>
      <c r="BZ1528" s="6">
        <f t="shared" si="176"/>
        <v>-0.20238095238095238</v>
      </c>
      <c r="CA1528" s="7">
        <v>43415</v>
      </c>
      <c r="CE1528">
        <v>37</v>
      </c>
      <c r="CF1528">
        <v>37</v>
      </c>
      <c r="CG1528">
        <v>26</v>
      </c>
      <c r="CH1528">
        <v>34</v>
      </c>
      <c r="CI1528">
        <f t="shared" si="174"/>
        <v>2018</v>
      </c>
      <c r="CJ1528" t="str">
        <f t="shared" si="175"/>
        <v>6624_2018</v>
      </c>
    </row>
    <row r="1529" spans="1:88" x14ac:dyDescent="0.25">
      <c r="A1529" t="s">
        <v>111</v>
      </c>
      <c r="B1529" t="s">
        <v>152</v>
      </c>
      <c r="C1529">
        <v>6624</v>
      </c>
      <c r="D1529">
        <v>-37.587000000000003</v>
      </c>
      <c r="E1529">
        <v>145.10319999999999</v>
      </c>
      <c r="F1529">
        <v>4</v>
      </c>
      <c r="G1529" t="s">
        <v>572</v>
      </c>
      <c r="H1529">
        <v>10</v>
      </c>
      <c r="I1529">
        <v>190</v>
      </c>
      <c r="J1529">
        <v>97</v>
      </c>
      <c r="K1529">
        <v>277</v>
      </c>
      <c r="L1529">
        <v>190</v>
      </c>
      <c r="M1529">
        <v>10</v>
      </c>
      <c r="N1529">
        <v>279</v>
      </c>
      <c r="O1529">
        <v>99</v>
      </c>
      <c r="BP1529">
        <v>0</v>
      </c>
      <c r="BR1529">
        <v>0</v>
      </c>
      <c r="BS1529">
        <v>0</v>
      </c>
      <c r="BT1529">
        <v>0</v>
      </c>
      <c r="BV1529">
        <v>0</v>
      </c>
      <c r="BW1529">
        <v>0</v>
      </c>
      <c r="BX1529">
        <f>IF(C1529=C1528,IF((CI1529-1)=CI1528,BW1528,"no data"))</f>
        <v>134</v>
      </c>
      <c r="BY1529" s="5">
        <f t="shared" si="177"/>
        <v>-1</v>
      </c>
      <c r="BZ1529" s="6">
        <f t="shared" si="176"/>
        <v>-1</v>
      </c>
      <c r="CA1529" s="7">
        <v>43779</v>
      </c>
      <c r="CI1529">
        <f t="shared" si="174"/>
        <v>2019</v>
      </c>
      <c r="CJ1529" t="str">
        <f t="shared" si="175"/>
        <v>6624_2019</v>
      </c>
    </row>
    <row r="1530" spans="1:88" x14ac:dyDescent="0.25">
      <c r="A1530" t="s">
        <v>79</v>
      </c>
      <c r="B1530" t="s">
        <v>80</v>
      </c>
      <c r="C1530">
        <v>6625</v>
      </c>
      <c r="D1530">
        <v>-33.922199999999997</v>
      </c>
      <c r="E1530">
        <v>151.1533</v>
      </c>
      <c r="F1530">
        <v>3</v>
      </c>
      <c r="G1530" t="s">
        <v>573</v>
      </c>
      <c r="H1530">
        <v>30</v>
      </c>
      <c r="I1530">
        <v>210</v>
      </c>
      <c r="J1530">
        <v>125</v>
      </c>
      <c r="K1530">
        <v>305</v>
      </c>
      <c r="L1530">
        <v>253</v>
      </c>
      <c r="M1530">
        <v>73</v>
      </c>
      <c r="T1530">
        <v>38</v>
      </c>
      <c r="U1530">
        <v>39</v>
      </c>
      <c r="Y1530">
        <v>21</v>
      </c>
      <c r="Z1530">
        <v>251</v>
      </c>
      <c r="AD1530">
        <v>51</v>
      </c>
      <c r="AE1530">
        <v>231</v>
      </c>
      <c r="AX1530">
        <v>77</v>
      </c>
      <c r="AY1530">
        <v>72</v>
      </c>
      <c r="AZ1530">
        <v>149</v>
      </c>
      <c r="BA1530">
        <v>272</v>
      </c>
      <c r="BB1530">
        <v>269</v>
      </c>
      <c r="BC1530">
        <v>541</v>
      </c>
      <c r="BD1530">
        <v>282</v>
      </c>
      <c r="BE1530">
        <v>290</v>
      </c>
      <c r="BF1530">
        <v>572</v>
      </c>
      <c r="BP1530">
        <v>354</v>
      </c>
      <c r="BR1530">
        <v>185</v>
      </c>
      <c r="BS1530">
        <v>34</v>
      </c>
      <c r="BT1530">
        <v>34</v>
      </c>
      <c r="BV1530">
        <v>24</v>
      </c>
      <c r="BW1530">
        <v>631</v>
      </c>
      <c r="BX1530" t="s">
        <v>82</v>
      </c>
      <c r="BY1530" s="5"/>
      <c r="BZ1530" s="6"/>
      <c r="CA1530" s="7">
        <v>41952</v>
      </c>
      <c r="CI1530">
        <f t="shared" si="174"/>
        <v>2014</v>
      </c>
      <c r="CJ1530" t="str">
        <f t="shared" si="175"/>
        <v>6625_2014</v>
      </c>
    </row>
    <row r="1531" spans="1:88" x14ac:dyDescent="0.25">
      <c r="A1531" t="s">
        <v>79</v>
      </c>
      <c r="B1531" t="s">
        <v>80</v>
      </c>
      <c r="C1531">
        <v>6625</v>
      </c>
      <c r="D1531">
        <v>-33.922199999999997</v>
      </c>
      <c r="E1531">
        <v>151.1533</v>
      </c>
      <c r="F1531">
        <v>3</v>
      </c>
      <c r="G1531" t="s">
        <v>573</v>
      </c>
      <c r="H1531">
        <v>30</v>
      </c>
      <c r="I1531">
        <v>210</v>
      </c>
      <c r="J1531">
        <v>125</v>
      </c>
      <c r="K1531">
        <v>305</v>
      </c>
      <c r="L1531">
        <v>253</v>
      </c>
      <c r="M1531">
        <v>73</v>
      </c>
      <c r="T1531">
        <v>42</v>
      </c>
      <c r="U1531">
        <v>66</v>
      </c>
      <c r="Y1531">
        <v>32</v>
      </c>
      <c r="Z1531">
        <v>199</v>
      </c>
      <c r="AD1531">
        <v>31</v>
      </c>
      <c r="AE1531">
        <v>242</v>
      </c>
      <c r="AX1531">
        <v>108</v>
      </c>
      <c r="AY1531">
        <v>63</v>
      </c>
      <c r="AZ1531">
        <v>171</v>
      </c>
      <c r="BA1531">
        <v>231</v>
      </c>
      <c r="BB1531">
        <v>284</v>
      </c>
      <c r="BC1531">
        <v>515</v>
      </c>
      <c r="BD1531">
        <v>273</v>
      </c>
      <c r="BE1531">
        <v>265</v>
      </c>
      <c r="BF1531">
        <v>538</v>
      </c>
      <c r="BP1531">
        <v>325</v>
      </c>
      <c r="BR1531">
        <v>203</v>
      </c>
      <c r="BS1531">
        <v>38</v>
      </c>
      <c r="BT1531">
        <v>24</v>
      </c>
      <c r="BV1531">
        <v>22</v>
      </c>
      <c r="BW1531">
        <v>612</v>
      </c>
      <c r="BX1531">
        <f>IF(C1531=C1530,IF((CI1531-1)=CI1530,BW1530,"no data"))</f>
        <v>631</v>
      </c>
      <c r="BY1531" s="5">
        <f t="shared" si="177"/>
        <v>-3.0110935023771792E-2</v>
      </c>
      <c r="BZ1531" s="6">
        <f t="shared" si="176"/>
        <v>-3.0110935023771792E-2</v>
      </c>
      <c r="CA1531" s="7">
        <v>42316</v>
      </c>
      <c r="CE1531">
        <v>187</v>
      </c>
      <c r="CF1531">
        <v>149</v>
      </c>
      <c r="CG1531">
        <v>165</v>
      </c>
      <c r="CH1531">
        <v>111</v>
      </c>
      <c r="CI1531">
        <f t="shared" si="174"/>
        <v>2015</v>
      </c>
      <c r="CJ1531" t="str">
        <f t="shared" si="175"/>
        <v>6625_2015</v>
      </c>
    </row>
    <row r="1532" spans="1:88" x14ac:dyDescent="0.25">
      <c r="A1532" t="s">
        <v>79</v>
      </c>
      <c r="B1532" t="s">
        <v>80</v>
      </c>
      <c r="C1532">
        <v>6625</v>
      </c>
      <c r="D1532">
        <v>-33.922232000000001</v>
      </c>
      <c r="E1532">
        <v>151.15333100000001</v>
      </c>
      <c r="F1532">
        <v>3</v>
      </c>
      <c r="G1532" t="s">
        <v>573</v>
      </c>
      <c r="H1532">
        <v>30</v>
      </c>
      <c r="I1532">
        <v>210</v>
      </c>
      <c r="J1532">
        <v>125</v>
      </c>
      <c r="K1532">
        <v>305</v>
      </c>
      <c r="L1532">
        <v>253</v>
      </c>
      <c r="M1532">
        <v>73</v>
      </c>
      <c r="T1532">
        <v>49</v>
      </c>
      <c r="U1532">
        <v>35</v>
      </c>
      <c r="Y1532">
        <v>44</v>
      </c>
      <c r="Z1532">
        <v>254</v>
      </c>
      <c r="AD1532">
        <v>49</v>
      </c>
      <c r="AE1532">
        <v>272</v>
      </c>
      <c r="AX1532">
        <v>84</v>
      </c>
      <c r="AY1532">
        <v>93</v>
      </c>
      <c r="AZ1532">
        <v>177</v>
      </c>
      <c r="BA1532">
        <v>298</v>
      </c>
      <c r="BB1532">
        <v>321</v>
      </c>
      <c r="BC1532">
        <v>619</v>
      </c>
      <c r="BD1532">
        <v>321</v>
      </c>
      <c r="BE1532">
        <v>289</v>
      </c>
      <c r="BF1532">
        <v>610</v>
      </c>
      <c r="BP1532">
        <v>433</v>
      </c>
      <c r="BR1532">
        <v>194</v>
      </c>
      <c r="BS1532">
        <v>37</v>
      </c>
      <c r="BT1532">
        <v>32</v>
      </c>
      <c r="BV1532">
        <v>7</v>
      </c>
      <c r="BW1532">
        <v>703</v>
      </c>
      <c r="BX1532">
        <f>IF(C1532=C1531,IF((CI1532-1)=CI1531,BW1531,"no data"))</f>
        <v>612</v>
      </c>
      <c r="BY1532" s="5">
        <f t="shared" si="177"/>
        <v>0.14869281045751634</v>
      </c>
      <c r="BZ1532" s="6">
        <f t="shared" si="176"/>
        <v>0.14869281045751634</v>
      </c>
      <c r="CA1532" s="7">
        <v>42687</v>
      </c>
      <c r="CE1532">
        <v>242</v>
      </c>
      <c r="CF1532">
        <v>179</v>
      </c>
      <c r="CG1532">
        <v>158</v>
      </c>
      <c r="CH1532">
        <v>124</v>
      </c>
      <c r="CI1532">
        <f t="shared" si="174"/>
        <v>2016</v>
      </c>
      <c r="CJ1532" t="str">
        <f t="shared" si="175"/>
        <v>6625_2016</v>
      </c>
    </row>
    <row r="1533" spans="1:88" x14ac:dyDescent="0.25">
      <c r="A1533" t="s">
        <v>79</v>
      </c>
      <c r="B1533" t="s">
        <v>80</v>
      </c>
      <c r="C1533">
        <v>6625</v>
      </c>
      <c r="D1533">
        <v>-33.922232000000001</v>
      </c>
      <c r="E1533">
        <v>151.15333100000001</v>
      </c>
      <c r="F1533">
        <v>3</v>
      </c>
      <c r="G1533" t="s">
        <v>573</v>
      </c>
      <c r="H1533">
        <v>30</v>
      </c>
      <c r="I1533">
        <v>210</v>
      </c>
      <c r="J1533">
        <v>125</v>
      </c>
      <c r="K1533">
        <v>305</v>
      </c>
      <c r="L1533">
        <v>253</v>
      </c>
      <c r="M1533">
        <v>73</v>
      </c>
      <c r="T1533">
        <v>41</v>
      </c>
      <c r="U1533">
        <v>54</v>
      </c>
      <c r="Y1533">
        <v>51</v>
      </c>
      <c r="Z1533">
        <v>255</v>
      </c>
      <c r="AD1533">
        <v>59</v>
      </c>
      <c r="AE1533">
        <v>197</v>
      </c>
      <c r="AX1533">
        <v>95</v>
      </c>
      <c r="AY1533">
        <v>110</v>
      </c>
      <c r="AZ1533">
        <v>205</v>
      </c>
      <c r="BA1533">
        <v>306</v>
      </c>
      <c r="BB1533">
        <v>238</v>
      </c>
      <c r="BC1533">
        <v>544</v>
      </c>
      <c r="BD1533">
        <v>256</v>
      </c>
      <c r="BE1533">
        <v>309</v>
      </c>
      <c r="BF1533">
        <v>565</v>
      </c>
      <c r="BP1533">
        <v>331</v>
      </c>
      <c r="BR1533">
        <v>225</v>
      </c>
      <c r="BS1533">
        <v>49</v>
      </c>
      <c r="BT1533">
        <v>43</v>
      </c>
      <c r="BV1533">
        <v>9</v>
      </c>
      <c r="BW1533">
        <v>657</v>
      </c>
      <c r="BX1533">
        <f>IF(C1533=C1532,IF((CI1533-1)=CI1532,BW1532,"no data"))</f>
        <v>703</v>
      </c>
      <c r="BY1533" s="5">
        <f t="shared" si="177"/>
        <v>-6.5433854907539113E-2</v>
      </c>
      <c r="BZ1533" s="6">
        <f t="shared" si="176"/>
        <v>-6.5433854907539113E-2</v>
      </c>
      <c r="CA1533" s="7">
        <v>43051</v>
      </c>
      <c r="CE1533">
        <v>210</v>
      </c>
      <c r="CF1533">
        <v>172</v>
      </c>
      <c r="CG1533">
        <v>164</v>
      </c>
      <c r="CH1533">
        <v>111</v>
      </c>
      <c r="CI1533">
        <f t="shared" si="174"/>
        <v>2017</v>
      </c>
      <c r="CJ1533" t="str">
        <f t="shared" si="175"/>
        <v>6625_2017</v>
      </c>
    </row>
    <row r="1534" spans="1:88" x14ac:dyDescent="0.25">
      <c r="A1534" t="s">
        <v>79</v>
      </c>
      <c r="B1534" t="s">
        <v>80</v>
      </c>
      <c r="C1534">
        <v>6625</v>
      </c>
      <c r="D1534">
        <v>-33.922232000000001</v>
      </c>
      <c r="E1534">
        <v>151.15333100000001</v>
      </c>
      <c r="F1534">
        <v>3</v>
      </c>
      <c r="G1534" t="s">
        <v>573</v>
      </c>
      <c r="H1534">
        <v>30</v>
      </c>
      <c r="I1534">
        <v>210</v>
      </c>
      <c r="J1534">
        <v>125</v>
      </c>
      <c r="K1534">
        <v>305</v>
      </c>
      <c r="L1534">
        <v>253</v>
      </c>
      <c r="M1534">
        <v>73</v>
      </c>
      <c r="T1534">
        <v>84</v>
      </c>
      <c r="U1534">
        <v>89</v>
      </c>
      <c r="Y1534">
        <v>129</v>
      </c>
      <c r="Z1534">
        <v>66</v>
      </c>
      <c r="AD1534">
        <v>64</v>
      </c>
      <c r="AE1534">
        <v>74</v>
      </c>
      <c r="AX1534">
        <v>173</v>
      </c>
      <c r="AY1534">
        <v>193</v>
      </c>
      <c r="AZ1534">
        <v>366</v>
      </c>
      <c r="BA1534">
        <v>195</v>
      </c>
      <c r="BB1534">
        <v>158</v>
      </c>
      <c r="BC1534">
        <v>353</v>
      </c>
      <c r="BD1534">
        <v>138</v>
      </c>
      <c r="BE1534">
        <v>155</v>
      </c>
      <c r="BF1534">
        <v>293</v>
      </c>
      <c r="BP1534">
        <v>299</v>
      </c>
      <c r="BR1534">
        <v>137</v>
      </c>
      <c r="BS1534">
        <v>31</v>
      </c>
      <c r="BT1534">
        <v>20</v>
      </c>
      <c r="BV1534">
        <v>19</v>
      </c>
      <c r="BW1534">
        <v>506</v>
      </c>
      <c r="BX1534">
        <f>IF(C1534=C1533,IF((CI1534-1)=CI1533,BW1533,"no data"))</f>
        <v>657</v>
      </c>
      <c r="BY1534" s="5">
        <f t="shared" si="177"/>
        <v>-0.22983257229832571</v>
      </c>
      <c r="BZ1534" s="6">
        <f t="shared" si="176"/>
        <v>-0.22983257229832571</v>
      </c>
      <c r="CA1534" s="7">
        <v>43443</v>
      </c>
      <c r="CE1534">
        <v>138</v>
      </c>
      <c r="CF1534">
        <v>137</v>
      </c>
      <c r="CG1534">
        <v>118</v>
      </c>
      <c r="CH1534">
        <v>113</v>
      </c>
      <c r="CI1534">
        <f t="shared" si="174"/>
        <v>2018</v>
      </c>
      <c r="CJ1534" t="str">
        <f t="shared" si="175"/>
        <v>6625_2018</v>
      </c>
    </row>
    <row r="1535" spans="1:88" x14ac:dyDescent="0.25">
      <c r="A1535" t="s">
        <v>79</v>
      </c>
      <c r="B1535" t="s">
        <v>80</v>
      </c>
      <c r="C1535">
        <v>6626</v>
      </c>
      <c r="D1535">
        <v>-33.902299999999997</v>
      </c>
      <c r="E1535">
        <v>151.1635</v>
      </c>
      <c r="F1535">
        <v>4</v>
      </c>
      <c r="G1535" t="s">
        <v>574</v>
      </c>
      <c r="H1535">
        <v>24</v>
      </c>
      <c r="I1535">
        <v>204</v>
      </c>
      <c r="J1535">
        <v>115</v>
      </c>
      <c r="K1535">
        <v>295</v>
      </c>
      <c r="L1535">
        <v>213</v>
      </c>
      <c r="M1535">
        <v>33</v>
      </c>
      <c r="N1535">
        <v>296</v>
      </c>
      <c r="O1535">
        <v>116</v>
      </c>
      <c r="T1535">
        <v>45</v>
      </c>
      <c r="U1535">
        <v>12</v>
      </c>
      <c r="V1535">
        <v>179</v>
      </c>
      <c r="Y1535">
        <v>32</v>
      </c>
      <c r="Z1535">
        <v>43</v>
      </c>
      <c r="AA1535">
        <v>591</v>
      </c>
      <c r="AD1535">
        <v>43</v>
      </c>
      <c r="AE1535">
        <v>101</v>
      </c>
      <c r="AF1535">
        <v>75</v>
      </c>
      <c r="AI1535">
        <v>109</v>
      </c>
      <c r="AJ1535">
        <v>660</v>
      </c>
      <c r="AK1535">
        <v>53</v>
      </c>
      <c r="AX1535">
        <v>236</v>
      </c>
      <c r="AY1535">
        <v>184</v>
      </c>
      <c r="AZ1535">
        <v>420</v>
      </c>
      <c r="BA1535">
        <v>666</v>
      </c>
      <c r="BB1535">
        <v>806</v>
      </c>
      <c r="BC1535">
        <v>1472</v>
      </c>
      <c r="BD1535">
        <v>219</v>
      </c>
      <c r="BE1535">
        <v>108</v>
      </c>
      <c r="BF1535">
        <v>327</v>
      </c>
      <c r="BG1535">
        <v>822</v>
      </c>
      <c r="BH1535">
        <v>845</v>
      </c>
      <c r="BI1535">
        <v>1667</v>
      </c>
      <c r="BP1535">
        <v>243</v>
      </c>
      <c r="BR1535">
        <v>1583</v>
      </c>
      <c r="BS1535">
        <v>5</v>
      </c>
      <c r="BT1535">
        <v>42</v>
      </c>
      <c r="BV1535">
        <v>70</v>
      </c>
      <c r="BW1535">
        <v>1943</v>
      </c>
      <c r="BX1535" t="s">
        <v>82</v>
      </c>
      <c r="BY1535" s="5"/>
      <c r="BZ1535" s="6"/>
      <c r="CA1535" s="7">
        <v>41952</v>
      </c>
      <c r="CI1535">
        <f t="shared" si="174"/>
        <v>2014</v>
      </c>
      <c r="CJ1535" t="str">
        <f t="shared" si="175"/>
        <v>6626_2014</v>
      </c>
    </row>
    <row r="1536" spans="1:88" x14ac:dyDescent="0.25">
      <c r="A1536" t="s">
        <v>79</v>
      </c>
      <c r="B1536" t="s">
        <v>80</v>
      </c>
      <c r="C1536">
        <v>6626</v>
      </c>
      <c r="D1536">
        <v>-33.902299999999997</v>
      </c>
      <c r="E1536">
        <v>151.1635</v>
      </c>
      <c r="F1536">
        <v>4</v>
      </c>
      <c r="G1536" t="s">
        <v>574</v>
      </c>
      <c r="H1536">
        <v>24</v>
      </c>
      <c r="I1536">
        <v>204</v>
      </c>
      <c r="J1536">
        <v>115</v>
      </c>
      <c r="K1536">
        <v>295</v>
      </c>
      <c r="L1536">
        <v>213</v>
      </c>
      <c r="M1536">
        <v>33</v>
      </c>
      <c r="N1536">
        <v>296</v>
      </c>
      <c r="O1536">
        <v>116</v>
      </c>
      <c r="T1536">
        <v>36</v>
      </c>
      <c r="U1536">
        <v>43</v>
      </c>
      <c r="V1536">
        <v>154</v>
      </c>
      <c r="Y1536">
        <v>24</v>
      </c>
      <c r="Z1536">
        <v>28</v>
      </c>
      <c r="AA1536">
        <v>660</v>
      </c>
      <c r="AD1536">
        <v>35</v>
      </c>
      <c r="AE1536">
        <v>57</v>
      </c>
      <c r="AF1536">
        <v>76</v>
      </c>
      <c r="AI1536">
        <v>130</v>
      </c>
      <c r="AJ1536">
        <v>546</v>
      </c>
      <c r="AK1536">
        <v>45</v>
      </c>
      <c r="AX1536">
        <v>233</v>
      </c>
      <c r="AY1536">
        <v>189</v>
      </c>
      <c r="AZ1536">
        <v>422</v>
      </c>
      <c r="BA1536">
        <v>712</v>
      </c>
      <c r="BB1536">
        <v>639</v>
      </c>
      <c r="BC1536">
        <v>1351</v>
      </c>
      <c r="BD1536">
        <v>168</v>
      </c>
      <c r="BE1536">
        <v>116</v>
      </c>
      <c r="BF1536">
        <v>284</v>
      </c>
      <c r="BG1536">
        <v>721</v>
      </c>
      <c r="BH1536">
        <v>890</v>
      </c>
      <c r="BI1536">
        <v>1611</v>
      </c>
      <c r="BP1536">
        <v>233</v>
      </c>
      <c r="BR1536">
        <v>1514</v>
      </c>
      <c r="BS1536">
        <v>11</v>
      </c>
      <c r="BT1536">
        <v>58</v>
      </c>
      <c r="BV1536">
        <v>18</v>
      </c>
      <c r="BW1536">
        <v>1834</v>
      </c>
      <c r="BX1536">
        <f>IF(C1536=C1535,IF((CI1536-1)=CI1535,BW1535,"no data"))</f>
        <v>1943</v>
      </c>
      <c r="BY1536" s="5">
        <f t="shared" si="177"/>
        <v>-5.6098816263510036E-2</v>
      </c>
      <c r="BZ1536" s="6">
        <f t="shared" si="176"/>
        <v>-5.6098816263510036E-2</v>
      </c>
      <c r="CA1536" s="7">
        <v>42316</v>
      </c>
      <c r="CE1536">
        <v>379</v>
      </c>
      <c r="CF1536">
        <v>465</v>
      </c>
      <c r="CG1536">
        <v>545</v>
      </c>
      <c r="CH1536">
        <v>445</v>
      </c>
      <c r="CI1536">
        <f t="shared" si="174"/>
        <v>2015</v>
      </c>
      <c r="CJ1536" t="str">
        <f t="shared" si="175"/>
        <v>6626_2015</v>
      </c>
    </row>
    <row r="1537" spans="1:88" x14ac:dyDescent="0.25">
      <c r="A1537" t="s">
        <v>79</v>
      </c>
      <c r="B1537" t="s">
        <v>80</v>
      </c>
      <c r="C1537">
        <v>6626</v>
      </c>
      <c r="D1537">
        <v>-33.902273999999998</v>
      </c>
      <c r="E1537">
        <v>151.16347500000001</v>
      </c>
      <c r="F1537">
        <v>4</v>
      </c>
      <c r="G1537" t="s">
        <v>574</v>
      </c>
      <c r="H1537">
        <v>24</v>
      </c>
      <c r="I1537">
        <v>204</v>
      </c>
      <c r="J1537">
        <v>115</v>
      </c>
      <c r="K1537">
        <v>295</v>
      </c>
      <c r="L1537">
        <v>213</v>
      </c>
      <c r="M1537">
        <v>33</v>
      </c>
      <c r="N1537">
        <v>296</v>
      </c>
      <c r="O1537">
        <v>116</v>
      </c>
      <c r="T1537">
        <v>16</v>
      </c>
      <c r="U1537">
        <v>25</v>
      </c>
      <c r="V1537">
        <v>148</v>
      </c>
      <c r="Y1537">
        <v>36</v>
      </c>
      <c r="Z1537">
        <v>42</v>
      </c>
      <c r="AA1537">
        <v>583</v>
      </c>
      <c r="AD1537">
        <v>43</v>
      </c>
      <c r="AE1537">
        <v>110</v>
      </c>
      <c r="AF1537">
        <v>74</v>
      </c>
      <c r="AI1537">
        <v>101</v>
      </c>
      <c r="AJ1537">
        <v>491</v>
      </c>
      <c r="AK1537">
        <v>39</v>
      </c>
      <c r="AX1537">
        <v>189</v>
      </c>
      <c r="AY1537">
        <v>180</v>
      </c>
      <c r="AZ1537">
        <v>369</v>
      </c>
      <c r="BA1537">
        <v>661</v>
      </c>
      <c r="BB1537">
        <v>617</v>
      </c>
      <c r="BC1537">
        <v>1278</v>
      </c>
      <c r="BD1537">
        <v>227</v>
      </c>
      <c r="BE1537">
        <v>106</v>
      </c>
      <c r="BF1537">
        <v>333</v>
      </c>
      <c r="BG1537">
        <v>631</v>
      </c>
      <c r="BH1537">
        <v>805</v>
      </c>
      <c r="BI1537">
        <v>1436</v>
      </c>
      <c r="BP1537">
        <v>159</v>
      </c>
      <c r="BR1537">
        <v>1462</v>
      </c>
      <c r="BS1537">
        <v>11</v>
      </c>
      <c r="BT1537">
        <v>59</v>
      </c>
      <c r="BV1537">
        <v>17</v>
      </c>
      <c r="BW1537">
        <v>1708</v>
      </c>
      <c r="BX1537">
        <f>IF(C1537=C1536,IF((CI1537-1)=CI1536,BW1536,"no data"))</f>
        <v>1834</v>
      </c>
      <c r="BY1537" s="5">
        <f t="shared" si="177"/>
        <v>-6.8702290076335881E-2</v>
      </c>
      <c r="BZ1537" s="6">
        <f t="shared" si="176"/>
        <v>-6.8702290076335881E-2</v>
      </c>
      <c r="CA1537" s="7">
        <v>42687</v>
      </c>
      <c r="CE1537">
        <v>325</v>
      </c>
      <c r="CF1537">
        <v>449</v>
      </c>
      <c r="CG1537">
        <v>513</v>
      </c>
      <c r="CH1537">
        <v>421</v>
      </c>
      <c r="CI1537">
        <f t="shared" si="174"/>
        <v>2016</v>
      </c>
      <c r="CJ1537" t="str">
        <f t="shared" si="175"/>
        <v>6626_2016</v>
      </c>
    </row>
    <row r="1538" spans="1:88" x14ac:dyDescent="0.25">
      <c r="A1538" t="s">
        <v>79</v>
      </c>
      <c r="B1538" t="s">
        <v>80</v>
      </c>
      <c r="C1538">
        <v>6626</v>
      </c>
      <c r="D1538">
        <v>-33.902273999999998</v>
      </c>
      <c r="E1538">
        <v>151.16347500000001</v>
      </c>
      <c r="F1538">
        <v>4</v>
      </c>
      <c r="G1538" t="s">
        <v>574</v>
      </c>
      <c r="H1538">
        <v>24</v>
      </c>
      <c r="I1538">
        <v>204</v>
      </c>
      <c r="J1538">
        <v>115</v>
      </c>
      <c r="K1538">
        <v>295</v>
      </c>
      <c r="L1538">
        <v>213</v>
      </c>
      <c r="M1538">
        <v>33</v>
      </c>
      <c r="N1538">
        <v>296</v>
      </c>
      <c r="O1538">
        <v>116</v>
      </c>
      <c r="T1538">
        <v>28</v>
      </c>
      <c r="U1538">
        <v>64</v>
      </c>
      <c r="V1538">
        <v>17</v>
      </c>
      <c r="Y1538">
        <v>35</v>
      </c>
      <c r="Z1538">
        <v>47</v>
      </c>
      <c r="AA1538">
        <v>163</v>
      </c>
      <c r="AD1538">
        <v>94</v>
      </c>
      <c r="AE1538">
        <v>39</v>
      </c>
      <c r="AF1538">
        <v>31</v>
      </c>
      <c r="AI1538">
        <v>33</v>
      </c>
      <c r="AJ1538">
        <v>200</v>
      </c>
      <c r="AK1538">
        <v>34</v>
      </c>
      <c r="AX1538">
        <v>109</v>
      </c>
      <c r="AY1538">
        <v>162</v>
      </c>
      <c r="AZ1538">
        <v>271</v>
      </c>
      <c r="BA1538">
        <v>245</v>
      </c>
      <c r="BB1538">
        <v>267</v>
      </c>
      <c r="BC1538">
        <v>512</v>
      </c>
      <c r="BD1538">
        <v>164</v>
      </c>
      <c r="BE1538">
        <v>145</v>
      </c>
      <c r="BF1538">
        <v>309</v>
      </c>
      <c r="BG1538">
        <v>267</v>
      </c>
      <c r="BH1538">
        <v>211</v>
      </c>
      <c r="BI1538">
        <v>478</v>
      </c>
      <c r="BP1538">
        <v>108</v>
      </c>
      <c r="BR1538">
        <v>613</v>
      </c>
      <c r="BS1538">
        <v>11</v>
      </c>
      <c r="BT1538">
        <v>53</v>
      </c>
      <c r="BV1538">
        <v>0</v>
      </c>
      <c r="BW1538">
        <v>785</v>
      </c>
      <c r="BX1538">
        <f>IF(C1538=C1537,IF((CI1538-1)=CI1537,BW1537,"no data"))</f>
        <v>1708</v>
      </c>
      <c r="BY1538" s="5">
        <f t="shared" si="177"/>
        <v>-0.54039812646370022</v>
      </c>
      <c r="BZ1538" s="6">
        <f t="shared" si="176"/>
        <v>-0.54039812646370022</v>
      </c>
      <c r="CA1538" s="7">
        <v>43051</v>
      </c>
      <c r="CE1538">
        <v>138</v>
      </c>
      <c r="CF1538">
        <v>228</v>
      </c>
      <c r="CG1538">
        <v>232</v>
      </c>
      <c r="CH1538">
        <v>187</v>
      </c>
      <c r="CI1538">
        <f t="shared" si="174"/>
        <v>2017</v>
      </c>
      <c r="CJ1538" t="str">
        <f t="shared" si="175"/>
        <v>6626_2017</v>
      </c>
    </row>
    <row r="1539" spans="1:88" x14ac:dyDescent="0.25">
      <c r="A1539" t="s">
        <v>79</v>
      </c>
      <c r="B1539" t="s">
        <v>80</v>
      </c>
      <c r="C1539">
        <v>6626</v>
      </c>
      <c r="D1539">
        <v>-33.902273999999998</v>
      </c>
      <c r="E1539">
        <v>151.16347500000001</v>
      </c>
      <c r="F1539">
        <v>4</v>
      </c>
      <c r="G1539" t="s">
        <v>574</v>
      </c>
      <c r="H1539">
        <v>24</v>
      </c>
      <c r="I1539">
        <v>204</v>
      </c>
      <c r="J1539">
        <v>115</v>
      </c>
      <c r="K1539">
        <v>295</v>
      </c>
      <c r="L1539">
        <v>213</v>
      </c>
      <c r="M1539">
        <v>33</v>
      </c>
      <c r="N1539">
        <v>296</v>
      </c>
      <c r="O1539">
        <v>116</v>
      </c>
      <c r="T1539">
        <v>46</v>
      </c>
      <c r="U1539">
        <v>36</v>
      </c>
      <c r="V1539">
        <v>162</v>
      </c>
      <c r="Y1539">
        <v>24</v>
      </c>
      <c r="Z1539">
        <v>30</v>
      </c>
      <c r="AA1539">
        <v>581</v>
      </c>
      <c r="AD1539">
        <v>52</v>
      </c>
      <c r="AE1539">
        <v>111</v>
      </c>
      <c r="AF1539">
        <v>47</v>
      </c>
      <c r="AI1539">
        <v>122</v>
      </c>
      <c r="AJ1539">
        <v>545</v>
      </c>
      <c r="AK1539">
        <v>30</v>
      </c>
      <c r="AX1539">
        <v>244</v>
      </c>
      <c r="AY1539">
        <v>198</v>
      </c>
      <c r="AZ1539">
        <v>442</v>
      </c>
      <c r="BA1539">
        <v>635</v>
      </c>
      <c r="BB1539">
        <v>702</v>
      </c>
      <c r="BC1539">
        <v>1337</v>
      </c>
      <c r="BD1539">
        <v>210</v>
      </c>
      <c r="BE1539">
        <v>96</v>
      </c>
      <c r="BF1539">
        <v>306</v>
      </c>
      <c r="BG1539">
        <v>697</v>
      </c>
      <c r="BH1539">
        <v>790</v>
      </c>
      <c r="BI1539">
        <v>1487</v>
      </c>
      <c r="BP1539">
        <v>138</v>
      </c>
      <c r="BR1539">
        <v>1464</v>
      </c>
      <c r="BS1539">
        <v>6</v>
      </c>
      <c r="BT1539">
        <v>97</v>
      </c>
      <c r="BV1539">
        <v>81</v>
      </c>
      <c r="BW1539">
        <v>1786</v>
      </c>
      <c r="BX1539">
        <f>IF(C1539=C1538,IF((CI1539-1)=CI1538,BW1538,"no data"))</f>
        <v>785</v>
      </c>
      <c r="BY1539" s="5">
        <f t="shared" si="177"/>
        <v>1.2751592356687897</v>
      </c>
      <c r="BZ1539" s="6">
        <f t="shared" si="176"/>
        <v>1.2751592356687897</v>
      </c>
      <c r="CA1539" s="7">
        <v>43415</v>
      </c>
      <c r="CE1539">
        <v>374</v>
      </c>
      <c r="CF1539">
        <v>465</v>
      </c>
      <c r="CG1539">
        <v>503</v>
      </c>
      <c r="CH1539">
        <v>444</v>
      </c>
      <c r="CI1539">
        <f t="shared" ref="CI1539:CI1602" si="178">YEAR(CA1539)</f>
        <v>2018</v>
      </c>
      <c r="CJ1539" t="str">
        <f t="shared" ref="CJ1539:CJ1602" si="179">_xlfn.CONCAT(C1539,"_",CI1539)</f>
        <v>6626_2018</v>
      </c>
    </row>
    <row r="1540" spans="1:88" x14ac:dyDescent="0.25">
      <c r="A1540" t="s">
        <v>79</v>
      </c>
      <c r="B1540" t="s">
        <v>575</v>
      </c>
      <c r="C1540">
        <v>6627</v>
      </c>
      <c r="D1540">
        <v>-33.944800000000001</v>
      </c>
      <c r="E1540">
        <v>151.12020000000001</v>
      </c>
      <c r="F1540">
        <v>2</v>
      </c>
      <c r="G1540" t="s">
        <v>576</v>
      </c>
      <c r="H1540">
        <v>54</v>
      </c>
      <c r="I1540">
        <v>234</v>
      </c>
      <c r="J1540">
        <v>243</v>
      </c>
      <c r="K1540">
        <v>63</v>
      </c>
      <c r="U1540">
        <v>28</v>
      </c>
      <c r="AD1540">
        <v>21</v>
      </c>
      <c r="AX1540">
        <v>28</v>
      </c>
      <c r="AY1540">
        <v>21</v>
      </c>
      <c r="AZ1540">
        <v>49</v>
      </c>
      <c r="BD1540">
        <v>21</v>
      </c>
      <c r="BE1540">
        <v>28</v>
      </c>
      <c r="BF1540">
        <v>49</v>
      </c>
      <c r="BP1540">
        <v>0</v>
      </c>
      <c r="BR1540">
        <v>43</v>
      </c>
      <c r="BS1540">
        <v>1</v>
      </c>
      <c r="BT1540">
        <v>4</v>
      </c>
      <c r="BV1540">
        <v>1</v>
      </c>
      <c r="BW1540">
        <v>49</v>
      </c>
      <c r="BX1540" t="s">
        <v>82</v>
      </c>
      <c r="BY1540" s="5"/>
      <c r="BZ1540" s="6"/>
      <c r="CA1540" s="7">
        <v>41952</v>
      </c>
      <c r="CI1540">
        <f t="shared" si="178"/>
        <v>2014</v>
      </c>
      <c r="CJ1540" t="str">
        <f t="shared" si="179"/>
        <v>6627_2014</v>
      </c>
    </row>
    <row r="1541" spans="1:88" x14ac:dyDescent="0.25">
      <c r="A1541" t="s">
        <v>79</v>
      </c>
      <c r="B1541" t="s">
        <v>575</v>
      </c>
      <c r="C1541">
        <v>6628</v>
      </c>
      <c r="D1541">
        <v>-33.960999999999999</v>
      </c>
      <c r="E1541">
        <v>151.15639999999999</v>
      </c>
      <c r="F1541">
        <v>3</v>
      </c>
      <c r="G1541" t="s">
        <v>577</v>
      </c>
      <c r="H1541">
        <v>22</v>
      </c>
      <c r="I1541">
        <v>202</v>
      </c>
      <c r="J1541">
        <v>202</v>
      </c>
      <c r="K1541">
        <v>22</v>
      </c>
      <c r="L1541">
        <v>296</v>
      </c>
      <c r="M1541">
        <v>116</v>
      </c>
      <c r="T1541">
        <v>133</v>
      </c>
      <c r="U1541">
        <v>38</v>
      </c>
      <c r="Y1541">
        <v>214</v>
      </c>
      <c r="Z1541">
        <v>111</v>
      </c>
      <c r="AD1541">
        <v>40</v>
      </c>
      <c r="AE1541">
        <v>35</v>
      </c>
      <c r="AX1541">
        <v>171</v>
      </c>
      <c r="AY1541">
        <v>254</v>
      </c>
      <c r="AZ1541">
        <v>425</v>
      </c>
      <c r="BA1541">
        <v>325</v>
      </c>
      <c r="BB1541">
        <v>168</v>
      </c>
      <c r="BC1541">
        <v>493</v>
      </c>
      <c r="BD1541">
        <v>75</v>
      </c>
      <c r="BE1541">
        <v>149</v>
      </c>
      <c r="BF1541">
        <v>224</v>
      </c>
      <c r="BP1541">
        <v>297</v>
      </c>
      <c r="BR1541">
        <v>187</v>
      </c>
      <c r="BS1541">
        <v>66</v>
      </c>
      <c r="BT1541">
        <v>21</v>
      </c>
      <c r="BV1541">
        <v>0</v>
      </c>
      <c r="BW1541">
        <v>571</v>
      </c>
      <c r="BX1541" t="s">
        <v>82</v>
      </c>
      <c r="BY1541" s="5"/>
      <c r="BZ1541" s="6"/>
      <c r="CA1541" s="7">
        <v>41952</v>
      </c>
      <c r="CI1541">
        <f t="shared" si="178"/>
        <v>2014</v>
      </c>
      <c r="CJ1541" t="str">
        <f t="shared" si="179"/>
        <v>6628_2014</v>
      </c>
    </row>
    <row r="1542" spans="1:88" x14ac:dyDescent="0.25">
      <c r="A1542" t="s">
        <v>79</v>
      </c>
      <c r="B1542" t="s">
        <v>575</v>
      </c>
      <c r="C1542">
        <v>6629</v>
      </c>
      <c r="D1542">
        <v>-33.995699999999999</v>
      </c>
      <c r="E1542">
        <v>151.14670000000001</v>
      </c>
      <c r="F1542">
        <v>4</v>
      </c>
      <c r="G1542" t="s">
        <v>578</v>
      </c>
      <c r="H1542">
        <v>53</v>
      </c>
      <c r="I1542">
        <v>233</v>
      </c>
      <c r="J1542">
        <v>125</v>
      </c>
      <c r="K1542">
        <v>305</v>
      </c>
      <c r="L1542">
        <v>235</v>
      </c>
      <c r="M1542">
        <v>55</v>
      </c>
      <c r="N1542">
        <v>330</v>
      </c>
      <c r="O1542">
        <v>150</v>
      </c>
      <c r="T1542">
        <v>34</v>
      </c>
      <c r="U1542">
        <v>181</v>
      </c>
      <c r="V1542">
        <v>22</v>
      </c>
      <c r="Y1542">
        <v>53</v>
      </c>
      <c r="Z1542">
        <v>30</v>
      </c>
      <c r="AA1542">
        <v>120</v>
      </c>
      <c r="AD1542">
        <v>192</v>
      </c>
      <c r="AE1542">
        <v>20</v>
      </c>
      <c r="AF1542">
        <v>15</v>
      </c>
      <c r="AI1542">
        <v>19</v>
      </c>
      <c r="AJ1542">
        <v>98</v>
      </c>
      <c r="AK1542">
        <v>9</v>
      </c>
      <c r="AX1542">
        <v>237</v>
      </c>
      <c r="AY1542">
        <v>264</v>
      </c>
      <c r="AZ1542">
        <v>501</v>
      </c>
      <c r="BA1542">
        <v>203</v>
      </c>
      <c r="BB1542">
        <v>152</v>
      </c>
      <c r="BC1542">
        <v>355</v>
      </c>
      <c r="BD1542">
        <v>227</v>
      </c>
      <c r="BE1542">
        <v>220</v>
      </c>
      <c r="BF1542">
        <v>447</v>
      </c>
      <c r="BG1542">
        <v>126</v>
      </c>
      <c r="BH1542">
        <v>157</v>
      </c>
      <c r="BI1542">
        <v>283</v>
      </c>
      <c r="BP1542">
        <v>205</v>
      </c>
      <c r="BR1542">
        <v>516</v>
      </c>
      <c r="BS1542">
        <v>27</v>
      </c>
      <c r="BT1542">
        <v>12</v>
      </c>
      <c r="BV1542">
        <v>33</v>
      </c>
      <c r="BW1542">
        <v>793</v>
      </c>
      <c r="BX1542" t="s">
        <v>82</v>
      </c>
      <c r="BY1542" s="5"/>
      <c r="BZ1542" s="6"/>
      <c r="CA1542" s="7">
        <v>41952</v>
      </c>
      <c r="CI1542">
        <f t="shared" si="178"/>
        <v>2014</v>
      </c>
      <c r="CJ1542" t="str">
        <f t="shared" si="179"/>
        <v>6629_2014</v>
      </c>
    </row>
    <row r="1543" spans="1:88" x14ac:dyDescent="0.25">
      <c r="A1543" t="s">
        <v>79</v>
      </c>
      <c r="B1543" t="s">
        <v>575</v>
      </c>
      <c r="C1543">
        <v>6630</v>
      </c>
      <c r="D1543">
        <v>-33.947099999999999</v>
      </c>
      <c r="E1543">
        <v>151.16460000000001</v>
      </c>
      <c r="F1543">
        <v>2</v>
      </c>
      <c r="G1543" t="s">
        <v>579</v>
      </c>
      <c r="H1543">
        <v>119</v>
      </c>
      <c r="I1543">
        <v>299</v>
      </c>
      <c r="J1543">
        <v>292</v>
      </c>
      <c r="K1543">
        <v>112</v>
      </c>
      <c r="T1543">
        <v>231</v>
      </c>
      <c r="Y1543">
        <v>181</v>
      </c>
      <c r="AX1543">
        <v>231</v>
      </c>
      <c r="AY1543">
        <v>181</v>
      </c>
      <c r="AZ1543">
        <v>412</v>
      </c>
      <c r="BA1543">
        <v>181</v>
      </c>
      <c r="BB1543">
        <v>231</v>
      </c>
      <c r="BC1543">
        <v>412</v>
      </c>
      <c r="BP1543">
        <v>293</v>
      </c>
      <c r="BR1543">
        <v>86</v>
      </c>
      <c r="BS1543">
        <v>11</v>
      </c>
      <c r="BT1543">
        <v>11</v>
      </c>
      <c r="BV1543">
        <v>11</v>
      </c>
      <c r="BW1543">
        <v>412</v>
      </c>
      <c r="BX1543" t="s">
        <v>82</v>
      </c>
      <c r="BY1543" s="5"/>
      <c r="BZ1543" s="6"/>
      <c r="CA1543" s="7">
        <v>41952</v>
      </c>
      <c r="CI1543">
        <f t="shared" si="178"/>
        <v>2014</v>
      </c>
      <c r="CJ1543" t="str">
        <f t="shared" si="179"/>
        <v>6630_2014</v>
      </c>
    </row>
    <row r="1544" spans="1:88" x14ac:dyDescent="0.25">
      <c r="A1544" t="s">
        <v>79</v>
      </c>
      <c r="B1544" t="s">
        <v>575</v>
      </c>
      <c r="C1544">
        <v>6631</v>
      </c>
      <c r="D1544">
        <v>-33.930599999999998</v>
      </c>
      <c r="E1544">
        <v>151.1558</v>
      </c>
      <c r="F1544">
        <v>3</v>
      </c>
      <c r="G1544" t="s">
        <v>580</v>
      </c>
      <c r="H1544">
        <v>35</v>
      </c>
      <c r="I1544">
        <v>215</v>
      </c>
      <c r="J1544">
        <v>170</v>
      </c>
      <c r="K1544">
        <v>350</v>
      </c>
      <c r="L1544">
        <v>226</v>
      </c>
      <c r="M1544">
        <v>46</v>
      </c>
      <c r="T1544">
        <v>155</v>
      </c>
      <c r="U1544">
        <v>26</v>
      </c>
      <c r="Y1544">
        <v>206</v>
      </c>
      <c r="Z1544">
        <v>3</v>
      </c>
      <c r="AD1544">
        <v>0</v>
      </c>
      <c r="AE1544">
        <v>0</v>
      </c>
      <c r="AX1544">
        <v>181</v>
      </c>
      <c r="AY1544">
        <v>206</v>
      </c>
      <c r="AZ1544">
        <v>387</v>
      </c>
      <c r="BA1544">
        <v>209</v>
      </c>
      <c r="BB1544">
        <v>155</v>
      </c>
      <c r="BC1544">
        <v>364</v>
      </c>
      <c r="BD1544">
        <v>0</v>
      </c>
      <c r="BE1544">
        <v>29</v>
      </c>
      <c r="BF1544">
        <v>29</v>
      </c>
      <c r="BP1544">
        <v>335</v>
      </c>
      <c r="BR1544">
        <v>45</v>
      </c>
      <c r="BS1544">
        <v>5</v>
      </c>
      <c r="BT1544">
        <v>5</v>
      </c>
      <c r="BV1544">
        <v>0</v>
      </c>
      <c r="BW1544">
        <v>390</v>
      </c>
      <c r="BX1544" t="s">
        <v>82</v>
      </c>
      <c r="BY1544" s="5"/>
      <c r="BZ1544" s="6"/>
      <c r="CA1544" s="7">
        <v>41952</v>
      </c>
      <c r="CI1544">
        <f t="shared" si="178"/>
        <v>2014</v>
      </c>
      <c r="CJ1544" t="str">
        <f t="shared" si="179"/>
        <v>6631_2014</v>
      </c>
    </row>
    <row r="1545" spans="1:88" x14ac:dyDescent="0.25">
      <c r="A1545" t="s">
        <v>79</v>
      </c>
      <c r="B1545" t="s">
        <v>581</v>
      </c>
      <c r="C1545">
        <v>6632</v>
      </c>
      <c r="D1545">
        <v>-34.045000000000002</v>
      </c>
      <c r="E1545">
        <v>151.05289999999999</v>
      </c>
      <c r="F1545">
        <v>3</v>
      </c>
      <c r="G1545" t="s">
        <v>582</v>
      </c>
      <c r="H1545">
        <v>9</v>
      </c>
      <c r="I1545">
        <v>189</v>
      </c>
      <c r="J1545">
        <v>55</v>
      </c>
      <c r="K1545">
        <v>235</v>
      </c>
      <c r="L1545">
        <v>195</v>
      </c>
      <c r="M1545">
        <v>15</v>
      </c>
      <c r="T1545">
        <v>4</v>
      </c>
      <c r="U1545">
        <v>53</v>
      </c>
      <c r="Y1545">
        <v>3</v>
      </c>
      <c r="Z1545">
        <v>10</v>
      </c>
      <c r="AD1545">
        <v>249</v>
      </c>
      <c r="AE1545">
        <v>12</v>
      </c>
      <c r="AX1545">
        <v>57</v>
      </c>
      <c r="AY1545">
        <v>252</v>
      </c>
      <c r="AZ1545">
        <v>309</v>
      </c>
      <c r="BA1545">
        <v>13</v>
      </c>
      <c r="BB1545">
        <v>16</v>
      </c>
      <c r="BC1545">
        <v>29</v>
      </c>
      <c r="BD1545">
        <v>261</v>
      </c>
      <c r="BE1545">
        <v>63</v>
      </c>
      <c r="BF1545">
        <v>324</v>
      </c>
      <c r="BP1545">
        <v>322</v>
      </c>
      <c r="BR1545">
        <v>9</v>
      </c>
      <c r="BS1545">
        <v>0</v>
      </c>
      <c r="BT1545">
        <v>0</v>
      </c>
      <c r="BV1545">
        <v>0</v>
      </c>
      <c r="BW1545">
        <v>331</v>
      </c>
      <c r="BX1545" t="s">
        <v>82</v>
      </c>
      <c r="BY1545" s="5"/>
      <c r="BZ1545" s="6"/>
      <c r="CA1545" s="7">
        <v>41952</v>
      </c>
      <c r="CI1545">
        <f t="shared" si="178"/>
        <v>2014</v>
      </c>
      <c r="CJ1545" t="str">
        <f t="shared" si="179"/>
        <v>6632_2014</v>
      </c>
    </row>
    <row r="1546" spans="1:88" x14ac:dyDescent="0.25">
      <c r="A1546" t="s">
        <v>79</v>
      </c>
      <c r="B1546" t="s">
        <v>581</v>
      </c>
      <c r="C1546">
        <v>6632</v>
      </c>
      <c r="D1546">
        <v>-34.045000000000002</v>
      </c>
      <c r="E1546">
        <v>151.05289999999999</v>
      </c>
      <c r="F1546">
        <v>3</v>
      </c>
      <c r="G1546" t="s">
        <v>582</v>
      </c>
      <c r="H1546">
        <v>9</v>
      </c>
      <c r="I1546">
        <v>189</v>
      </c>
      <c r="J1546">
        <v>55</v>
      </c>
      <c r="K1546">
        <v>235</v>
      </c>
      <c r="L1546">
        <v>195</v>
      </c>
      <c r="M1546">
        <v>15</v>
      </c>
      <c r="T1546">
        <v>0</v>
      </c>
      <c r="U1546">
        <v>506</v>
      </c>
      <c r="Y1546">
        <v>1</v>
      </c>
      <c r="Z1546">
        <v>43</v>
      </c>
      <c r="AD1546">
        <v>502</v>
      </c>
      <c r="AE1546">
        <v>10</v>
      </c>
      <c r="AX1546">
        <v>506</v>
      </c>
      <c r="AY1546">
        <v>503</v>
      </c>
      <c r="AZ1546">
        <v>1009</v>
      </c>
      <c r="BA1546">
        <v>44</v>
      </c>
      <c r="BB1546">
        <v>10</v>
      </c>
      <c r="BC1546">
        <v>54</v>
      </c>
      <c r="BD1546">
        <v>512</v>
      </c>
      <c r="BE1546">
        <v>549</v>
      </c>
      <c r="BF1546">
        <v>1061</v>
      </c>
      <c r="BP1546">
        <v>1039</v>
      </c>
      <c r="BR1546">
        <v>4</v>
      </c>
      <c r="BS1546">
        <v>19</v>
      </c>
      <c r="BT1546">
        <v>0</v>
      </c>
      <c r="BV1546">
        <v>0</v>
      </c>
      <c r="BW1546">
        <v>1062</v>
      </c>
      <c r="BX1546">
        <f>IF(C1546=C1545,IF((CI1546-1)=CI1545,BW1545,"no data"))</f>
        <v>331</v>
      </c>
      <c r="BY1546" s="5">
        <f t="shared" si="177"/>
        <v>2.2084592145015107</v>
      </c>
      <c r="BZ1546" s="6">
        <f t="shared" ref="BZ1546:BZ1594" si="180">BY1546</f>
        <v>2.2084592145015107</v>
      </c>
      <c r="CA1546" s="7">
        <v>42316</v>
      </c>
      <c r="CB1546">
        <v>190</v>
      </c>
      <c r="CC1546">
        <v>443</v>
      </c>
      <c r="CD1546">
        <v>274</v>
      </c>
      <c r="CE1546">
        <v>155</v>
      </c>
      <c r="CI1546">
        <f t="shared" si="178"/>
        <v>2015</v>
      </c>
      <c r="CJ1546" t="str">
        <f t="shared" si="179"/>
        <v>6632_2015</v>
      </c>
    </row>
    <row r="1547" spans="1:88" x14ac:dyDescent="0.25">
      <c r="A1547" t="s">
        <v>79</v>
      </c>
      <c r="B1547" t="s">
        <v>581</v>
      </c>
      <c r="C1547">
        <v>6632</v>
      </c>
      <c r="D1547">
        <v>-34.044956999999997</v>
      </c>
      <c r="E1547">
        <v>151.052909</v>
      </c>
      <c r="F1547">
        <v>3</v>
      </c>
      <c r="G1547" t="s">
        <v>582</v>
      </c>
      <c r="H1547">
        <v>9</v>
      </c>
      <c r="I1547">
        <v>189</v>
      </c>
      <c r="J1547">
        <v>55</v>
      </c>
      <c r="K1547">
        <v>235</v>
      </c>
      <c r="L1547">
        <v>195</v>
      </c>
      <c r="M1547">
        <v>15</v>
      </c>
      <c r="T1547">
        <v>13</v>
      </c>
      <c r="U1547">
        <v>292</v>
      </c>
      <c r="Y1547">
        <v>26</v>
      </c>
      <c r="Z1547">
        <v>280</v>
      </c>
      <c r="AD1547">
        <v>269</v>
      </c>
      <c r="AE1547">
        <v>322</v>
      </c>
      <c r="AX1547">
        <v>305</v>
      </c>
      <c r="AY1547">
        <v>295</v>
      </c>
      <c r="AZ1547">
        <v>600</v>
      </c>
      <c r="BA1547">
        <v>306</v>
      </c>
      <c r="BB1547">
        <v>335</v>
      </c>
      <c r="BC1547">
        <v>641</v>
      </c>
      <c r="BD1547">
        <v>591</v>
      </c>
      <c r="BE1547">
        <v>572</v>
      </c>
      <c r="BF1547">
        <v>1163</v>
      </c>
      <c r="BP1547">
        <v>877</v>
      </c>
      <c r="BR1547">
        <v>160</v>
      </c>
      <c r="BS1547">
        <v>103</v>
      </c>
      <c r="BT1547">
        <v>57</v>
      </c>
      <c r="BV1547">
        <v>5</v>
      </c>
      <c r="BW1547">
        <v>1202</v>
      </c>
      <c r="BX1547">
        <f>IF(C1547=C1546,IF((CI1547-1)=CI1546,BW1546,"no data"))</f>
        <v>1062</v>
      </c>
      <c r="BY1547" s="5">
        <f t="shared" si="177"/>
        <v>0.13182674199623351</v>
      </c>
      <c r="BZ1547" s="6">
        <f t="shared" si="180"/>
        <v>0.13182674199623351</v>
      </c>
      <c r="CA1547" s="7">
        <v>42687</v>
      </c>
      <c r="CB1547">
        <v>223</v>
      </c>
      <c r="CC1547">
        <v>420</v>
      </c>
      <c r="CD1547">
        <v>559</v>
      </c>
      <c r="CI1547">
        <f t="shared" si="178"/>
        <v>2016</v>
      </c>
      <c r="CJ1547" t="str">
        <f t="shared" si="179"/>
        <v>6632_2016</v>
      </c>
    </row>
    <row r="1548" spans="1:88" x14ac:dyDescent="0.25">
      <c r="A1548" t="s">
        <v>79</v>
      </c>
      <c r="B1548" t="s">
        <v>581</v>
      </c>
      <c r="C1548">
        <v>6632</v>
      </c>
      <c r="D1548">
        <v>-34.044956999999997</v>
      </c>
      <c r="E1548">
        <v>151.052909</v>
      </c>
      <c r="F1548">
        <v>3</v>
      </c>
      <c r="G1548" t="s">
        <v>582</v>
      </c>
      <c r="H1548">
        <v>9</v>
      </c>
      <c r="I1548">
        <v>189</v>
      </c>
      <c r="J1548">
        <v>55</v>
      </c>
      <c r="K1548">
        <v>235</v>
      </c>
      <c r="L1548">
        <v>195</v>
      </c>
      <c r="M1548">
        <v>15</v>
      </c>
      <c r="T1548">
        <v>0</v>
      </c>
      <c r="U1548">
        <v>79</v>
      </c>
      <c r="Y1548">
        <v>2</v>
      </c>
      <c r="Z1548">
        <v>12</v>
      </c>
      <c r="AD1548">
        <v>244</v>
      </c>
      <c r="AE1548">
        <v>6</v>
      </c>
      <c r="AX1548">
        <v>79</v>
      </c>
      <c r="AY1548">
        <v>246</v>
      </c>
      <c r="AZ1548">
        <v>325</v>
      </c>
      <c r="BA1548">
        <v>14</v>
      </c>
      <c r="BB1548">
        <v>6</v>
      </c>
      <c r="BC1548">
        <v>20</v>
      </c>
      <c r="BD1548">
        <v>250</v>
      </c>
      <c r="BE1548">
        <v>91</v>
      </c>
      <c r="BF1548">
        <v>341</v>
      </c>
      <c r="BP1548">
        <v>315</v>
      </c>
      <c r="BR1548">
        <v>21</v>
      </c>
      <c r="BS1548">
        <v>7</v>
      </c>
      <c r="BT1548">
        <v>0</v>
      </c>
      <c r="BV1548">
        <v>0</v>
      </c>
      <c r="BW1548">
        <v>343</v>
      </c>
      <c r="BX1548" t="str">
        <f>IF(C1548=C1547,IF((CI1548-1)=CI1547,BW1547,"no data"))</f>
        <v>no data</v>
      </c>
      <c r="BY1548" s="5"/>
      <c r="BZ1548" s="6"/>
      <c r="CA1548" s="7">
        <v>43415</v>
      </c>
      <c r="CE1548">
        <v>180</v>
      </c>
      <c r="CF1548">
        <v>76</v>
      </c>
      <c r="CG1548">
        <v>62</v>
      </c>
      <c r="CH1548">
        <v>25</v>
      </c>
      <c r="CI1548">
        <f t="shared" si="178"/>
        <v>2018</v>
      </c>
      <c r="CJ1548" t="str">
        <f t="shared" si="179"/>
        <v>6632_2018</v>
      </c>
    </row>
    <row r="1549" spans="1:88" x14ac:dyDescent="0.25">
      <c r="A1549" t="s">
        <v>79</v>
      </c>
      <c r="B1549" t="s">
        <v>581</v>
      </c>
      <c r="C1549">
        <v>6633</v>
      </c>
      <c r="D1549">
        <v>-34.0396</v>
      </c>
      <c r="E1549">
        <v>151.15639999999999</v>
      </c>
      <c r="F1549">
        <v>3</v>
      </c>
      <c r="G1549" t="s">
        <v>583</v>
      </c>
      <c r="H1549">
        <v>46</v>
      </c>
      <c r="I1549">
        <v>226</v>
      </c>
      <c r="J1549">
        <v>182</v>
      </c>
      <c r="K1549">
        <v>2</v>
      </c>
      <c r="L1549">
        <v>264</v>
      </c>
      <c r="M1549">
        <v>84</v>
      </c>
      <c r="T1549">
        <v>228</v>
      </c>
      <c r="U1549">
        <v>44</v>
      </c>
      <c r="Y1549">
        <v>245</v>
      </c>
      <c r="Z1549">
        <v>18</v>
      </c>
      <c r="AD1549">
        <v>65</v>
      </c>
      <c r="AE1549">
        <v>6</v>
      </c>
      <c r="AX1549">
        <v>272</v>
      </c>
      <c r="AY1549">
        <v>310</v>
      </c>
      <c r="AZ1549">
        <v>582</v>
      </c>
      <c r="BA1549">
        <v>263</v>
      </c>
      <c r="BB1549">
        <v>234</v>
      </c>
      <c r="BC1549">
        <v>497</v>
      </c>
      <c r="BD1549">
        <v>71</v>
      </c>
      <c r="BE1549">
        <v>62</v>
      </c>
      <c r="BF1549">
        <v>133</v>
      </c>
      <c r="BP1549">
        <v>581</v>
      </c>
      <c r="BR1549">
        <v>6</v>
      </c>
      <c r="BS1549">
        <v>19</v>
      </c>
      <c r="BT1549">
        <v>0</v>
      </c>
      <c r="BV1549">
        <v>0</v>
      </c>
      <c r="BW1549">
        <v>606</v>
      </c>
      <c r="BX1549" t="s">
        <v>82</v>
      </c>
      <c r="BY1549" s="5"/>
      <c r="BZ1549" s="6"/>
      <c r="CA1549" s="7">
        <v>41952</v>
      </c>
      <c r="CI1549">
        <f t="shared" si="178"/>
        <v>2014</v>
      </c>
      <c r="CJ1549" t="str">
        <f t="shared" si="179"/>
        <v>6633_2014</v>
      </c>
    </row>
    <row r="1550" spans="1:88" x14ac:dyDescent="0.25">
      <c r="A1550" t="s">
        <v>79</v>
      </c>
      <c r="B1550" t="s">
        <v>581</v>
      </c>
      <c r="C1550">
        <v>6633</v>
      </c>
      <c r="D1550">
        <v>-34.0396</v>
      </c>
      <c r="E1550">
        <v>151.15639999999999</v>
      </c>
      <c r="F1550">
        <v>3</v>
      </c>
      <c r="G1550" t="s">
        <v>583</v>
      </c>
      <c r="H1550">
        <v>46</v>
      </c>
      <c r="I1550">
        <v>226</v>
      </c>
      <c r="J1550">
        <v>182</v>
      </c>
      <c r="K1550">
        <v>2</v>
      </c>
      <c r="L1550">
        <v>264</v>
      </c>
      <c r="M1550">
        <v>84</v>
      </c>
      <c r="T1550">
        <v>81</v>
      </c>
      <c r="U1550">
        <v>14</v>
      </c>
      <c r="Y1550">
        <v>168</v>
      </c>
      <c r="Z1550">
        <v>5</v>
      </c>
      <c r="AD1550">
        <v>108</v>
      </c>
      <c r="AE1550">
        <v>14</v>
      </c>
      <c r="AX1550">
        <v>95</v>
      </c>
      <c r="AY1550">
        <v>276</v>
      </c>
      <c r="AZ1550">
        <v>371</v>
      </c>
      <c r="BA1550">
        <v>173</v>
      </c>
      <c r="BB1550">
        <v>95</v>
      </c>
      <c r="BC1550">
        <v>268</v>
      </c>
      <c r="BD1550">
        <v>122</v>
      </c>
      <c r="BE1550">
        <v>19</v>
      </c>
      <c r="BF1550">
        <v>141</v>
      </c>
      <c r="BP1550">
        <v>280</v>
      </c>
      <c r="BR1550">
        <v>71</v>
      </c>
      <c r="BS1550">
        <v>24</v>
      </c>
      <c r="BT1550">
        <v>10</v>
      </c>
      <c r="BV1550">
        <v>5</v>
      </c>
      <c r="BW1550">
        <v>390</v>
      </c>
      <c r="BX1550">
        <f>IF(C1550=C1549,IF((CI1550-1)=CI1549,BW1549,"no data"))</f>
        <v>606</v>
      </c>
      <c r="BY1550" s="5">
        <f t="shared" ref="BY1550:BY1610" si="181">(BW1550-BX1550)/BX1550</f>
        <v>-0.35643564356435642</v>
      </c>
      <c r="BZ1550" s="6">
        <f t="shared" si="180"/>
        <v>-0.35643564356435642</v>
      </c>
      <c r="CA1550" s="7">
        <v>42316</v>
      </c>
      <c r="CB1550">
        <v>65</v>
      </c>
      <c r="CC1550">
        <v>145</v>
      </c>
      <c r="CD1550">
        <v>90</v>
      </c>
      <c r="CE1550">
        <v>90</v>
      </c>
      <c r="CI1550">
        <f t="shared" si="178"/>
        <v>2015</v>
      </c>
      <c r="CJ1550" t="str">
        <f t="shared" si="179"/>
        <v>6633_2015</v>
      </c>
    </row>
    <row r="1551" spans="1:88" x14ac:dyDescent="0.25">
      <c r="A1551" t="s">
        <v>79</v>
      </c>
      <c r="B1551" t="s">
        <v>581</v>
      </c>
      <c r="C1551">
        <v>6633</v>
      </c>
      <c r="D1551">
        <v>-34.039580999999998</v>
      </c>
      <c r="E1551">
        <v>151.15644399999999</v>
      </c>
      <c r="F1551">
        <v>3</v>
      </c>
      <c r="G1551" t="s">
        <v>583</v>
      </c>
      <c r="H1551">
        <v>46</v>
      </c>
      <c r="I1551">
        <v>226</v>
      </c>
      <c r="J1551">
        <v>182</v>
      </c>
      <c r="K1551">
        <v>2</v>
      </c>
      <c r="L1551">
        <v>264</v>
      </c>
      <c r="M1551">
        <v>84</v>
      </c>
      <c r="T1551">
        <v>133</v>
      </c>
      <c r="U1551">
        <v>150</v>
      </c>
      <c r="Y1551">
        <v>140</v>
      </c>
      <c r="Z1551">
        <v>71</v>
      </c>
      <c r="AD1551">
        <v>211</v>
      </c>
      <c r="AE1551">
        <v>41</v>
      </c>
      <c r="AX1551">
        <v>283</v>
      </c>
      <c r="AY1551">
        <v>351</v>
      </c>
      <c r="AZ1551">
        <v>634</v>
      </c>
      <c r="BA1551">
        <v>211</v>
      </c>
      <c r="BB1551">
        <v>174</v>
      </c>
      <c r="BC1551">
        <v>385</v>
      </c>
      <c r="BD1551">
        <v>252</v>
      </c>
      <c r="BE1551">
        <v>221</v>
      </c>
      <c r="BF1551">
        <v>473</v>
      </c>
      <c r="BP1551">
        <v>700</v>
      </c>
      <c r="BR1551">
        <v>25</v>
      </c>
      <c r="BS1551">
        <v>18</v>
      </c>
      <c r="BT1551">
        <v>2</v>
      </c>
      <c r="BV1551">
        <v>1</v>
      </c>
      <c r="BW1551">
        <v>746</v>
      </c>
      <c r="BX1551">
        <f>IF(C1551=C1550,IF((CI1551-1)=CI1550,BW1550,"no data"))</f>
        <v>390</v>
      </c>
      <c r="BY1551" s="5">
        <f t="shared" si="181"/>
        <v>0.9128205128205128</v>
      </c>
      <c r="BZ1551" s="6">
        <f t="shared" si="180"/>
        <v>0.9128205128205128</v>
      </c>
      <c r="CA1551" s="7">
        <v>42687</v>
      </c>
      <c r="CB1551">
        <v>196</v>
      </c>
      <c r="CC1551">
        <v>261</v>
      </c>
      <c r="CD1551">
        <v>289</v>
      </c>
      <c r="CI1551">
        <f t="shared" si="178"/>
        <v>2016</v>
      </c>
      <c r="CJ1551" t="str">
        <f t="shared" si="179"/>
        <v>6633_2016</v>
      </c>
    </row>
    <row r="1552" spans="1:88" x14ac:dyDescent="0.25">
      <c r="A1552" t="s">
        <v>79</v>
      </c>
      <c r="B1552" t="s">
        <v>581</v>
      </c>
      <c r="C1552">
        <v>6633</v>
      </c>
      <c r="D1552">
        <v>-34.039580999999998</v>
      </c>
      <c r="E1552">
        <v>151.15644399999999</v>
      </c>
      <c r="F1552">
        <v>3</v>
      </c>
      <c r="G1552" t="s">
        <v>583</v>
      </c>
      <c r="H1552">
        <v>46</v>
      </c>
      <c r="I1552">
        <v>226</v>
      </c>
      <c r="J1552">
        <v>182</v>
      </c>
      <c r="K1552">
        <v>2</v>
      </c>
      <c r="L1552">
        <v>264</v>
      </c>
      <c r="M1552">
        <v>84</v>
      </c>
      <c r="T1552">
        <v>32</v>
      </c>
      <c r="U1552">
        <v>125</v>
      </c>
      <c r="Y1552">
        <v>17</v>
      </c>
      <c r="Z1552">
        <v>47</v>
      </c>
      <c r="AD1552">
        <v>57</v>
      </c>
      <c r="AE1552">
        <v>44</v>
      </c>
      <c r="AX1552">
        <v>157</v>
      </c>
      <c r="AY1552">
        <v>74</v>
      </c>
      <c r="AZ1552">
        <v>231</v>
      </c>
      <c r="BA1552">
        <v>64</v>
      </c>
      <c r="BB1552">
        <v>76</v>
      </c>
      <c r="BC1552">
        <v>140</v>
      </c>
      <c r="BD1552">
        <v>101</v>
      </c>
      <c r="BE1552">
        <v>172</v>
      </c>
      <c r="BF1552">
        <v>273</v>
      </c>
      <c r="BP1552">
        <v>293</v>
      </c>
      <c r="BR1552">
        <v>17</v>
      </c>
      <c r="BS1552">
        <v>10</v>
      </c>
      <c r="BT1552">
        <v>2</v>
      </c>
      <c r="BV1552">
        <v>0</v>
      </c>
      <c r="BW1552">
        <v>322</v>
      </c>
      <c r="BX1552" t="str">
        <f>IF(C1552=C1551,IF((CI1552-1)=CI1551,BW1551,"no data"))</f>
        <v>no data</v>
      </c>
      <c r="BY1552" s="5"/>
      <c r="BZ1552" s="6"/>
      <c r="CA1552" s="7">
        <v>43443</v>
      </c>
      <c r="CE1552">
        <v>161</v>
      </c>
      <c r="CF1552">
        <v>86</v>
      </c>
      <c r="CG1552">
        <v>62</v>
      </c>
      <c r="CH1552">
        <v>13</v>
      </c>
      <c r="CI1552">
        <f t="shared" si="178"/>
        <v>2018</v>
      </c>
      <c r="CJ1552" t="str">
        <f t="shared" si="179"/>
        <v>6633_2018</v>
      </c>
    </row>
    <row r="1553" spans="1:88" x14ac:dyDescent="0.25">
      <c r="A1553" t="s">
        <v>79</v>
      </c>
      <c r="B1553" t="s">
        <v>581</v>
      </c>
      <c r="C1553">
        <v>6634</v>
      </c>
      <c r="D1553">
        <v>-33.996400000000001</v>
      </c>
      <c r="E1553">
        <v>151.0694</v>
      </c>
      <c r="F1553">
        <v>2</v>
      </c>
      <c r="G1553" t="s">
        <v>584</v>
      </c>
      <c r="H1553">
        <v>42</v>
      </c>
      <c r="I1553">
        <v>222</v>
      </c>
      <c r="J1553">
        <v>216</v>
      </c>
      <c r="K1553">
        <v>36</v>
      </c>
      <c r="T1553">
        <v>374</v>
      </c>
      <c r="Y1553">
        <v>310</v>
      </c>
      <c r="AX1553">
        <v>374</v>
      </c>
      <c r="AY1553">
        <v>310</v>
      </c>
      <c r="AZ1553">
        <v>684</v>
      </c>
      <c r="BA1553">
        <v>310</v>
      </c>
      <c r="BB1553">
        <v>374</v>
      </c>
      <c r="BC1553">
        <v>684</v>
      </c>
      <c r="BP1553">
        <v>133</v>
      </c>
      <c r="BR1553">
        <v>438</v>
      </c>
      <c r="BS1553">
        <v>18</v>
      </c>
      <c r="BT1553">
        <v>50</v>
      </c>
      <c r="BV1553">
        <v>45</v>
      </c>
      <c r="BW1553">
        <v>684</v>
      </c>
      <c r="BX1553" t="s">
        <v>82</v>
      </c>
      <c r="BY1553" s="5"/>
      <c r="BZ1553" s="6"/>
      <c r="CA1553" s="7">
        <v>41952</v>
      </c>
      <c r="CI1553">
        <f t="shared" si="178"/>
        <v>2014</v>
      </c>
      <c r="CJ1553" t="str">
        <f t="shared" si="179"/>
        <v>6634_2014</v>
      </c>
    </row>
    <row r="1554" spans="1:88" x14ac:dyDescent="0.25">
      <c r="A1554" t="s">
        <v>79</v>
      </c>
      <c r="B1554" t="s">
        <v>581</v>
      </c>
      <c r="C1554">
        <v>6634</v>
      </c>
      <c r="D1554">
        <v>-33.996400000000001</v>
      </c>
      <c r="E1554">
        <v>151.0694</v>
      </c>
      <c r="F1554">
        <v>2</v>
      </c>
      <c r="G1554" t="s">
        <v>584</v>
      </c>
      <c r="H1554">
        <v>42</v>
      </c>
      <c r="I1554">
        <v>222</v>
      </c>
      <c r="J1554">
        <v>216</v>
      </c>
      <c r="K1554">
        <v>36</v>
      </c>
      <c r="T1554">
        <v>362</v>
      </c>
      <c r="Y1554">
        <v>338</v>
      </c>
      <c r="AX1554">
        <v>362</v>
      </c>
      <c r="AY1554">
        <v>338</v>
      </c>
      <c r="AZ1554">
        <v>700</v>
      </c>
      <c r="BA1554">
        <v>338</v>
      </c>
      <c r="BB1554">
        <v>362</v>
      </c>
      <c r="BC1554">
        <v>700</v>
      </c>
      <c r="BP1554">
        <v>277</v>
      </c>
      <c r="BR1554">
        <v>287</v>
      </c>
      <c r="BS1554">
        <v>100</v>
      </c>
      <c r="BT1554">
        <v>23</v>
      </c>
      <c r="BV1554">
        <v>13</v>
      </c>
      <c r="BW1554">
        <v>700</v>
      </c>
      <c r="BX1554">
        <f>IF(C1554=C1553,IF((CI1554-1)=CI1553,BW1553,"no data"))</f>
        <v>684</v>
      </c>
      <c r="BY1554" s="5">
        <f t="shared" si="181"/>
        <v>2.3391812865497075E-2</v>
      </c>
      <c r="BZ1554" s="6">
        <f t="shared" si="180"/>
        <v>2.3391812865497075E-2</v>
      </c>
      <c r="CA1554" s="7">
        <v>42316</v>
      </c>
      <c r="CE1554">
        <v>147</v>
      </c>
      <c r="CF1554">
        <v>164</v>
      </c>
      <c r="CG1554">
        <v>201</v>
      </c>
      <c r="CH1554">
        <v>188</v>
      </c>
      <c r="CI1554">
        <f t="shared" si="178"/>
        <v>2015</v>
      </c>
      <c r="CJ1554" t="str">
        <f t="shared" si="179"/>
        <v>6634_2015</v>
      </c>
    </row>
    <row r="1555" spans="1:88" x14ac:dyDescent="0.25">
      <c r="A1555" t="s">
        <v>79</v>
      </c>
      <c r="B1555" t="s">
        <v>581</v>
      </c>
      <c r="C1555">
        <v>6634</v>
      </c>
      <c r="D1555">
        <v>-33.996353999999997</v>
      </c>
      <c r="E1555">
        <v>151.06937500000001</v>
      </c>
      <c r="F1555">
        <v>2</v>
      </c>
      <c r="G1555" t="s">
        <v>584</v>
      </c>
      <c r="H1555">
        <v>42</v>
      </c>
      <c r="I1555">
        <v>222</v>
      </c>
      <c r="J1555">
        <v>216</v>
      </c>
      <c r="K1555">
        <v>36</v>
      </c>
      <c r="T1555">
        <v>388</v>
      </c>
      <c r="Y1555">
        <v>302</v>
      </c>
      <c r="AX1555">
        <v>388</v>
      </c>
      <c r="AY1555">
        <v>302</v>
      </c>
      <c r="AZ1555">
        <v>690</v>
      </c>
      <c r="BA1555">
        <v>302</v>
      </c>
      <c r="BB1555">
        <v>388</v>
      </c>
      <c r="BC1555">
        <v>690</v>
      </c>
      <c r="BP1555">
        <v>311</v>
      </c>
      <c r="BR1555">
        <v>246</v>
      </c>
      <c r="BS1555">
        <v>74</v>
      </c>
      <c r="BT1555">
        <v>45</v>
      </c>
      <c r="BV1555">
        <v>14</v>
      </c>
      <c r="BW1555">
        <v>690</v>
      </c>
      <c r="BX1555">
        <f>IF(C1555=C1554,IF((CI1555-1)=CI1554,BW1554,"no data"))</f>
        <v>700</v>
      </c>
      <c r="BY1555" s="5">
        <f t="shared" si="181"/>
        <v>-1.4285714285714285E-2</v>
      </c>
      <c r="BZ1555" s="6">
        <f t="shared" si="180"/>
        <v>-1.4285714285714285E-2</v>
      </c>
      <c r="CA1555" s="7">
        <v>42687</v>
      </c>
      <c r="CB1555">
        <v>154</v>
      </c>
      <c r="CC1555">
        <v>248</v>
      </c>
      <c r="CD1555">
        <v>288</v>
      </c>
      <c r="CI1555">
        <f t="shared" si="178"/>
        <v>2016</v>
      </c>
      <c r="CJ1555" t="str">
        <f t="shared" si="179"/>
        <v>6634_2016</v>
      </c>
    </row>
    <row r="1556" spans="1:88" x14ac:dyDescent="0.25">
      <c r="A1556" t="s">
        <v>79</v>
      </c>
      <c r="B1556" t="s">
        <v>581</v>
      </c>
      <c r="C1556">
        <v>6634</v>
      </c>
      <c r="D1556">
        <v>-33.996353999999997</v>
      </c>
      <c r="E1556">
        <v>151.06937500000001</v>
      </c>
      <c r="F1556">
        <v>2</v>
      </c>
      <c r="G1556" t="s">
        <v>584</v>
      </c>
      <c r="H1556">
        <v>42</v>
      </c>
      <c r="I1556">
        <v>222</v>
      </c>
      <c r="J1556">
        <v>216</v>
      </c>
      <c r="K1556">
        <v>36</v>
      </c>
      <c r="T1556">
        <v>456</v>
      </c>
      <c r="Y1556">
        <v>442</v>
      </c>
      <c r="AX1556">
        <v>456</v>
      </c>
      <c r="AY1556">
        <v>442</v>
      </c>
      <c r="AZ1556">
        <v>898</v>
      </c>
      <c r="BA1556">
        <v>442</v>
      </c>
      <c r="BB1556">
        <v>456</v>
      </c>
      <c r="BC1556">
        <v>898</v>
      </c>
      <c r="BP1556">
        <v>122</v>
      </c>
      <c r="BR1556">
        <v>637</v>
      </c>
      <c r="BS1556">
        <v>32</v>
      </c>
      <c r="BT1556">
        <v>66</v>
      </c>
      <c r="BV1556">
        <v>41</v>
      </c>
      <c r="BW1556">
        <v>898</v>
      </c>
      <c r="BX1556" t="str">
        <f>IF(C1556=C1555,IF((CI1556-1)=CI1555,BW1555,"no data"))</f>
        <v>no data</v>
      </c>
      <c r="BY1556" s="5"/>
      <c r="BZ1556" s="6"/>
      <c r="CA1556" s="7">
        <v>43415</v>
      </c>
      <c r="CE1556">
        <v>252</v>
      </c>
      <c r="CF1556">
        <v>214</v>
      </c>
      <c r="CG1556">
        <v>271</v>
      </c>
      <c r="CH1556">
        <v>161</v>
      </c>
      <c r="CI1556">
        <f t="shared" si="178"/>
        <v>2018</v>
      </c>
      <c r="CJ1556" t="str">
        <f t="shared" si="179"/>
        <v>6634_2018</v>
      </c>
    </row>
    <row r="1557" spans="1:88" x14ac:dyDescent="0.25">
      <c r="A1557" t="s">
        <v>79</v>
      </c>
      <c r="B1557" t="s">
        <v>581</v>
      </c>
      <c r="C1557">
        <v>6635</v>
      </c>
      <c r="D1557">
        <v>-34.039200000000001</v>
      </c>
      <c r="E1557">
        <v>151.13730000000001</v>
      </c>
      <c r="F1557">
        <v>3</v>
      </c>
      <c r="G1557" t="s">
        <v>585</v>
      </c>
      <c r="H1557">
        <v>10</v>
      </c>
      <c r="I1557">
        <v>190</v>
      </c>
      <c r="J1557">
        <v>100</v>
      </c>
      <c r="K1557">
        <v>280</v>
      </c>
      <c r="L1557">
        <v>279</v>
      </c>
      <c r="M1557">
        <v>99</v>
      </c>
      <c r="T1557">
        <v>9</v>
      </c>
      <c r="U1557">
        <v>11</v>
      </c>
      <c r="Y1557">
        <v>1</v>
      </c>
      <c r="Z1557">
        <v>68</v>
      </c>
      <c r="AD1557">
        <v>2</v>
      </c>
      <c r="AE1557">
        <v>59</v>
      </c>
      <c r="AX1557">
        <v>20</v>
      </c>
      <c r="AY1557">
        <v>3</v>
      </c>
      <c r="AZ1557">
        <v>23</v>
      </c>
      <c r="BA1557">
        <v>69</v>
      </c>
      <c r="BB1557">
        <v>68</v>
      </c>
      <c r="BC1557">
        <v>137</v>
      </c>
      <c r="BD1557">
        <v>61</v>
      </c>
      <c r="BE1557">
        <v>79</v>
      </c>
      <c r="BF1557">
        <v>140</v>
      </c>
      <c r="BP1557">
        <v>78</v>
      </c>
      <c r="BR1557">
        <v>31</v>
      </c>
      <c r="BS1557">
        <v>22</v>
      </c>
      <c r="BT1557">
        <v>16</v>
      </c>
      <c r="BV1557">
        <v>3</v>
      </c>
      <c r="BW1557">
        <v>150</v>
      </c>
      <c r="BX1557" t="s">
        <v>82</v>
      </c>
      <c r="BY1557" s="5"/>
      <c r="BZ1557" s="6"/>
      <c r="CA1557" s="7">
        <v>41952</v>
      </c>
      <c r="CI1557">
        <f t="shared" si="178"/>
        <v>2014</v>
      </c>
      <c r="CJ1557" t="str">
        <f t="shared" si="179"/>
        <v>6635_2014</v>
      </c>
    </row>
    <row r="1558" spans="1:88" x14ac:dyDescent="0.25">
      <c r="A1558" t="s">
        <v>79</v>
      </c>
      <c r="B1558" t="s">
        <v>581</v>
      </c>
      <c r="C1558">
        <v>6635</v>
      </c>
      <c r="D1558">
        <v>-34.039200000000001</v>
      </c>
      <c r="E1558">
        <v>151.13730000000001</v>
      </c>
      <c r="F1558">
        <v>3</v>
      </c>
      <c r="G1558" t="s">
        <v>585</v>
      </c>
      <c r="H1558">
        <v>10</v>
      </c>
      <c r="I1558">
        <v>190</v>
      </c>
      <c r="J1558">
        <v>100</v>
      </c>
      <c r="K1558">
        <v>280</v>
      </c>
      <c r="L1558">
        <v>279</v>
      </c>
      <c r="M1558">
        <v>99</v>
      </c>
      <c r="T1558">
        <v>89</v>
      </c>
      <c r="U1558">
        <v>17</v>
      </c>
      <c r="Y1558">
        <v>100</v>
      </c>
      <c r="Z1558">
        <v>181</v>
      </c>
      <c r="AD1558">
        <v>34</v>
      </c>
      <c r="AE1558">
        <v>271</v>
      </c>
      <c r="AX1558">
        <v>106</v>
      </c>
      <c r="AY1558">
        <v>134</v>
      </c>
      <c r="AZ1558">
        <v>240</v>
      </c>
      <c r="BA1558">
        <v>281</v>
      </c>
      <c r="BB1558">
        <v>360</v>
      </c>
      <c r="BC1558">
        <v>641</v>
      </c>
      <c r="BD1558">
        <v>305</v>
      </c>
      <c r="BE1558">
        <v>198</v>
      </c>
      <c r="BF1558">
        <v>503</v>
      </c>
      <c r="BP1558">
        <v>565</v>
      </c>
      <c r="BR1558">
        <v>79</v>
      </c>
      <c r="BS1558">
        <v>31</v>
      </c>
      <c r="BT1558">
        <v>13</v>
      </c>
      <c r="BV1558">
        <v>4</v>
      </c>
      <c r="BW1558">
        <v>692</v>
      </c>
      <c r="BX1558">
        <f>IF(C1558=C1557,IF((CI1558-1)=CI1557,BW1557,"no data"))</f>
        <v>150</v>
      </c>
      <c r="BY1558" s="5">
        <f t="shared" si="181"/>
        <v>3.6133333333333333</v>
      </c>
      <c r="BZ1558" s="6">
        <f t="shared" si="180"/>
        <v>3.6133333333333333</v>
      </c>
      <c r="CA1558" s="7">
        <v>42316</v>
      </c>
      <c r="CE1558">
        <v>94</v>
      </c>
      <c r="CF1558">
        <v>257</v>
      </c>
      <c r="CG1558">
        <v>180</v>
      </c>
      <c r="CH1558">
        <v>161</v>
      </c>
      <c r="CI1558">
        <f t="shared" si="178"/>
        <v>2015</v>
      </c>
      <c r="CJ1558" t="str">
        <f t="shared" si="179"/>
        <v>6635_2015</v>
      </c>
    </row>
    <row r="1559" spans="1:88" x14ac:dyDescent="0.25">
      <c r="A1559" t="s">
        <v>79</v>
      </c>
      <c r="B1559" t="s">
        <v>581</v>
      </c>
      <c r="C1559">
        <v>6635</v>
      </c>
      <c r="D1559">
        <v>-34.039164</v>
      </c>
      <c r="E1559">
        <v>151.137294</v>
      </c>
      <c r="F1559">
        <v>3</v>
      </c>
      <c r="G1559" t="s">
        <v>585</v>
      </c>
      <c r="H1559">
        <v>10</v>
      </c>
      <c r="I1559">
        <v>190</v>
      </c>
      <c r="J1559">
        <v>100</v>
      </c>
      <c r="K1559">
        <v>280</v>
      </c>
      <c r="L1559">
        <v>279</v>
      </c>
      <c r="M1559">
        <v>99</v>
      </c>
      <c r="T1559">
        <v>77</v>
      </c>
      <c r="U1559">
        <v>7</v>
      </c>
      <c r="Y1559">
        <v>89</v>
      </c>
      <c r="Z1559">
        <v>141</v>
      </c>
      <c r="AD1559">
        <v>10</v>
      </c>
      <c r="AE1559">
        <v>91</v>
      </c>
      <c r="AX1559">
        <v>84</v>
      </c>
      <c r="AY1559">
        <v>99</v>
      </c>
      <c r="AZ1559">
        <v>183</v>
      </c>
      <c r="BA1559">
        <v>230</v>
      </c>
      <c r="BB1559">
        <v>168</v>
      </c>
      <c r="BC1559">
        <v>398</v>
      </c>
      <c r="BD1559">
        <v>101</v>
      </c>
      <c r="BE1559">
        <v>148</v>
      </c>
      <c r="BF1559">
        <v>249</v>
      </c>
      <c r="BP1559">
        <v>353</v>
      </c>
      <c r="BR1559">
        <v>40</v>
      </c>
      <c r="BS1559">
        <v>13</v>
      </c>
      <c r="BT1559">
        <v>9</v>
      </c>
      <c r="BV1559">
        <v>0</v>
      </c>
      <c r="BW1559">
        <v>415</v>
      </c>
      <c r="BX1559">
        <f>IF(C1559=C1558,IF((CI1559-1)=CI1558,BW1558,"no data"))</f>
        <v>692</v>
      </c>
      <c r="BY1559" s="5">
        <f t="shared" si="181"/>
        <v>-0.40028901734104044</v>
      </c>
      <c r="BZ1559" s="6">
        <f t="shared" si="180"/>
        <v>-0.40028901734104044</v>
      </c>
      <c r="CA1559" s="7">
        <v>42687</v>
      </c>
      <c r="CE1559">
        <v>197</v>
      </c>
      <c r="CF1559">
        <v>134</v>
      </c>
      <c r="CG1559">
        <v>84</v>
      </c>
      <c r="CI1559">
        <f t="shared" si="178"/>
        <v>2016</v>
      </c>
      <c r="CJ1559" t="str">
        <f t="shared" si="179"/>
        <v>6635_2016</v>
      </c>
    </row>
    <row r="1560" spans="1:88" x14ac:dyDescent="0.25">
      <c r="A1560" t="s">
        <v>79</v>
      </c>
      <c r="B1560" t="s">
        <v>581</v>
      </c>
      <c r="C1560">
        <v>6636</v>
      </c>
      <c r="D1560">
        <v>-33.998199999999997</v>
      </c>
      <c r="E1560">
        <v>151.02809999999999</v>
      </c>
      <c r="F1560">
        <v>3</v>
      </c>
      <c r="G1560" t="s">
        <v>586</v>
      </c>
      <c r="H1560">
        <v>111</v>
      </c>
      <c r="I1560">
        <v>291</v>
      </c>
      <c r="J1560">
        <v>258</v>
      </c>
      <c r="K1560">
        <v>78</v>
      </c>
      <c r="L1560">
        <v>350</v>
      </c>
      <c r="M1560">
        <v>170</v>
      </c>
      <c r="T1560">
        <v>35</v>
      </c>
      <c r="U1560">
        <v>7</v>
      </c>
      <c r="Y1560">
        <v>43</v>
      </c>
      <c r="Z1560">
        <v>4</v>
      </c>
      <c r="AD1560">
        <v>12</v>
      </c>
      <c r="AE1560">
        <v>5</v>
      </c>
      <c r="AX1560">
        <v>42</v>
      </c>
      <c r="AY1560">
        <v>55</v>
      </c>
      <c r="AZ1560">
        <v>97</v>
      </c>
      <c r="BA1560">
        <v>47</v>
      </c>
      <c r="BB1560">
        <v>40</v>
      </c>
      <c r="BC1560">
        <v>87</v>
      </c>
      <c r="BD1560">
        <v>17</v>
      </c>
      <c r="BE1560">
        <v>11</v>
      </c>
      <c r="BF1560">
        <v>28</v>
      </c>
      <c r="BP1560">
        <v>29</v>
      </c>
      <c r="BR1560">
        <v>56</v>
      </c>
      <c r="BS1560">
        <v>10</v>
      </c>
      <c r="BT1560">
        <v>9</v>
      </c>
      <c r="BV1560">
        <v>2</v>
      </c>
      <c r="BW1560">
        <v>106</v>
      </c>
      <c r="BX1560" t="s">
        <v>82</v>
      </c>
      <c r="BY1560" s="5"/>
      <c r="BZ1560" s="6"/>
      <c r="CA1560" s="7">
        <v>41952</v>
      </c>
      <c r="CI1560">
        <f t="shared" si="178"/>
        <v>2014</v>
      </c>
      <c r="CJ1560" t="str">
        <f t="shared" si="179"/>
        <v>6636_2014</v>
      </c>
    </row>
    <row r="1561" spans="1:88" x14ac:dyDescent="0.25">
      <c r="A1561" t="s">
        <v>79</v>
      </c>
      <c r="B1561" t="s">
        <v>581</v>
      </c>
      <c r="C1561">
        <v>6636</v>
      </c>
      <c r="D1561">
        <v>-33.998199999999997</v>
      </c>
      <c r="E1561">
        <v>151.02809999999999</v>
      </c>
      <c r="F1561">
        <v>3</v>
      </c>
      <c r="G1561" t="s">
        <v>586</v>
      </c>
      <c r="H1561">
        <v>111</v>
      </c>
      <c r="I1561">
        <v>291</v>
      </c>
      <c r="J1561">
        <v>258</v>
      </c>
      <c r="K1561">
        <v>78</v>
      </c>
      <c r="L1561">
        <v>350</v>
      </c>
      <c r="M1561">
        <v>170</v>
      </c>
      <c r="T1561">
        <v>47</v>
      </c>
      <c r="U1561">
        <v>20</v>
      </c>
      <c r="Y1561">
        <v>64</v>
      </c>
      <c r="Z1561">
        <v>19</v>
      </c>
      <c r="AD1561">
        <v>27</v>
      </c>
      <c r="AE1561">
        <v>43</v>
      </c>
      <c r="AX1561">
        <v>67</v>
      </c>
      <c r="AY1561">
        <v>91</v>
      </c>
      <c r="AZ1561">
        <v>158</v>
      </c>
      <c r="BA1561">
        <v>83</v>
      </c>
      <c r="BB1561">
        <v>90</v>
      </c>
      <c r="BC1561">
        <v>173</v>
      </c>
      <c r="BD1561">
        <v>70</v>
      </c>
      <c r="BE1561">
        <v>39</v>
      </c>
      <c r="BF1561">
        <v>109</v>
      </c>
      <c r="BP1561">
        <v>32</v>
      </c>
      <c r="BR1561">
        <v>122</v>
      </c>
      <c r="BS1561">
        <v>45</v>
      </c>
      <c r="BT1561">
        <v>19</v>
      </c>
      <c r="BV1561">
        <v>2</v>
      </c>
      <c r="BW1561">
        <v>220</v>
      </c>
      <c r="BX1561">
        <f>IF(C1561=C1560,IF((CI1561-1)=CI1560,BW1560,"no data"))</f>
        <v>106</v>
      </c>
      <c r="BY1561" s="5">
        <f t="shared" si="181"/>
        <v>1.0754716981132075</v>
      </c>
      <c r="BZ1561" s="6">
        <f t="shared" si="180"/>
        <v>1.0754716981132075</v>
      </c>
      <c r="CA1561" s="7">
        <v>42316</v>
      </c>
      <c r="CE1561">
        <v>37</v>
      </c>
      <c r="CF1561">
        <v>44</v>
      </c>
      <c r="CG1561">
        <v>73</v>
      </c>
      <c r="CH1561">
        <v>66</v>
      </c>
      <c r="CI1561">
        <f t="shared" si="178"/>
        <v>2015</v>
      </c>
      <c r="CJ1561" t="str">
        <f t="shared" si="179"/>
        <v>6636_2015</v>
      </c>
    </row>
    <row r="1562" spans="1:88" x14ac:dyDescent="0.25">
      <c r="A1562" t="s">
        <v>79</v>
      </c>
      <c r="B1562" t="s">
        <v>581</v>
      </c>
      <c r="C1562">
        <v>6636</v>
      </c>
      <c r="D1562">
        <v>-33.998159999999999</v>
      </c>
      <c r="E1562">
        <v>151.02810299999999</v>
      </c>
      <c r="F1562">
        <v>3</v>
      </c>
      <c r="G1562" t="s">
        <v>586</v>
      </c>
      <c r="H1562">
        <v>111</v>
      </c>
      <c r="I1562">
        <v>291</v>
      </c>
      <c r="J1562">
        <v>258</v>
      </c>
      <c r="K1562">
        <v>78</v>
      </c>
      <c r="L1562">
        <v>350</v>
      </c>
      <c r="M1562">
        <v>170</v>
      </c>
      <c r="T1562">
        <v>27</v>
      </c>
      <c r="U1562">
        <v>5</v>
      </c>
      <c r="Y1562">
        <v>25</v>
      </c>
      <c r="Z1562">
        <v>10</v>
      </c>
      <c r="AD1562">
        <v>5</v>
      </c>
      <c r="AE1562">
        <v>13</v>
      </c>
      <c r="AX1562">
        <v>32</v>
      </c>
      <c r="AY1562">
        <v>30</v>
      </c>
      <c r="AZ1562">
        <v>62</v>
      </c>
      <c r="BA1562">
        <v>35</v>
      </c>
      <c r="BB1562">
        <v>40</v>
      </c>
      <c r="BC1562">
        <v>75</v>
      </c>
      <c r="BD1562">
        <v>18</v>
      </c>
      <c r="BE1562">
        <v>15</v>
      </c>
      <c r="BF1562">
        <v>33</v>
      </c>
      <c r="BP1562">
        <v>23</v>
      </c>
      <c r="BR1562">
        <v>44</v>
      </c>
      <c r="BS1562">
        <v>12</v>
      </c>
      <c r="BT1562">
        <v>3</v>
      </c>
      <c r="BV1562">
        <v>3</v>
      </c>
      <c r="BW1562">
        <v>85</v>
      </c>
      <c r="BX1562">
        <f>IF(C1562=C1561,IF((CI1562-1)=CI1561,BW1561,"no data"))</f>
        <v>220</v>
      </c>
      <c r="BY1562" s="5">
        <f t="shared" si="181"/>
        <v>-0.61363636363636365</v>
      </c>
      <c r="BZ1562" s="6">
        <f t="shared" si="180"/>
        <v>-0.61363636363636365</v>
      </c>
      <c r="CA1562" s="7">
        <v>42687</v>
      </c>
      <c r="CE1562">
        <v>37</v>
      </c>
      <c r="CF1562">
        <v>24</v>
      </c>
      <c r="CG1562">
        <v>24</v>
      </c>
      <c r="CI1562">
        <f t="shared" si="178"/>
        <v>2016</v>
      </c>
      <c r="CJ1562" t="str">
        <f t="shared" si="179"/>
        <v>6636_2016</v>
      </c>
    </row>
    <row r="1563" spans="1:88" x14ac:dyDescent="0.25">
      <c r="A1563" t="s">
        <v>79</v>
      </c>
      <c r="B1563" t="s">
        <v>581</v>
      </c>
      <c r="C1563">
        <v>6636</v>
      </c>
      <c r="D1563">
        <v>-33.998159999999999</v>
      </c>
      <c r="E1563">
        <v>151.02810299999999</v>
      </c>
      <c r="F1563">
        <v>3</v>
      </c>
      <c r="G1563" t="s">
        <v>586</v>
      </c>
      <c r="H1563">
        <v>111</v>
      </c>
      <c r="I1563">
        <v>291</v>
      </c>
      <c r="J1563">
        <v>258</v>
      </c>
      <c r="K1563">
        <v>78</v>
      </c>
      <c r="L1563">
        <v>350</v>
      </c>
      <c r="M1563">
        <v>170</v>
      </c>
      <c r="T1563">
        <v>29</v>
      </c>
      <c r="U1563">
        <v>18</v>
      </c>
      <c r="Y1563">
        <v>44</v>
      </c>
      <c r="Z1563">
        <v>3</v>
      </c>
      <c r="AD1563">
        <v>7</v>
      </c>
      <c r="AE1563">
        <v>7</v>
      </c>
      <c r="AX1563">
        <v>47</v>
      </c>
      <c r="AY1563">
        <v>51</v>
      </c>
      <c r="AZ1563">
        <v>98</v>
      </c>
      <c r="BA1563">
        <v>47</v>
      </c>
      <c r="BB1563">
        <v>36</v>
      </c>
      <c r="BC1563">
        <v>83</v>
      </c>
      <c r="BD1563">
        <v>14</v>
      </c>
      <c r="BE1563">
        <v>21</v>
      </c>
      <c r="BF1563">
        <v>35</v>
      </c>
      <c r="BP1563">
        <v>39</v>
      </c>
      <c r="BR1563">
        <v>53</v>
      </c>
      <c r="BS1563">
        <v>9</v>
      </c>
      <c r="BT1563">
        <v>4</v>
      </c>
      <c r="BV1563">
        <v>3</v>
      </c>
      <c r="BW1563">
        <v>108</v>
      </c>
      <c r="BX1563" t="str">
        <f>IF(C1563=C1562,IF((CI1563-1)=CI1562,BW1562,"no data"))</f>
        <v>no data</v>
      </c>
      <c r="BY1563" s="5"/>
      <c r="BZ1563" s="6"/>
      <c r="CA1563" s="7">
        <v>43415</v>
      </c>
      <c r="CE1563">
        <v>38</v>
      </c>
      <c r="CF1563">
        <v>24</v>
      </c>
      <c r="CG1563">
        <v>24</v>
      </c>
      <c r="CH1563">
        <v>22</v>
      </c>
      <c r="CI1563">
        <f t="shared" si="178"/>
        <v>2018</v>
      </c>
      <c r="CJ1563" t="str">
        <f t="shared" si="179"/>
        <v>6636_2018</v>
      </c>
    </row>
    <row r="1564" spans="1:88" x14ac:dyDescent="0.25">
      <c r="A1564" t="s">
        <v>79</v>
      </c>
      <c r="B1564" t="s">
        <v>581</v>
      </c>
      <c r="C1564">
        <v>6637</v>
      </c>
      <c r="D1564">
        <v>-34.045499999999997</v>
      </c>
      <c r="E1564">
        <v>151.15899999999999</v>
      </c>
      <c r="F1564">
        <v>2</v>
      </c>
      <c r="G1564" t="s">
        <v>587</v>
      </c>
      <c r="H1564">
        <v>29</v>
      </c>
      <c r="I1564">
        <v>209</v>
      </c>
      <c r="J1564">
        <v>210</v>
      </c>
      <c r="K1564">
        <v>30</v>
      </c>
      <c r="T1564">
        <v>726</v>
      </c>
      <c r="Y1564">
        <v>1204</v>
      </c>
      <c r="AX1564">
        <v>726</v>
      </c>
      <c r="AY1564">
        <v>1204</v>
      </c>
      <c r="AZ1564">
        <v>1930</v>
      </c>
      <c r="BA1564">
        <v>1204</v>
      </c>
      <c r="BB1564">
        <v>726</v>
      </c>
      <c r="BC1564">
        <v>1930</v>
      </c>
      <c r="BP1564">
        <v>102</v>
      </c>
      <c r="BR1564">
        <v>1580</v>
      </c>
      <c r="BS1564">
        <v>97</v>
      </c>
      <c r="BT1564">
        <v>76</v>
      </c>
      <c r="BV1564">
        <v>75</v>
      </c>
      <c r="BW1564">
        <v>1930</v>
      </c>
      <c r="BX1564" t="s">
        <v>82</v>
      </c>
      <c r="BY1564" s="5"/>
      <c r="BZ1564" s="6"/>
      <c r="CA1564" s="7">
        <v>41952</v>
      </c>
      <c r="CI1564">
        <f t="shared" si="178"/>
        <v>2014</v>
      </c>
      <c r="CJ1564" t="str">
        <f t="shared" si="179"/>
        <v>6637_2014</v>
      </c>
    </row>
    <row r="1565" spans="1:88" x14ac:dyDescent="0.25">
      <c r="A1565" t="s">
        <v>79</v>
      </c>
      <c r="B1565" t="s">
        <v>581</v>
      </c>
      <c r="C1565">
        <v>6637</v>
      </c>
      <c r="D1565">
        <v>-34.045499999999997</v>
      </c>
      <c r="E1565">
        <v>151.15899999999999</v>
      </c>
      <c r="F1565">
        <v>2</v>
      </c>
      <c r="G1565" t="s">
        <v>587</v>
      </c>
      <c r="H1565">
        <v>29</v>
      </c>
      <c r="I1565">
        <v>209</v>
      </c>
      <c r="J1565">
        <v>210</v>
      </c>
      <c r="K1565">
        <v>30</v>
      </c>
      <c r="T1565">
        <v>859</v>
      </c>
      <c r="Y1565">
        <v>736</v>
      </c>
      <c r="AX1565">
        <v>859</v>
      </c>
      <c r="AY1565">
        <v>736</v>
      </c>
      <c r="AZ1565">
        <v>1595</v>
      </c>
      <c r="BA1565">
        <v>736</v>
      </c>
      <c r="BB1565">
        <v>859</v>
      </c>
      <c r="BC1565">
        <v>1595</v>
      </c>
      <c r="BP1565">
        <v>44</v>
      </c>
      <c r="BR1565">
        <v>1215</v>
      </c>
      <c r="BS1565">
        <v>220</v>
      </c>
      <c r="BT1565">
        <v>83</v>
      </c>
      <c r="BV1565">
        <v>33</v>
      </c>
      <c r="BW1565">
        <v>1595</v>
      </c>
      <c r="BX1565">
        <f>IF(C1565=C1564,IF((CI1565-1)=CI1564,BW1564,"no data"))</f>
        <v>1930</v>
      </c>
      <c r="BY1565" s="5">
        <f t="shared" si="181"/>
        <v>-0.17357512953367876</v>
      </c>
      <c r="BZ1565" s="6">
        <f t="shared" si="180"/>
        <v>-0.17357512953367876</v>
      </c>
      <c r="CA1565" s="7">
        <v>42316</v>
      </c>
      <c r="CE1565">
        <v>118</v>
      </c>
      <c r="CF1565">
        <v>267</v>
      </c>
      <c r="CG1565">
        <v>594</v>
      </c>
      <c r="CH1565">
        <v>616</v>
      </c>
      <c r="CI1565">
        <f t="shared" si="178"/>
        <v>2015</v>
      </c>
      <c r="CJ1565" t="str">
        <f t="shared" si="179"/>
        <v>6637_2015</v>
      </c>
    </row>
    <row r="1566" spans="1:88" x14ac:dyDescent="0.25">
      <c r="A1566" t="s">
        <v>79</v>
      </c>
      <c r="B1566" t="s">
        <v>581</v>
      </c>
      <c r="C1566">
        <v>6637</v>
      </c>
      <c r="D1566">
        <v>-34.045518999999999</v>
      </c>
      <c r="E1566">
        <v>151.15904599999999</v>
      </c>
      <c r="F1566">
        <v>2</v>
      </c>
      <c r="G1566" t="s">
        <v>587</v>
      </c>
      <c r="H1566">
        <v>29</v>
      </c>
      <c r="I1566">
        <v>209</v>
      </c>
      <c r="J1566">
        <v>210</v>
      </c>
      <c r="K1566">
        <v>30</v>
      </c>
      <c r="T1566">
        <v>161</v>
      </c>
      <c r="Y1566">
        <v>181</v>
      </c>
      <c r="AX1566">
        <v>161</v>
      </c>
      <c r="AY1566">
        <v>181</v>
      </c>
      <c r="AZ1566">
        <v>342</v>
      </c>
      <c r="BA1566">
        <v>181</v>
      </c>
      <c r="BB1566">
        <v>161</v>
      </c>
      <c r="BC1566">
        <v>342</v>
      </c>
      <c r="BP1566">
        <v>41</v>
      </c>
      <c r="BR1566">
        <v>265</v>
      </c>
      <c r="BS1566">
        <v>22</v>
      </c>
      <c r="BT1566">
        <v>14</v>
      </c>
      <c r="BV1566">
        <v>0</v>
      </c>
      <c r="BW1566">
        <v>342</v>
      </c>
      <c r="BX1566">
        <f>IF(C1566=C1565,IF((CI1566-1)=CI1565,BW1565,"no data"))</f>
        <v>1595</v>
      </c>
      <c r="BY1566" s="5">
        <f t="shared" si="181"/>
        <v>-0.78557993730407527</v>
      </c>
      <c r="BZ1566" s="6">
        <f t="shared" si="180"/>
        <v>-0.78557993730407527</v>
      </c>
      <c r="CA1566" s="7">
        <v>42687</v>
      </c>
      <c r="CE1566">
        <v>120</v>
      </c>
      <c r="CF1566">
        <v>124</v>
      </c>
      <c r="CG1566">
        <v>98</v>
      </c>
      <c r="CI1566">
        <f t="shared" si="178"/>
        <v>2016</v>
      </c>
      <c r="CJ1566" t="str">
        <f t="shared" si="179"/>
        <v>6637_2016</v>
      </c>
    </row>
    <row r="1567" spans="1:88" x14ac:dyDescent="0.25">
      <c r="A1567" t="s">
        <v>79</v>
      </c>
      <c r="B1567" t="s">
        <v>581</v>
      </c>
      <c r="C1567">
        <v>6637</v>
      </c>
      <c r="D1567">
        <v>-34.045518999999999</v>
      </c>
      <c r="E1567">
        <v>151.15904599999999</v>
      </c>
      <c r="F1567">
        <v>2</v>
      </c>
      <c r="G1567" t="s">
        <v>587</v>
      </c>
      <c r="H1567">
        <v>29</v>
      </c>
      <c r="I1567">
        <v>209</v>
      </c>
      <c r="J1567">
        <v>210</v>
      </c>
      <c r="K1567">
        <v>30</v>
      </c>
      <c r="T1567">
        <v>937</v>
      </c>
      <c r="Y1567">
        <v>1019</v>
      </c>
      <c r="AX1567">
        <v>937</v>
      </c>
      <c r="AY1567">
        <v>1019</v>
      </c>
      <c r="AZ1567">
        <v>1956</v>
      </c>
      <c r="BA1567">
        <v>1019</v>
      </c>
      <c r="BB1567">
        <v>937</v>
      </c>
      <c r="BC1567">
        <v>1956</v>
      </c>
      <c r="BP1567">
        <v>54</v>
      </c>
      <c r="BR1567">
        <v>1683</v>
      </c>
      <c r="BS1567">
        <v>66</v>
      </c>
      <c r="BT1567">
        <v>98</v>
      </c>
      <c r="BV1567">
        <v>55</v>
      </c>
      <c r="BW1567">
        <v>1956</v>
      </c>
      <c r="BX1567" t="str">
        <f>IF(C1567=C1566,IF((CI1567-1)=CI1566,BW1566,"no data"))</f>
        <v>no data</v>
      </c>
      <c r="BY1567" s="5"/>
      <c r="BZ1567" s="6"/>
      <c r="CA1567" s="7">
        <v>43443</v>
      </c>
      <c r="CE1567">
        <v>614</v>
      </c>
      <c r="CF1567">
        <v>457</v>
      </c>
      <c r="CG1567">
        <v>488</v>
      </c>
      <c r="CH1567">
        <v>397</v>
      </c>
      <c r="CI1567">
        <f t="shared" si="178"/>
        <v>2018</v>
      </c>
      <c r="CJ1567" t="str">
        <f t="shared" si="179"/>
        <v>6637_2018</v>
      </c>
    </row>
    <row r="1568" spans="1:88" x14ac:dyDescent="0.25">
      <c r="A1568" t="s">
        <v>277</v>
      </c>
      <c r="B1568" t="s">
        <v>457</v>
      </c>
      <c r="C1568">
        <v>6638</v>
      </c>
      <c r="D1568">
        <v>-34.479999999999997</v>
      </c>
      <c r="E1568">
        <v>138.99690000000001</v>
      </c>
      <c r="F1568">
        <v>3</v>
      </c>
      <c r="G1568" t="s">
        <v>588</v>
      </c>
      <c r="H1568">
        <v>108</v>
      </c>
      <c r="I1568">
        <v>288</v>
      </c>
      <c r="J1568">
        <v>161</v>
      </c>
      <c r="K1568">
        <v>341</v>
      </c>
      <c r="L1568">
        <v>289</v>
      </c>
      <c r="M1568">
        <v>109</v>
      </c>
      <c r="T1568">
        <v>42</v>
      </c>
      <c r="U1568">
        <v>56</v>
      </c>
      <c r="Y1568">
        <v>46</v>
      </c>
      <c r="Z1568">
        <v>46</v>
      </c>
      <c r="AD1568">
        <v>37</v>
      </c>
      <c r="AE1568">
        <v>50</v>
      </c>
      <c r="AX1568">
        <v>98</v>
      </c>
      <c r="AY1568">
        <v>83</v>
      </c>
      <c r="AZ1568">
        <v>181</v>
      </c>
      <c r="BA1568">
        <v>92</v>
      </c>
      <c r="BB1568">
        <v>92</v>
      </c>
      <c r="BC1568">
        <v>184</v>
      </c>
      <c r="BD1568">
        <v>87</v>
      </c>
      <c r="BE1568">
        <v>102</v>
      </c>
      <c r="BF1568">
        <v>189</v>
      </c>
      <c r="BP1568">
        <v>118</v>
      </c>
      <c r="BR1568">
        <v>72</v>
      </c>
      <c r="BS1568">
        <v>47</v>
      </c>
      <c r="BT1568">
        <v>40</v>
      </c>
      <c r="BV1568">
        <v>0</v>
      </c>
      <c r="BW1568">
        <v>277</v>
      </c>
      <c r="BX1568" t="s">
        <v>82</v>
      </c>
      <c r="BY1568" s="5"/>
      <c r="BZ1568" s="6"/>
      <c r="CA1568" s="7">
        <v>41952</v>
      </c>
      <c r="CI1568">
        <f t="shared" si="178"/>
        <v>2014</v>
      </c>
      <c r="CJ1568" t="str">
        <f t="shared" si="179"/>
        <v>6638_2014</v>
      </c>
    </row>
    <row r="1569" spans="1:88" x14ac:dyDescent="0.25">
      <c r="A1569" t="s">
        <v>277</v>
      </c>
      <c r="B1569" t="s">
        <v>457</v>
      </c>
      <c r="C1569">
        <v>6639</v>
      </c>
      <c r="D1569">
        <v>-34.6036</v>
      </c>
      <c r="E1569">
        <v>138.8263</v>
      </c>
      <c r="F1569">
        <v>4</v>
      </c>
      <c r="G1569" t="s">
        <v>589</v>
      </c>
      <c r="H1569">
        <v>68</v>
      </c>
      <c r="I1569">
        <v>248</v>
      </c>
      <c r="J1569">
        <v>171</v>
      </c>
      <c r="K1569">
        <v>351</v>
      </c>
      <c r="L1569">
        <v>247</v>
      </c>
      <c r="M1569">
        <v>67</v>
      </c>
      <c r="N1569">
        <v>351</v>
      </c>
      <c r="O1569">
        <v>171</v>
      </c>
      <c r="T1569">
        <v>7</v>
      </c>
      <c r="U1569">
        <v>39</v>
      </c>
      <c r="V1569">
        <v>0</v>
      </c>
      <c r="Y1569">
        <v>6</v>
      </c>
      <c r="Z1569">
        <v>3</v>
      </c>
      <c r="AA1569">
        <v>0</v>
      </c>
      <c r="AD1569">
        <v>33</v>
      </c>
      <c r="AE1569">
        <v>3</v>
      </c>
      <c r="AF1569">
        <v>1</v>
      </c>
      <c r="AI1569">
        <v>1</v>
      </c>
      <c r="AJ1569">
        <v>0</v>
      </c>
      <c r="AK1569">
        <v>0</v>
      </c>
      <c r="AX1569">
        <v>46</v>
      </c>
      <c r="AY1569">
        <v>40</v>
      </c>
      <c r="AZ1569">
        <v>86</v>
      </c>
      <c r="BA1569">
        <v>9</v>
      </c>
      <c r="BB1569">
        <v>10</v>
      </c>
      <c r="BC1569">
        <v>19</v>
      </c>
      <c r="BD1569">
        <v>37</v>
      </c>
      <c r="BE1569">
        <v>42</v>
      </c>
      <c r="BF1569">
        <v>79</v>
      </c>
      <c r="BG1569">
        <v>1</v>
      </c>
      <c r="BH1569">
        <v>1</v>
      </c>
      <c r="BI1569">
        <v>2</v>
      </c>
      <c r="BP1569">
        <v>88</v>
      </c>
      <c r="BR1569">
        <v>5</v>
      </c>
      <c r="BS1569">
        <v>0</v>
      </c>
      <c r="BT1569">
        <v>0</v>
      </c>
      <c r="BV1569">
        <v>0</v>
      </c>
      <c r="BW1569">
        <v>93</v>
      </c>
      <c r="BX1569" t="s">
        <v>82</v>
      </c>
      <c r="BY1569" s="5"/>
      <c r="BZ1569" s="6"/>
      <c r="CA1569" s="7">
        <v>41952</v>
      </c>
      <c r="CI1569">
        <f t="shared" si="178"/>
        <v>2014</v>
      </c>
      <c r="CJ1569" t="str">
        <f t="shared" si="179"/>
        <v>6639_2014</v>
      </c>
    </row>
    <row r="1570" spans="1:88" x14ac:dyDescent="0.25">
      <c r="A1570" t="s">
        <v>277</v>
      </c>
      <c r="B1570" t="s">
        <v>473</v>
      </c>
      <c r="C1570">
        <v>6640</v>
      </c>
      <c r="D1570">
        <v>-35.010522000000002</v>
      </c>
      <c r="E1570">
        <v>138.60089600000001</v>
      </c>
      <c r="F1570">
        <v>4</v>
      </c>
      <c r="G1570" t="s">
        <v>590</v>
      </c>
      <c r="H1570">
        <v>50</v>
      </c>
      <c r="I1570">
        <v>230</v>
      </c>
      <c r="J1570">
        <v>180</v>
      </c>
      <c r="K1570">
        <v>360</v>
      </c>
      <c r="L1570">
        <v>229</v>
      </c>
      <c r="M1570">
        <v>49</v>
      </c>
      <c r="N1570">
        <v>345</v>
      </c>
      <c r="O1570">
        <v>165</v>
      </c>
      <c r="T1570">
        <v>9</v>
      </c>
      <c r="U1570">
        <v>24</v>
      </c>
      <c r="V1570">
        <v>3</v>
      </c>
      <c r="Y1570">
        <v>10</v>
      </c>
      <c r="Z1570">
        <v>2</v>
      </c>
      <c r="AA1570">
        <v>1</v>
      </c>
      <c r="AD1570">
        <v>21</v>
      </c>
      <c r="AE1570">
        <v>4</v>
      </c>
      <c r="AF1570">
        <v>0</v>
      </c>
      <c r="AI1570">
        <v>3</v>
      </c>
      <c r="AJ1570">
        <v>1</v>
      </c>
      <c r="AK1570">
        <v>1</v>
      </c>
      <c r="AX1570">
        <v>36</v>
      </c>
      <c r="AY1570">
        <v>34</v>
      </c>
      <c r="AZ1570">
        <v>70</v>
      </c>
      <c r="BA1570">
        <v>13</v>
      </c>
      <c r="BB1570">
        <v>14</v>
      </c>
      <c r="BC1570">
        <v>27</v>
      </c>
      <c r="BD1570">
        <v>25</v>
      </c>
      <c r="BE1570">
        <v>27</v>
      </c>
      <c r="BF1570">
        <v>52</v>
      </c>
      <c r="BG1570">
        <v>5</v>
      </c>
      <c r="BH1570">
        <v>4</v>
      </c>
      <c r="BI1570">
        <v>9</v>
      </c>
      <c r="BP1570">
        <v>33</v>
      </c>
      <c r="BR1570">
        <v>24</v>
      </c>
      <c r="BS1570">
        <v>0</v>
      </c>
      <c r="BT1570">
        <v>22</v>
      </c>
      <c r="BV1570">
        <v>0</v>
      </c>
      <c r="BW1570">
        <v>79</v>
      </c>
      <c r="BX1570" t="s">
        <v>82</v>
      </c>
      <c r="BY1570" s="5"/>
      <c r="BZ1570" s="6"/>
      <c r="CA1570" s="7">
        <v>42715</v>
      </c>
      <c r="CE1570">
        <v>27</v>
      </c>
      <c r="CF1570">
        <v>29</v>
      </c>
      <c r="CG1570">
        <v>16</v>
      </c>
      <c r="CH1570">
        <v>7</v>
      </c>
      <c r="CI1570">
        <f t="shared" si="178"/>
        <v>2016</v>
      </c>
      <c r="CJ1570" t="str">
        <f t="shared" si="179"/>
        <v>6640_2016</v>
      </c>
    </row>
    <row r="1571" spans="1:88" x14ac:dyDescent="0.25">
      <c r="A1571" t="s">
        <v>277</v>
      </c>
      <c r="B1571" t="s">
        <v>473</v>
      </c>
      <c r="C1571">
        <v>6640</v>
      </c>
      <c r="D1571">
        <v>-35.010522000000002</v>
      </c>
      <c r="E1571">
        <v>138.60089600000001</v>
      </c>
      <c r="F1571">
        <v>4</v>
      </c>
      <c r="G1571" t="s">
        <v>590</v>
      </c>
      <c r="H1571">
        <v>50</v>
      </c>
      <c r="I1571">
        <v>230</v>
      </c>
      <c r="J1571">
        <v>180</v>
      </c>
      <c r="K1571">
        <v>360</v>
      </c>
      <c r="L1571">
        <v>229</v>
      </c>
      <c r="M1571">
        <v>49</v>
      </c>
      <c r="N1571">
        <v>345</v>
      </c>
      <c r="O1571">
        <v>165</v>
      </c>
      <c r="T1571">
        <v>11</v>
      </c>
      <c r="U1571">
        <v>12</v>
      </c>
      <c r="W1571">
        <v>0</v>
      </c>
      <c r="Y1571">
        <v>9</v>
      </c>
      <c r="Z1571">
        <v>0</v>
      </c>
      <c r="AB1571">
        <v>1</v>
      </c>
      <c r="AD1571">
        <v>9</v>
      </c>
      <c r="AE1571">
        <v>3</v>
      </c>
      <c r="AG1571">
        <v>0</v>
      </c>
      <c r="AN1571">
        <v>0</v>
      </c>
      <c r="AO1571">
        <v>0</v>
      </c>
      <c r="AP1571">
        <v>0</v>
      </c>
      <c r="AX1571">
        <v>23</v>
      </c>
      <c r="AY1571">
        <v>18</v>
      </c>
      <c r="AZ1571">
        <v>41</v>
      </c>
      <c r="BA1571">
        <v>10</v>
      </c>
      <c r="BB1571">
        <v>14</v>
      </c>
      <c r="BC1571">
        <v>24</v>
      </c>
      <c r="BD1571">
        <v>12</v>
      </c>
      <c r="BE1571">
        <v>12</v>
      </c>
      <c r="BF1571">
        <v>24</v>
      </c>
      <c r="BG1571">
        <v>0</v>
      </c>
      <c r="BH1571">
        <v>1</v>
      </c>
      <c r="BI1571">
        <v>1</v>
      </c>
      <c r="BP1571">
        <v>20</v>
      </c>
      <c r="BR1571">
        <v>13</v>
      </c>
      <c r="BS1571">
        <v>1</v>
      </c>
      <c r="BT1571">
        <v>11</v>
      </c>
      <c r="BV1571">
        <v>0</v>
      </c>
      <c r="BW1571">
        <v>45</v>
      </c>
      <c r="BX1571">
        <f>IF(C1571=C1570,IF((CI1571-1)=CI1570,BW1570,"no data"))</f>
        <v>79</v>
      </c>
      <c r="BY1571" s="5">
        <f t="shared" si="181"/>
        <v>-0.43037974683544306</v>
      </c>
      <c r="BZ1571" s="6">
        <f t="shared" si="180"/>
        <v>-0.43037974683544306</v>
      </c>
      <c r="CA1571" s="7">
        <v>43051</v>
      </c>
      <c r="CE1571">
        <v>14</v>
      </c>
      <c r="CF1571">
        <v>25</v>
      </c>
      <c r="CG1571">
        <v>4</v>
      </c>
      <c r="CH1571">
        <v>2</v>
      </c>
      <c r="CI1571">
        <f t="shared" si="178"/>
        <v>2017</v>
      </c>
      <c r="CJ1571" t="str">
        <f t="shared" si="179"/>
        <v>6640_2017</v>
      </c>
    </row>
    <row r="1572" spans="1:88" x14ac:dyDescent="0.25">
      <c r="A1572" t="s">
        <v>277</v>
      </c>
      <c r="B1572" t="s">
        <v>473</v>
      </c>
      <c r="C1572">
        <v>6640</v>
      </c>
      <c r="D1572">
        <v>-35.010522000000002</v>
      </c>
      <c r="E1572">
        <v>138.60089600000001</v>
      </c>
      <c r="F1572">
        <v>4</v>
      </c>
      <c r="G1572" t="s">
        <v>590</v>
      </c>
      <c r="H1572">
        <v>50</v>
      </c>
      <c r="I1572">
        <v>230</v>
      </c>
      <c r="J1572">
        <v>180</v>
      </c>
      <c r="K1572">
        <v>360</v>
      </c>
      <c r="L1572">
        <v>229</v>
      </c>
      <c r="M1572">
        <v>49</v>
      </c>
      <c r="N1572">
        <v>270</v>
      </c>
      <c r="O1572">
        <v>90</v>
      </c>
      <c r="P1572">
        <v>345</v>
      </c>
      <c r="Q1572">
        <v>165</v>
      </c>
      <c r="T1572">
        <v>18</v>
      </c>
      <c r="U1572">
        <v>24</v>
      </c>
      <c r="V1572">
        <v>9</v>
      </c>
      <c r="W1572">
        <v>16</v>
      </c>
      <c r="Y1572">
        <v>12</v>
      </c>
      <c r="Z1572">
        <v>0</v>
      </c>
      <c r="AA1572">
        <v>0</v>
      </c>
      <c r="AB1572">
        <v>0</v>
      </c>
      <c r="AD1572">
        <v>32</v>
      </c>
      <c r="AE1572">
        <v>0</v>
      </c>
      <c r="AF1572">
        <v>0</v>
      </c>
      <c r="AG1572">
        <v>0</v>
      </c>
      <c r="AI1572">
        <v>24</v>
      </c>
      <c r="AJ1572">
        <v>0</v>
      </c>
      <c r="AK1572">
        <v>0</v>
      </c>
      <c r="AL1572">
        <v>2</v>
      </c>
      <c r="AN1572">
        <v>2</v>
      </c>
      <c r="AO1572">
        <v>0</v>
      </c>
      <c r="AP1572">
        <v>0</v>
      </c>
      <c r="AQ1572">
        <v>0</v>
      </c>
      <c r="AX1572">
        <v>67</v>
      </c>
      <c r="AY1572">
        <v>70</v>
      </c>
      <c r="AZ1572">
        <v>137</v>
      </c>
      <c r="BA1572">
        <v>12</v>
      </c>
      <c r="BB1572">
        <v>18</v>
      </c>
      <c r="BC1572">
        <v>30</v>
      </c>
      <c r="BD1572">
        <v>32</v>
      </c>
      <c r="BE1572">
        <v>24</v>
      </c>
      <c r="BF1572">
        <v>56</v>
      </c>
      <c r="BG1572">
        <v>26</v>
      </c>
      <c r="BH1572">
        <v>9</v>
      </c>
      <c r="BI1572">
        <v>35</v>
      </c>
      <c r="BJ1572">
        <v>2</v>
      </c>
      <c r="BK1572">
        <v>18</v>
      </c>
      <c r="BL1572">
        <v>20</v>
      </c>
      <c r="BP1572">
        <v>73</v>
      </c>
      <c r="BR1572">
        <v>31</v>
      </c>
      <c r="BS1572">
        <v>10</v>
      </c>
      <c r="BT1572">
        <v>23</v>
      </c>
      <c r="BV1572">
        <v>2</v>
      </c>
      <c r="BW1572">
        <v>139</v>
      </c>
      <c r="BX1572">
        <f>IF(C1572=C1571,IF((CI1572-1)=CI1571,BW1571,"no data"))</f>
        <v>45</v>
      </c>
      <c r="BY1572" s="5">
        <f t="shared" si="181"/>
        <v>2.088888888888889</v>
      </c>
      <c r="BZ1572" s="6">
        <f t="shared" si="180"/>
        <v>2.088888888888889</v>
      </c>
      <c r="CA1572" s="7">
        <v>43443</v>
      </c>
      <c r="CE1572">
        <v>91</v>
      </c>
      <c r="CF1572">
        <v>29</v>
      </c>
      <c r="CG1572">
        <v>19</v>
      </c>
      <c r="CH1572">
        <v>0</v>
      </c>
      <c r="CI1572">
        <f t="shared" si="178"/>
        <v>2018</v>
      </c>
      <c r="CJ1572" t="str">
        <f t="shared" si="179"/>
        <v>6640_2018</v>
      </c>
    </row>
    <row r="1573" spans="1:88" x14ac:dyDescent="0.25">
      <c r="A1573" t="s">
        <v>277</v>
      </c>
      <c r="B1573" t="s">
        <v>473</v>
      </c>
      <c r="C1573">
        <v>6640</v>
      </c>
      <c r="D1573">
        <v>-35.0105</v>
      </c>
      <c r="E1573">
        <v>138.6009</v>
      </c>
      <c r="F1573">
        <v>5</v>
      </c>
      <c r="G1573" t="s">
        <v>591</v>
      </c>
      <c r="H1573">
        <v>50</v>
      </c>
      <c r="I1573">
        <v>230</v>
      </c>
      <c r="J1573">
        <v>180</v>
      </c>
      <c r="K1573">
        <v>360</v>
      </c>
      <c r="L1573">
        <v>229</v>
      </c>
      <c r="M1573">
        <v>49</v>
      </c>
      <c r="N1573">
        <v>270</v>
      </c>
      <c r="O1573">
        <v>90</v>
      </c>
      <c r="P1573">
        <v>345</v>
      </c>
      <c r="Q1573">
        <v>165</v>
      </c>
      <c r="T1573">
        <v>2</v>
      </c>
      <c r="U1573">
        <v>36</v>
      </c>
      <c r="V1573">
        <v>7</v>
      </c>
      <c r="W1573">
        <v>1</v>
      </c>
      <c r="Y1573">
        <v>12</v>
      </c>
      <c r="Z1573">
        <v>2</v>
      </c>
      <c r="AA1573">
        <v>0</v>
      </c>
      <c r="AB1573">
        <v>5</v>
      </c>
      <c r="AD1573">
        <v>25</v>
      </c>
      <c r="AE1573">
        <v>0</v>
      </c>
      <c r="AF1573">
        <v>0</v>
      </c>
      <c r="AG1573">
        <v>4</v>
      </c>
      <c r="AI1573">
        <v>9</v>
      </c>
      <c r="AJ1573">
        <v>0</v>
      </c>
      <c r="AK1573">
        <v>0</v>
      </c>
      <c r="AL1573">
        <v>4</v>
      </c>
      <c r="AN1573">
        <v>0</v>
      </c>
      <c r="AO1573">
        <v>3</v>
      </c>
      <c r="AP1573">
        <v>7</v>
      </c>
      <c r="AQ1573">
        <v>5</v>
      </c>
      <c r="AX1573">
        <v>46</v>
      </c>
      <c r="AY1573">
        <v>46</v>
      </c>
      <c r="AZ1573">
        <v>92</v>
      </c>
      <c r="BA1573">
        <v>19</v>
      </c>
      <c r="BB1573">
        <v>5</v>
      </c>
      <c r="BC1573">
        <v>24</v>
      </c>
      <c r="BD1573">
        <v>29</v>
      </c>
      <c r="BE1573">
        <v>45</v>
      </c>
      <c r="BF1573">
        <v>74</v>
      </c>
      <c r="BG1573">
        <v>13</v>
      </c>
      <c r="BH1573">
        <v>12</v>
      </c>
      <c r="BI1573">
        <v>25</v>
      </c>
      <c r="BJ1573">
        <v>15</v>
      </c>
      <c r="BK1573">
        <v>14</v>
      </c>
      <c r="BL1573">
        <v>29</v>
      </c>
      <c r="BP1573">
        <v>44</v>
      </c>
      <c r="BR1573">
        <v>50</v>
      </c>
      <c r="BS1573">
        <v>6</v>
      </c>
      <c r="BT1573">
        <v>22</v>
      </c>
      <c r="BV1573">
        <v>0</v>
      </c>
      <c r="BW1573">
        <v>122</v>
      </c>
      <c r="BX1573" t="str">
        <f>IF(C1573=C1572,IF((CI1573-1)=CI1572,BW1572,"no data"))</f>
        <v>no data</v>
      </c>
      <c r="BY1573" s="5"/>
      <c r="BZ1573" s="6"/>
      <c r="CA1573" s="7">
        <v>44143</v>
      </c>
      <c r="CE1573">
        <v>57</v>
      </c>
      <c r="CF1573">
        <v>34</v>
      </c>
      <c r="CG1573">
        <v>23</v>
      </c>
      <c r="CH1573">
        <v>8</v>
      </c>
      <c r="CI1573">
        <f t="shared" si="178"/>
        <v>2020</v>
      </c>
      <c r="CJ1573" t="str">
        <f t="shared" si="179"/>
        <v>6640_2020</v>
      </c>
    </row>
    <row r="1574" spans="1:88" x14ac:dyDescent="0.25">
      <c r="A1574" t="s">
        <v>277</v>
      </c>
      <c r="B1574" t="s">
        <v>473</v>
      </c>
      <c r="C1574">
        <v>6640</v>
      </c>
      <c r="D1574">
        <v>-35.010522000000002</v>
      </c>
      <c r="E1574">
        <v>138.60089600000001</v>
      </c>
      <c r="F1574">
        <v>5</v>
      </c>
      <c r="G1574" t="s">
        <v>591</v>
      </c>
      <c r="H1574">
        <v>50</v>
      </c>
      <c r="I1574">
        <v>230</v>
      </c>
      <c r="J1574">
        <v>180</v>
      </c>
      <c r="K1574">
        <v>360</v>
      </c>
      <c r="L1574">
        <v>229</v>
      </c>
      <c r="M1574">
        <v>49</v>
      </c>
      <c r="N1574">
        <v>270</v>
      </c>
      <c r="O1574">
        <v>90</v>
      </c>
      <c r="P1574">
        <v>345</v>
      </c>
      <c r="Q1574">
        <v>165</v>
      </c>
      <c r="T1574">
        <v>0</v>
      </c>
      <c r="U1574">
        <v>11</v>
      </c>
      <c r="V1574">
        <v>5</v>
      </c>
      <c r="W1574">
        <v>11</v>
      </c>
      <c r="Y1574">
        <v>4</v>
      </c>
      <c r="Z1574">
        <v>3</v>
      </c>
      <c r="AA1574">
        <v>0</v>
      </c>
      <c r="AB1574">
        <v>10</v>
      </c>
      <c r="AD1574">
        <v>8</v>
      </c>
      <c r="AE1574">
        <v>1</v>
      </c>
      <c r="AF1574">
        <v>0</v>
      </c>
      <c r="AG1574">
        <v>4</v>
      </c>
      <c r="AI1574">
        <v>4</v>
      </c>
      <c r="AJ1574">
        <v>0</v>
      </c>
      <c r="AK1574">
        <v>0</v>
      </c>
      <c r="AL1574">
        <v>1</v>
      </c>
      <c r="AN1574">
        <v>2</v>
      </c>
      <c r="AO1574">
        <v>2</v>
      </c>
      <c r="AP1574">
        <v>4</v>
      </c>
      <c r="AQ1574">
        <v>0</v>
      </c>
      <c r="AX1574">
        <v>27</v>
      </c>
      <c r="AY1574">
        <v>18</v>
      </c>
      <c r="AZ1574">
        <v>45</v>
      </c>
      <c r="BA1574">
        <v>17</v>
      </c>
      <c r="BB1574">
        <v>3</v>
      </c>
      <c r="BC1574">
        <v>20</v>
      </c>
      <c r="BD1574">
        <v>13</v>
      </c>
      <c r="BE1574">
        <v>18</v>
      </c>
      <c r="BF1574">
        <v>31</v>
      </c>
      <c r="BG1574">
        <v>5</v>
      </c>
      <c r="BH1574">
        <v>5</v>
      </c>
      <c r="BI1574">
        <v>10</v>
      </c>
      <c r="BJ1574">
        <v>8</v>
      </c>
      <c r="BK1574">
        <v>26</v>
      </c>
      <c r="BL1574">
        <v>34</v>
      </c>
      <c r="BP1574">
        <v>34</v>
      </c>
      <c r="BR1574">
        <v>20</v>
      </c>
      <c r="BS1574">
        <v>3</v>
      </c>
      <c r="BT1574">
        <v>13</v>
      </c>
      <c r="BV1574">
        <v>0</v>
      </c>
      <c r="BW1574">
        <v>70</v>
      </c>
      <c r="BX1574">
        <f>IF(C1574=C1573,IF((CI1574-1)=CI1573,BW1573,"no data"))</f>
        <v>122</v>
      </c>
      <c r="BY1574" s="5">
        <f t="shared" si="181"/>
        <v>-0.42622950819672129</v>
      </c>
      <c r="BZ1574" s="6">
        <f t="shared" si="180"/>
        <v>-0.42622950819672129</v>
      </c>
      <c r="CA1574" s="7">
        <v>44528</v>
      </c>
      <c r="CE1574">
        <v>22</v>
      </c>
      <c r="CF1574">
        <v>33</v>
      </c>
      <c r="CG1574">
        <v>15</v>
      </c>
      <c r="CI1574">
        <f t="shared" si="178"/>
        <v>2021</v>
      </c>
      <c r="CJ1574" t="str">
        <f t="shared" si="179"/>
        <v>6640_2021</v>
      </c>
    </row>
    <row r="1575" spans="1:88" x14ac:dyDescent="0.25">
      <c r="A1575" t="s">
        <v>277</v>
      </c>
      <c r="B1575" t="s">
        <v>473</v>
      </c>
      <c r="C1575">
        <v>6640</v>
      </c>
      <c r="D1575">
        <v>-35.010522000000002</v>
      </c>
      <c r="E1575">
        <v>138.60089600000001</v>
      </c>
      <c r="F1575">
        <v>5</v>
      </c>
      <c r="G1575" t="s">
        <v>591</v>
      </c>
      <c r="H1575">
        <v>50</v>
      </c>
      <c r="I1575">
        <v>230</v>
      </c>
      <c r="J1575">
        <v>180</v>
      </c>
      <c r="K1575">
        <v>360</v>
      </c>
      <c r="L1575">
        <v>229</v>
      </c>
      <c r="M1575">
        <v>49</v>
      </c>
      <c r="N1575">
        <v>270</v>
      </c>
      <c r="O1575">
        <v>90</v>
      </c>
      <c r="P1575">
        <v>345</v>
      </c>
      <c r="Q1575">
        <v>165</v>
      </c>
      <c r="T1575">
        <v>4</v>
      </c>
      <c r="U1575">
        <v>9</v>
      </c>
      <c r="V1575">
        <v>3</v>
      </c>
      <c r="W1575">
        <v>1</v>
      </c>
      <c r="Y1575">
        <v>6</v>
      </c>
      <c r="Z1575">
        <v>0</v>
      </c>
      <c r="AA1575">
        <v>0</v>
      </c>
      <c r="AB1575">
        <v>3</v>
      </c>
      <c r="AD1575">
        <v>4</v>
      </c>
      <c r="AE1575">
        <v>0</v>
      </c>
      <c r="AF1575">
        <v>0</v>
      </c>
      <c r="AG1575">
        <v>6</v>
      </c>
      <c r="AI1575">
        <v>4</v>
      </c>
      <c r="AJ1575">
        <v>0</v>
      </c>
      <c r="AK1575">
        <v>0</v>
      </c>
      <c r="AL1575">
        <v>2</v>
      </c>
      <c r="AN1575">
        <v>0</v>
      </c>
      <c r="AO1575">
        <v>1</v>
      </c>
      <c r="AP1575">
        <v>3</v>
      </c>
      <c r="AQ1575">
        <v>0</v>
      </c>
      <c r="AX1575">
        <v>17</v>
      </c>
      <c r="AY1575">
        <v>14</v>
      </c>
      <c r="AZ1575">
        <v>31</v>
      </c>
      <c r="BA1575">
        <v>9</v>
      </c>
      <c r="BB1575">
        <v>5</v>
      </c>
      <c r="BC1575">
        <v>14</v>
      </c>
      <c r="BD1575">
        <v>10</v>
      </c>
      <c r="BE1575">
        <v>12</v>
      </c>
      <c r="BF1575">
        <v>22</v>
      </c>
      <c r="BG1575">
        <v>6</v>
      </c>
      <c r="BH1575">
        <v>3</v>
      </c>
      <c r="BI1575">
        <v>9</v>
      </c>
      <c r="BJ1575">
        <v>4</v>
      </c>
      <c r="BK1575">
        <v>12</v>
      </c>
      <c r="BL1575">
        <v>16</v>
      </c>
      <c r="BP1575">
        <v>10</v>
      </c>
      <c r="BR1575">
        <v>11</v>
      </c>
      <c r="BS1575">
        <v>1</v>
      </c>
      <c r="BT1575">
        <v>24</v>
      </c>
      <c r="BU1575">
        <v>0</v>
      </c>
      <c r="BV1575">
        <v>0</v>
      </c>
      <c r="BW1575">
        <v>46</v>
      </c>
      <c r="BX1575">
        <f>IF(C1575=C1574,IF((CI1575-1)=CI1574,BW1574,"no data"))</f>
        <v>70</v>
      </c>
      <c r="BY1575" s="5">
        <f t="shared" si="181"/>
        <v>-0.34285714285714286</v>
      </c>
      <c r="BZ1575" s="6">
        <f t="shared" si="180"/>
        <v>-0.34285714285714286</v>
      </c>
      <c r="CA1575" s="7">
        <v>44885</v>
      </c>
      <c r="CE1575">
        <v>21</v>
      </c>
      <c r="CF1575">
        <v>19</v>
      </c>
      <c r="CG1575">
        <v>6</v>
      </c>
      <c r="CI1575">
        <f t="shared" si="178"/>
        <v>2022</v>
      </c>
      <c r="CJ1575" t="str">
        <f t="shared" si="179"/>
        <v>6640_2022</v>
      </c>
    </row>
    <row r="1576" spans="1:88" x14ac:dyDescent="0.25">
      <c r="A1576" t="s">
        <v>277</v>
      </c>
      <c r="B1576" t="s">
        <v>473</v>
      </c>
      <c r="C1576">
        <v>6641</v>
      </c>
      <c r="D1576">
        <v>-35.030386999999997</v>
      </c>
      <c r="E1576">
        <v>138.606799</v>
      </c>
      <c r="F1576">
        <v>2</v>
      </c>
      <c r="G1576" t="s">
        <v>592</v>
      </c>
      <c r="H1576">
        <v>70</v>
      </c>
      <c r="I1576">
        <v>250</v>
      </c>
      <c r="J1576">
        <v>232</v>
      </c>
      <c r="K1576">
        <v>52</v>
      </c>
      <c r="T1576">
        <v>21</v>
      </c>
      <c r="Y1576">
        <v>26</v>
      </c>
      <c r="AX1576">
        <v>21</v>
      </c>
      <c r="AY1576">
        <v>26</v>
      </c>
      <c r="AZ1576">
        <v>47</v>
      </c>
      <c r="BA1576">
        <v>26</v>
      </c>
      <c r="BB1576">
        <v>21</v>
      </c>
      <c r="BC1576">
        <v>47</v>
      </c>
      <c r="BP1576">
        <v>20</v>
      </c>
      <c r="BR1576">
        <v>11</v>
      </c>
      <c r="BS1576">
        <v>13</v>
      </c>
      <c r="BT1576">
        <v>0</v>
      </c>
      <c r="BV1576">
        <v>3</v>
      </c>
      <c r="BW1576">
        <v>47</v>
      </c>
      <c r="BX1576" t="s">
        <v>82</v>
      </c>
      <c r="BY1576" s="5"/>
      <c r="BZ1576" s="6"/>
      <c r="CA1576" s="7">
        <v>42687</v>
      </c>
      <c r="CE1576">
        <v>44</v>
      </c>
      <c r="CF1576">
        <v>0</v>
      </c>
      <c r="CG1576">
        <v>0</v>
      </c>
      <c r="CH1576">
        <v>3</v>
      </c>
      <c r="CI1576">
        <f t="shared" si="178"/>
        <v>2016</v>
      </c>
      <c r="CJ1576" t="str">
        <f t="shared" si="179"/>
        <v>6641_2016</v>
      </c>
    </row>
    <row r="1577" spans="1:88" x14ac:dyDescent="0.25">
      <c r="A1577" t="s">
        <v>277</v>
      </c>
      <c r="B1577" t="s">
        <v>473</v>
      </c>
      <c r="C1577">
        <v>6641</v>
      </c>
      <c r="D1577">
        <v>-35.030386999999997</v>
      </c>
      <c r="E1577">
        <v>138.606799</v>
      </c>
      <c r="F1577">
        <v>2</v>
      </c>
      <c r="G1577" t="s">
        <v>592</v>
      </c>
      <c r="H1577">
        <v>70</v>
      </c>
      <c r="I1577">
        <v>250</v>
      </c>
      <c r="J1577">
        <v>232</v>
      </c>
      <c r="K1577">
        <v>52</v>
      </c>
      <c r="T1577">
        <v>11</v>
      </c>
      <c r="Y1577">
        <v>13</v>
      </c>
      <c r="AX1577">
        <v>11</v>
      </c>
      <c r="AY1577">
        <v>13</v>
      </c>
      <c r="AZ1577">
        <v>24</v>
      </c>
      <c r="BA1577">
        <v>13</v>
      </c>
      <c r="BB1577">
        <v>11</v>
      </c>
      <c r="BC1577">
        <v>24</v>
      </c>
      <c r="BP1577">
        <v>17</v>
      </c>
      <c r="BR1577">
        <v>4</v>
      </c>
      <c r="BS1577">
        <v>0</v>
      </c>
      <c r="BT1577">
        <v>3</v>
      </c>
      <c r="BV1577">
        <v>0</v>
      </c>
      <c r="BW1577">
        <v>24</v>
      </c>
      <c r="BX1577">
        <f>IF(C1577=C1576,IF((CI1577-1)=CI1576,BW1576,"no data"))</f>
        <v>47</v>
      </c>
      <c r="BY1577" s="5">
        <f t="shared" si="181"/>
        <v>-0.48936170212765956</v>
      </c>
      <c r="BZ1577" s="6">
        <f t="shared" si="180"/>
        <v>-0.48936170212765956</v>
      </c>
      <c r="CA1577" s="7">
        <v>43051</v>
      </c>
      <c r="CE1577">
        <v>10</v>
      </c>
      <c r="CF1577">
        <v>4</v>
      </c>
      <c r="CG1577">
        <v>6</v>
      </c>
      <c r="CH1577">
        <v>4</v>
      </c>
      <c r="CI1577">
        <f t="shared" si="178"/>
        <v>2017</v>
      </c>
      <c r="CJ1577" t="str">
        <f t="shared" si="179"/>
        <v>6641_2017</v>
      </c>
    </row>
    <row r="1578" spans="1:88" x14ac:dyDescent="0.25">
      <c r="A1578" t="s">
        <v>277</v>
      </c>
      <c r="B1578" t="s">
        <v>473</v>
      </c>
      <c r="C1578">
        <v>6641</v>
      </c>
      <c r="D1578">
        <v>-35.030386999999997</v>
      </c>
      <c r="E1578">
        <v>138.606799</v>
      </c>
      <c r="F1578">
        <v>2</v>
      </c>
      <c r="G1578" t="s">
        <v>592</v>
      </c>
      <c r="H1578">
        <v>70</v>
      </c>
      <c r="I1578">
        <v>250</v>
      </c>
      <c r="J1578">
        <v>232</v>
      </c>
      <c r="K1578">
        <v>52</v>
      </c>
      <c r="T1578">
        <v>9</v>
      </c>
      <c r="Y1578">
        <v>19</v>
      </c>
      <c r="AX1578">
        <v>9</v>
      </c>
      <c r="AY1578">
        <v>19</v>
      </c>
      <c r="AZ1578">
        <v>28</v>
      </c>
      <c r="BA1578">
        <v>19</v>
      </c>
      <c r="BB1578">
        <v>9</v>
      </c>
      <c r="BC1578">
        <v>28</v>
      </c>
      <c r="BP1578">
        <v>16</v>
      </c>
      <c r="BR1578">
        <v>8</v>
      </c>
      <c r="BS1578">
        <v>0</v>
      </c>
      <c r="BT1578">
        <v>4</v>
      </c>
      <c r="BV1578">
        <v>0</v>
      </c>
      <c r="BW1578">
        <v>28</v>
      </c>
      <c r="BX1578">
        <f>IF(C1578=C1577,IF((CI1578-1)=CI1577,BW1577,"no data"))</f>
        <v>24</v>
      </c>
      <c r="BY1578" s="5">
        <f t="shared" si="181"/>
        <v>0.16666666666666666</v>
      </c>
      <c r="BZ1578" s="6">
        <f t="shared" si="180"/>
        <v>0.16666666666666666</v>
      </c>
      <c r="CA1578" s="7">
        <v>43443</v>
      </c>
      <c r="CE1578">
        <v>12</v>
      </c>
      <c r="CF1578">
        <v>8</v>
      </c>
      <c r="CG1578">
        <v>6</v>
      </c>
      <c r="CH1578">
        <v>2</v>
      </c>
      <c r="CI1578">
        <f t="shared" si="178"/>
        <v>2018</v>
      </c>
      <c r="CJ1578" t="str">
        <f t="shared" si="179"/>
        <v>6641_2018</v>
      </c>
    </row>
    <row r="1579" spans="1:88" x14ac:dyDescent="0.25">
      <c r="A1579" t="s">
        <v>277</v>
      </c>
      <c r="B1579" t="s">
        <v>473</v>
      </c>
      <c r="C1579">
        <v>6641</v>
      </c>
      <c r="D1579">
        <v>-35.0304</v>
      </c>
      <c r="E1579">
        <v>138.60679999999999</v>
      </c>
      <c r="F1579">
        <v>2</v>
      </c>
      <c r="G1579" t="s">
        <v>592</v>
      </c>
      <c r="H1579">
        <v>70</v>
      </c>
      <c r="I1579">
        <v>250</v>
      </c>
      <c r="J1579">
        <v>232</v>
      </c>
      <c r="K1579">
        <v>52</v>
      </c>
      <c r="T1579">
        <v>25</v>
      </c>
      <c r="Y1579">
        <v>12</v>
      </c>
      <c r="AX1579">
        <v>25</v>
      </c>
      <c r="AY1579">
        <v>12</v>
      </c>
      <c r="AZ1579">
        <v>37</v>
      </c>
      <c r="BA1579">
        <v>12</v>
      </c>
      <c r="BB1579">
        <v>25</v>
      </c>
      <c r="BC1579">
        <v>37</v>
      </c>
      <c r="BP1579">
        <v>20</v>
      </c>
      <c r="BR1579">
        <v>10</v>
      </c>
      <c r="BS1579">
        <v>1</v>
      </c>
      <c r="BT1579">
        <v>6</v>
      </c>
      <c r="BV1579">
        <v>0</v>
      </c>
      <c r="BW1579">
        <v>37</v>
      </c>
      <c r="BX1579" t="str">
        <f>IF(C1579=C1578,IF((CI1579-1)=CI1578,BW1578,"no data"))</f>
        <v>no data</v>
      </c>
      <c r="BY1579" s="5"/>
      <c r="BZ1579" s="6"/>
      <c r="CA1579" s="7">
        <v>44143</v>
      </c>
      <c r="CE1579">
        <v>13</v>
      </c>
      <c r="CF1579">
        <v>11</v>
      </c>
      <c r="CG1579">
        <v>5</v>
      </c>
      <c r="CH1579">
        <v>8</v>
      </c>
      <c r="CI1579">
        <f t="shared" si="178"/>
        <v>2020</v>
      </c>
      <c r="CJ1579" t="str">
        <f t="shared" si="179"/>
        <v>6641_2020</v>
      </c>
    </row>
    <row r="1580" spans="1:88" x14ac:dyDescent="0.25">
      <c r="A1580" t="s">
        <v>277</v>
      </c>
      <c r="B1580" t="s">
        <v>473</v>
      </c>
      <c r="C1580">
        <v>6641</v>
      </c>
      <c r="D1580">
        <v>-35.030386999999997</v>
      </c>
      <c r="E1580">
        <v>138.606799</v>
      </c>
      <c r="F1580">
        <v>2</v>
      </c>
      <c r="G1580" t="s">
        <v>592</v>
      </c>
      <c r="H1580">
        <v>70</v>
      </c>
      <c r="I1580">
        <v>250</v>
      </c>
      <c r="J1580">
        <v>232</v>
      </c>
      <c r="K1580">
        <v>52</v>
      </c>
      <c r="T1580">
        <v>5</v>
      </c>
      <c r="Y1580">
        <v>6</v>
      </c>
      <c r="AX1580">
        <v>5</v>
      </c>
      <c r="AY1580">
        <v>6</v>
      </c>
      <c r="AZ1580">
        <v>11</v>
      </c>
      <c r="BA1580">
        <v>6</v>
      </c>
      <c r="BB1580">
        <v>5</v>
      </c>
      <c r="BC1580">
        <v>11</v>
      </c>
      <c r="BP1580">
        <v>0</v>
      </c>
      <c r="BR1580">
        <v>7</v>
      </c>
      <c r="BS1580">
        <v>0</v>
      </c>
      <c r="BT1580">
        <v>4</v>
      </c>
      <c r="BV1580">
        <v>0</v>
      </c>
      <c r="BW1580">
        <v>11</v>
      </c>
      <c r="BX1580">
        <f>IF(C1580=C1579,IF((CI1580-1)=CI1579,BW1579,"no data"))</f>
        <v>37</v>
      </c>
      <c r="BY1580" s="5">
        <f t="shared" si="181"/>
        <v>-0.70270270270270274</v>
      </c>
      <c r="BZ1580" s="6">
        <f t="shared" si="180"/>
        <v>-0.70270270270270274</v>
      </c>
      <c r="CA1580" s="7">
        <v>44528</v>
      </c>
      <c r="CE1580">
        <v>7</v>
      </c>
      <c r="CF1580">
        <v>3</v>
      </c>
      <c r="CG1580">
        <v>1</v>
      </c>
      <c r="CI1580">
        <f t="shared" si="178"/>
        <v>2021</v>
      </c>
      <c r="CJ1580" t="str">
        <f t="shared" si="179"/>
        <v>6641_2021</v>
      </c>
    </row>
    <row r="1581" spans="1:88" x14ac:dyDescent="0.25">
      <c r="A1581" t="s">
        <v>277</v>
      </c>
      <c r="B1581" t="s">
        <v>473</v>
      </c>
      <c r="C1581">
        <v>6641</v>
      </c>
      <c r="D1581">
        <v>-35.030386999999997</v>
      </c>
      <c r="E1581">
        <v>138.606799</v>
      </c>
      <c r="F1581">
        <v>2</v>
      </c>
      <c r="G1581" t="s">
        <v>592</v>
      </c>
      <c r="H1581">
        <v>70</v>
      </c>
      <c r="I1581">
        <v>250</v>
      </c>
      <c r="J1581">
        <v>232</v>
      </c>
      <c r="K1581">
        <v>52</v>
      </c>
      <c r="T1581">
        <v>5</v>
      </c>
      <c r="Y1581">
        <v>11</v>
      </c>
      <c r="AX1581">
        <v>5</v>
      </c>
      <c r="AY1581">
        <v>11</v>
      </c>
      <c r="AZ1581">
        <v>16</v>
      </c>
      <c r="BA1581">
        <v>11</v>
      </c>
      <c r="BB1581">
        <v>5</v>
      </c>
      <c r="BC1581">
        <v>16</v>
      </c>
      <c r="BP1581">
        <v>6</v>
      </c>
      <c r="BR1581">
        <v>7</v>
      </c>
      <c r="BS1581">
        <v>0</v>
      </c>
      <c r="BT1581">
        <v>3</v>
      </c>
      <c r="BU1581">
        <v>0</v>
      </c>
      <c r="BV1581">
        <v>0</v>
      </c>
      <c r="BW1581">
        <v>16</v>
      </c>
      <c r="BX1581">
        <f>IF(C1581=C1580,IF((CI1581-1)=CI1580,BW1580,"no data"))</f>
        <v>11</v>
      </c>
      <c r="BY1581" s="5">
        <f t="shared" si="181"/>
        <v>0.45454545454545453</v>
      </c>
      <c r="BZ1581" s="6">
        <f t="shared" si="180"/>
        <v>0.45454545454545453</v>
      </c>
      <c r="CA1581" s="7">
        <v>44885</v>
      </c>
      <c r="CE1581">
        <v>9</v>
      </c>
      <c r="CF1581">
        <v>6</v>
      </c>
      <c r="CG1581">
        <v>1</v>
      </c>
      <c r="CI1581">
        <f t="shared" si="178"/>
        <v>2022</v>
      </c>
      <c r="CJ1581" t="str">
        <f t="shared" si="179"/>
        <v>6641_2022</v>
      </c>
    </row>
    <row r="1582" spans="1:88" x14ac:dyDescent="0.25">
      <c r="A1582" t="s">
        <v>140</v>
      </c>
      <c r="B1582" t="s">
        <v>161</v>
      </c>
      <c r="C1582">
        <v>6642</v>
      </c>
      <c r="D1582">
        <v>-32.055900000000001</v>
      </c>
      <c r="E1582">
        <v>115.74160000000001</v>
      </c>
      <c r="F1582">
        <v>4</v>
      </c>
      <c r="G1582" t="s">
        <v>593</v>
      </c>
      <c r="H1582">
        <v>67</v>
      </c>
      <c r="I1582">
        <v>247</v>
      </c>
      <c r="J1582">
        <v>164</v>
      </c>
      <c r="K1582">
        <v>344</v>
      </c>
      <c r="L1582">
        <v>247</v>
      </c>
      <c r="M1582">
        <v>67</v>
      </c>
      <c r="N1582">
        <v>358</v>
      </c>
      <c r="O1582">
        <v>178</v>
      </c>
      <c r="T1582">
        <v>48</v>
      </c>
      <c r="V1582">
        <v>12</v>
      </c>
      <c r="Y1582">
        <v>28</v>
      </c>
      <c r="AA1582">
        <v>87</v>
      </c>
      <c r="AI1582">
        <v>11</v>
      </c>
      <c r="AJ1582">
        <v>119</v>
      </c>
      <c r="AX1582">
        <v>60</v>
      </c>
      <c r="AY1582">
        <v>39</v>
      </c>
      <c r="AZ1582">
        <v>99</v>
      </c>
      <c r="BA1582">
        <v>115</v>
      </c>
      <c r="BB1582">
        <v>167</v>
      </c>
      <c r="BC1582">
        <v>282</v>
      </c>
      <c r="BG1582">
        <v>130</v>
      </c>
      <c r="BH1582">
        <v>99</v>
      </c>
      <c r="BI1582">
        <v>229</v>
      </c>
      <c r="BP1582">
        <v>121</v>
      </c>
      <c r="BR1582">
        <v>171</v>
      </c>
      <c r="BS1582">
        <v>4</v>
      </c>
      <c r="BT1582">
        <v>4</v>
      </c>
      <c r="BV1582">
        <v>5</v>
      </c>
      <c r="BW1582">
        <v>305</v>
      </c>
      <c r="BX1582" t="s">
        <v>82</v>
      </c>
      <c r="BY1582" s="5"/>
      <c r="BZ1582" s="6"/>
      <c r="CA1582" s="7">
        <v>41952</v>
      </c>
      <c r="CI1582">
        <f t="shared" si="178"/>
        <v>2014</v>
      </c>
      <c r="CJ1582" t="str">
        <f t="shared" si="179"/>
        <v>6642_2014</v>
      </c>
    </row>
    <row r="1583" spans="1:88" x14ac:dyDescent="0.25">
      <c r="A1583" t="s">
        <v>140</v>
      </c>
      <c r="B1583" t="s">
        <v>161</v>
      </c>
      <c r="C1583">
        <v>6642</v>
      </c>
      <c r="D1583">
        <v>-32.055900000000001</v>
      </c>
      <c r="E1583">
        <v>115.74160000000001</v>
      </c>
      <c r="F1583">
        <v>4</v>
      </c>
      <c r="G1583" t="s">
        <v>593</v>
      </c>
      <c r="H1583">
        <v>67</v>
      </c>
      <c r="I1583">
        <v>247</v>
      </c>
      <c r="J1583">
        <v>164</v>
      </c>
      <c r="K1583">
        <v>344</v>
      </c>
      <c r="L1583">
        <v>247</v>
      </c>
      <c r="M1583">
        <v>67</v>
      </c>
      <c r="N1583">
        <v>358</v>
      </c>
      <c r="O1583">
        <v>178</v>
      </c>
      <c r="T1583">
        <v>260</v>
      </c>
      <c r="V1583">
        <v>30</v>
      </c>
      <c r="Y1583">
        <v>152</v>
      </c>
      <c r="AA1583">
        <v>276</v>
      </c>
      <c r="AI1583">
        <v>2</v>
      </c>
      <c r="AJ1583">
        <v>185</v>
      </c>
      <c r="AX1583">
        <v>290</v>
      </c>
      <c r="AY1583">
        <v>154</v>
      </c>
      <c r="AZ1583">
        <v>444</v>
      </c>
      <c r="BA1583">
        <v>428</v>
      </c>
      <c r="BB1583">
        <v>445</v>
      </c>
      <c r="BC1583">
        <v>873</v>
      </c>
      <c r="BG1583">
        <v>187</v>
      </c>
      <c r="BH1583">
        <v>306</v>
      </c>
      <c r="BI1583">
        <v>493</v>
      </c>
      <c r="BP1583">
        <v>241</v>
      </c>
      <c r="BR1583">
        <v>605</v>
      </c>
      <c r="BS1583">
        <v>3</v>
      </c>
      <c r="BT1583">
        <v>9</v>
      </c>
      <c r="BV1583">
        <v>47</v>
      </c>
      <c r="BW1583">
        <v>905</v>
      </c>
      <c r="BX1583">
        <f>IF(C1583=C1582,IF((CI1583-1)=CI1582,BW1582,"no data"))</f>
        <v>305</v>
      </c>
      <c r="BY1583" s="5">
        <f t="shared" si="181"/>
        <v>1.9672131147540983</v>
      </c>
      <c r="BZ1583" s="6">
        <f t="shared" si="180"/>
        <v>1.9672131147540983</v>
      </c>
      <c r="CA1583" s="7">
        <v>42316</v>
      </c>
      <c r="CE1583">
        <v>124</v>
      </c>
      <c r="CF1583">
        <v>170</v>
      </c>
      <c r="CG1583">
        <v>354</v>
      </c>
      <c r="CH1583">
        <v>257</v>
      </c>
      <c r="CI1583">
        <f t="shared" si="178"/>
        <v>2015</v>
      </c>
      <c r="CJ1583" t="str">
        <f t="shared" si="179"/>
        <v>6642_2015</v>
      </c>
    </row>
    <row r="1584" spans="1:88" x14ac:dyDescent="0.25">
      <c r="A1584" t="s">
        <v>140</v>
      </c>
      <c r="B1584" t="s">
        <v>161</v>
      </c>
      <c r="C1584">
        <v>6642</v>
      </c>
      <c r="D1584">
        <v>-32.055909</v>
      </c>
      <c r="E1584">
        <v>115.741551</v>
      </c>
      <c r="F1584">
        <v>3</v>
      </c>
      <c r="G1584" t="s">
        <v>593</v>
      </c>
      <c r="H1584">
        <v>67</v>
      </c>
      <c r="I1584">
        <v>247</v>
      </c>
      <c r="J1584">
        <v>164</v>
      </c>
      <c r="K1584">
        <v>344</v>
      </c>
      <c r="L1584">
        <v>247</v>
      </c>
      <c r="M1584">
        <v>67</v>
      </c>
      <c r="N1584">
        <v>358</v>
      </c>
      <c r="O1584">
        <v>178</v>
      </c>
      <c r="T1584">
        <v>64</v>
      </c>
      <c r="U1584">
        <v>375</v>
      </c>
      <c r="V1584">
        <v>28</v>
      </c>
      <c r="Y1584">
        <v>33</v>
      </c>
      <c r="Z1584">
        <v>36</v>
      </c>
      <c r="AA1584">
        <v>151</v>
      </c>
      <c r="AD1584">
        <v>144</v>
      </c>
      <c r="AE1584">
        <v>55</v>
      </c>
      <c r="AF1584">
        <v>31</v>
      </c>
      <c r="AI1584">
        <v>14</v>
      </c>
      <c r="AJ1584">
        <v>166</v>
      </c>
      <c r="AK1584">
        <v>73</v>
      </c>
      <c r="AX1584">
        <v>467</v>
      </c>
      <c r="AY1584">
        <v>191</v>
      </c>
      <c r="AZ1584">
        <v>658</v>
      </c>
      <c r="BA1584">
        <v>220</v>
      </c>
      <c r="BB1584">
        <v>285</v>
      </c>
      <c r="BC1584">
        <v>505</v>
      </c>
      <c r="BD1584">
        <v>230</v>
      </c>
      <c r="BE1584">
        <v>484</v>
      </c>
      <c r="BF1584">
        <v>714</v>
      </c>
      <c r="BG1584">
        <v>253</v>
      </c>
      <c r="BH1584">
        <v>210</v>
      </c>
      <c r="BI1584">
        <v>463</v>
      </c>
      <c r="BP1584">
        <v>199</v>
      </c>
      <c r="BR1584">
        <v>898</v>
      </c>
      <c r="BS1584">
        <v>9</v>
      </c>
      <c r="BT1584">
        <v>18</v>
      </c>
      <c r="BV1584">
        <v>46</v>
      </c>
      <c r="BW1584">
        <v>1170</v>
      </c>
      <c r="BX1584">
        <f>IF(C1584=C1583,IF((CI1584-1)=CI1583,BW1583,"no data"))</f>
        <v>905</v>
      </c>
      <c r="BY1584" s="5">
        <f t="shared" si="181"/>
        <v>0.29281767955801102</v>
      </c>
      <c r="BZ1584" s="6">
        <f t="shared" si="180"/>
        <v>0.29281767955801102</v>
      </c>
      <c r="CA1584" s="7">
        <v>42687</v>
      </c>
      <c r="CE1584">
        <v>155</v>
      </c>
      <c r="CF1584">
        <v>271</v>
      </c>
      <c r="CG1584">
        <v>349</v>
      </c>
      <c r="CH1584">
        <v>395</v>
      </c>
      <c r="CI1584">
        <f t="shared" si="178"/>
        <v>2016</v>
      </c>
      <c r="CJ1584" t="str">
        <f t="shared" si="179"/>
        <v>6642_2016</v>
      </c>
    </row>
    <row r="1585" spans="1:88" x14ac:dyDescent="0.25">
      <c r="A1585" t="s">
        <v>140</v>
      </c>
      <c r="B1585" t="s">
        <v>161</v>
      </c>
      <c r="C1585">
        <v>6642</v>
      </c>
      <c r="D1585">
        <v>-32.055909</v>
      </c>
      <c r="E1585">
        <v>115.741551</v>
      </c>
      <c r="F1585">
        <v>4</v>
      </c>
      <c r="G1585" t="s">
        <v>593</v>
      </c>
      <c r="H1585">
        <v>67</v>
      </c>
      <c r="I1585">
        <v>247</v>
      </c>
      <c r="J1585">
        <v>164</v>
      </c>
      <c r="K1585">
        <v>344</v>
      </c>
      <c r="L1585">
        <v>247</v>
      </c>
      <c r="M1585">
        <v>67</v>
      </c>
      <c r="N1585">
        <v>358</v>
      </c>
      <c r="O1585">
        <v>178</v>
      </c>
      <c r="T1585">
        <v>64</v>
      </c>
      <c r="U1585">
        <v>368</v>
      </c>
      <c r="V1585">
        <v>29</v>
      </c>
      <c r="Y1585">
        <v>32</v>
      </c>
      <c r="Z1585">
        <v>52</v>
      </c>
      <c r="AA1585">
        <v>119</v>
      </c>
      <c r="AD1585">
        <v>309</v>
      </c>
      <c r="AE1585">
        <v>40</v>
      </c>
      <c r="AF1585">
        <v>26</v>
      </c>
      <c r="AI1585">
        <v>23</v>
      </c>
      <c r="AJ1585">
        <v>95</v>
      </c>
      <c r="AK1585">
        <v>44</v>
      </c>
      <c r="AX1585">
        <v>461</v>
      </c>
      <c r="AY1585">
        <v>364</v>
      </c>
      <c r="AZ1585">
        <v>825</v>
      </c>
      <c r="BA1585">
        <v>203</v>
      </c>
      <c r="BB1585">
        <v>199</v>
      </c>
      <c r="BC1585">
        <v>402</v>
      </c>
      <c r="BD1585">
        <v>375</v>
      </c>
      <c r="BE1585">
        <v>464</v>
      </c>
      <c r="BF1585">
        <v>839</v>
      </c>
      <c r="BG1585">
        <v>162</v>
      </c>
      <c r="BH1585">
        <v>174</v>
      </c>
      <c r="BI1585">
        <v>336</v>
      </c>
      <c r="BP1585">
        <v>135</v>
      </c>
      <c r="BR1585">
        <v>1018</v>
      </c>
      <c r="BS1585">
        <v>19</v>
      </c>
      <c r="BT1585">
        <v>15</v>
      </c>
      <c r="BV1585">
        <v>14</v>
      </c>
      <c r="BW1585">
        <v>1201</v>
      </c>
      <c r="BX1585" t="str">
        <f>IF(C1585=C1584,IF((CI1585-1)=CI1584,BW1584,"no data"))</f>
        <v>no data</v>
      </c>
      <c r="BY1585" s="5"/>
      <c r="BZ1585" s="6"/>
      <c r="CA1585" s="7">
        <v>43415</v>
      </c>
      <c r="CE1585">
        <v>144</v>
      </c>
      <c r="CF1585">
        <v>243</v>
      </c>
      <c r="CG1585">
        <v>399</v>
      </c>
      <c r="CH1585">
        <v>415</v>
      </c>
      <c r="CI1585">
        <f t="shared" si="178"/>
        <v>2018</v>
      </c>
      <c r="CJ1585" t="str">
        <f t="shared" si="179"/>
        <v>6642_2018</v>
      </c>
    </row>
    <row r="1586" spans="1:88" x14ac:dyDescent="0.25">
      <c r="A1586" t="s">
        <v>140</v>
      </c>
      <c r="B1586" t="s">
        <v>161</v>
      </c>
      <c r="C1586">
        <v>6644</v>
      </c>
      <c r="D1586">
        <v>-32.073300000000003</v>
      </c>
      <c r="E1586">
        <v>115.7593</v>
      </c>
      <c r="F1586">
        <v>3</v>
      </c>
      <c r="G1586" t="s">
        <v>594</v>
      </c>
      <c r="H1586">
        <v>142</v>
      </c>
      <c r="I1586">
        <v>322</v>
      </c>
      <c r="J1586">
        <v>267</v>
      </c>
      <c r="K1586">
        <v>87</v>
      </c>
      <c r="L1586">
        <v>326</v>
      </c>
      <c r="M1586">
        <v>146</v>
      </c>
      <c r="T1586">
        <v>7</v>
      </c>
      <c r="U1586">
        <v>45</v>
      </c>
      <c r="Y1586">
        <v>11</v>
      </c>
      <c r="Z1586">
        <v>18</v>
      </c>
      <c r="AD1586">
        <v>24</v>
      </c>
      <c r="AE1586">
        <v>23</v>
      </c>
      <c r="AX1586">
        <v>52</v>
      </c>
      <c r="AY1586">
        <v>35</v>
      </c>
      <c r="AZ1586">
        <v>87</v>
      </c>
      <c r="BA1586">
        <v>29</v>
      </c>
      <c r="BB1586">
        <v>30</v>
      </c>
      <c r="BC1586">
        <v>59</v>
      </c>
      <c r="BD1586">
        <v>47</v>
      </c>
      <c r="BE1586">
        <v>63</v>
      </c>
      <c r="BF1586">
        <v>110</v>
      </c>
      <c r="BP1586">
        <v>43</v>
      </c>
      <c r="BR1586">
        <v>70</v>
      </c>
      <c r="BS1586">
        <v>9</v>
      </c>
      <c r="BT1586">
        <v>5</v>
      </c>
      <c r="BV1586">
        <v>1</v>
      </c>
      <c r="BW1586">
        <v>128</v>
      </c>
      <c r="BX1586" t="s">
        <v>82</v>
      </c>
      <c r="BY1586" s="5"/>
      <c r="BZ1586" s="6"/>
      <c r="CA1586" s="7">
        <v>41952</v>
      </c>
      <c r="CI1586">
        <f t="shared" si="178"/>
        <v>2014</v>
      </c>
      <c r="CJ1586" t="str">
        <f t="shared" si="179"/>
        <v>6644_2014</v>
      </c>
    </row>
    <row r="1587" spans="1:88" x14ac:dyDescent="0.25">
      <c r="A1587" t="s">
        <v>140</v>
      </c>
      <c r="B1587" t="s">
        <v>161</v>
      </c>
      <c r="C1587">
        <v>6644</v>
      </c>
      <c r="D1587">
        <v>-32.073300000000003</v>
      </c>
      <c r="E1587">
        <v>115.7593</v>
      </c>
      <c r="F1587">
        <v>3</v>
      </c>
      <c r="G1587" t="s">
        <v>594</v>
      </c>
      <c r="H1587">
        <v>142</v>
      </c>
      <c r="I1587">
        <v>322</v>
      </c>
      <c r="J1587">
        <v>267</v>
      </c>
      <c r="K1587">
        <v>87</v>
      </c>
      <c r="L1587">
        <v>326</v>
      </c>
      <c r="M1587">
        <v>146</v>
      </c>
      <c r="T1587">
        <v>22</v>
      </c>
      <c r="U1587">
        <v>32</v>
      </c>
      <c r="Y1587">
        <v>29</v>
      </c>
      <c r="Z1587">
        <v>9</v>
      </c>
      <c r="AD1587">
        <v>48</v>
      </c>
      <c r="AE1587">
        <v>7</v>
      </c>
      <c r="AX1587">
        <v>54</v>
      </c>
      <c r="AY1587">
        <v>77</v>
      </c>
      <c r="AZ1587">
        <v>131</v>
      </c>
      <c r="BA1587">
        <v>38</v>
      </c>
      <c r="BB1587">
        <v>29</v>
      </c>
      <c r="BC1587">
        <v>67</v>
      </c>
      <c r="BD1587">
        <v>55</v>
      </c>
      <c r="BE1587">
        <v>41</v>
      </c>
      <c r="BF1587">
        <v>96</v>
      </c>
      <c r="BP1587">
        <v>82</v>
      </c>
      <c r="BR1587">
        <v>52</v>
      </c>
      <c r="BS1587">
        <v>6</v>
      </c>
      <c r="BT1587">
        <v>1</v>
      </c>
      <c r="BV1587">
        <v>6</v>
      </c>
      <c r="BW1587">
        <v>147</v>
      </c>
      <c r="BX1587">
        <f>IF(C1587=C1586,IF((CI1587-1)=CI1586,BW1586,"no data"))</f>
        <v>128</v>
      </c>
      <c r="BY1587" s="5">
        <f t="shared" si="181"/>
        <v>0.1484375</v>
      </c>
      <c r="BZ1587" s="6">
        <f t="shared" si="180"/>
        <v>0.1484375</v>
      </c>
      <c r="CA1587" s="7">
        <v>42316</v>
      </c>
      <c r="CE1587">
        <v>46</v>
      </c>
      <c r="CF1587">
        <v>38</v>
      </c>
      <c r="CG1587">
        <v>41</v>
      </c>
      <c r="CH1587">
        <v>22</v>
      </c>
      <c r="CI1587">
        <f t="shared" si="178"/>
        <v>2015</v>
      </c>
      <c r="CJ1587" t="str">
        <f t="shared" si="179"/>
        <v>6644_2015</v>
      </c>
    </row>
    <row r="1588" spans="1:88" x14ac:dyDescent="0.25">
      <c r="A1588" t="s">
        <v>140</v>
      </c>
      <c r="B1588" t="s">
        <v>161</v>
      </c>
      <c r="C1588">
        <v>6644</v>
      </c>
      <c r="D1588">
        <v>-32.073317000000003</v>
      </c>
      <c r="E1588">
        <v>115.75925700000001</v>
      </c>
      <c r="F1588">
        <v>3</v>
      </c>
      <c r="G1588" t="s">
        <v>594</v>
      </c>
      <c r="H1588">
        <v>142</v>
      </c>
      <c r="I1588">
        <v>322</v>
      </c>
      <c r="J1588">
        <v>267</v>
      </c>
      <c r="K1588">
        <v>87</v>
      </c>
      <c r="L1588">
        <v>326</v>
      </c>
      <c r="M1588">
        <v>146</v>
      </c>
      <c r="T1588">
        <v>81</v>
      </c>
      <c r="U1588">
        <v>70</v>
      </c>
      <c r="Y1588">
        <v>38</v>
      </c>
      <c r="Z1588">
        <v>11</v>
      </c>
      <c r="AD1588">
        <v>56</v>
      </c>
      <c r="AE1588">
        <v>25</v>
      </c>
      <c r="AX1588">
        <v>151</v>
      </c>
      <c r="AY1588">
        <v>94</v>
      </c>
      <c r="AZ1588">
        <v>245</v>
      </c>
      <c r="BA1588">
        <v>49</v>
      </c>
      <c r="BB1588">
        <v>106</v>
      </c>
      <c r="BC1588">
        <v>155</v>
      </c>
      <c r="BD1588">
        <v>81</v>
      </c>
      <c r="BE1588">
        <v>81</v>
      </c>
      <c r="BF1588">
        <v>162</v>
      </c>
      <c r="BP1588">
        <v>93</v>
      </c>
      <c r="BR1588">
        <v>138</v>
      </c>
      <c r="BS1588">
        <v>2</v>
      </c>
      <c r="BT1588">
        <v>8</v>
      </c>
      <c r="BV1588">
        <v>40</v>
      </c>
      <c r="BW1588">
        <v>281</v>
      </c>
      <c r="BX1588">
        <f>IF(C1588=C1587,IF((CI1588-1)=CI1587,BW1587,"no data"))</f>
        <v>147</v>
      </c>
      <c r="BY1588" s="5">
        <f t="shared" si="181"/>
        <v>0.91156462585034015</v>
      </c>
      <c r="BZ1588" s="6">
        <f t="shared" si="180"/>
        <v>0.91156462585034015</v>
      </c>
      <c r="CA1588" s="7">
        <v>42687</v>
      </c>
      <c r="CE1588">
        <v>101</v>
      </c>
      <c r="CF1588">
        <v>100</v>
      </c>
      <c r="CG1588">
        <v>48</v>
      </c>
      <c r="CH1588">
        <v>32</v>
      </c>
      <c r="CI1588">
        <f t="shared" si="178"/>
        <v>2016</v>
      </c>
      <c r="CJ1588" t="str">
        <f t="shared" si="179"/>
        <v>6644_2016</v>
      </c>
    </row>
    <row r="1589" spans="1:88" x14ac:dyDescent="0.25">
      <c r="A1589" t="s">
        <v>140</v>
      </c>
      <c r="B1589" t="s">
        <v>161</v>
      </c>
      <c r="C1589">
        <v>6644</v>
      </c>
      <c r="D1589">
        <v>-32.073317000000003</v>
      </c>
      <c r="E1589">
        <v>115.75925700000001</v>
      </c>
      <c r="F1589">
        <v>3</v>
      </c>
      <c r="G1589" t="s">
        <v>594</v>
      </c>
      <c r="H1589">
        <v>142</v>
      </c>
      <c r="I1589">
        <v>322</v>
      </c>
      <c r="J1589">
        <v>267</v>
      </c>
      <c r="K1589">
        <v>87</v>
      </c>
      <c r="L1589">
        <v>326</v>
      </c>
      <c r="M1589">
        <v>146</v>
      </c>
      <c r="T1589">
        <v>38</v>
      </c>
      <c r="U1589">
        <v>52</v>
      </c>
      <c r="Y1589">
        <v>19</v>
      </c>
      <c r="Z1589">
        <v>26</v>
      </c>
      <c r="AD1589">
        <v>51</v>
      </c>
      <c r="AE1589">
        <v>25</v>
      </c>
      <c r="AX1589">
        <v>90</v>
      </c>
      <c r="AY1589">
        <v>70</v>
      </c>
      <c r="AZ1589">
        <v>160</v>
      </c>
      <c r="BA1589">
        <v>45</v>
      </c>
      <c r="BB1589">
        <v>63</v>
      </c>
      <c r="BC1589">
        <v>108</v>
      </c>
      <c r="BD1589">
        <v>76</v>
      </c>
      <c r="BE1589">
        <v>78</v>
      </c>
      <c r="BF1589">
        <v>154</v>
      </c>
      <c r="BP1589">
        <v>94</v>
      </c>
      <c r="BR1589">
        <v>105</v>
      </c>
      <c r="BS1589">
        <v>2</v>
      </c>
      <c r="BT1589">
        <v>6</v>
      </c>
      <c r="BV1589">
        <v>4</v>
      </c>
      <c r="BW1589">
        <v>211</v>
      </c>
      <c r="BX1589" t="str">
        <f>IF(C1589=C1588,IF((CI1589-1)=CI1588,BW1588,"no data"))</f>
        <v>no data</v>
      </c>
      <c r="BY1589" s="5"/>
      <c r="BZ1589" s="6"/>
      <c r="CA1589" s="7">
        <v>43415</v>
      </c>
      <c r="CE1589">
        <v>63</v>
      </c>
      <c r="CF1589">
        <v>54</v>
      </c>
      <c r="CG1589">
        <v>52</v>
      </c>
      <c r="CH1589">
        <v>42</v>
      </c>
      <c r="CI1589">
        <f t="shared" si="178"/>
        <v>2018</v>
      </c>
      <c r="CJ1589" t="str">
        <f t="shared" si="179"/>
        <v>6644_2018</v>
      </c>
    </row>
    <row r="1590" spans="1:88" x14ac:dyDescent="0.25">
      <c r="A1590" t="s">
        <v>79</v>
      </c>
      <c r="B1590" t="s">
        <v>80</v>
      </c>
      <c r="C1590">
        <v>6646</v>
      </c>
      <c r="D1590">
        <v>-33.929499999999997</v>
      </c>
      <c r="E1590">
        <v>151.13820000000001</v>
      </c>
      <c r="F1590">
        <v>2</v>
      </c>
      <c r="G1590" t="s">
        <v>595</v>
      </c>
      <c r="H1590">
        <v>96</v>
      </c>
      <c r="I1590">
        <v>276</v>
      </c>
      <c r="J1590">
        <v>305</v>
      </c>
      <c r="K1590">
        <v>125</v>
      </c>
      <c r="T1590">
        <v>41</v>
      </c>
      <c r="Y1590">
        <v>65</v>
      </c>
      <c r="AX1590">
        <v>41</v>
      </c>
      <c r="AY1590">
        <v>65</v>
      </c>
      <c r="AZ1590">
        <v>106</v>
      </c>
      <c r="BA1590">
        <v>65</v>
      </c>
      <c r="BB1590">
        <v>41</v>
      </c>
      <c r="BC1590">
        <v>106</v>
      </c>
      <c r="BP1590">
        <v>15</v>
      </c>
      <c r="BR1590">
        <v>72</v>
      </c>
      <c r="BS1590">
        <v>2</v>
      </c>
      <c r="BT1590">
        <v>17</v>
      </c>
      <c r="BV1590">
        <v>0</v>
      </c>
      <c r="BW1590">
        <v>106</v>
      </c>
      <c r="BX1590" t="s">
        <v>82</v>
      </c>
      <c r="BY1590" s="5"/>
      <c r="BZ1590" s="6"/>
      <c r="CA1590" s="7">
        <v>41952</v>
      </c>
      <c r="CI1590">
        <f t="shared" si="178"/>
        <v>2014</v>
      </c>
      <c r="CJ1590" t="str">
        <f t="shared" si="179"/>
        <v>6646_2014</v>
      </c>
    </row>
    <row r="1591" spans="1:88" x14ac:dyDescent="0.25">
      <c r="A1591" t="s">
        <v>79</v>
      </c>
      <c r="B1591" t="s">
        <v>80</v>
      </c>
      <c r="C1591">
        <v>6646</v>
      </c>
      <c r="D1591">
        <v>-33.929499999999997</v>
      </c>
      <c r="E1591">
        <v>151.13820000000001</v>
      </c>
      <c r="F1591">
        <v>2</v>
      </c>
      <c r="G1591" t="s">
        <v>595</v>
      </c>
      <c r="H1591">
        <v>96</v>
      </c>
      <c r="I1591">
        <v>276</v>
      </c>
      <c r="J1591">
        <v>305</v>
      </c>
      <c r="K1591">
        <v>125</v>
      </c>
      <c r="T1591">
        <v>66</v>
      </c>
      <c r="Y1591">
        <v>63</v>
      </c>
      <c r="AX1591">
        <v>66</v>
      </c>
      <c r="AY1591">
        <v>63</v>
      </c>
      <c r="AZ1591">
        <v>129</v>
      </c>
      <c r="BA1591">
        <v>63</v>
      </c>
      <c r="BB1591">
        <v>66</v>
      </c>
      <c r="BC1591">
        <v>129</v>
      </c>
      <c r="BP1591">
        <v>9</v>
      </c>
      <c r="BR1591">
        <v>92</v>
      </c>
      <c r="BS1591">
        <v>2</v>
      </c>
      <c r="BT1591">
        <v>22</v>
      </c>
      <c r="BV1591">
        <v>4</v>
      </c>
      <c r="BW1591">
        <v>129</v>
      </c>
      <c r="BX1591">
        <f>IF(C1591=C1590,IF((CI1591-1)=CI1590,BW1590,"no data"))</f>
        <v>106</v>
      </c>
      <c r="BY1591" s="5">
        <f t="shared" si="181"/>
        <v>0.21698113207547171</v>
      </c>
      <c r="BZ1591" s="6">
        <f t="shared" si="180"/>
        <v>0.21698113207547171</v>
      </c>
      <c r="CA1591" s="7">
        <v>42316</v>
      </c>
      <c r="CE1591">
        <v>41</v>
      </c>
      <c r="CF1591">
        <v>23</v>
      </c>
      <c r="CG1591">
        <v>45</v>
      </c>
      <c r="CH1591">
        <v>20</v>
      </c>
      <c r="CI1591">
        <f t="shared" si="178"/>
        <v>2015</v>
      </c>
      <c r="CJ1591" t="str">
        <f t="shared" si="179"/>
        <v>6646_2015</v>
      </c>
    </row>
    <row r="1592" spans="1:88" x14ac:dyDescent="0.25">
      <c r="A1592" t="s">
        <v>79</v>
      </c>
      <c r="B1592" t="s">
        <v>80</v>
      </c>
      <c r="C1592">
        <v>6646</v>
      </c>
      <c r="D1592">
        <v>-33.929510000000001</v>
      </c>
      <c r="E1592">
        <v>151.13823500000001</v>
      </c>
      <c r="F1592">
        <v>2</v>
      </c>
      <c r="G1592" t="s">
        <v>595</v>
      </c>
      <c r="H1592">
        <v>96</v>
      </c>
      <c r="I1592">
        <v>276</v>
      </c>
      <c r="J1592">
        <v>305</v>
      </c>
      <c r="K1592">
        <v>125</v>
      </c>
      <c r="T1592">
        <v>40</v>
      </c>
      <c r="Y1592">
        <v>44</v>
      </c>
      <c r="AX1592">
        <v>40</v>
      </c>
      <c r="AY1592">
        <v>44</v>
      </c>
      <c r="AZ1592">
        <v>84</v>
      </c>
      <c r="BA1592">
        <v>44</v>
      </c>
      <c r="BB1592">
        <v>40</v>
      </c>
      <c r="BC1592">
        <v>84</v>
      </c>
      <c r="BP1592">
        <v>3</v>
      </c>
      <c r="BR1592">
        <v>50</v>
      </c>
      <c r="BS1592">
        <v>8</v>
      </c>
      <c r="BT1592">
        <v>23</v>
      </c>
      <c r="BV1592">
        <v>0</v>
      </c>
      <c r="BW1592">
        <v>84</v>
      </c>
      <c r="BX1592">
        <f>IF(C1592=C1591,IF((CI1592-1)=CI1591,BW1591,"no data"))</f>
        <v>129</v>
      </c>
      <c r="BY1592" s="5">
        <f t="shared" si="181"/>
        <v>-0.34883720930232559</v>
      </c>
      <c r="BZ1592" s="6">
        <f t="shared" si="180"/>
        <v>-0.34883720930232559</v>
      </c>
      <c r="CA1592" s="7">
        <v>42687</v>
      </c>
      <c r="CE1592">
        <v>27</v>
      </c>
      <c r="CF1592">
        <v>17</v>
      </c>
      <c r="CG1592">
        <v>32</v>
      </c>
      <c r="CH1592">
        <v>8</v>
      </c>
      <c r="CI1592">
        <f t="shared" si="178"/>
        <v>2016</v>
      </c>
      <c r="CJ1592" t="str">
        <f t="shared" si="179"/>
        <v>6646_2016</v>
      </c>
    </row>
    <row r="1593" spans="1:88" x14ac:dyDescent="0.25">
      <c r="A1593" t="s">
        <v>79</v>
      </c>
      <c r="B1593" t="s">
        <v>80</v>
      </c>
      <c r="C1593">
        <v>6646</v>
      </c>
      <c r="D1593">
        <v>-33.929510000000001</v>
      </c>
      <c r="E1593">
        <v>151.13823500000001</v>
      </c>
      <c r="F1593">
        <v>2</v>
      </c>
      <c r="G1593" t="s">
        <v>595</v>
      </c>
      <c r="H1593">
        <v>96</v>
      </c>
      <c r="I1593">
        <v>276</v>
      </c>
      <c r="J1593">
        <v>305</v>
      </c>
      <c r="K1593">
        <v>125</v>
      </c>
      <c r="T1593">
        <v>47</v>
      </c>
      <c r="Y1593">
        <v>75</v>
      </c>
      <c r="AX1593">
        <v>47</v>
      </c>
      <c r="AY1593">
        <v>75</v>
      </c>
      <c r="AZ1593">
        <v>122</v>
      </c>
      <c r="BA1593">
        <v>75</v>
      </c>
      <c r="BB1593">
        <v>47</v>
      </c>
      <c r="BC1593">
        <v>122</v>
      </c>
      <c r="BP1593">
        <v>13</v>
      </c>
      <c r="BR1593">
        <v>80</v>
      </c>
      <c r="BS1593">
        <v>3</v>
      </c>
      <c r="BT1593">
        <v>25</v>
      </c>
      <c r="BV1593">
        <v>1</v>
      </c>
      <c r="BW1593">
        <v>122</v>
      </c>
      <c r="BX1593">
        <f>IF(C1593=C1592,IF((CI1593-1)=CI1592,BW1592,"no data"))</f>
        <v>84</v>
      </c>
      <c r="BY1593" s="5">
        <f t="shared" si="181"/>
        <v>0.45238095238095238</v>
      </c>
      <c r="BZ1593" s="6">
        <f t="shared" si="180"/>
        <v>0.45238095238095238</v>
      </c>
      <c r="CA1593" s="7">
        <v>43051</v>
      </c>
      <c r="CE1593">
        <v>25</v>
      </c>
      <c r="CF1593">
        <v>38</v>
      </c>
      <c r="CG1593">
        <v>38</v>
      </c>
      <c r="CH1593">
        <v>21</v>
      </c>
      <c r="CI1593">
        <f t="shared" si="178"/>
        <v>2017</v>
      </c>
      <c r="CJ1593" t="str">
        <f t="shared" si="179"/>
        <v>6646_2017</v>
      </c>
    </row>
    <row r="1594" spans="1:88" x14ac:dyDescent="0.25">
      <c r="A1594" t="s">
        <v>79</v>
      </c>
      <c r="B1594" t="s">
        <v>80</v>
      </c>
      <c r="C1594">
        <v>6646</v>
      </c>
      <c r="D1594">
        <v>-33.929510000000001</v>
      </c>
      <c r="E1594">
        <v>151.13823500000001</v>
      </c>
      <c r="F1594">
        <v>2</v>
      </c>
      <c r="G1594" t="s">
        <v>595</v>
      </c>
      <c r="H1594">
        <v>96</v>
      </c>
      <c r="I1594">
        <v>276</v>
      </c>
      <c r="J1594">
        <v>305</v>
      </c>
      <c r="K1594">
        <v>125</v>
      </c>
      <c r="T1594">
        <v>69</v>
      </c>
      <c r="Y1594">
        <v>85</v>
      </c>
      <c r="AX1594">
        <v>69</v>
      </c>
      <c r="AY1594">
        <v>85</v>
      </c>
      <c r="AZ1594">
        <v>154</v>
      </c>
      <c r="BA1594">
        <v>85</v>
      </c>
      <c r="BB1594">
        <v>69</v>
      </c>
      <c r="BC1594">
        <v>154</v>
      </c>
      <c r="BP1594">
        <v>3</v>
      </c>
      <c r="BR1594">
        <v>105</v>
      </c>
      <c r="BS1594">
        <v>6</v>
      </c>
      <c r="BT1594">
        <v>31</v>
      </c>
      <c r="BV1594">
        <v>9</v>
      </c>
      <c r="BW1594">
        <v>154</v>
      </c>
      <c r="BX1594">
        <f>IF(C1594=C1593,IF((CI1594-1)=CI1593,BW1593,"no data"))</f>
        <v>122</v>
      </c>
      <c r="BY1594" s="5">
        <f t="shared" si="181"/>
        <v>0.26229508196721313</v>
      </c>
      <c r="BZ1594" s="6">
        <f t="shared" si="180"/>
        <v>0.26229508196721313</v>
      </c>
      <c r="CA1594" s="7">
        <v>43415</v>
      </c>
      <c r="CE1594">
        <v>47</v>
      </c>
      <c r="CF1594">
        <v>36</v>
      </c>
      <c r="CG1594">
        <v>47</v>
      </c>
      <c r="CH1594">
        <v>24</v>
      </c>
      <c r="CI1594">
        <f t="shared" si="178"/>
        <v>2018</v>
      </c>
      <c r="CJ1594" t="str">
        <f t="shared" si="179"/>
        <v>6646_2018</v>
      </c>
    </row>
    <row r="1595" spans="1:88" x14ac:dyDescent="0.25">
      <c r="A1595" t="s">
        <v>79</v>
      </c>
      <c r="B1595" t="s">
        <v>596</v>
      </c>
      <c r="C1595">
        <v>6647</v>
      </c>
      <c r="D1595">
        <v>-33.979700000000001</v>
      </c>
      <c r="E1595">
        <v>151.06440000000001</v>
      </c>
      <c r="F1595">
        <v>3</v>
      </c>
      <c r="G1595" t="s">
        <v>597</v>
      </c>
      <c r="H1595">
        <v>83</v>
      </c>
      <c r="I1595">
        <v>263</v>
      </c>
      <c r="J1595">
        <v>250</v>
      </c>
      <c r="K1595">
        <v>70</v>
      </c>
      <c r="L1595">
        <v>348</v>
      </c>
      <c r="M1595">
        <v>168</v>
      </c>
      <c r="T1595">
        <v>52</v>
      </c>
      <c r="U1595">
        <v>3</v>
      </c>
      <c r="Y1595">
        <v>61</v>
      </c>
      <c r="Z1595">
        <v>10</v>
      </c>
      <c r="AD1595">
        <v>2</v>
      </c>
      <c r="AE1595">
        <v>7</v>
      </c>
      <c r="AX1595">
        <v>55</v>
      </c>
      <c r="AY1595">
        <v>63</v>
      </c>
      <c r="AZ1595">
        <v>118</v>
      </c>
      <c r="BA1595">
        <v>71</v>
      </c>
      <c r="BB1595">
        <v>59</v>
      </c>
      <c r="BC1595">
        <v>130</v>
      </c>
      <c r="BD1595">
        <v>9</v>
      </c>
      <c r="BE1595">
        <v>13</v>
      </c>
      <c r="BF1595">
        <v>22</v>
      </c>
      <c r="BP1595">
        <v>55</v>
      </c>
      <c r="BR1595">
        <v>62</v>
      </c>
      <c r="BS1595">
        <v>6</v>
      </c>
      <c r="BT1595">
        <v>9</v>
      </c>
      <c r="BV1595">
        <v>3</v>
      </c>
      <c r="BW1595">
        <v>135</v>
      </c>
      <c r="BX1595" t="s">
        <v>82</v>
      </c>
      <c r="BY1595" s="5"/>
      <c r="BZ1595" s="6"/>
      <c r="CA1595" s="7">
        <v>41952</v>
      </c>
      <c r="CI1595">
        <f t="shared" si="178"/>
        <v>2014</v>
      </c>
      <c r="CJ1595" t="str">
        <f t="shared" si="179"/>
        <v>6647_2014</v>
      </c>
    </row>
    <row r="1596" spans="1:88" x14ac:dyDescent="0.25">
      <c r="A1596" t="s">
        <v>79</v>
      </c>
      <c r="B1596" t="s">
        <v>596</v>
      </c>
      <c r="C1596">
        <v>6648</v>
      </c>
      <c r="D1596">
        <v>-33.9816</v>
      </c>
      <c r="E1596">
        <v>151.0659</v>
      </c>
      <c r="F1596">
        <v>3</v>
      </c>
      <c r="G1596" t="s">
        <v>598</v>
      </c>
      <c r="H1596">
        <v>82</v>
      </c>
      <c r="I1596">
        <v>262</v>
      </c>
      <c r="J1596">
        <v>170</v>
      </c>
      <c r="K1596">
        <v>350</v>
      </c>
      <c r="L1596">
        <v>263</v>
      </c>
      <c r="M1596">
        <v>83</v>
      </c>
      <c r="T1596">
        <v>0</v>
      </c>
      <c r="U1596">
        <v>26</v>
      </c>
      <c r="Y1596">
        <v>1</v>
      </c>
      <c r="Z1596">
        <v>11</v>
      </c>
      <c r="AD1596">
        <v>13</v>
      </c>
      <c r="AE1596">
        <v>11</v>
      </c>
      <c r="AX1596">
        <v>26</v>
      </c>
      <c r="AY1596">
        <v>14</v>
      </c>
      <c r="AZ1596">
        <v>40</v>
      </c>
      <c r="BA1596">
        <v>12</v>
      </c>
      <c r="BB1596">
        <v>11</v>
      </c>
      <c r="BC1596">
        <v>23</v>
      </c>
      <c r="BD1596">
        <v>24</v>
      </c>
      <c r="BE1596">
        <v>37</v>
      </c>
      <c r="BF1596">
        <v>61</v>
      </c>
      <c r="BP1596">
        <v>10</v>
      </c>
      <c r="BR1596">
        <v>38</v>
      </c>
      <c r="BS1596">
        <v>4</v>
      </c>
      <c r="BT1596">
        <v>8</v>
      </c>
      <c r="BV1596">
        <v>2</v>
      </c>
      <c r="BW1596">
        <v>62</v>
      </c>
      <c r="BX1596" t="s">
        <v>82</v>
      </c>
      <c r="BY1596" s="5"/>
      <c r="BZ1596" s="6"/>
      <c r="CA1596" s="7">
        <v>41952</v>
      </c>
      <c r="CI1596">
        <f t="shared" si="178"/>
        <v>2014</v>
      </c>
      <c r="CJ1596" t="str">
        <f t="shared" si="179"/>
        <v>6648_2014</v>
      </c>
    </row>
    <row r="1597" spans="1:88" x14ac:dyDescent="0.25">
      <c r="A1597" t="s">
        <v>79</v>
      </c>
      <c r="B1597" t="s">
        <v>596</v>
      </c>
      <c r="C1597">
        <v>6649</v>
      </c>
      <c r="D1597">
        <v>-33.9801</v>
      </c>
      <c r="E1597">
        <v>151.0746</v>
      </c>
      <c r="F1597">
        <v>2</v>
      </c>
      <c r="G1597" t="s">
        <v>599</v>
      </c>
      <c r="H1597">
        <v>99</v>
      </c>
      <c r="I1597">
        <v>279</v>
      </c>
      <c r="J1597">
        <v>279</v>
      </c>
      <c r="K1597">
        <v>99</v>
      </c>
      <c r="T1597">
        <v>203</v>
      </c>
      <c r="Y1597">
        <v>202</v>
      </c>
      <c r="AX1597">
        <v>203</v>
      </c>
      <c r="AY1597">
        <v>202</v>
      </c>
      <c r="AZ1597">
        <v>405</v>
      </c>
      <c r="BA1597">
        <v>202</v>
      </c>
      <c r="BB1597">
        <v>203</v>
      </c>
      <c r="BC1597">
        <v>405</v>
      </c>
      <c r="BP1597">
        <v>38</v>
      </c>
      <c r="BR1597">
        <v>321</v>
      </c>
      <c r="BS1597">
        <v>4</v>
      </c>
      <c r="BT1597">
        <v>18</v>
      </c>
      <c r="BV1597">
        <v>24</v>
      </c>
      <c r="BW1597">
        <v>405</v>
      </c>
      <c r="BX1597" t="s">
        <v>82</v>
      </c>
      <c r="BY1597" s="5"/>
      <c r="BZ1597" s="6"/>
      <c r="CA1597" s="7">
        <v>41952</v>
      </c>
      <c r="CI1597">
        <f t="shared" si="178"/>
        <v>2014</v>
      </c>
      <c r="CJ1597" t="str">
        <f t="shared" si="179"/>
        <v>6649_2014</v>
      </c>
    </row>
    <row r="1598" spans="1:88" x14ac:dyDescent="0.25">
      <c r="A1598" t="s">
        <v>79</v>
      </c>
      <c r="B1598" t="s">
        <v>596</v>
      </c>
      <c r="C1598">
        <v>6650</v>
      </c>
      <c r="D1598">
        <v>-33.971600000000002</v>
      </c>
      <c r="E1598">
        <v>151.05279999999999</v>
      </c>
      <c r="F1598">
        <v>3</v>
      </c>
      <c r="G1598" t="s">
        <v>600</v>
      </c>
      <c r="H1598">
        <v>51</v>
      </c>
      <c r="I1598">
        <v>231</v>
      </c>
      <c r="J1598">
        <v>216</v>
      </c>
      <c r="K1598">
        <v>36</v>
      </c>
      <c r="L1598">
        <v>299</v>
      </c>
      <c r="M1598">
        <v>119</v>
      </c>
      <c r="T1598">
        <v>8</v>
      </c>
      <c r="U1598">
        <v>24</v>
      </c>
      <c r="Y1598">
        <v>7</v>
      </c>
      <c r="Z1598">
        <v>27</v>
      </c>
      <c r="AD1598">
        <v>42</v>
      </c>
      <c r="AE1598">
        <v>13</v>
      </c>
      <c r="AX1598">
        <v>32</v>
      </c>
      <c r="AY1598">
        <v>49</v>
      </c>
      <c r="AZ1598">
        <v>81</v>
      </c>
      <c r="BA1598">
        <v>34</v>
      </c>
      <c r="BB1598">
        <v>21</v>
      </c>
      <c r="BC1598">
        <v>55</v>
      </c>
      <c r="BD1598">
        <v>55</v>
      </c>
      <c r="BE1598">
        <v>51</v>
      </c>
      <c r="BF1598">
        <v>106</v>
      </c>
      <c r="BP1598">
        <v>37</v>
      </c>
      <c r="BR1598">
        <v>57</v>
      </c>
      <c r="BS1598">
        <v>11</v>
      </c>
      <c r="BT1598">
        <v>16</v>
      </c>
      <c r="BV1598">
        <v>0</v>
      </c>
      <c r="BW1598">
        <v>121</v>
      </c>
      <c r="BX1598" t="s">
        <v>82</v>
      </c>
      <c r="BY1598" s="5"/>
      <c r="BZ1598" s="6"/>
      <c r="CA1598" s="7">
        <v>41952</v>
      </c>
      <c r="CI1598">
        <f t="shared" si="178"/>
        <v>2014</v>
      </c>
      <c r="CJ1598" t="str">
        <f t="shared" si="179"/>
        <v>6650_2014</v>
      </c>
    </row>
    <row r="1599" spans="1:88" x14ac:dyDescent="0.25">
      <c r="A1599" t="s">
        <v>79</v>
      </c>
      <c r="B1599" t="s">
        <v>596</v>
      </c>
      <c r="C1599">
        <v>6651</v>
      </c>
      <c r="D1599">
        <v>-33.967700000000001</v>
      </c>
      <c r="E1599">
        <v>151.0549</v>
      </c>
      <c r="F1599">
        <v>4</v>
      </c>
      <c r="G1599" t="s">
        <v>601</v>
      </c>
      <c r="H1599">
        <v>100</v>
      </c>
      <c r="I1599">
        <v>280</v>
      </c>
      <c r="J1599">
        <v>189</v>
      </c>
      <c r="K1599">
        <v>9</v>
      </c>
      <c r="L1599">
        <v>240</v>
      </c>
      <c r="M1599">
        <v>60</v>
      </c>
      <c r="N1599">
        <v>280</v>
      </c>
      <c r="O1599">
        <v>100</v>
      </c>
      <c r="T1599">
        <v>6</v>
      </c>
      <c r="U1599">
        <v>8</v>
      </c>
      <c r="V1599">
        <v>8</v>
      </c>
      <c r="Y1599">
        <v>3</v>
      </c>
      <c r="Z1599">
        <v>59</v>
      </c>
      <c r="AA1599">
        <v>0</v>
      </c>
      <c r="AD1599">
        <v>7</v>
      </c>
      <c r="AE1599">
        <v>56</v>
      </c>
      <c r="AF1599">
        <v>32</v>
      </c>
      <c r="AI1599">
        <v>3</v>
      </c>
      <c r="AJ1599">
        <v>5</v>
      </c>
      <c r="AK1599">
        <v>30</v>
      </c>
      <c r="AX1599">
        <v>22</v>
      </c>
      <c r="AY1599">
        <v>13</v>
      </c>
      <c r="AZ1599">
        <v>35</v>
      </c>
      <c r="BA1599">
        <v>62</v>
      </c>
      <c r="BB1599">
        <v>67</v>
      </c>
      <c r="BC1599">
        <v>129</v>
      </c>
      <c r="BD1599">
        <v>95</v>
      </c>
      <c r="BE1599">
        <v>97</v>
      </c>
      <c r="BF1599">
        <v>192</v>
      </c>
      <c r="BG1599">
        <v>38</v>
      </c>
      <c r="BH1599">
        <v>40</v>
      </c>
      <c r="BI1599">
        <v>78</v>
      </c>
      <c r="BP1599">
        <v>74</v>
      </c>
      <c r="BR1599">
        <v>88</v>
      </c>
      <c r="BS1599">
        <v>12</v>
      </c>
      <c r="BT1599">
        <v>22</v>
      </c>
      <c r="BV1599">
        <v>21</v>
      </c>
      <c r="BW1599">
        <v>217</v>
      </c>
      <c r="BX1599" t="s">
        <v>82</v>
      </c>
      <c r="BY1599" s="5"/>
      <c r="BZ1599" s="6"/>
      <c r="CA1599" s="7">
        <v>41952</v>
      </c>
      <c r="CI1599">
        <f t="shared" si="178"/>
        <v>2014</v>
      </c>
      <c r="CJ1599" t="str">
        <f t="shared" si="179"/>
        <v>6651_2014</v>
      </c>
    </row>
    <row r="1600" spans="1:88" x14ac:dyDescent="0.25">
      <c r="A1600" t="s">
        <v>79</v>
      </c>
      <c r="B1600" t="s">
        <v>596</v>
      </c>
      <c r="C1600">
        <v>6652</v>
      </c>
      <c r="D1600">
        <v>-33.960900000000002</v>
      </c>
      <c r="E1600">
        <v>151.07560000000001</v>
      </c>
      <c r="F1600">
        <v>4</v>
      </c>
      <c r="G1600" t="s">
        <v>602</v>
      </c>
      <c r="H1600">
        <v>2</v>
      </c>
      <c r="I1600">
        <v>182</v>
      </c>
      <c r="J1600">
        <v>94</v>
      </c>
      <c r="K1600">
        <v>274</v>
      </c>
      <c r="L1600">
        <v>190</v>
      </c>
      <c r="M1600">
        <v>10</v>
      </c>
      <c r="N1600">
        <v>270</v>
      </c>
      <c r="O1600">
        <v>90</v>
      </c>
      <c r="T1600">
        <v>19</v>
      </c>
      <c r="U1600">
        <v>3</v>
      </c>
      <c r="V1600">
        <v>11</v>
      </c>
      <c r="Y1600">
        <v>8</v>
      </c>
      <c r="Z1600">
        <v>4</v>
      </c>
      <c r="AA1600">
        <v>19</v>
      </c>
      <c r="AD1600">
        <v>1</v>
      </c>
      <c r="AE1600">
        <v>4</v>
      </c>
      <c r="AF1600">
        <v>2</v>
      </c>
      <c r="AI1600">
        <v>7</v>
      </c>
      <c r="AJ1600">
        <v>25</v>
      </c>
      <c r="AK1600">
        <v>1</v>
      </c>
      <c r="AX1600">
        <v>33</v>
      </c>
      <c r="AY1600">
        <v>16</v>
      </c>
      <c r="AZ1600">
        <v>49</v>
      </c>
      <c r="BA1600">
        <v>31</v>
      </c>
      <c r="BB1600">
        <v>48</v>
      </c>
      <c r="BC1600">
        <v>79</v>
      </c>
      <c r="BD1600">
        <v>7</v>
      </c>
      <c r="BE1600">
        <v>8</v>
      </c>
      <c r="BF1600">
        <v>15</v>
      </c>
      <c r="BG1600">
        <v>33</v>
      </c>
      <c r="BH1600">
        <v>32</v>
      </c>
      <c r="BI1600">
        <v>65</v>
      </c>
      <c r="BP1600">
        <v>9</v>
      </c>
      <c r="BR1600">
        <v>84</v>
      </c>
      <c r="BS1600">
        <v>1</v>
      </c>
      <c r="BT1600">
        <v>5</v>
      </c>
      <c r="BV1600">
        <v>5</v>
      </c>
      <c r="BW1600">
        <v>104</v>
      </c>
      <c r="BX1600" t="s">
        <v>82</v>
      </c>
      <c r="BY1600" s="5"/>
      <c r="BZ1600" s="6"/>
      <c r="CA1600" s="7">
        <v>41952</v>
      </c>
      <c r="CI1600">
        <f t="shared" si="178"/>
        <v>2014</v>
      </c>
      <c r="CJ1600" t="str">
        <f t="shared" si="179"/>
        <v>6652_2014</v>
      </c>
    </row>
    <row r="1601" spans="1:88" x14ac:dyDescent="0.25">
      <c r="A1601" t="s">
        <v>79</v>
      </c>
      <c r="B1601" t="s">
        <v>596</v>
      </c>
      <c r="C1601">
        <v>6653</v>
      </c>
      <c r="D1601">
        <v>-33.9587</v>
      </c>
      <c r="E1601">
        <v>151.07130000000001</v>
      </c>
      <c r="F1601">
        <v>3</v>
      </c>
      <c r="G1601" t="s">
        <v>603</v>
      </c>
      <c r="H1601">
        <v>77</v>
      </c>
      <c r="I1601">
        <v>257</v>
      </c>
      <c r="J1601">
        <v>144</v>
      </c>
      <c r="K1601">
        <v>324</v>
      </c>
      <c r="L1601">
        <v>324</v>
      </c>
      <c r="M1601">
        <v>144</v>
      </c>
      <c r="T1601">
        <v>0</v>
      </c>
      <c r="U1601">
        <v>14</v>
      </c>
      <c r="Y1601">
        <v>0</v>
      </c>
      <c r="Z1601">
        <v>1</v>
      </c>
      <c r="AD1601">
        <v>12</v>
      </c>
      <c r="AE1601">
        <v>0</v>
      </c>
      <c r="AX1601">
        <v>14</v>
      </c>
      <c r="AY1601">
        <v>12</v>
      </c>
      <c r="AZ1601">
        <v>26</v>
      </c>
      <c r="BA1601">
        <v>1</v>
      </c>
      <c r="BB1601">
        <v>0</v>
      </c>
      <c r="BC1601">
        <v>1</v>
      </c>
      <c r="BD1601">
        <v>12</v>
      </c>
      <c r="BE1601">
        <v>15</v>
      </c>
      <c r="BF1601">
        <v>27</v>
      </c>
      <c r="BP1601">
        <v>1</v>
      </c>
      <c r="BR1601">
        <v>23</v>
      </c>
      <c r="BS1601">
        <v>0</v>
      </c>
      <c r="BT1601">
        <v>3</v>
      </c>
      <c r="BV1601">
        <v>0</v>
      </c>
      <c r="BW1601">
        <v>27</v>
      </c>
      <c r="BX1601" t="s">
        <v>82</v>
      </c>
      <c r="BY1601" s="5"/>
      <c r="BZ1601" s="6"/>
      <c r="CA1601" s="7">
        <v>41952</v>
      </c>
      <c r="CI1601">
        <f t="shared" si="178"/>
        <v>2014</v>
      </c>
      <c r="CJ1601" t="str">
        <f t="shared" si="179"/>
        <v>6653_2014</v>
      </c>
    </row>
    <row r="1602" spans="1:88" x14ac:dyDescent="0.25">
      <c r="A1602" t="s">
        <v>79</v>
      </c>
      <c r="B1602" t="s">
        <v>596</v>
      </c>
      <c r="C1602">
        <v>6654</v>
      </c>
      <c r="D1602">
        <v>-33.966900000000003</v>
      </c>
      <c r="E1602">
        <v>151.10290000000001</v>
      </c>
      <c r="F1602">
        <v>2</v>
      </c>
      <c r="G1602" t="s">
        <v>604</v>
      </c>
      <c r="H1602">
        <v>122</v>
      </c>
      <c r="I1602">
        <v>302</v>
      </c>
      <c r="J1602">
        <v>303</v>
      </c>
      <c r="K1602">
        <v>123</v>
      </c>
      <c r="T1602">
        <v>917</v>
      </c>
      <c r="Y1602">
        <v>852</v>
      </c>
      <c r="AX1602">
        <v>917</v>
      </c>
      <c r="AY1602">
        <v>852</v>
      </c>
      <c r="AZ1602">
        <v>1769</v>
      </c>
      <c r="BA1602">
        <v>852</v>
      </c>
      <c r="BB1602">
        <v>917</v>
      </c>
      <c r="BC1602">
        <v>1769</v>
      </c>
      <c r="BP1602">
        <v>61</v>
      </c>
      <c r="BR1602">
        <v>1561</v>
      </c>
      <c r="BS1602">
        <v>56</v>
      </c>
      <c r="BT1602">
        <v>7</v>
      </c>
      <c r="BV1602">
        <v>84</v>
      </c>
      <c r="BW1602">
        <v>1769</v>
      </c>
      <c r="BX1602" t="s">
        <v>82</v>
      </c>
      <c r="BY1602" s="5"/>
      <c r="BZ1602" s="6"/>
      <c r="CA1602" s="7">
        <v>41952</v>
      </c>
      <c r="CI1602">
        <f t="shared" si="178"/>
        <v>2014</v>
      </c>
      <c r="CJ1602" t="str">
        <f t="shared" si="179"/>
        <v>6654_2014</v>
      </c>
    </row>
    <row r="1603" spans="1:88" x14ac:dyDescent="0.25">
      <c r="A1603" t="s">
        <v>79</v>
      </c>
      <c r="B1603" t="s">
        <v>596</v>
      </c>
      <c r="C1603">
        <v>6655</v>
      </c>
      <c r="D1603">
        <v>-33.971200000000003</v>
      </c>
      <c r="E1603">
        <v>151.08070000000001</v>
      </c>
      <c r="F1603">
        <v>4</v>
      </c>
      <c r="G1603" t="s">
        <v>605</v>
      </c>
      <c r="H1603">
        <v>26</v>
      </c>
      <c r="I1603">
        <v>206</v>
      </c>
      <c r="J1603">
        <v>201</v>
      </c>
      <c r="K1603">
        <v>21</v>
      </c>
      <c r="L1603">
        <v>236</v>
      </c>
      <c r="M1603">
        <v>56</v>
      </c>
      <c r="N1603">
        <v>324</v>
      </c>
      <c r="O1603">
        <v>144</v>
      </c>
      <c r="T1603">
        <v>14</v>
      </c>
      <c r="U1603">
        <v>6</v>
      </c>
      <c r="V1603">
        <v>120</v>
      </c>
      <c r="Y1603">
        <v>39</v>
      </c>
      <c r="Z1603">
        <v>6</v>
      </c>
      <c r="AA1603">
        <v>30</v>
      </c>
      <c r="AD1603">
        <v>26</v>
      </c>
      <c r="AE1603">
        <v>1</v>
      </c>
      <c r="AF1603">
        <v>70</v>
      </c>
      <c r="AI1603">
        <v>192</v>
      </c>
      <c r="AJ1603">
        <v>23</v>
      </c>
      <c r="AK1603">
        <v>66</v>
      </c>
      <c r="AX1603">
        <v>140</v>
      </c>
      <c r="AY1603">
        <v>257</v>
      </c>
      <c r="AZ1603">
        <v>397</v>
      </c>
      <c r="BA1603">
        <v>75</v>
      </c>
      <c r="BB1603">
        <v>38</v>
      </c>
      <c r="BC1603">
        <v>113</v>
      </c>
      <c r="BD1603">
        <v>97</v>
      </c>
      <c r="BE1603">
        <v>78</v>
      </c>
      <c r="BF1603">
        <v>175</v>
      </c>
      <c r="BG1603">
        <v>281</v>
      </c>
      <c r="BH1603">
        <v>220</v>
      </c>
      <c r="BI1603">
        <v>501</v>
      </c>
      <c r="BP1603">
        <v>18</v>
      </c>
      <c r="BR1603">
        <v>324</v>
      </c>
      <c r="BS1603">
        <v>2</v>
      </c>
      <c r="BT1603">
        <v>5</v>
      </c>
      <c r="BV1603">
        <v>244</v>
      </c>
      <c r="BW1603">
        <v>593</v>
      </c>
      <c r="BX1603" t="s">
        <v>82</v>
      </c>
      <c r="BY1603" s="5"/>
      <c r="BZ1603" s="6"/>
      <c r="CA1603" s="7">
        <v>41952</v>
      </c>
      <c r="CI1603">
        <f t="shared" ref="CI1603:CI1666" si="182">YEAR(CA1603)</f>
        <v>2014</v>
      </c>
      <c r="CJ1603" t="str">
        <f t="shared" ref="CJ1603:CJ1666" si="183">_xlfn.CONCAT(C1603,"_",CI1603)</f>
        <v>6655_2014</v>
      </c>
    </row>
    <row r="1604" spans="1:88" x14ac:dyDescent="0.25">
      <c r="A1604" t="s">
        <v>79</v>
      </c>
      <c r="B1604" t="s">
        <v>596</v>
      </c>
      <c r="C1604">
        <v>6656</v>
      </c>
      <c r="D1604">
        <v>-33.951599999999999</v>
      </c>
      <c r="E1604">
        <v>151.05269999999999</v>
      </c>
      <c r="F1604">
        <v>3</v>
      </c>
      <c r="G1604" t="s">
        <v>606</v>
      </c>
      <c r="H1604">
        <v>72</v>
      </c>
      <c r="I1604">
        <v>252</v>
      </c>
      <c r="J1604">
        <v>216</v>
      </c>
      <c r="K1604">
        <v>36</v>
      </c>
      <c r="L1604">
        <v>343</v>
      </c>
      <c r="M1604">
        <v>163</v>
      </c>
      <c r="T1604">
        <v>80</v>
      </c>
      <c r="U1604">
        <v>102</v>
      </c>
      <c r="Y1604">
        <v>94</v>
      </c>
      <c r="Z1604">
        <v>412</v>
      </c>
      <c r="AD1604">
        <v>139</v>
      </c>
      <c r="AE1604">
        <v>258</v>
      </c>
      <c r="AX1604">
        <v>182</v>
      </c>
      <c r="AY1604">
        <v>233</v>
      </c>
      <c r="AZ1604">
        <v>415</v>
      </c>
      <c r="BA1604">
        <v>506</v>
      </c>
      <c r="BB1604">
        <v>338</v>
      </c>
      <c r="BC1604">
        <v>844</v>
      </c>
      <c r="BD1604">
        <v>397</v>
      </c>
      <c r="BE1604">
        <v>514</v>
      </c>
      <c r="BF1604">
        <v>911</v>
      </c>
      <c r="BP1604">
        <v>20</v>
      </c>
      <c r="BR1604">
        <v>1023</v>
      </c>
      <c r="BS1604">
        <v>4</v>
      </c>
      <c r="BT1604">
        <v>4</v>
      </c>
      <c r="BV1604">
        <v>34</v>
      </c>
      <c r="BW1604">
        <v>1085</v>
      </c>
      <c r="BX1604" t="s">
        <v>82</v>
      </c>
      <c r="BY1604" s="5"/>
      <c r="BZ1604" s="6"/>
      <c r="CA1604" s="7">
        <v>41952</v>
      </c>
      <c r="CI1604">
        <f t="shared" si="182"/>
        <v>2014</v>
      </c>
      <c r="CJ1604" t="str">
        <f t="shared" si="183"/>
        <v>6656_2014</v>
      </c>
    </row>
    <row r="1605" spans="1:88" x14ac:dyDescent="0.25">
      <c r="A1605" t="s">
        <v>111</v>
      </c>
      <c r="B1605" t="s">
        <v>402</v>
      </c>
      <c r="C1605">
        <v>6657</v>
      </c>
      <c r="D1605">
        <v>-36.736699999999999</v>
      </c>
      <c r="E1605">
        <v>144.2679</v>
      </c>
      <c r="F1605">
        <v>4</v>
      </c>
      <c r="G1605" t="s">
        <v>607</v>
      </c>
      <c r="H1605">
        <v>64</v>
      </c>
      <c r="I1605">
        <v>244</v>
      </c>
      <c r="J1605">
        <v>140</v>
      </c>
      <c r="K1605">
        <v>320</v>
      </c>
      <c r="L1605">
        <v>238</v>
      </c>
      <c r="M1605">
        <v>58</v>
      </c>
      <c r="N1605">
        <v>322</v>
      </c>
      <c r="O1605">
        <v>142</v>
      </c>
      <c r="T1605">
        <v>2</v>
      </c>
      <c r="U1605">
        <v>10</v>
      </c>
      <c r="V1605">
        <v>4</v>
      </c>
      <c r="Y1605">
        <v>5</v>
      </c>
      <c r="Z1605">
        <v>3</v>
      </c>
      <c r="AA1605">
        <v>28</v>
      </c>
      <c r="AD1605">
        <v>9</v>
      </c>
      <c r="AE1605">
        <v>2</v>
      </c>
      <c r="AF1605">
        <v>2</v>
      </c>
      <c r="AI1605">
        <v>6</v>
      </c>
      <c r="AJ1605">
        <v>25</v>
      </c>
      <c r="AK1605">
        <v>0</v>
      </c>
      <c r="AX1605">
        <v>16</v>
      </c>
      <c r="AY1605">
        <v>20</v>
      </c>
      <c r="AZ1605">
        <v>36</v>
      </c>
      <c r="BA1605">
        <v>36</v>
      </c>
      <c r="BB1605">
        <v>29</v>
      </c>
      <c r="BC1605">
        <v>65</v>
      </c>
      <c r="BD1605">
        <v>13</v>
      </c>
      <c r="BE1605">
        <v>13</v>
      </c>
      <c r="BF1605">
        <v>26</v>
      </c>
      <c r="BG1605">
        <v>31</v>
      </c>
      <c r="BH1605">
        <v>34</v>
      </c>
      <c r="BI1605">
        <v>65</v>
      </c>
      <c r="BP1605">
        <v>35</v>
      </c>
      <c r="BR1605">
        <v>42</v>
      </c>
      <c r="BS1605">
        <v>7</v>
      </c>
      <c r="BT1605">
        <v>3</v>
      </c>
      <c r="BV1605">
        <v>9</v>
      </c>
      <c r="BW1605">
        <v>96</v>
      </c>
      <c r="BX1605" t="s">
        <v>82</v>
      </c>
      <c r="BY1605" s="5"/>
      <c r="BZ1605" s="6"/>
      <c r="CA1605" s="7">
        <v>41952</v>
      </c>
      <c r="CI1605">
        <f t="shared" si="182"/>
        <v>2014</v>
      </c>
      <c r="CJ1605" t="str">
        <f t="shared" si="183"/>
        <v>6657_2014</v>
      </c>
    </row>
    <row r="1606" spans="1:88" x14ac:dyDescent="0.25">
      <c r="A1606" t="s">
        <v>111</v>
      </c>
      <c r="B1606" t="s">
        <v>402</v>
      </c>
      <c r="C1606">
        <v>6657</v>
      </c>
      <c r="D1606">
        <v>-36.736699999999999</v>
      </c>
      <c r="E1606">
        <v>144.2679</v>
      </c>
      <c r="F1606">
        <v>4</v>
      </c>
      <c r="G1606" t="s">
        <v>607</v>
      </c>
      <c r="H1606">
        <v>64</v>
      </c>
      <c r="I1606">
        <v>244</v>
      </c>
      <c r="J1606">
        <v>140</v>
      </c>
      <c r="K1606">
        <v>320</v>
      </c>
      <c r="L1606">
        <v>238</v>
      </c>
      <c r="M1606">
        <v>58</v>
      </c>
      <c r="N1606">
        <v>322</v>
      </c>
      <c r="O1606">
        <v>142</v>
      </c>
      <c r="T1606">
        <v>5</v>
      </c>
      <c r="U1606">
        <v>22</v>
      </c>
      <c r="V1606">
        <v>10</v>
      </c>
      <c r="Y1606">
        <v>5</v>
      </c>
      <c r="Z1606">
        <v>1</v>
      </c>
      <c r="AA1606">
        <v>28</v>
      </c>
      <c r="AD1606">
        <v>2</v>
      </c>
      <c r="AE1606">
        <v>0</v>
      </c>
      <c r="AF1606">
        <v>3</v>
      </c>
      <c r="AI1606">
        <v>5</v>
      </c>
      <c r="AJ1606">
        <v>30</v>
      </c>
      <c r="AK1606">
        <v>0</v>
      </c>
      <c r="AX1606">
        <v>37</v>
      </c>
      <c r="AY1606">
        <v>12</v>
      </c>
      <c r="AZ1606">
        <v>49</v>
      </c>
      <c r="BA1606">
        <v>34</v>
      </c>
      <c r="BB1606">
        <v>35</v>
      </c>
      <c r="BC1606">
        <v>69</v>
      </c>
      <c r="BD1606">
        <v>5</v>
      </c>
      <c r="BE1606">
        <v>23</v>
      </c>
      <c r="BF1606">
        <v>28</v>
      </c>
      <c r="BG1606">
        <v>35</v>
      </c>
      <c r="BH1606">
        <v>41</v>
      </c>
      <c r="BI1606">
        <v>76</v>
      </c>
      <c r="BP1606">
        <v>42</v>
      </c>
      <c r="BR1606">
        <v>58</v>
      </c>
      <c r="BS1606">
        <v>4</v>
      </c>
      <c r="BT1606">
        <v>5</v>
      </c>
      <c r="BV1606">
        <v>2</v>
      </c>
      <c r="BW1606">
        <v>111</v>
      </c>
      <c r="BX1606">
        <f t="shared" ref="BX1606:BX1611" si="184">IF(C1606=C1605,IF((CI1606-1)=CI1605,BW1605,"no data"))</f>
        <v>96</v>
      </c>
      <c r="BY1606" s="5">
        <f t="shared" si="181"/>
        <v>0.15625</v>
      </c>
      <c r="BZ1606" s="6">
        <f t="shared" ref="BZ1606:BZ1666" si="185">BY1606</f>
        <v>0.15625</v>
      </c>
      <c r="CA1606" s="7">
        <v>42316</v>
      </c>
      <c r="CE1606">
        <v>23</v>
      </c>
      <c r="CF1606">
        <v>42</v>
      </c>
      <c r="CG1606">
        <v>25</v>
      </c>
      <c r="CH1606">
        <v>21</v>
      </c>
      <c r="CI1606">
        <f t="shared" si="182"/>
        <v>2015</v>
      </c>
      <c r="CJ1606" t="str">
        <f t="shared" si="183"/>
        <v>6657_2015</v>
      </c>
    </row>
    <row r="1607" spans="1:88" x14ac:dyDescent="0.25">
      <c r="A1607" t="s">
        <v>111</v>
      </c>
      <c r="B1607" t="s">
        <v>402</v>
      </c>
      <c r="C1607">
        <v>6657</v>
      </c>
      <c r="D1607">
        <v>-36.736713999999999</v>
      </c>
      <c r="E1607">
        <v>144.26785100000001</v>
      </c>
      <c r="F1607">
        <v>4</v>
      </c>
      <c r="G1607" t="s">
        <v>607</v>
      </c>
      <c r="H1607">
        <v>64</v>
      </c>
      <c r="I1607">
        <v>244</v>
      </c>
      <c r="J1607">
        <v>140</v>
      </c>
      <c r="K1607">
        <v>320</v>
      </c>
      <c r="L1607">
        <v>238</v>
      </c>
      <c r="M1607">
        <v>58</v>
      </c>
      <c r="N1607">
        <v>322</v>
      </c>
      <c r="O1607">
        <v>142</v>
      </c>
      <c r="T1607">
        <v>2</v>
      </c>
      <c r="U1607">
        <v>2</v>
      </c>
      <c r="V1607">
        <v>1</v>
      </c>
      <c r="Y1607">
        <v>17</v>
      </c>
      <c r="Z1607">
        <v>0</v>
      </c>
      <c r="AA1607">
        <v>7</v>
      </c>
      <c r="AD1607">
        <v>0</v>
      </c>
      <c r="AE1607">
        <v>0</v>
      </c>
      <c r="AF1607">
        <v>0</v>
      </c>
      <c r="AI1607">
        <v>1</v>
      </c>
      <c r="AJ1607">
        <v>3</v>
      </c>
      <c r="AK1607">
        <v>0</v>
      </c>
      <c r="AX1607">
        <v>5</v>
      </c>
      <c r="AY1607">
        <v>18</v>
      </c>
      <c r="AZ1607">
        <v>23</v>
      </c>
      <c r="BA1607">
        <v>24</v>
      </c>
      <c r="BB1607">
        <v>5</v>
      </c>
      <c r="BC1607">
        <v>29</v>
      </c>
      <c r="BD1607">
        <v>0</v>
      </c>
      <c r="BE1607">
        <v>2</v>
      </c>
      <c r="BF1607">
        <v>2</v>
      </c>
      <c r="BG1607">
        <v>4</v>
      </c>
      <c r="BH1607">
        <v>8</v>
      </c>
      <c r="BI1607">
        <v>12</v>
      </c>
      <c r="BP1607">
        <v>2</v>
      </c>
      <c r="BR1607">
        <v>31</v>
      </c>
      <c r="BS1607">
        <v>0</v>
      </c>
      <c r="BT1607">
        <v>0</v>
      </c>
      <c r="BV1607">
        <v>0</v>
      </c>
      <c r="BW1607">
        <v>33</v>
      </c>
      <c r="BX1607">
        <f t="shared" si="184"/>
        <v>111</v>
      </c>
      <c r="BY1607" s="5">
        <f t="shared" si="181"/>
        <v>-0.70270270270270274</v>
      </c>
      <c r="BZ1607" s="6">
        <f t="shared" si="185"/>
        <v>-0.70270270270270274</v>
      </c>
      <c r="CA1607" s="7">
        <v>42687</v>
      </c>
      <c r="CE1607">
        <v>13</v>
      </c>
      <c r="CF1607">
        <v>20</v>
      </c>
      <c r="CG1607">
        <v>0</v>
      </c>
      <c r="CH1607">
        <v>0</v>
      </c>
      <c r="CI1607">
        <f t="shared" si="182"/>
        <v>2016</v>
      </c>
      <c r="CJ1607" t="str">
        <f t="shared" si="183"/>
        <v>6657_2016</v>
      </c>
    </row>
    <row r="1608" spans="1:88" x14ac:dyDescent="0.25">
      <c r="A1608" t="s">
        <v>111</v>
      </c>
      <c r="B1608" t="s">
        <v>402</v>
      </c>
      <c r="C1608">
        <v>6657</v>
      </c>
      <c r="D1608">
        <v>-36.736713999999999</v>
      </c>
      <c r="E1608">
        <v>144.26785100000001</v>
      </c>
      <c r="F1608">
        <v>4</v>
      </c>
      <c r="G1608" t="s">
        <v>607</v>
      </c>
      <c r="H1608">
        <v>64</v>
      </c>
      <c r="I1608">
        <v>244</v>
      </c>
      <c r="J1608">
        <v>140</v>
      </c>
      <c r="K1608">
        <v>320</v>
      </c>
      <c r="L1608">
        <v>238</v>
      </c>
      <c r="M1608">
        <v>58</v>
      </c>
      <c r="N1608">
        <v>322</v>
      </c>
      <c r="O1608">
        <v>142</v>
      </c>
      <c r="T1608">
        <v>0</v>
      </c>
      <c r="U1608">
        <v>11</v>
      </c>
      <c r="V1608">
        <v>5</v>
      </c>
      <c r="Y1608">
        <v>1</v>
      </c>
      <c r="Z1608">
        <v>0</v>
      </c>
      <c r="AA1608">
        <v>29</v>
      </c>
      <c r="AD1608">
        <v>2</v>
      </c>
      <c r="AE1608">
        <v>1</v>
      </c>
      <c r="AF1608">
        <v>0</v>
      </c>
      <c r="AI1608">
        <v>3</v>
      </c>
      <c r="AJ1608">
        <v>40</v>
      </c>
      <c r="AK1608">
        <v>3</v>
      </c>
      <c r="AX1608">
        <v>16</v>
      </c>
      <c r="AY1608">
        <v>6</v>
      </c>
      <c r="AZ1608">
        <v>22</v>
      </c>
      <c r="BA1608">
        <v>30</v>
      </c>
      <c r="BB1608">
        <v>41</v>
      </c>
      <c r="BC1608">
        <v>71</v>
      </c>
      <c r="BD1608">
        <v>3</v>
      </c>
      <c r="BE1608">
        <v>14</v>
      </c>
      <c r="BF1608">
        <v>17</v>
      </c>
      <c r="BG1608">
        <v>46</v>
      </c>
      <c r="BH1608">
        <v>34</v>
      </c>
      <c r="BI1608">
        <v>80</v>
      </c>
      <c r="BP1608">
        <v>23</v>
      </c>
      <c r="BR1608">
        <v>61</v>
      </c>
      <c r="BS1608">
        <v>1</v>
      </c>
      <c r="BT1608">
        <v>4</v>
      </c>
      <c r="BV1608">
        <v>6</v>
      </c>
      <c r="BW1608">
        <v>95</v>
      </c>
      <c r="BX1608">
        <f t="shared" si="184"/>
        <v>33</v>
      </c>
      <c r="BY1608" s="5">
        <f t="shared" si="181"/>
        <v>1.8787878787878789</v>
      </c>
      <c r="BZ1608" s="6">
        <f t="shared" si="185"/>
        <v>1.8787878787878789</v>
      </c>
      <c r="CA1608" s="7">
        <v>43051</v>
      </c>
      <c r="CE1608">
        <v>38</v>
      </c>
      <c r="CF1608">
        <v>25</v>
      </c>
      <c r="CG1608">
        <v>23</v>
      </c>
      <c r="CH1608">
        <v>9</v>
      </c>
      <c r="CI1608">
        <f t="shared" si="182"/>
        <v>2017</v>
      </c>
      <c r="CJ1608" t="str">
        <f t="shared" si="183"/>
        <v>6657_2017</v>
      </c>
    </row>
    <row r="1609" spans="1:88" x14ac:dyDescent="0.25">
      <c r="A1609" t="s">
        <v>111</v>
      </c>
      <c r="B1609" t="s">
        <v>402</v>
      </c>
      <c r="C1609">
        <v>6657</v>
      </c>
      <c r="D1609">
        <v>-36.736713999999999</v>
      </c>
      <c r="E1609">
        <v>144.26785100000001</v>
      </c>
      <c r="F1609">
        <v>4</v>
      </c>
      <c r="G1609" t="s">
        <v>607</v>
      </c>
      <c r="H1609">
        <v>64</v>
      </c>
      <c r="I1609">
        <v>244</v>
      </c>
      <c r="J1609">
        <v>140</v>
      </c>
      <c r="K1609">
        <v>320</v>
      </c>
      <c r="L1609">
        <v>238</v>
      </c>
      <c r="M1609">
        <v>58</v>
      </c>
      <c r="N1609">
        <v>322</v>
      </c>
      <c r="O1609">
        <v>142</v>
      </c>
      <c r="T1609">
        <v>14</v>
      </c>
      <c r="U1609">
        <v>1</v>
      </c>
      <c r="V1609">
        <v>9</v>
      </c>
      <c r="Y1609">
        <v>1</v>
      </c>
      <c r="Z1609">
        <v>5</v>
      </c>
      <c r="AA1609">
        <v>24</v>
      </c>
      <c r="AD1609">
        <v>16</v>
      </c>
      <c r="AE1609">
        <v>3</v>
      </c>
      <c r="AF1609">
        <v>4</v>
      </c>
      <c r="AI1609">
        <v>4</v>
      </c>
      <c r="AJ1609">
        <v>32</v>
      </c>
      <c r="AK1609">
        <v>0</v>
      </c>
      <c r="AX1609">
        <v>24</v>
      </c>
      <c r="AY1609">
        <v>21</v>
      </c>
      <c r="AZ1609">
        <v>45</v>
      </c>
      <c r="BA1609">
        <v>30</v>
      </c>
      <c r="BB1609">
        <v>49</v>
      </c>
      <c r="BC1609">
        <v>79</v>
      </c>
      <c r="BD1609">
        <v>23</v>
      </c>
      <c r="BE1609">
        <v>6</v>
      </c>
      <c r="BF1609">
        <v>29</v>
      </c>
      <c r="BG1609">
        <v>36</v>
      </c>
      <c r="BH1609">
        <v>37</v>
      </c>
      <c r="BI1609">
        <v>73</v>
      </c>
      <c r="BP1609">
        <v>45</v>
      </c>
      <c r="BR1609">
        <v>57</v>
      </c>
      <c r="BS1609">
        <v>5</v>
      </c>
      <c r="BT1609">
        <v>2</v>
      </c>
      <c r="BV1609">
        <v>4</v>
      </c>
      <c r="BW1609">
        <v>113</v>
      </c>
      <c r="BX1609">
        <f t="shared" si="184"/>
        <v>95</v>
      </c>
      <c r="BY1609" s="5">
        <f t="shared" si="181"/>
        <v>0.18947368421052632</v>
      </c>
      <c r="BZ1609" s="6">
        <f t="shared" si="185"/>
        <v>0.18947368421052632</v>
      </c>
      <c r="CA1609" s="7">
        <v>43415</v>
      </c>
      <c r="CE1609">
        <v>25</v>
      </c>
      <c r="CF1609">
        <v>43</v>
      </c>
      <c r="CG1609">
        <v>25</v>
      </c>
      <c r="CH1609">
        <v>20</v>
      </c>
      <c r="CI1609">
        <f t="shared" si="182"/>
        <v>2018</v>
      </c>
      <c r="CJ1609" t="str">
        <f t="shared" si="183"/>
        <v>6657_2018</v>
      </c>
    </row>
    <row r="1610" spans="1:88" x14ac:dyDescent="0.25">
      <c r="A1610" t="s">
        <v>111</v>
      </c>
      <c r="B1610" t="s">
        <v>402</v>
      </c>
      <c r="C1610">
        <v>6657</v>
      </c>
      <c r="D1610">
        <v>-36.736699999999999</v>
      </c>
      <c r="E1610">
        <v>144.2679</v>
      </c>
      <c r="F1610">
        <v>4</v>
      </c>
      <c r="G1610" t="s">
        <v>607</v>
      </c>
      <c r="H1610">
        <v>64</v>
      </c>
      <c r="I1610">
        <v>244</v>
      </c>
      <c r="J1610">
        <v>140</v>
      </c>
      <c r="K1610">
        <v>320</v>
      </c>
      <c r="L1610">
        <v>238</v>
      </c>
      <c r="M1610">
        <v>58</v>
      </c>
      <c r="N1610">
        <v>322</v>
      </c>
      <c r="O1610">
        <v>142</v>
      </c>
      <c r="T1610">
        <v>3</v>
      </c>
      <c r="U1610">
        <v>4</v>
      </c>
      <c r="V1610">
        <v>0</v>
      </c>
      <c r="Y1610">
        <v>1</v>
      </c>
      <c r="Z1610">
        <v>0</v>
      </c>
      <c r="AA1610">
        <v>18</v>
      </c>
      <c r="AD1610">
        <v>3</v>
      </c>
      <c r="AE1610">
        <v>0</v>
      </c>
      <c r="AF1610">
        <v>0</v>
      </c>
      <c r="AI1610">
        <v>3</v>
      </c>
      <c r="AJ1610">
        <v>14</v>
      </c>
      <c r="AK1610">
        <v>2</v>
      </c>
      <c r="AX1610">
        <v>7</v>
      </c>
      <c r="AY1610">
        <v>7</v>
      </c>
      <c r="AZ1610">
        <v>14</v>
      </c>
      <c r="BA1610">
        <v>19</v>
      </c>
      <c r="BB1610">
        <v>17</v>
      </c>
      <c r="BC1610">
        <v>36</v>
      </c>
      <c r="BD1610">
        <v>3</v>
      </c>
      <c r="BE1610">
        <v>6</v>
      </c>
      <c r="BF1610">
        <v>9</v>
      </c>
      <c r="BG1610">
        <v>19</v>
      </c>
      <c r="BH1610">
        <v>18</v>
      </c>
      <c r="BI1610">
        <v>37</v>
      </c>
      <c r="BP1610">
        <v>17</v>
      </c>
      <c r="BR1610">
        <v>26</v>
      </c>
      <c r="BS1610">
        <v>5</v>
      </c>
      <c r="BT1610">
        <v>0</v>
      </c>
      <c r="BV1610">
        <v>0</v>
      </c>
      <c r="BW1610">
        <v>48</v>
      </c>
      <c r="BX1610">
        <f t="shared" si="184"/>
        <v>113</v>
      </c>
      <c r="BY1610" s="5">
        <f t="shared" si="181"/>
        <v>-0.5752212389380531</v>
      </c>
      <c r="BZ1610" s="6">
        <f t="shared" si="185"/>
        <v>-0.5752212389380531</v>
      </c>
      <c r="CA1610" s="7">
        <v>43779</v>
      </c>
      <c r="CE1610">
        <v>8</v>
      </c>
      <c r="CF1610">
        <v>19</v>
      </c>
      <c r="CG1610">
        <v>7</v>
      </c>
      <c r="CH1610">
        <v>14</v>
      </c>
      <c r="CI1610">
        <f t="shared" si="182"/>
        <v>2019</v>
      </c>
      <c r="CJ1610" t="str">
        <f t="shared" si="183"/>
        <v>6657_2019</v>
      </c>
    </row>
    <row r="1611" spans="1:88" x14ac:dyDescent="0.25">
      <c r="A1611" t="s">
        <v>111</v>
      </c>
      <c r="B1611" t="s">
        <v>402</v>
      </c>
      <c r="C1611">
        <v>6657</v>
      </c>
      <c r="D1611">
        <v>-36.736713999999999</v>
      </c>
      <c r="E1611">
        <v>144.26785100000001</v>
      </c>
      <c r="F1611">
        <v>4</v>
      </c>
      <c r="G1611" t="s">
        <v>607</v>
      </c>
      <c r="H1611">
        <v>64</v>
      </c>
      <c r="I1611">
        <v>244</v>
      </c>
      <c r="J1611">
        <v>140</v>
      </c>
      <c r="K1611">
        <v>320</v>
      </c>
      <c r="L1611">
        <v>238</v>
      </c>
      <c r="M1611">
        <v>58</v>
      </c>
      <c r="N1611">
        <v>322</v>
      </c>
      <c r="O1611">
        <v>142</v>
      </c>
      <c r="T1611">
        <v>1</v>
      </c>
      <c r="U1611">
        <v>19</v>
      </c>
      <c r="V1611">
        <v>4</v>
      </c>
      <c r="Y1611">
        <v>0</v>
      </c>
      <c r="Z1611">
        <v>0</v>
      </c>
      <c r="AA1611">
        <v>9</v>
      </c>
      <c r="AD1611">
        <v>8</v>
      </c>
      <c r="AE1611">
        <v>4</v>
      </c>
      <c r="AF1611">
        <v>0</v>
      </c>
      <c r="AI1611">
        <v>0</v>
      </c>
      <c r="AJ1611">
        <v>13</v>
      </c>
      <c r="AK1611">
        <v>0</v>
      </c>
      <c r="AX1611">
        <v>24</v>
      </c>
      <c r="AY1611">
        <v>8</v>
      </c>
      <c r="AZ1611">
        <v>32</v>
      </c>
      <c r="BA1611">
        <v>9</v>
      </c>
      <c r="BB1611">
        <v>18</v>
      </c>
      <c r="BC1611">
        <v>27</v>
      </c>
      <c r="BD1611">
        <v>12</v>
      </c>
      <c r="BE1611">
        <v>19</v>
      </c>
      <c r="BF1611">
        <v>31</v>
      </c>
      <c r="BG1611">
        <v>13</v>
      </c>
      <c r="BH1611">
        <v>13</v>
      </c>
      <c r="BI1611">
        <v>26</v>
      </c>
      <c r="BP1611">
        <v>30</v>
      </c>
      <c r="BR1611">
        <v>19</v>
      </c>
      <c r="BS1611">
        <v>3</v>
      </c>
      <c r="BT1611">
        <v>1</v>
      </c>
      <c r="BU1611">
        <v>4</v>
      </c>
      <c r="BV1611">
        <v>1</v>
      </c>
      <c r="BW1611">
        <v>58</v>
      </c>
      <c r="BX1611" t="str">
        <f t="shared" si="184"/>
        <v>no data</v>
      </c>
      <c r="BY1611" s="5"/>
      <c r="BZ1611" s="6"/>
      <c r="CA1611" s="7">
        <v>44878</v>
      </c>
      <c r="CE1611">
        <v>15</v>
      </c>
      <c r="CF1611">
        <v>31</v>
      </c>
      <c r="CG1611">
        <v>12</v>
      </c>
      <c r="CI1611">
        <f t="shared" si="182"/>
        <v>2022</v>
      </c>
      <c r="CJ1611" t="str">
        <f t="shared" si="183"/>
        <v>6657_2022</v>
      </c>
    </row>
    <row r="1612" spans="1:88" x14ac:dyDescent="0.25">
      <c r="A1612" t="s">
        <v>79</v>
      </c>
      <c r="B1612" t="s">
        <v>608</v>
      </c>
      <c r="C1612">
        <v>6658</v>
      </c>
      <c r="D1612">
        <v>-34.061199999999999</v>
      </c>
      <c r="E1612">
        <v>150.70079999999999</v>
      </c>
      <c r="F1612">
        <v>4</v>
      </c>
      <c r="G1612" t="s">
        <v>609</v>
      </c>
      <c r="H1612">
        <v>7</v>
      </c>
      <c r="I1612">
        <v>187</v>
      </c>
      <c r="J1612">
        <v>86</v>
      </c>
      <c r="K1612">
        <v>266</v>
      </c>
      <c r="L1612">
        <v>184</v>
      </c>
      <c r="M1612">
        <v>4</v>
      </c>
      <c r="N1612">
        <v>276</v>
      </c>
      <c r="O1612">
        <v>96</v>
      </c>
      <c r="T1612">
        <v>23</v>
      </c>
      <c r="U1612">
        <v>221</v>
      </c>
      <c r="V1612">
        <v>11</v>
      </c>
      <c r="Y1612">
        <v>8</v>
      </c>
      <c r="Z1612">
        <v>11</v>
      </c>
      <c r="AA1612">
        <v>25</v>
      </c>
      <c r="AD1612">
        <v>145</v>
      </c>
      <c r="AE1612">
        <v>6</v>
      </c>
      <c r="AF1612">
        <v>9</v>
      </c>
      <c r="AI1612">
        <v>10</v>
      </c>
      <c r="AJ1612">
        <v>1</v>
      </c>
      <c r="AK1612">
        <v>4</v>
      </c>
      <c r="AX1612">
        <v>255</v>
      </c>
      <c r="AY1612">
        <v>163</v>
      </c>
      <c r="AZ1612">
        <v>418</v>
      </c>
      <c r="BA1612">
        <v>44</v>
      </c>
      <c r="BB1612">
        <v>30</v>
      </c>
      <c r="BC1612">
        <v>74</v>
      </c>
      <c r="BD1612">
        <v>160</v>
      </c>
      <c r="BE1612">
        <v>236</v>
      </c>
      <c r="BF1612">
        <v>396</v>
      </c>
      <c r="BG1612">
        <v>15</v>
      </c>
      <c r="BH1612">
        <v>45</v>
      </c>
      <c r="BI1612">
        <v>60</v>
      </c>
      <c r="BP1612">
        <v>168</v>
      </c>
      <c r="BR1612">
        <v>208</v>
      </c>
      <c r="BS1612">
        <v>24</v>
      </c>
      <c r="BT1612">
        <v>52</v>
      </c>
      <c r="BV1612">
        <v>22</v>
      </c>
      <c r="BW1612">
        <v>474</v>
      </c>
      <c r="BX1612" t="s">
        <v>82</v>
      </c>
      <c r="BY1612" s="5"/>
      <c r="BZ1612" s="6"/>
      <c r="CA1612" s="7">
        <v>41952</v>
      </c>
      <c r="CI1612">
        <f t="shared" si="182"/>
        <v>2014</v>
      </c>
      <c r="CJ1612" t="str">
        <f t="shared" si="183"/>
        <v>6658_2014</v>
      </c>
    </row>
    <row r="1613" spans="1:88" x14ac:dyDescent="0.25">
      <c r="A1613" t="s">
        <v>79</v>
      </c>
      <c r="B1613" t="s">
        <v>608</v>
      </c>
      <c r="C1613">
        <v>6659</v>
      </c>
      <c r="D1613">
        <v>-34.052700000000002</v>
      </c>
      <c r="E1613">
        <v>150.7296</v>
      </c>
      <c r="F1613">
        <v>2</v>
      </c>
      <c r="G1613" t="s">
        <v>610</v>
      </c>
      <c r="H1613">
        <v>63</v>
      </c>
      <c r="I1613">
        <v>243</v>
      </c>
      <c r="J1613">
        <v>244</v>
      </c>
      <c r="K1613">
        <v>64</v>
      </c>
      <c r="T1613">
        <v>13</v>
      </c>
      <c r="Y1613">
        <v>8</v>
      </c>
      <c r="AX1613">
        <v>13</v>
      </c>
      <c r="AY1613">
        <v>8</v>
      </c>
      <c r="AZ1613">
        <v>21</v>
      </c>
      <c r="BA1613">
        <v>8</v>
      </c>
      <c r="BB1613">
        <v>13</v>
      </c>
      <c r="BC1613">
        <v>21</v>
      </c>
      <c r="BP1613">
        <v>6</v>
      </c>
      <c r="BR1613">
        <v>8</v>
      </c>
      <c r="BS1613">
        <v>0</v>
      </c>
      <c r="BT1613">
        <v>5</v>
      </c>
      <c r="BV1613">
        <v>2</v>
      </c>
      <c r="BW1613">
        <v>21</v>
      </c>
      <c r="BX1613" t="s">
        <v>82</v>
      </c>
      <c r="BY1613" s="5"/>
      <c r="BZ1613" s="6"/>
      <c r="CA1613" s="7">
        <v>41952</v>
      </c>
      <c r="CI1613">
        <f t="shared" si="182"/>
        <v>2014</v>
      </c>
      <c r="CJ1613" t="str">
        <f t="shared" si="183"/>
        <v>6659_2014</v>
      </c>
    </row>
    <row r="1614" spans="1:88" x14ac:dyDescent="0.25">
      <c r="A1614" t="s">
        <v>79</v>
      </c>
      <c r="B1614" t="s">
        <v>608</v>
      </c>
      <c r="C1614">
        <v>6660</v>
      </c>
      <c r="D1614">
        <v>-34.005400000000002</v>
      </c>
      <c r="E1614">
        <v>150.73929999999999</v>
      </c>
      <c r="F1614">
        <v>2</v>
      </c>
      <c r="G1614" t="s">
        <v>611</v>
      </c>
      <c r="H1614">
        <v>2</v>
      </c>
      <c r="I1614">
        <v>182</v>
      </c>
      <c r="J1614">
        <v>184</v>
      </c>
      <c r="K1614">
        <v>4</v>
      </c>
      <c r="T1614">
        <v>41</v>
      </c>
      <c r="Y1614">
        <v>32</v>
      </c>
      <c r="AX1614">
        <v>41</v>
      </c>
      <c r="AY1614">
        <v>32</v>
      </c>
      <c r="AZ1614">
        <v>73</v>
      </c>
      <c r="BA1614">
        <v>32</v>
      </c>
      <c r="BB1614">
        <v>41</v>
      </c>
      <c r="BC1614">
        <v>73</v>
      </c>
      <c r="BP1614">
        <v>13</v>
      </c>
      <c r="BR1614">
        <v>49</v>
      </c>
      <c r="BS1614">
        <v>4</v>
      </c>
      <c r="BT1614">
        <v>4</v>
      </c>
      <c r="BV1614">
        <v>3</v>
      </c>
      <c r="BW1614">
        <v>73</v>
      </c>
      <c r="BX1614" t="s">
        <v>82</v>
      </c>
      <c r="BY1614" s="5"/>
      <c r="BZ1614" s="6"/>
      <c r="CA1614" s="7">
        <v>41952</v>
      </c>
      <c r="CI1614">
        <f t="shared" si="182"/>
        <v>2014</v>
      </c>
      <c r="CJ1614" t="str">
        <f t="shared" si="183"/>
        <v>6660_2014</v>
      </c>
    </row>
    <row r="1615" spans="1:88" x14ac:dyDescent="0.25">
      <c r="A1615" t="s">
        <v>79</v>
      </c>
      <c r="B1615" t="s">
        <v>608</v>
      </c>
      <c r="C1615">
        <v>6661</v>
      </c>
      <c r="D1615">
        <v>-34.022399999999998</v>
      </c>
      <c r="E1615">
        <v>150.7388</v>
      </c>
      <c r="F1615">
        <v>2</v>
      </c>
      <c r="G1615" t="s">
        <v>612</v>
      </c>
      <c r="H1615">
        <v>15</v>
      </c>
      <c r="I1615">
        <v>195</v>
      </c>
      <c r="J1615">
        <v>201</v>
      </c>
      <c r="K1615">
        <v>21</v>
      </c>
      <c r="T1615">
        <v>24</v>
      </c>
      <c r="Y1615">
        <v>27</v>
      </c>
      <c r="AX1615">
        <v>24</v>
      </c>
      <c r="AY1615">
        <v>27</v>
      </c>
      <c r="AZ1615">
        <v>51</v>
      </c>
      <c r="BA1615">
        <v>27</v>
      </c>
      <c r="BB1615">
        <v>24</v>
      </c>
      <c r="BC1615">
        <v>51</v>
      </c>
      <c r="BP1615">
        <v>27</v>
      </c>
      <c r="BR1615">
        <v>15</v>
      </c>
      <c r="BS1615">
        <v>7</v>
      </c>
      <c r="BT1615">
        <v>2</v>
      </c>
      <c r="BV1615">
        <v>0</v>
      </c>
      <c r="BW1615">
        <v>51</v>
      </c>
      <c r="BX1615" t="s">
        <v>82</v>
      </c>
      <c r="BY1615" s="5"/>
      <c r="BZ1615" s="6"/>
      <c r="CA1615" s="7">
        <v>41952</v>
      </c>
      <c r="CI1615">
        <f t="shared" si="182"/>
        <v>2014</v>
      </c>
      <c r="CJ1615" t="str">
        <f t="shared" si="183"/>
        <v>6661_2014</v>
      </c>
    </row>
    <row r="1616" spans="1:88" x14ac:dyDescent="0.25">
      <c r="A1616" t="s">
        <v>79</v>
      </c>
      <c r="B1616" t="s">
        <v>608</v>
      </c>
      <c r="C1616">
        <v>6662</v>
      </c>
      <c r="D1616">
        <v>-34.0608</v>
      </c>
      <c r="E1616">
        <v>150.68860000000001</v>
      </c>
      <c r="F1616">
        <v>3</v>
      </c>
      <c r="G1616" t="s">
        <v>613</v>
      </c>
      <c r="H1616">
        <v>33</v>
      </c>
      <c r="I1616">
        <v>213</v>
      </c>
      <c r="J1616">
        <v>229</v>
      </c>
      <c r="K1616">
        <v>49</v>
      </c>
      <c r="L1616">
        <v>297</v>
      </c>
      <c r="M1616">
        <v>117</v>
      </c>
      <c r="T1616">
        <v>13</v>
      </c>
      <c r="U1616">
        <v>17</v>
      </c>
      <c r="Y1616">
        <v>10</v>
      </c>
      <c r="Z1616">
        <v>0</v>
      </c>
      <c r="AD1616">
        <v>5</v>
      </c>
      <c r="AE1616">
        <v>0</v>
      </c>
      <c r="AX1616">
        <v>30</v>
      </c>
      <c r="AY1616">
        <v>15</v>
      </c>
      <c r="AZ1616">
        <v>45</v>
      </c>
      <c r="BA1616">
        <v>10</v>
      </c>
      <c r="BB1616">
        <v>13</v>
      </c>
      <c r="BC1616">
        <v>23</v>
      </c>
      <c r="BD1616">
        <v>5</v>
      </c>
      <c r="BE1616">
        <v>17</v>
      </c>
      <c r="BF1616">
        <v>22</v>
      </c>
      <c r="BP1616">
        <v>20</v>
      </c>
      <c r="BR1616">
        <v>12</v>
      </c>
      <c r="BS1616">
        <v>2</v>
      </c>
      <c r="BT1616">
        <v>0</v>
      </c>
      <c r="BV1616">
        <v>11</v>
      </c>
      <c r="BW1616">
        <v>45</v>
      </c>
      <c r="BX1616" t="s">
        <v>82</v>
      </c>
      <c r="BY1616" s="5"/>
      <c r="BZ1616" s="6"/>
      <c r="CA1616" s="7">
        <v>41952</v>
      </c>
      <c r="CI1616">
        <f t="shared" si="182"/>
        <v>2014</v>
      </c>
      <c r="CJ1616" t="str">
        <f t="shared" si="183"/>
        <v>6662_2014</v>
      </c>
    </row>
    <row r="1617" spans="1:88" x14ac:dyDescent="0.25">
      <c r="A1617" t="s">
        <v>79</v>
      </c>
      <c r="B1617" t="s">
        <v>575</v>
      </c>
      <c r="C1617">
        <v>6663</v>
      </c>
      <c r="D1617">
        <v>-33.935400000000001</v>
      </c>
      <c r="E1617">
        <v>151.15620000000001</v>
      </c>
      <c r="F1617">
        <v>3</v>
      </c>
      <c r="G1617" t="s">
        <v>614</v>
      </c>
      <c r="H1617">
        <v>55</v>
      </c>
      <c r="I1617">
        <v>235</v>
      </c>
      <c r="J1617">
        <v>234</v>
      </c>
      <c r="K1617">
        <v>54</v>
      </c>
      <c r="L1617">
        <v>303</v>
      </c>
      <c r="M1617">
        <v>123</v>
      </c>
      <c r="T1617">
        <v>135</v>
      </c>
      <c r="U1617">
        <v>31</v>
      </c>
      <c r="Y1617">
        <v>136</v>
      </c>
      <c r="Z1617">
        <v>100</v>
      </c>
      <c r="AD1617">
        <v>10</v>
      </c>
      <c r="AE1617">
        <v>41</v>
      </c>
      <c r="AX1617">
        <v>166</v>
      </c>
      <c r="AY1617">
        <v>146</v>
      </c>
      <c r="AZ1617">
        <v>312</v>
      </c>
      <c r="BA1617">
        <v>236</v>
      </c>
      <c r="BB1617">
        <v>176</v>
      </c>
      <c r="BC1617">
        <v>412</v>
      </c>
      <c r="BD1617">
        <v>51</v>
      </c>
      <c r="BE1617">
        <v>131</v>
      </c>
      <c r="BF1617">
        <v>182</v>
      </c>
      <c r="BP1617">
        <v>409</v>
      </c>
      <c r="BR1617">
        <v>41</v>
      </c>
      <c r="BS1617">
        <v>1</v>
      </c>
      <c r="BT1617">
        <v>2</v>
      </c>
      <c r="BV1617">
        <v>0</v>
      </c>
      <c r="BW1617">
        <v>453</v>
      </c>
      <c r="BX1617" t="s">
        <v>82</v>
      </c>
      <c r="BY1617" s="5"/>
      <c r="BZ1617" s="6"/>
      <c r="CA1617" s="7">
        <v>41952</v>
      </c>
      <c r="CI1617">
        <f t="shared" si="182"/>
        <v>2014</v>
      </c>
      <c r="CJ1617" t="str">
        <f t="shared" si="183"/>
        <v>6663_2014</v>
      </c>
    </row>
    <row r="1618" spans="1:88" x14ac:dyDescent="0.25">
      <c r="A1618" t="s">
        <v>79</v>
      </c>
      <c r="B1618" t="s">
        <v>84</v>
      </c>
      <c r="C1618">
        <v>6664</v>
      </c>
      <c r="D1618">
        <v>-33.8172</v>
      </c>
      <c r="E1618">
        <v>151.0727</v>
      </c>
      <c r="F1618">
        <v>3</v>
      </c>
      <c r="G1618" t="s">
        <v>615</v>
      </c>
      <c r="H1618">
        <v>119</v>
      </c>
      <c r="I1618">
        <v>299</v>
      </c>
      <c r="J1618">
        <v>162</v>
      </c>
      <c r="K1618">
        <v>342</v>
      </c>
      <c r="L1618">
        <v>300</v>
      </c>
      <c r="M1618">
        <v>120</v>
      </c>
      <c r="T1618">
        <v>1</v>
      </c>
      <c r="U1618">
        <v>127</v>
      </c>
      <c r="Y1618">
        <v>62</v>
      </c>
      <c r="Z1618">
        <v>107</v>
      </c>
      <c r="AD1618">
        <v>189</v>
      </c>
      <c r="AE1618">
        <v>50</v>
      </c>
      <c r="AX1618">
        <v>128</v>
      </c>
      <c r="AY1618">
        <v>251</v>
      </c>
      <c r="AZ1618">
        <v>379</v>
      </c>
      <c r="BA1618">
        <v>169</v>
      </c>
      <c r="BB1618">
        <v>51</v>
      </c>
      <c r="BC1618">
        <v>220</v>
      </c>
      <c r="BD1618">
        <v>239</v>
      </c>
      <c r="BE1618">
        <v>234</v>
      </c>
      <c r="BF1618">
        <v>473</v>
      </c>
      <c r="BP1618">
        <v>394</v>
      </c>
      <c r="BR1618">
        <v>44</v>
      </c>
      <c r="BS1618">
        <v>15</v>
      </c>
      <c r="BT1618">
        <v>9</v>
      </c>
      <c r="BV1618">
        <v>74</v>
      </c>
      <c r="BW1618">
        <v>536</v>
      </c>
      <c r="BX1618" t="s">
        <v>82</v>
      </c>
      <c r="BY1618" s="5"/>
      <c r="BZ1618" s="6"/>
      <c r="CA1618" s="7">
        <v>41952</v>
      </c>
      <c r="CI1618">
        <f t="shared" si="182"/>
        <v>2014</v>
      </c>
      <c r="CJ1618" t="str">
        <f t="shared" si="183"/>
        <v>6664_2014</v>
      </c>
    </row>
    <row r="1619" spans="1:88" x14ac:dyDescent="0.25">
      <c r="A1619" t="s">
        <v>79</v>
      </c>
      <c r="B1619" t="s">
        <v>84</v>
      </c>
      <c r="C1619">
        <v>6665</v>
      </c>
      <c r="D1619">
        <v>-33.819299999999998</v>
      </c>
      <c r="E1619">
        <v>151.06620000000001</v>
      </c>
      <c r="F1619">
        <v>3</v>
      </c>
      <c r="G1619" t="s">
        <v>616</v>
      </c>
      <c r="H1619">
        <v>129</v>
      </c>
      <c r="I1619">
        <v>309</v>
      </c>
      <c r="J1619">
        <v>255</v>
      </c>
      <c r="K1619">
        <v>75</v>
      </c>
      <c r="L1619">
        <v>345</v>
      </c>
      <c r="M1619">
        <v>165</v>
      </c>
      <c r="T1619">
        <v>28</v>
      </c>
      <c r="U1619">
        <v>20</v>
      </c>
      <c r="Y1619">
        <v>29</v>
      </c>
      <c r="Z1619">
        <v>0</v>
      </c>
      <c r="AD1619">
        <v>23</v>
      </c>
      <c r="AE1619">
        <v>0</v>
      </c>
      <c r="AX1619">
        <v>48</v>
      </c>
      <c r="AY1619">
        <v>52</v>
      </c>
      <c r="AZ1619">
        <v>100</v>
      </c>
      <c r="BA1619">
        <v>29</v>
      </c>
      <c r="BB1619">
        <v>28</v>
      </c>
      <c r="BC1619">
        <v>57</v>
      </c>
      <c r="BD1619">
        <v>23</v>
      </c>
      <c r="BE1619">
        <v>20</v>
      </c>
      <c r="BF1619">
        <v>43</v>
      </c>
      <c r="BP1619">
        <v>65</v>
      </c>
      <c r="BR1619">
        <v>16</v>
      </c>
      <c r="BS1619">
        <v>10</v>
      </c>
      <c r="BT1619">
        <v>6</v>
      </c>
      <c r="BV1619">
        <v>3</v>
      </c>
      <c r="BW1619">
        <v>100</v>
      </c>
      <c r="BX1619" t="s">
        <v>82</v>
      </c>
      <c r="BY1619" s="5"/>
      <c r="BZ1619" s="6"/>
      <c r="CA1619" s="7">
        <v>41952</v>
      </c>
      <c r="CI1619">
        <f t="shared" si="182"/>
        <v>2014</v>
      </c>
      <c r="CJ1619" t="str">
        <f t="shared" si="183"/>
        <v>6665_2014</v>
      </c>
    </row>
    <row r="1620" spans="1:88" x14ac:dyDescent="0.25">
      <c r="A1620" t="s">
        <v>79</v>
      </c>
      <c r="B1620" t="s">
        <v>84</v>
      </c>
      <c r="C1620">
        <v>6665</v>
      </c>
      <c r="D1620">
        <v>-33.819299999999998</v>
      </c>
      <c r="E1620">
        <v>151.06620000000001</v>
      </c>
      <c r="F1620">
        <v>3</v>
      </c>
      <c r="G1620" t="s">
        <v>616</v>
      </c>
      <c r="H1620">
        <v>129</v>
      </c>
      <c r="I1620">
        <v>309</v>
      </c>
      <c r="J1620">
        <v>255</v>
      </c>
      <c r="K1620">
        <v>75</v>
      </c>
      <c r="L1620">
        <v>345</v>
      </c>
      <c r="M1620">
        <v>165</v>
      </c>
      <c r="T1620">
        <v>8</v>
      </c>
      <c r="U1620">
        <v>14</v>
      </c>
      <c r="Y1620">
        <v>28</v>
      </c>
      <c r="Z1620">
        <v>0</v>
      </c>
      <c r="AD1620">
        <v>18</v>
      </c>
      <c r="AE1620">
        <v>0</v>
      </c>
      <c r="AX1620">
        <v>22</v>
      </c>
      <c r="AY1620">
        <v>46</v>
      </c>
      <c r="AZ1620">
        <v>68</v>
      </c>
      <c r="BA1620">
        <v>28</v>
      </c>
      <c r="BB1620">
        <v>8</v>
      </c>
      <c r="BC1620">
        <v>36</v>
      </c>
      <c r="BD1620">
        <v>18</v>
      </c>
      <c r="BE1620">
        <v>14</v>
      </c>
      <c r="BF1620">
        <v>32</v>
      </c>
      <c r="BP1620">
        <v>37</v>
      </c>
      <c r="BR1620">
        <v>13</v>
      </c>
      <c r="BS1620">
        <v>7</v>
      </c>
      <c r="BT1620">
        <v>10</v>
      </c>
      <c r="BV1620">
        <v>1</v>
      </c>
      <c r="BW1620">
        <v>68</v>
      </c>
      <c r="BX1620">
        <f>IF(C1620=C1619,IF((CI1620-1)=CI1619,BW1619,"no data"))</f>
        <v>100</v>
      </c>
      <c r="BY1620" s="5">
        <f t="shared" ref="BY1620:BY1681" si="186">(BW1620-BX1620)/BX1620</f>
        <v>-0.32</v>
      </c>
      <c r="BZ1620" s="6">
        <f t="shared" si="185"/>
        <v>-0.32</v>
      </c>
      <c r="CA1620" s="7">
        <v>42316</v>
      </c>
      <c r="CE1620">
        <v>20</v>
      </c>
      <c r="CF1620">
        <v>9</v>
      </c>
      <c r="CG1620">
        <v>12</v>
      </c>
      <c r="CH1620">
        <v>27</v>
      </c>
      <c r="CI1620">
        <f t="shared" si="182"/>
        <v>2015</v>
      </c>
      <c r="CJ1620" t="str">
        <f t="shared" si="183"/>
        <v>6665_2015</v>
      </c>
    </row>
    <row r="1621" spans="1:88" x14ac:dyDescent="0.25">
      <c r="A1621" t="s">
        <v>79</v>
      </c>
      <c r="B1621" t="s">
        <v>84</v>
      </c>
      <c r="C1621">
        <v>6666</v>
      </c>
      <c r="D1621">
        <v>-33.8232</v>
      </c>
      <c r="E1621">
        <v>151.05080000000001</v>
      </c>
      <c r="F1621">
        <v>3</v>
      </c>
      <c r="G1621" t="s">
        <v>617</v>
      </c>
      <c r="H1621">
        <v>16</v>
      </c>
      <c r="I1621">
        <v>196</v>
      </c>
      <c r="J1621">
        <v>103</v>
      </c>
      <c r="K1621">
        <v>283</v>
      </c>
      <c r="L1621">
        <v>297</v>
      </c>
      <c r="M1621">
        <v>117</v>
      </c>
      <c r="T1621">
        <v>66</v>
      </c>
      <c r="U1621">
        <v>54</v>
      </c>
      <c r="Y1621">
        <v>45</v>
      </c>
      <c r="Z1621">
        <v>160</v>
      </c>
      <c r="AD1621">
        <v>28</v>
      </c>
      <c r="AE1621">
        <v>149</v>
      </c>
      <c r="AX1621">
        <v>120</v>
      </c>
      <c r="AY1621">
        <v>73</v>
      </c>
      <c r="AZ1621">
        <v>193</v>
      </c>
      <c r="BA1621">
        <v>205</v>
      </c>
      <c r="BB1621">
        <v>215</v>
      </c>
      <c r="BC1621">
        <v>420</v>
      </c>
      <c r="BD1621">
        <v>177</v>
      </c>
      <c r="BE1621">
        <v>214</v>
      </c>
      <c r="BF1621">
        <v>391</v>
      </c>
      <c r="BP1621">
        <v>379</v>
      </c>
      <c r="BR1621">
        <v>96</v>
      </c>
      <c r="BS1621">
        <v>9</v>
      </c>
      <c r="BT1621">
        <v>16</v>
      </c>
      <c r="BV1621">
        <v>2</v>
      </c>
      <c r="BW1621">
        <v>502</v>
      </c>
      <c r="BX1621" t="s">
        <v>82</v>
      </c>
      <c r="BY1621" s="5"/>
      <c r="BZ1621" s="6"/>
      <c r="CA1621" s="7">
        <v>41952</v>
      </c>
      <c r="CI1621">
        <f t="shared" si="182"/>
        <v>2014</v>
      </c>
      <c r="CJ1621" t="str">
        <f t="shared" si="183"/>
        <v>6666_2014</v>
      </c>
    </row>
    <row r="1622" spans="1:88" x14ac:dyDescent="0.25">
      <c r="A1622" t="s">
        <v>79</v>
      </c>
      <c r="B1622" t="s">
        <v>84</v>
      </c>
      <c r="C1622">
        <v>6666</v>
      </c>
      <c r="D1622">
        <v>-33.8232</v>
      </c>
      <c r="E1622">
        <v>151.05080000000001</v>
      </c>
      <c r="F1622">
        <v>3</v>
      </c>
      <c r="G1622" t="s">
        <v>617</v>
      </c>
      <c r="H1622">
        <v>16</v>
      </c>
      <c r="I1622">
        <v>196</v>
      </c>
      <c r="J1622">
        <v>103</v>
      </c>
      <c r="K1622">
        <v>283</v>
      </c>
      <c r="L1622">
        <v>297</v>
      </c>
      <c r="M1622">
        <v>117</v>
      </c>
      <c r="T1622">
        <v>40</v>
      </c>
      <c r="U1622">
        <v>74</v>
      </c>
      <c r="Y1622">
        <v>2</v>
      </c>
      <c r="Z1622">
        <v>150</v>
      </c>
      <c r="AD1622">
        <v>37</v>
      </c>
      <c r="AE1622">
        <v>215</v>
      </c>
      <c r="AX1622">
        <v>114</v>
      </c>
      <c r="AY1622">
        <v>39</v>
      </c>
      <c r="AZ1622">
        <v>153</v>
      </c>
      <c r="BA1622">
        <v>152</v>
      </c>
      <c r="BB1622">
        <v>255</v>
      </c>
      <c r="BC1622">
        <v>407</v>
      </c>
      <c r="BD1622">
        <v>252</v>
      </c>
      <c r="BE1622">
        <v>224</v>
      </c>
      <c r="BF1622">
        <v>476</v>
      </c>
      <c r="BP1622">
        <v>431</v>
      </c>
      <c r="BR1622">
        <v>56</v>
      </c>
      <c r="BS1622">
        <v>18</v>
      </c>
      <c r="BT1622">
        <v>9</v>
      </c>
      <c r="BV1622">
        <v>4</v>
      </c>
      <c r="BW1622">
        <v>518</v>
      </c>
      <c r="BX1622">
        <f t="shared" ref="BX1622:BX1627" si="187">IF(C1622=C1621,IF((CI1622-1)=CI1621,BW1621,"no data"))</f>
        <v>502</v>
      </c>
      <c r="BY1622" s="5">
        <f t="shared" si="186"/>
        <v>3.1872509960159362E-2</v>
      </c>
      <c r="BZ1622" s="6">
        <f t="shared" si="185"/>
        <v>3.1872509960159362E-2</v>
      </c>
      <c r="CA1622" s="7">
        <v>42316</v>
      </c>
      <c r="CE1622">
        <v>161</v>
      </c>
      <c r="CF1622">
        <v>148</v>
      </c>
      <c r="CG1622">
        <v>140</v>
      </c>
      <c r="CH1622">
        <v>69</v>
      </c>
      <c r="CI1622">
        <f t="shared" si="182"/>
        <v>2015</v>
      </c>
      <c r="CJ1622" t="str">
        <f t="shared" si="183"/>
        <v>6666_2015</v>
      </c>
    </row>
    <row r="1623" spans="1:88" x14ac:dyDescent="0.25">
      <c r="A1623" t="s">
        <v>79</v>
      </c>
      <c r="B1623" t="s">
        <v>84</v>
      </c>
      <c r="C1623">
        <v>6666</v>
      </c>
      <c r="D1623">
        <v>-33.823163000000001</v>
      </c>
      <c r="E1623">
        <v>151.05084400000001</v>
      </c>
      <c r="F1623">
        <v>3</v>
      </c>
      <c r="G1623" t="s">
        <v>617</v>
      </c>
      <c r="H1623">
        <v>16</v>
      </c>
      <c r="I1623">
        <v>196</v>
      </c>
      <c r="J1623">
        <v>103</v>
      </c>
      <c r="K1623">
        <v>283</v>
      </c>
      <c r="L1623">
        <v>297</v>
      </c>
      <c r="M1623">
        <v>117</v>
      </c>
      <c r="T1623">
        <v>82</v>
      </c>
      <c r="U1623">
        <v>50</v>
      </c>
      <c r="Y1623">
        <v>40</v>
      </c>
      <c r="Z1623">
        <v>173</v>
      </c>
      <c r="AD1623">
        <v>55</v>
      </c>
      <c r="AE1623">
        <v>215</v>
      </c>
      <c r="AX1623">
        <v>132</v>
      </c>
      <c r="AY1623">
        <v>95</v>
      </c>
      <c r="AZ1623">
        <v>227</v>
      </c>
      <c r="BA1623">
        <v>213</v>
      </c>
      <c r="BB1623">
        <v>297</v>
      </c>
      <c r="BC1623">
        <v>510</v>
      </c>
      <c r="BD1623">
        <v>270</v>
      </c>
      <c r="BE1623">
        <v>223</v>
      </c>
      <c r="BF1623">
        <v>493</v>
      </c>
      <c r="BP1623">
        <v>497</v>
      </c>
      <c r="BR1623">
        <v>76</v>
      </c>
      <c r="BS1623">
        <v>16</v>
      </c>
      <c r="BT1623">
        <v>18</v>
      </c>
      <c r="BV1623">
        <v>8</v>
      </c>
      <c r="BW1623">
        <v>615</v>
      </c>
      <c r="BX1623">
        <f t="shared" si="187"/>
        <v>518</v>
      </c>
      <c r="BY1623" s="5">
        <f t="shared" si="186"/>
        <v>0.18725868725868725</v>
      </c>
      <c r="BZ1623" s="6">
        <f t="shared" si="185"/>
        <v>0.18725868725868725</v>
      </c>
      <c r="CA1623" s="7">
        <v>42687</v>
      </c>
      <c r="CE1623">
        <v>254</v>
      </c>
      <c r="CF1623">
        <v>173</v>
      </c>
      <c r="CG1623">
        <v>142</v>
      </c>
      <c r="CH1623">
        <v>46</v>
      </c>
      <c r="CI1623">
        <f t="shared" si="182"/>
        <v>2016</v>
      </c>
      <c r="CJ1623" t="str">
        <f t="shared" si="183"/>
        <v>6666_2016</v>
      </c>
    </row>
    <row r="1624" spans="1:88" x14ac:dyDescent="0.25">
      <c r="A1624" t="s">
        <v>79</v>
      </c>
      <c r="B1624" t="s">
        <v>84</v>
      </c>
      <c r="C1624">
        <v>6666</v>
      </c>
      <c r="D1624">
        <v>-33.823163000000001</v>
      </c>
      <c r="E1624">
        <v>151.05084400000001</v>
      </c>
      <c r="F1624">
        <v>3</v>
      </c>
      <c r="G1624" t="s">
        <v>617</v>
      </c>
      <c r="H1624">
        <v>16</v>
      </c>
      <c r="I1624">
        <v>196</v>
      </c>
      <c r="J1624">
        <v>103</v>
      </c>
      <c r="K1624">
        <v>283</v>
      </c>
      <c r="L1624">
        <v>297</v>
      </c>
      <c r="M1624">
        <v>117</v>
      </c>
      <c r="T1624">
        <v>49</v>
      </c>
      <c r="U1624">
        <v>78</v>
      </c>
      <c r="Y1624">
        <v>43</v>
      </c>
      <c r="Z1624">
        <v>255</v>
      </c>
      <c r="AD1624">
        <v>48</v>
      </c>
      <c r="AE1624">
        <v>355</v>
      </c>
      <c r="AX1624">
        <v>127</v>
      </c>
      <c r="AY1624">
        <v>91</v>
      </c>
      <c r="AZ1624">
        <v>218</v>
      </c>
      <c r="BA1624">
        <v>298</v>
      </c>
      <c r="BB1624">
        <v>404</v>
      </c>
      <c r="BC1624">
        <v>702</v>
      </c>
      <c r="BD1624">
        <v>403</v>
      </c>
      <c r="BE1624">
        <v>333</v>
      </c>
      <c r="BF1624">
        <v>736</v>
      </c>
      <c r="BP1624">
        <v>557</v>
      </c>
      <c r="BR1624">
        <v>206</v>
      </c>
      <c r="BS1624">
        <v>34</v>
      </c>
      <c r="BT1624">
        <v>26</v>
      </c>
      <c r="BV1624">
        <v>5</v>
      </c>
      <c r="BW1624">
        <v>828</v>
      </c>
      <c r="BX1624">
        <f t="shared" si="187"/>
        <v>615</v>
      </c>
      <c r="BY1624" s="5">
        <f t="shared" si="186"/>
        <v>0.34634146341463412</v>
      </c>
      <c r="BZ1624" s="6">
        <f t="shared" si="185"/>
        <v>0.34634146341463412</v>
      </c>
      <c r="CA1624" s="7">
        <v>43051</v>
      </c>
      <c r="CE1624">
        <v>317</v>
      </c>
      <c r="CF1624">
        <v>184</v>
      </c>
      <c r="CG1624">
        <v>203</v>
      </c>
      <c r="CH1624">
        <v>124</v>
      </c>
      <c r="CI1624">
        <f t="shared" si="182"/>
        <v>2017</v>
      </c>
      <c r="CJ1624" t="str">
        <f t="shared" si="183"/>
        <v>6666_2017</v>
      </c>
    </row>
    <row r="1625" spans="1:88" x14ac:dyDescent="0.25">
      <c r="A1625" t="s">
        <v>79</v>
      </c>
      <c r="B1625" t="s">
        <v>84</v>
      </c>
      <c r="C1625">
        <v>6666</v>
      </c>
      <c r="D1625">
        <v>-33.823163000000001</v>
      </c>
      <c r="E1625">
        <v>151.05084400000001</v>
      </c>
      <c r="F1625">
        <v>3</v>
      </c>
      <c r="G1625" t="s">
        <v>617</v>
      </c>
      <c r="H1625">
        <v>16</v>
      </c>
      <c r="I1625">
        <v>196</v>
      </c>
      <c r="J1625">
        <v>103</v>
      </c>
      <c r="K1625">
        <v>283</v>
      </c>
      <c r="L1625">
        <v>297</v>
      </c>
      <c r="M1625">
        <v>117</v>
      </c>
      <c r="T1625">
        <v>38</v>
      </c>
      <c r="U1625">
        <v>106</v>
      </c>
      <c r="Y1625">
        <v>37</v>
      </c>
      <c r="Z1625">
        <v>230</v>
      </c>
      <c r="AD1625">
        <v>56</v>
      </c>
      <c r="AE1625">
        <v>344</v>
      </c>
      <c r="AX1625">
        <v>144</v>
      </c>
      <c r="AY1625">
        <v>93</v>
      </c>
      <c r="AZ1625">
        <v>237</v>
      </c>
      <c r="BA1625">
        <v>267</v>
      </c>
      <c r="BB1625">
        <v>382</v>
      </c>
      <c r="BC1625">
        <v>649</v>
      </c>
      <c r="BD1625">
        <v>400</v>
      </c>
      <c r="BE1625">
        <v>336</v>
      </c>
      <c r="BF1625">
        <v>736</v>
      </c>
      <c r="BP1625">
        <v>580</v>
      </c>
      <c r="BR1625">
        <v>159</v>
      </c>
      <c r="BS1625">
        <v>33</v>
      </c>
      <c r="BT1625">
        <v>16</v>
      </c>
      <c r="BV1625">
        <v>23</v>
      </c>
      <c r="BW1625">
        <v>811</v>
      </c>
      <c r="BX1625">
        <f t="shared" si="187"/>
        <v>828</v>
      </c>
      <c r="BY1625" s="5">
        <f t="shared" si="186"/>
        <v>-2.0531400966183576E-2</v>
      </c>
      <c r="BZ1625" s="6">
        <f t="shared" si="185"/>
        <v>-2.0531400966183576E-2</v>
      </c>
      <c r="CA1625" s="7">
        <v>43415</v>
      </c>
      <c r="CE1625">
        <v>228</v>
      </c>
      <c r="CF1625">
        <v>255</v>
      </c>
      <c r="CG1625">
        <v>180</v>
      </c>
      <c r="CH1625">
        <v>148</v>
      </c>
      <c r="CI1625">
        <f t="shared" si="182"/>
        <v>2018</v>
      </c>
      <c r="CJ1625" t="str">
        <f t="shared" si="183"/>
        <v>6666_2018</v>
      </c>
    </row>
    <row r="1626" spans="1:88" x14ac:dyDescent="0.25">
      <c r="A1626" t="s">
        <v>79</v>
      </c>
      <c r="B1626" t="s">
        <v>84</v>
      </c>
      <c r="C1626">
        <v>6666</v>
      </c>
      <c r="D1626">
        <v>-33.8232</v>
      </c>
      <c r="E1626">
        <v>151.05080000000001</v>
      </c>
      <c r="F1626">
        <v>3</v>
      </c>
      <c r="G1626" t="s">
        <v>617</v>
      </c>
      <c r="H1626">
        <v>16</v>
      </c>
      <c r="I1626">
        <v>196</v>
      </c>
      <c r="J1626">
        <v>103</v>
      </c>
      <c r="K1626">
        <v>283</v>
      </c>
      <c r="L1626">
        <v>297</v>
      </c>
      <c r="M1626">
        <v>117</v>
      </c>
      <c r="T1626">
        <v>66</v>
      </c>
      <c r="U1626">
        <v>70</v>
      </c>
      <c r="Y1626">
        <v>23</v>
      </c>
      <c r="Z1626">
        <v>291</v>
      </c>
      <c r="AD1626">
        <v>59</v>
      </c>
      <c r="AE1626">
        <v>333</v>
      </c>
      <c r="AX1626">
        <v>136</v>
      </c>
      <c r="AY1626">
        <v>82</v>
      </c>
      <c r="AZ1626">
        <v>218</v>
      </c>
      <c r="BA1626">
        <v>314</v>
      </c>
      <c r="BB1626">
        <v>399</v>
      </c>
      <c r="BC1626">
        <v>713</v>
      </c>
      <c r="BD1626">
        <v>392</v>
      </c>
      <c r="BE1626">
        <v>361</v>
      </c>
      <c r="BF1626">
        <v>753</v>
      </c>
      <c r="BP1626">
        <v>606</v>
      </c>
      <c r="BR1626">
        <v>160</v>
      </c>
      <c r="BS1626">
        <v>39</v>
      </c>
      <c r="BT1626">
        <v>17</v>
      </c>
      <c r="BV1626">
        <v>20</v>
      </c>
      <c r="BW1626">
        <v>842</v>
      </c>
      <c r="BX1626">
        <f t="shared" si="187"/>
        <v>811</v>
      </c>
      <c r="BY1626" s="5">
        <f t="shared" si="186"/>
        <v>3.8224414303329221E-2</v>
      </c>
      <c r="BZ1626" s="6">
        <f t="shared" si="185"/>
        <v>3.8224414303329221E-2</v>
      </c>
      <c r="CA1626" s="7">
        <v>43779</v>
      </c>
      <c r="CE1626">
        <v>248</v>
      </c>
      <c r="CF1626">
        <v>185</v>
      </c>
      <c r="CG1626">
        <v>247</v>
      </c>
      <c r="CH1626">
        <v>162</v>
      </c>
      <c r="CI1626">
        <f t="shared" si="182"/>
        <v>2019</v>
      </c>
      <c r="CJ1626" t="str">
        <f t="shared" si="183"/>
        <v>6666_2019</v>
      </c>
    </row>
    <row r="1627" spans="1:88" x14ac:dyDescent="0.25">
      <c r="A1627" t="s">
        <v>79</v>
      </c>
      <c r="B1627" t="s">
        <v>84</v>
      </c>
      <c r="C1627">
        <v>6666</v>
      </c>
      <c r="D1627">
        <v>-33.8232</v>
      </c>
      <c r="E1627">
        <v>151.05080000000001</v>
      </c>
      <c r="F1627">
        <v>3</v>
      </c>
      <c r="G1627" t="s">
        <v>617</v>
      </c>
      <c r="H1627">
        <v>16</v>
      </c>
      <c r="I1627">
        <v>196</v>
      </c>
      <c r="J1627">
        <v>103</v>
      </c>
      <c r="K1627">
        <v>283</v>
      </c>
      <c r="L1627">
        <v>297</v>
      </c>
      <c r="M1627">
        <v>117</v>
      </c>
      <c r="T1627">
        <v>99</v>
      </c>
      <c r="U1627">
        <v>132</v>
      </c>
      <c r="Y1627">
        <v>44</v>
      </c>
      <c r="Z1627">
        <v>468</v>
      </c>
      <c r="AD1627">
        <v>56</v>
      </c>
      <c r="AE1627">
        <v>513</v>
      </c>
      <c r="AX1627">
        <v>231</v>
      </c>
      <c r="AY1627">
        <v>100</v>
      </c>
      <c r="AZ1627">
        <v>331</v>
      </c>
      <c r="BA1627">
        <v>512</v>
      </c>
      <c r="BB1627">
        <v>612</v>
      </c>
      <c r="BC1627">
        <v>1124</v>
      </c>
      <c r="BD1627">
        <v>569</v>
      </c>
      <c r="BE1627">
        <v>600</v>
      </c>
      <c r="BF1627">
        <v>1169</v>
      </c>
      <c r="BP1627">
        <v>858</v>
      </c>
      <c r="BR1627">
        <v>336</v>
      </c>
      <c r="BS1627">
        <v>71</v>
      </c>
      <c r="BT1627">
        <v>28</v>
      </c>
      <c r="BV1627">
        <v>19</v>
      </c>
      <c r="BW1627">
        <v>1312</v>
      </c>
      <c r="BX1627">
        <f t="shared" si="187"/>
        <v>842</v>
      </c>
      <c r="BY1627" s="5">
        <f t="shared" si="186"/>
        <v>0.55819477434679332</v>
      </c>
      <c r="BZ1627" s="6">
        <f t="shared" si="185"/>
        <v>0.55819477434679332</v>
      </c>
      <c r="CA1627" s="7">
        <v>44143</v>
      </c>
      <c r="CE1627">
        <v>317</v>
      </c>
      <c r="CF1627">
        <v>369</v>
      </c>
      <c r="CG1627">
        <v>310</v>
      </c>
      <c r="CH1627">
        <v>316</v>
      </c>
      <c r="CI1627">
        <f t="shared" si="182"/>
        <v>2020</v>
      </c>
      <c r="CJ1627" t="str">
        <f t="shared" si="183"/>
        <v>6666_2020</v>
      </c>
    </row>
    <row r="1628" spans="1:88" x14ac:dyDescent="0.25">
      <c r="A1628" t="s">
        <v>79</v>
      </c>
      <c r="B1628" t="s">
        <v>84</v>
      </c>
      <c r="C1628">
        <v>6667</v>
      </c>
      <c r="D1628">
        <v>-33.822400000000002</v>
      </c>
      <c r="E1628">
        <v>151.05170000000001</v>
      </c>
      <c r="F1628">
        <v>3</v>
      </c>
      <c r="G1628" t="s">
        <v>618</v>
      </c>
      <c r="H1628">
        <v>6</v>
      </c>
      <c r="I1628">
        <v>186</v>
      </c>
      <c r="J1628">
        <v>150</v>
      </c>
      <c r="K1628">
        <v>330</v>
      </c>
      <c r="L1628">
        <v>187</v>
      </c>
      <c r="M1628">
        <v>7</v>
      </c>
      <c r="T1628">
        <v>0</v>
      </c>
      <c r="U1628">
        <v>2</v>
      </c>
      <c r="Y1628">
        <v>0</v>
      </c>
      <c r="Z1628">
        <v>152</v>
      </c>
      <c r="AD1628">
        <v>3</v>
      </c>
      <c r="AE1628">
        <v>46</v>
      </c>
      <c r="AX1628">
        <v>2</v>
      </c>
      <c r="AY1628">
        <v>3</v>
      </c>
      <c r="AZ1628">
        <v>5</v>
      </c>
      <c r="BA1628">
        <v>152</v>
      </c>
      <c r="BB1628">
        <v>46</v>
      </c>
      <c r="BC1628">
        <v>198</v>
      </c>
      <c r="BD1628">
        <v>49</v>
      </c>
      <c r="BE1628">
        <v>154</v>
      </c>
      <c r="BF1628">
        <v>203</v>
      </c>
      <c r="BP1628">
        <v>201</v>
      </c>
      <c r="BR1628">
        <v>1</v>
      </c>
      <c r="BS1628">
        <v>1</v>
      </c>
      <c r="BT1628">
        <v>0</v>
      </c>
      <c r="BV1628">
        <v>0</v>
      </c>
      <c r="BW1628">
        <v>203</v>
      </c>
      <c r="BX1628" t="s">
        <v>82</v>
      </c>
      <c r="BY1628" s="5"/>
      <c r="BZ1628" s="6"/>
      <c r="CA1628" s="7">
        <v>41952</v>
      </c>
      <c r="CI1628">
        <f t="shared" si="182"/>
        <v>2014</v>
      </c>
      <c r="CJ1628" t="str">
        <f t="shared" si="183"/>
        <v>6667_2014</v>
      </c>
    </row>
    <row r="1629" spans="1:88" x14ac:dyDescent="0.25">
      <c r="A1629" t="s">
        <v>79</v>
      </c>
      <c r="B1629" t="s">
        <v>84</v>
      </c>
      <c r="C1629">
        <v>6667</v>
      </c>
      <c r="D1629">
        <v>-33.822400000000002</v>
      </c>
      <c r="E1629">
        <v>151.05170000000001</v>
      </c>
      <c r="F1629">
        <v>3</v>
      </c>
      <c r="G1629" t="s">
        <v>618</v>
      </c>
      <c r="H1629">
        <v>6</v>
      </c>
      <c r="I1629">
        <v>186</v>
      </c>
      <c r="J1629">
        <v>150</v>
      </c>
      <c r="K1629">
        <v>330</v>
      </c>
      <c r="L1629">
        <v>187</v>
      </c>
      <c r="M1629">
        <v>7</v>
      </c>
      <c r="T1629">
        <v>69</v>
      </c>
      <c r="U1629">
        <v>76</v>
      </c>
      <c r="Y1629">
        <v>137</v>
      </c>
      <c r="Z1629">
        <v>59</v>
      </c>
      <c r="AD1629">
        <v>58</v>
      </c>
      <c r="AE1629">
        <v>10</v>
      </c>
      <c r="AX1629">
        <v>145</v>
      </c>
      <c r="AY1629">
        <v>195</v>
      </c>
      <c r="AZ1629">
        <v>340</v>
      </c>
      <c r="BA1629">
        <v>196</v>
      </c>
      <c r="BB1629">
        <v>79</v>
      </c>
      <c r="BC1629">
        <v>275</v>
      </c>
      <c r="BD1629">
        <v>68</v>
      </c>
      <c r="BE1629">
        <v>135</v>
      </c>
      <c r="BF1629">
        <v>203</v>
      </c>
      <c r="BP1629">
        <v>357</v>
      </c>
      <c r="BR1629">
        <v>40</v>
      </c>
      <c r="BS1629">
        <v>8</v>
      </c>
      <c r="BT1629">
        <v>3</v>
      </c>
      <c r="BV1629">
        <v>1</v>
      </c>
      <c r="BW1629">
        <v>409</v>
      </c>
      <c r="BX1629">
        <f>IF(C1629=C1628,IF((CI1629-1)=CI1628,BW1628,"no data"))</f>
        <v>203</v>
      </c>
      <c r="BY1629" s="5">
        <f t="shared" si="186"/>
        <v>1.0147783251231528</v>
      </c>
      <c r="BZ1629" s="6">
        <f t="shared" si="185"/>
        <v>1.0147783251231528</v>
      </c>
      <c r="CA1629" s="7">
        <v>42316</v>
      </c>
      <c r="CE1629">
        <v>123</v>
      </c>
      <c r="CF1629">
        <v>115</v>
      </c>
      <c r="CG1629">
        <v>80</v>
      </c>
      <c r="CH1629">
        <v>91</v>
      </c>
      <c r="CI1629">
        <f t="shared" si="182"/>
        <v>2015</v>
      </c>
      <c r="CJ1629" t="str">
        <f t="shared" si="183"/>
        <v>6667_2015</v>
      </c>
    </row>
    <row r="1630" spans="1:88" x14ac:dyDescent="0.25">
      <c r="A1630" t="s">
        <v>79</v>
      </c>
      <c r="B1630" t="s">
        <v>84</v>
      </c>
      <c r="C1630">
        <v>6667</v>
      </c>
      <c r="D1630">
        <v>-33.822400999999999</v>
      </c>
      <c r="E1630">
        <v>151.05166399999999</v>
      </c>
      <c r="F1630">
        <v>3</v>
      </c>
      <c r="G1630" t="s">
        <v>618</v>
      </c>
      <c r="H1630">
        <v>6</v>
      </c>
      <c r="I1630">
        <v>186</v>
      </c>
      <c r="J1630">
        <v>150</v>
      </c>
      <c r="K1630">
        <v>330</v>
      </c>
      <c r="L1630">
        <v>187</v>
      </c>
      <c r="M1630">
        <v>7</v>
      </c>
      <c r="T1630">
        <v>6</v>
      </c>
      <c r="U1630">
        <v>9</v>
      </c>
      <c r="Y1630">
        <v>2</v>
      </c>
      <c r="Z1630">
        <v>128</v>
      </c>
      <c r="AD1630">
        <v>7</v>
      </c>
      <c r="AE1630">
        <v>56</v>
      </c>
      <c r="AX1630">
        <v>15</v>
      </c>
      <c r="AY1630">
        <v>9</v>
      </c>
      <c r="AZ1630">
        <v>24</v>
      </c>
      <c r="BA1630">
        <v>130</v>
      </c>
      <c r="BB1630">
        <v>62</v>
      </c>
      <c r="BC1630">
        <v>192</v>
      </c>
      <c r="BD1630">
        <v>63</v>
      </c>
      <c r="BE1630">
        <v>137</v>
      </c>
      <c r="BF1630">
        <v>200</v>
      </c>
      <c r="BP1630">
        <v>181</v>
      </c>
      <c r="BR1630">
        <v>20</v>
      </c>
      <c r="BS1630">
        <v>4</v>
      </c>
      <c r="BT1630">
        <v>0</v>
      </c>
      <c r="BV1630">
        <v>3</v>
      </c>
      <c r="BW1630">
        <v>208</v>
      </c>
      <c r="BX1630">
        <f>IF(C1630=C1629,IF((CI1630-1)=CI1629,BW1629,"no data"))</f>
        <v>409</v>
      </c>
      <c r="BY1630" s="5">
        <f t="shared" si="186"/>
        <v>-0.49144254278728605</v>
      </c>
      <c r="BZ1630" s="6">
        <f t="shared" si="185"/>
        <v>-0.49144254278728605</v>
      </c>
      <c r="CA1630" s="7">
        <v>42687</v>
      </c>
      <c r="CE1630">
        <v>97</v>
      </c>
      <c r="CF1630">
        <v>48</v>
      </c>
      <c r="CG1630">
        <v>40</v>
      </c>
      <c r="CH1630">
        <v>23</v>
      </c>
      <c r="CI1630">
        <f t="shared" si="182"/>
        <v>2016</v>
      </c>
      <c r="CJ1630" t="str">
        <f t="shared" si="183"/>
        <v>6667_2016</v>
      </c>
    </row>
    <row r="1631" spans="1:88" x14ac:dyDescent="0.25">
      <c r="A1631" t="s">
        <v>79</v>
      </c>
      <c r="B1631" t="s">
        <v>84</v>
      </c>
      <c r="C1631">
        <v>6668</v>
      </c>
      <c r="D1631">
        <v>-33.817500000000003</v>
      </c>
      <c r="E1631">
        <v>151.04069999999999</v>
      </c>
      <c r="F1631">
        <v>3</v>
      </c>
      <c r="G1631" t="s">
        <v>619</v>
      </c>
      <c r="H1631">
        <v>9</v>
      </c>
      <c r="I1631">
        <v>189</v>
      </c>
      <c r="J1631">
        <v>70</v>
      </c>
      <c r="K1631">
        <v>250</v>
      </c>
      <c r="L1631">
        <v>281</v>
      </c>
      <c r="M1631">
        <v>101</v>
      </c>
      <c r="T1631">
        <v>23</v>
      </c>
      <c r="U1631">
        <v>1</v>
      </c>
      <c r="Y1631">
        <v>13</v>
      </c>
      <c r="Z1631">
        <v>139</v>
      </c>
      <c r="AD1631">
        <v>2</v>
      </c>
      <c r="AE1631">
        <v>176</v>
      </c>
      <c r="AX1631">
        <v>24</v>
      </c>
      <c r="AY1631">
        <v>15</v>
      </c>
      <c r="AZ1631">
        <v>39</v>
      </c>
      <c r="BA1631">
        <v>152</v>
      </c>
      <c r="BB1631">
        <v>199</v>
      </c>
      <c r="BC1631">
        <v>351</v>
      </c>
      <c r="BD1631">
        <v>178</v>
      </c>
      <c r="BE1631">
        <v>140</v>
      </c>
      <c r="BF1631">
        <v>318</v>
      </c>
      <c r="BP1631">
        <v>310</v>
      </c>
      <c r="BR1631">
        <v>36</v>
      </c>
      <c r="BS1631">
        <v>2</v>
      </c>
      <c r="BT1631">
        <v>6</v>
      </c>
      <c r="BV1631">
        <v>0</v>
      </c>
      <c r="BW1631">
        <v>354</v>
      </c>
      <c r="BX1631" t="s">
        <v>82</v>
      </c>
      <c r="BY1631" s="5"/>
      <c r="BZ1631" s="6"/>
      <c r="CA1631" s="7">
        <v>41952</v>
      </c>
      <c r="CI1631">
        <f t="shared" si="182"/>
        <v>2014</v>
      </c>
      <c r="CJ1631" t="str">
        <f t="shared" si="183"/>
        <v>6668_2014</v>
      </c>
    </row>
    <row r="1632" spans="1:88" x14ac:dyDescent="0.25">
      <c r="A1632" t="s">
        <v>79</v>
      </c>
      <c r="B1632" t="s">
        <v>84</v>
      </c>
      <c r="C1632">
        <v>6668</v>
      </c>
      <c r="D1632">
        <v>-33.817500000000003</v>
      </c>
      <c r="E1632">
        <v>151.04069999999999</v>
      </c>
      <c r="F1632">
        <v>3</v>
      </c>
      <c r="G1632" t="s">
        <v>619</v>
      </c>
      <c r="H1632">
        <v>9</v>
      </c>
      <c r="I1632">
        <v>189</v>
      </c>
      <c r="J1632">
        <v>70</v>
      </c>
      <c r="K1632">
        <v>250</v>
      </c>
      <c r="L1632">
        <v>281</v>
      </c>
      <c r="M1632">
        <v>101</v>
      </c>
      <c r="T1632">
        <v>21</v>
      </c>
      <c r="U1632">
        <v>18</v>
      </c>
      <c r="Y1632">
        <v>6</v>
      </c>
      <c r="Z1632">
        <v>139</v>
      </c>
      <c r="AD1632">
        <v>0</v>
      </c>
      <c r="AE1632">
        <v>155</v>
      </c>
      <c r="AX1632">
        <v>39</v>
      </c>
      <c r="AY1632">
        <v>6</v>
      </c>
      <c r="AZ1632">
        <v>45</v>
      </c>
      <c r="BA1632">
        <v>145</v>
      </c>
      <c r="BB1632">
        <v>176</v>
      </c>
      <c r="BC1632">
        <v>321</v>
      </c>
      <c r="BD1632">
        <v>155</v>
      </c>
      <c r="BE1632">
        <v>157</v>
      </c>
      <c r="BF1632">
        <v>312</v>
      </c>
      <c r="BP1632">
        <v>298</v>
      </c>
      <c r="BR1632">
        <v>24</v>
      </c>
      <c r="BS1632">
        <v>14</v>
      </c>
      <c r="BT1632">
        <v>3</v>
      </c>
      <c r="BV1632">
        <v>0</v>
      </c>
      <c r="BW1632">
        <v>339</v>
      </c>
      <c r="BX1632">
        <f>IF(C1632=C1631,IF((CI1632-1)=CI1631,BW1631,"no data"))</f>
        <v>354</v>
      </c>
      <c r="BY1632" s="5">
        <f t="shared" si="186"/>
        <v>-4.2372881355932202E-2</v>
      </c>
      <c r="BZ1632" s="6">
        <f t="shared" si="185"/>
        <v>-4.2372881355932202E-2</v>
      </c>
      <c r="CA1632" s="7">
        <v>42316</v>
      </c>
      <c r="CE1632">
        <v>108</v>
      </c>
      <c r="CF1632">
        <v>88</v>
      </c>
      <c r="CG1632">
        <v>99</v>
      </c>
      <c r="CH1632">
        <v>44</v>
      </c>
      <c r="CI1632">
        <f t="shared" si="182"/>
        <v>2015</v>
      </c>
      <c r="CJ1632" t="str">
        <f t="shared" si="183"/>
        <v>6668_2015</v>
      </c>
    </row>
    <row r="1633" spans="1:88" x14ac:dyDescent="0.25">
      <c r="A1633" t="s">
        <v>79</v>
      </c>
      <c r="B1633" t="s">
        <v>84</v>
      </c>
      <c r="C1633">
        <v>6668</v>
      </c>
      <c r="D1633">
        <v>-33.817540999999999</v>
      </c>
      <c r="E1633">
        <v>151.04066599999999</v>
      </c>
      <c r="F1633">
        <v>3</v>
      </c>
      <c r="G1633" t="s">
        <v>619</v>
      </c>
      <c r="H1633">
        <v>9</v>
      </c>
      <c r="I1633">
        <v>189</v>
      </c>
      <c r="J1633">
        <v>70</v>
      </c>
      <c r="K1633">
        <v>250</v>
      </c>
      <c r="L1633">
        <v>281</v>
      </c>
      <c r="M1633">
        <v>101</v>
      </c>
      <c r="T1633">
        <v>21</v>
      </c>
      <c r="U1633">
        <v>8</v>
      </c>
      <c r="Y1633">
        <v>24</v>
      </c>
      <c r="Z1633">
        <v>155</v>
      </c>
      <c r="AD1633">
        <v>0</v>
      </c>
      <c r="AE1633">
        <v>181</v>
      </c>
      <c r="AX1633">
        <v>29</v>
      </c>
      <c r="AY1633">
        <v>24</v>
      </c>
      <c r="AZ1633">
        <v>53</v>
      </c>
      <c r="BA1633">
        <v>179</v>
      </c>
      <c r="BB1633">
        <v>202</v>
      </c>
      <c r="BC1633">
        <v>381</v>
      </c>
      <c r="BD1633">
        <v>181</v>
      </c>
      <c r="BE1633">
        <v>163</v>
      </c>
      <c r="BF1633">
        <v>344</v>
      </c>
      <c r="BP1633">
        <v>341</v>
      </c>
      <c r="BR1633">
        <v>31</v>
      </c>
      <c r="BS1633">
        <v>9</v>
      </c>
      <c r="BT1633">
        <v>4</v>
      </c>
      <c r="BV1633">
        <v>4</v>
      </c>
      <c r="BW1633">
        <v>389</v>
      </c>
      <c r="BX1633">
        <f>IF(C1633=C1632,IF((CI1633-1)=CI1632,BW1632,"no data"))</f>
        <v>339</v>
      </c>
      <c r="BY1633" s="5">
        <f t="shared" si="186"/>
        <v>0.14749262536873156</v>
      </c>
      <c r="BZ1633" s="6">
        <f t="shared" si="185"/>
        <v>0.14749262536873156</v>
      </c>
      <c r="CA1633" s="7">
        <v>42687</v>
      </c>
      <c r="CE1633">
        <v>152</v>
      </c>
      <c r="CF1633">
        <v>118</v>
      </c>
      <c r="CG1633">
        <v>80</v>
      </c>
      <c r="CH1633">
        <v>39</v>
      </c>
      <c r="CI1633">
        <f t="shared" si="182"/>
        <v>2016</v>
      </c>
      <c r="CJ1633" t="str">
        <f t="shared" si="183"/>
        <v>6668_2016</v>
      </c>
    </row>
    <row r="1634" spans="1:88" x14ac:dyDescent="0.25">
      <c r="A1634" t="s">
        <v>79</v>
      </c>
      <c r="B1634" t="s">
        <v>84</v>
      </c>
      <c r="C1634">
        <v>6669</v>
      </c>
      <c r="D1634">
        <v>-33.8185</v>
      </c>
      <c r="E1634">
        <v>151.03659999999999</v>
      </c>
      <c r="F1634">
        <v>3</v>
      </c>
      <c r="G1634" t="s">
        <v>620</v>
      </c>
      <c r="H1634">
        <v>12</v>
      </c>
      <c r="I1634">
        <v>192</v>
      </c>
      <c r="J1634">
        <v>58</v>
      </c>
      <c r="K1634">
        <v>238</v>
      </c>
      <c r="L1634">
        <v>281</v>
      </c>
      <c r="M1634">
        <v>101</v>
      </c>
      <c r="T1634">
        <v>153</v>
      </c>
      <c r="U1634">
        <v>17</v>
      </c>
      <c r="Y1634">
        <v>122</v>
      </c>
      <c r="Z1634">
        <v>51</v>
      </c>
      <c r="AD1634">
        <v>23</v>
      </c>
      <c r="AE1634">
        <v>43</v>
      </c>
      <c r="AX1634">
        <v>170</v>
      </c>
      <c r="AY1634">
        <v>145</v>
      </c>
      <c r="AZ1634">
        <v>315</v>
      </c>
      <c r="BA1634">
        <v>173</v>
      </c>
      <c r="BB1634">
        <v>196</v>
      </c>
      <c r="BC1634">
        <v>369</v>
      </c>
      <c r="BD1634">
        <v>66</v>
      </c>
      <c r="BE1634">
        <v>68</v>
      </c>
      <c r="BF1634">
        <v>134</v>
      </c>
      <c r="BP1634">
        <v>368</v>
      </c>
      <c r="BR1634">
        <v>35</v>
      </c>
      <c r="BS1634">
        <v>0</v>
      </c>
      <c r="BT1634">
        <v>4</v>
      </c>
      <c r="BV1634">
        <v>2</v>
      </c>
      <c r="BW1634">
        <v>409</v>
      </c>
      <c r="BX1634" t="s">
        <v>82</v>
      </c>
      <c r="BY1634" s="5"/>
      <c r="BZ1634" s="6"/>
      <c r="CA1634" s="7">
        <v>41952</v>
      </c>
      <c r="CI1634">
        <f t="shared" si="182"/>
        <v>2014</v>
      </c>
      <c r="CJ1634" t="str">
        <f t="shared" si="183"/>
        <v>6669_2014</v>
      </c>
    </row>
    <row r="1635" spans="1:88" x14ac:dyDescent="0.25">
      <c r="A1635" t="s">
        <v>79</v>
      </c>
      <c r="B1635" t="s">
        <v>84</v>
      </c>
      <c r="C1635">
        <v>6669</v>
      </c>
      <c r="D1635">
        <v>-33.8185</v>
      </c>
      <c r="E1635">
        <v>151.03659999999999</v>
      </c>
      <c r="F1635">
        <v>3</v>
      </c>
      <c r="G1635" t="s">
        <v>620</v>
      </c>
      <c r="H1635">
        <v>12</v>
      </c>
      <c r="I1635">
        <v>192</v>
      </c>
      <c r="J1635">
        <v>58</v>
      </c>
      <c r="K1635">
        <v>238</v>
      </c>
      <c r="L1635">
        <v>281</v>
      </c>
      <c r="M1635">
        <v>101</v>
      </c>
      <c r="T1635">
        <v>140</v>
      </c>
      <c r="U1635">
        <v>4</v>
      </c>
      <c r="Y1635">
        <v>130</v>
      </c>
      <c r="Z1635">
        <v>24</v>
      </c>
      <c r="AD1635">
        <v>6</v>
      </c>
      <c r="AE1635">
        <v>32</v>
      </c>
      <c r="AX1635">
        <v>144</v>
      </c>
      <c r="AY1635">
        <v>136</v>
      </c>
      <c r="AZ1635">
        <v>280</v>
      </c>
      <c r="BA1635">
        <v>154</v>
      </c>
      <c r="BB1635">
        <v>172</v>
      </c>
      <c r="BC1635">
        <v>326</v>
      </c>
      <c r="BD1635">
        <v>38</v>
      </c>
      <c r="BE1635">
        <v>28</v>
      </c>
      <c r="BF1635">
        <v>66</v>
      </c>
      <c r="BP1635">
        <v>309</v>
      </c>
      <c r="BR1635">
        <v>15</v>
      </c>
      <c r="BS1635">
        <v>7</v>
      </c>
      <c r="BT1635">
        <v>3</v>
      </c>
      <c r="BV1635">
        <v>2</v>
      </c>
      <c r="BW1635">
        <v>336</v>
      </c>
      <c r="BX1635">
        <f>IF(C1635=C1634,IF((CI1635-1)=CI1634,BW1634,"no data"))</f>
        <v>409</v>
      </c>
      <c r="BY1635" s="5">
        <f t="shared" si="186"/>
        <v>-0.17848410757946209</v>
      </c>
      <c r="BZ1635" s="6">
        <f t="shared" si="185"/>
        <v>-0.17848410757946209</v>
      </c>
      <c r="CA1635" s="7">
        <v>42316</v>
      </c>
      <c r="CE1635">
        <v>110</v>
      </c>
      <c r="CF1635">
        <v>91</v>
      </c>
      <c r="CG1635">
        <v>97</v>
      </c>
      <c r="CH1635">
        <v>38</v>
      </c>
      <c r="CI1635">
        <f t="shared" si="182"/>
        <v>2015</v>
      </c>
      <c r="CJ1635" t="str">
        <f t="shared" si="183"/>
        <v>6669_2015</v>
      </c>
    </row>
    <row r="1636" spans="1:88" x14ac:dyDescent="0.25">
      <c r="A1636" t="s">
        <v>79</v>
      </c>
      <c r="B1636" t="s">
        <v>84</v>
      </c>
      <c r="C1636">
        <v>6670</v>
      </c>
      <c r="D1636">
        <v>-33.813800000000001</v>
      </c>
      <c r="E1636">
        <v>151.02279999999999</v>
      </c>
      <c r="F1636">
        <v>3</v>
      </c>
      <c r="G1636" t="s">
        <v>621</v>
      </c>
      <c r="H1636">
        <v>92</v>
      </c>
      <c r="I1636">
        <v>272</v>
      </c>
      <c r="J1636">
        <v>259</v>
      </c>
      <c r="K1636">
        <v>79</v>
      </c>
      <c r="L1636">
        <v>325</v>
      </c>
      <c r="M1636">
        <v>145</v>
      </c>
      <c r="T1636">
        <v>129</v>
      </c>
      <c r="U1636">
        <v>18</v>
      </c>
      <c r="Y1636">
        <v>154</v>
      </c>
      <c r="Z1636">
        <v>5</v>
      </c>
      <c r="AD1636">
        <v>71</v>
      </c>
      <c r="AE1636">
        <v>9</v>
      </c>
      <c r="AX1636">
        <v>147</v>
      </c>
      <c r="AY1636">
        <v>225</v>
      </c>
      <c r="AZ1636">
        <v>372</v>
      </c>
      <c r="BA1636">
        <v>159</v>
      </c>
      <c r="BB1636">
        <v>138</v>
      </c>
      <c r="BC1636">
        <v>297</v>
      </c>
      <c r="BD1636">
        <v>80</v>
      </c>
      <c r="BE1636">
        <v>23</v>
      </c>
      <c r="BF1636">
        <v>103</v>
      </c>
      <c r="BP1636">
        <v>301</v>
      </c>
      <c r="BR1636">
        <v>78</v>
      </c>
      <c r="BS1636">
        <v>4</v>
      </c>
      <c r="BT1636">
        <v>3</v>
      </c>
      <c r="BV1636">
        <v>0</v>
      </c>
      <c r="BW1636">
        <v>386</v>
      </c>
      <c r="BX1636" t="s">
        <v>82</v>
      </c>
      <c r="BY1636" s="5"/>
      <c r="BZ1636" s="6"/>
      <c r="CA1636" s="7">
        <v>41952</v>
      </c>
      <c r="CI1636">
        <f t="shared" si="182"/>
        <v>2014</v>
      </c>
      <c r="CJ1636" t="str">
        <f t="shared" si="183"/>
        <v>6670_2014</v>
      </c>
    </row>
    <row r="1637" spans="1:88" x14ac:dyDescent="0.25">
      <c r="A1637" t="s">
        <v>79</v>
      </c>
      <c r="B1637" t="s">
        <v>84</v>
      </c>
      <c r="C1637">
        <v>6670</v>
      </c>
      <c r="D1637">
        <v>-33.813800000000001</v>
      </c>
      <c r="E1637">
        <v>151.02279999999999</v>
      </c>
      <c r="F1637">
        <v>3</v>
      </c>
      <c r="G1637" t="s">
        <v>621</v>
      </c>
      <c r="H1637">
        <v>92</v>
      </c>
      <c r="I1637">
        <v>272</v>
      </c>
      <c r="J1637">
        <v>259</v>
      </c>
      <c r="K1637">
        <v>79</v>
      </c>
      <c r="L1637">
        <v>325</v>
      </c>
      <c r="M1637">
        <v>145</v>
      </c>
      <c r="T1637">
        <v>161</v>
      </c>
      <c r="U1637">
        <v>50</v>
      </c>
      <c r="Y1637">
        <v>138</v>
      </c>
      <c r="Z1637">
        <v>8</v>
      </c>
      <c r="AD1637">
        <v>52</v>
      </c>
      <c r="AE1637">
        <v>30</v>
      </c>
      <c r="AX1637">
        <v>211</v>
      </c>
      <c r="AY1637">
        <v>190</v>
      </c>
      <c r="AZ1637">
        <v>401</v>
      </c>
      <c r="BA1637">
        <v>146</v>
      </c>
      <c r="BB1637">
        <v>191</v>
      </c>
      <c r="BC1637">
        <v>337</v>
      </c>
      <c r="BD1637">
        <v>82</v>
      </c>
      <c r="BE1637">
        <v>58</v>
      </c>
      <c r="BF1637">
        <v>140</v>
      </c>
      <c r="BP1637">
        <v>324</v>
      </c>
      <c r="BR1637">
        <v>80</v>
      </c>
      <c r="BS1637">
        <v>16</v>
      </c>
      <c r="BT1637">
        <v>6</v>
      </c>
      <c r="BV1637">
        <v>13</v>
      </c>
      <c r="BW1637">
        <v>439</v>
      </c>
      <c r="BX1637">
        <f>IF(C1637=C1636,IF((CI1637-1)=CI1636,BW1636,"no data"))</f>
        <v>386</v>
      </c>
      <c r="BY1637" s="5">
        <f t="shared" si="186"/>
        <v>0.13730569948186527</v>
      </c>
      <c r="BZ1637" s="6">
        <f t="shared" si="185"/>
        <v>0.13730569948186527</v>
      </c>
      <c r="CA1637" s="7">
        <v>42316</v>
      </c>
      <c r="CE1637">
        <v>144</v>
      </c>
      <c r="CF1637">
        <v>137</v>
      </c>
      <c r="CG1637">
        <v>98</v>
      </c>
      <c r="CH1637">
        <v>60</v>
      </c>
      <c r="CI1637">
        <f t="shared" si="182"/>
        <v>2015</v>
      </c>
      <c r="CJ1637" t="str">
        <f t="shared" si="183"/>
        <v>6670_2015</v>
      </c>
    </row>
    <row r="1638" spans="1:88" x14ac:dyDescent="0.25">
      <c r="A1638" t="s">
        <v>79</v>
      </c>
      <c r="B1638" t="s">
        <v>84</v>
      </c>
      <c r="C1638">
        <v>6670</v>
      </c>
      <c r="D1638">
        <v>-33.813816000000003</v>
      </c>
      <c r="E1638">
        <v>151.022763</v>
      </c>
      <c r="F1638">
        <v>3</v>
      </c>
      <c r="G1638" t="s">
        <v>621</v>
      </c>
      <c r="H1638">
        <v>92</v>
      </c>
      <c r="I1638">
        <v>272</v>
      </c>
      <c r="J1638">
        <v>259</v>
      </c>
      <c r="K1638">
        <v>79</v>
      </c>
      <c r="L1638">
        <v>325</v>
      </c>
      <c r="M1638">
        <v>145</v>
      </c>
      <c r="T1638">
        <v>129</v>
      </c>
      <c r="U1638">
        <v>15</v>
      </c>
      <c r="Y1638">
        <v>144</v>
      </c>
      <c r="Z1638">
        <v>5</v>
      </c>
      <c r="AD1638">
        <v>46</v>
      </c>
      <c r="AE1638">
        <v>12</v>
      </c>
      <c r="AX1638">
        <v>144</v>
      </c>
      <c r="AY1638">
        <v>190</v>
      </c>
      <c r="AZ1638">
        <v>334</v>
      </c>
      <c r="BA1638">
        <v>149</v>
      </c>
      <c r="BB1638">
        <v>141</v>
      </c>
      <c r="BC1638">
        <v>290</v>
      </c>
      <c r="BD1638">
        <v>58</v>
      </c>
      <c r="BE1638">
        <v>20</v>
      </c>
      <c r="BF1638">
        <v>78</v>
      </c>
      <c r="BP1638">
        <v>280</v>
      </c>
      <c r="BR1638">
        <v>53</v>
      </c>
      <c r="BS1638">
        <v>11</v>
      </c>
      <c r="BT1638">
        <v>7</v>
      </c>
      <c r="BV1638">
        <v>0</v>
      </c>
      <c r="BW1638">
        <v>351</v>
      </c>
      <c r="BX1638">
        <f>IF(C1638=C1637,IF((CI1638-1)=CI1637,BW1637,"no data"))</f>
        <v>439</v>
      </c>
      <c r="BY1638" s="5">
        <f t="shared" si="186"/>
        <v>-0.20045558086560364</v>
      </c>
      <c r="BZ1638" s="6">
        <f t="shared" si="185"/>
        <v>-0.20045558086560364</v>
      </c>
      <c r="CA1638" s="7">
        <v>42687</v>
      </c>
      <c r="CE1638">
        <v>147</v>
      </c>
      <c r="CF1638">
        <v>75</v>
      </c>
      <c r="CG1638">
        <v>84</v>
      </c>
      <c r="CH1638">
        <v>45</v>
      </c>
      <c r="CI1638">
        <f t="shared" si="182"/>
        <v>2016</v>
      </c>
      <c r="CJ1638" t="str">
        <f t="shared" si="183"/>
        <v>6670_2016</v>
      </c>
    </row>
    <row r="1639" spans="1:88" x14ac:dyDescent="0.25">
      <c r="A1639" t="s">
        <v>79</v>
      </c>
      <c r="B1639" t="s">
        <v>84</v>
      </c>
      <c r="C1639">
        <v>6670</v>
      </c>
      <c r="D1639">
        <v>-33.813816000000003</v>
      </c>
      <c r="E1639">
        <v>151.022763</v>
      </c>
      <c r="F1639">
        <v>3</v>
      </c>
      <c r="G1639" t="s">
        <v>621</v>
      </c>
      <c r="H1639">
        <v>92</v>
      </c>
      <c r="I1639">
        <v>272</v>
      </c>
      <c r="J1639">
        <v>259</v>
      </c>
      <c r="K1639">
        <v>79</v>
      </c>
      <c r="L1639">
        <v>325</v>
      </c>
      <c r="M1639">
        <v>145</v>
      </c>
      <c r="T1639">
        <v>265</v>
      </c>
      <c r="U1639">
        <v>43</v>
      </c>
      <c r="Y1639">
        <v>245</v>
      </c>
      <c r="Z1639">
        <v>8</v>
      </c>
      <c r="AD1639">
        <v>43</v>
      </c>
      <c r="AE1639">
        <v>14</v>
      </c>
      <c r="AX1639">
        <v>308</v>
      </c>
      <c r="AY1639">
        <v>288</v>
      </c>
      <c r="AZ1639">
        <v>596</v>
      </c>
      <c r="BA1639">
        <v>253</v>
      </c>
      <c r="BB1639">
        <v>279</v>
      </c>
      <c r="BC1639">
        <v>532</v>
      </c>
      <c r="BD1639">
        <v>57</v>
      </c>
      <c r="BE1639">
        <v>51</v>
      </c>
      <c r="BF1639">
        <v>108</v>
      </c>
      <c r="BP1639">
        <v>450</v>
      </c>
      <c r="BR1639">
        <v>148</v>
      </c>
      <c r="BS1639">
        <v>16</v>
      </c>
      <c r="BT1639">
        <v>4</v>
      </c>
      <c r="BV1639">
        <v>0</v>
      </c>
      <c r="BW1639">
        <v>618</v>
      </c>
      <c r="BX1639">
        <f>IF(C1639=C1638,IF((CI1639-1)=CI1638,BW1638,"no data"))</f>
        <v>351</v>
      </c>
      <c r="BY1639" s="5">
        <f t="shared" si="186"/>
        <v>0.76068376068376065</v>
      </c>
      <c r="BZ1639" s="6">
        <f t="shared" si="185"/>
        <v>0.76068376068376065</v>
      </c>
      <c r="CA1639" s="7">
        <v>43051</v>
      </c>
      <c r="CE1639">
        <v>228</v>
      </c>
      <c r="CF1639">
        <v>162</v>
      </c>
      <c r="CG1639">
        <v>143</v>
      </c>
      <c r="CH1639">
        <v>85</v>
      </c>
      <c r="CI1639">
        <f t="shared" si="182"/>
        <v>2017</v>
      </c>
      <c r="CJ1639" t="str">
        <f t="shared" si="183"/>
        <v>6670_2017</v>
      </c>
    </row>
    <row r="1640" spans="1:88" x14ac:dyDescent="0.25">
      <c r="A1640" t="s">
        <v>79</v>
      </c>
      <c r="B1640" t="s">
        <v>84</v>
      </c>
      <c r="C1640">
        <v>6670</v>
      </c>
      <c r="D1640">
        <v>-33.813816000000003</v>
      </c>
      <c r="E1640">
        <v>151.022763</v>
      </c>
      <c r="F1640">
        <v>3</v>
      </c>
      <c r="G1640" t="s">
        <v>621</v>
      </c>
      <c r="H1640">
        <v>92</v>
      </c>
      <c r="I1640">
        <v>272</v>
      </c>
      <c r="J1640">
        <v>259</v>
      </c>
      <c r="K1640">
        <v>79</v>
      </c>
      <c r="L1640">
        <v>325</v>
      </c>
      <c r="M1640">
        <v>145</v>
      </c>
      <c r="T1640">
        <v>272</v>
      </c>
      <c r="U1640">
        <v>15</v>
      </c>
      <c r="Y1640">
        <v>287</v>
      </c>
      <c r="Z1640">
        <v>10</v>
      </c>
      <c r="AD1640">
        <v>51</v>
      </c>
      <c r="AE1640">
        <v>10</v>
      </c>
      <c r="AX1640">
        <v>287</v>
      </c>
      <c r="AY1640">
        <v>338</v>
      </c>
      <c r="AZ1640">
        <v>625</v>
      </c>
      <c r="BA1640">
        <v>297</v>
      </c>
      <c r="BB1640">
        <v>282</v>
      </c>
      <c r="BC1640">
        <v>579</v>
      </c>
      <c r="BD1640">
        <v>61</v>
      </c>
      <c r="BE1640">
        <v>25</v>
      </c>
      <c r="BF1640">
        <v>86</v>
      </c>
      <c r="BP1640">
        <v>452</v>
      </c>
      <c r="BR1640">
        <v>147</v>
      </c>
      <c r="BS1640">
        <v>33</v>
      </c>
      <c r="BT1640">
        <v>9</v>
      </c>
      <c r="BV1640">
        <v>4</v>
      </c>
      <c r="BW1640">
        <v>645</v>
      </c>
      <c r="BX1640">
        <f>IF(C1640=C1639,IF((CI1640-1)=CI1639,BW1639,"no data"))</f>
        <v>618</v>
      </c>
      <c r="BY1640" s="5">
        <f t="shared" si="186"/>
        <v>4.3689320388349516E-2</v>
      </c>
      <c r="BZ1640" s="6">
        <f t="shared" si="185"/>
        <v>4.3689320388349516E-2</v>
      </c>
      <c r="CA1640" s="7">
        <v>43415</v>
      </c>
      <c r="CE1640">
        <v>186</v>
      </c>
      <c r="CF1640">
        <v>197</v>
      </c>
      <c r="CG1640">
        <v>142</v>
      </c>
      <c r="CH1640">
        <v>120</v>
      </c>
      <c r="CI1640">
        <f t="shared" si="182"/>
        <v>2018</v>
      </c>
      <c r="CJ1640" t="str">
        <f t="shared" si="183"/>
        <v>6670_2018</v>
      </c>
    </row>
    <row r="1641" spans="1:88" x14ac:dyDescent="0.25">
      <c r="A1641" t="s">
        <v>79</v>
      </c>
      <c r="B1641" t="s">
        <v>84</v>
      </c>
      <c r="C1641">
        <v>6670</v>
      </c>
      <c r="D1641">
        <v>-33.813800000000001</v>
      </c>
      <c r="E1641">
        <v>151.02279999999999</v>
      </c>
      <c r="F1641">
        <v>3</v>
      </c>
      <c r="G1641" t="s">
        <v>621</v>
      </c>
      <c r="H1641">
        <v>92</v>
      </c>
      <c r="I1641">
        <v>272</v>
      </c>
      <c r="J1641">
        <v>259</v>
      </c>
      <c r="K1641">
        <v>79</v>
      </c>
      <c r="L1641">
        <v>325</v>
      </c>
      <c r="M1641">
        <v>145</v>
      </c>
      <c r="T1641">
        <v>259</v>
      </c>
      <c r="U1641">
        <v>31</v>
      </c>
      <c r="Y1641">
        <v>267</v>
      </c>
      <c r="Z1641">
        <v>1</v>
      </c>
      <c r="AD1641">
        <v>73</v>
      </c>
      <c r="AE1641">
        <v>7</v>
      </c>
      <c r="AX1641">
        <v>290</v>
      </c>
      <c r="AY1641">
        <v>340</v>
      </c>
      <c r="AZ1641">
        <v>630</v>
      </c>
      <c r="BA1641">
        <v>268</v>
      </c>
      <c r="BB1641">
        <v>266</v>
      </c>
      <c r="BC1641">
        <v>534</v>
      </c>
      <c r="BD1641">
        <v>80</v>
      </c>
      <c r="BE1641">
        <v>32</v>
      </c>
      <c r="BF1641">
        <v>112</v>
      </c>
      <c r="BP1641">
        <v>509</v>
      </c>
      <c r="BR1641">
        <v>92</v>
      </c>
      <c r="BS1641">
        <v>27</v>
      </c>
      <c r="BT1641">
        <v>4</v>
      </c>
      <c r="BV1641">
        <v>6</v>
      </c>
      <c r="BW1641">
        <v>638</v>
      </c>
      <c r="BX1641">
        <f>IF(C1641=C1640,IF((CI1641-1)=CI1640,BW1640,"no data"))</f>
        <v>645</v>
      </c>
      <c r="BY1641" s="5">
        <f t="shared" si="186"/>
        <v>-1.0852713178294573E-2</v>
      </c>
      <c r="BZ1641" s="6">
        <f t="shared" si="185"/>
        <v>-1.0852713178294573E-2</v>
      </c>
      <c r="CA1641" s="7">
        <v>43779</v>
      </c>
      <c r="CE1641">
        <v>197</v>
      </c>
      <c r="CF1641">
        <v>156</v>
      </c>
      <c r="CG1641">
        <v>192</v>
      </c>
      <c r="CH1641">
        <v>93</v>
      </c>
      <c r="CI1641">
        <f t="shared" si="182"/>
        <v>2019</v>
      </c>
      <c r="CJ1641" t="str">
        <f t="shared" si="183"/>
        <v>6670_2019</v>
      </c>
    </row>
    <row r="1642" spans="1:88" x14ac:dyDescent="0.25">
      <c r="A1642" t="s">
        <v>79</v>
      </c>
      <c r="B1642" t="s">
        <v>80</v>
      </c>
      <c r="C1642">
        <v>6671</v>
      </c>
      <c r="D1642">
        <v>-33.871699999999997</v>
      </c>
      <c r="E1642">
        <v>151.14949999999999</v>
      </c>
      <c r="F1642">
        <v>3</v>
      </c>
      <c r="G1642" t="s">
        <v>622</v>
      </c>
      <c r="H1642">
        <v>93</v>
      </c>
      <c r="I1642">
        <v>273</v>
      </c>
      <c r="J1642">
        <v>120</v>
      </c>
      <c r="K1642">
        <v>300</v>
      </c>
      <c r="L1642">
        <v>329</v>
      </c>
      <c r="M1642">
        <v>149</v>
      </c>
      <c r="T1642">
        <v>8</v>
      </c>
      <c r="U1642">
        <v>112</v>
      </c>
      <c r="Y1642">
        <v>4</v>
      </c>
      <c r="Z1642">
        <v>612</v>
      </c>
      <c r="AD1642">
        <v>162</v>
      </c>
      <c r="AE1642">
        <v>1905</v>
      </c>
      <c r="AX1642">
        <v>120</v>
      </c>
      <c r="AY1642">
        <v>166</v>
      </c>
      <c r="AZ1642">
        <v>286</v>
      </c>
      <c r="BA1642">
        <v>616</v>
      </c>
      <c r="BB1642">
        <v>1913</v>
      </c>
      <c r="BC1642">
        <v>2529</v>
      </c>
      <c r="BD1642">
        <v>2067</v>
      </c>
      <c r="BE1642">
        <v>724</v>
      </c>
      <c r="BF1642">
        <v>2791</v>
      </c>
      <c r="BP1642">
        <v>331</v>
      </c>
      <c r="BR1642">
        <v>2100</v>
      </c>
      <c r="BS1642">
        <v>194</v>
      </c>
      <c r="BT1642">
        <v>99</v>
      </c>
      <c r="BV1642">
        <v>79</v>
      </c>
      <c r="BW1642">
        <v>2803</v>
      </c>
      <c r="BX1642" t="s">
        <v>82</v>
      </c>
      <c r="BY1642" s="5"/>
      <c r="BZ1642" s="6"/>
      <c r="CA1642" s="7">
        <v>41952</v>
      </c>
      <c r="CI1642">
        <f t="shared" si="182"/>
        <v>2014</v>
      </c>
      <c r="CJ1642" t="str">
        <f t="shared" si="183"/>
        <v>6671_2014</v>
      </c>
    </row>
    <row r="1643" spans="1:88" x14ac:dyDescent="0.25">
      <c r="A1643" t="s">
        <v>79</v>
      </c>
      <c r="B1643" t="s">
        <v>80</v>
      </c>
      <c r="C1643">
        <v>6671</v>
      </c>
      <c r="D1643">
        <v>-33.871699999999997</v>
      </c>
      <c r="E1643">
        <v>151.14949999999999</v>
      </c>
      <c r="F1643">
        <v>3</v>
      </c>
      <c r="G1643" t="s">
        <v>622</v>
      </c>
      <c r="H1643">
        <v>93</v>
      </c>
      <c r="I1643">
        <v>273</v>
      </c>
      <c r="J1643">
        <v>120</v>
      </c>
      <c r="K1643">
        <v>300</v>
      </c>
      <c r="L1643">
        <v>329</v>
      </c>
      <c r="M1643">
        <v>149</v>
      </c>
      <c r="T1643">
        <v>26</v>
      </c>
      <c r="U1643">
        <v>173</v>
      </c>
      <c r="Y1643">
        <v>10</v>
      </c>
      <c r="Z1643">
        <v>585</v>
      </c>
      <c r="AD1643">
        <v>180</v>
      </c>
      <c r="AE1643">
        <v>1284</v>
      </c>
      <c r="AX1643">
        <v>199</v>
      </c>
      <c r="AY1643">
        <v>190</v>
      </c>
      <c r="AZ1643">
        <v>389</v>
      </c>
      <c r="BA1643">
        <v>595</v>
      </c>
      <c r="BB1643">
        <v>1310</v>
      </c>
      <c r="BC1643">
        <v>1905</v>
      </c>
      <c r="BD1643">
        <v>1464</v>
      </c>
      <c r="BE1643">
        <v>758</v>
      </c>
      <c r="BF1643">
        <v>2222</v>
      </c>
      <c r="BP1643">
        <v>435</v>
      </c>
      <c r="BR1643">
        <v>1235</v>
      </c>
      <c r="BS1643">
        <v>388</v>
      </c>
      <c r="BT1643">
        <v>143</v>
      </c>
      <c r="BV1643">
        <v>57</v>
      </c>
      <c r="BW1643">
        <v>2258</v>
      </c>
      <c r="BX1643">
        <f>IF(C1643=C1642,IF((CI1643-1)=CI1642,BW1642,"no data"))</f>
        <v>2803</v>
      </c>
      <c r="BY1643" s="5">
        <f t="shared" si="186"/>
        <v>-0.19443453442739922</v>
      </c>
      <c r="BZ1643" s="6">
        <f t="shared" si="185"/>
        <v>-0.19443453442739922</v>
      </c>
      <c r="CA1643" s="7">
        <v>42316</v>
      </c>
      <c r="CE1643">
        <v>627</v>
      </c>
      <c r="CF1643">
        <v>527</v>
      </c>
      <c r="CG1643">
        <v>736</v>
      </c>
      <c r="CH1643">
        <v>368</v>
      </c>
      <c r="CI1643">
        <f t="shared" si="182"/>
        <v>2015</v>
      </c>
      <c r="CJ1643" t="str">
        <f t="shared" si="183"/>
        <v>6671_2015</v>
      </c>
    </row>
    <row r="1644" spans="1:88" x14ac:dyDescent="0.25">
      <c r="A1644" t="s">
        <v>79</v>
      </c>
      <c r="B1644" t="s">
        <v>80</v>
      </c>
      <c r="C1644">
        <v>6671</v>
      </c>
      <c r="D1644">
        <v>-33.871690000000001</v>
      </c>
      <c r="E1644">
        <v>151.14947900000001</v>
      </c>
      <c r="F1644">
        <v>3</v>
      </c>
      <c r="G1644" t="s">
        <v>622</v>
      </c>
      <c r="H1644">
        <v>93</v>
      </c>
      <c r="I1644">
        <v>273</v>
      </c>
      <c r="J1644">
        <v>120</v>
      </c>
      <c r="K1644">
        <v>300</v>
      </c>
      <c r="L1644">
        <v>329</v>
      </c>
      <c r="M1644">
        <v>149</v>
      </c>
      <c r="T1644">
        <v>7</v>
      </c>
      <c r="U1644">
        <v>109</v>
      </c>
      <c r="Y1644">
        <v>2</v>
      </c>
      <c r="Z1644">
        <v>417</v>
      </c>
      <c r="AD1644">
        <v>154</v>
      </c>
      <c r="AE1644">
        <v>1224</v>
      </c>
      <c r="AX1644">
        <v>116</v>
      </c>
      <c r="AY1644">
        <v>156</v>
      </c>
      <c r="AZ1644">
        <v>272</v>
      </c>
      <c r="BA1644">
        <v>419</v>
      </c>
      <c r="BB1644">
        <v>1231</v>
      </c>
      <c r="BC1644">
        <v>1650</v>
      </c>
      <c r="BD1644">
        <v>1378</v>
      </c>
      <c r="BE1644">
        <v>526</v>
      </c>
      <c r="BF1644">
        <v>1904</v>
      </c>
      <c r="BP1644">
        <v>368</v>
      </c>
      <c r="BR1644">
        <v>1144</v>
      </c>
      <c r="BS1644">
        <v>306</v>
      </c>
      <c r="BT1644">
        <v>39</v>
      </c>
      <c r="BV1644">
        <v>56</v>
      </c>
      <c r="BW1644">
        <v>1913</v>
      </c>
      <c r="BX1644">
        <f>IF(C1644=C1643,IF((CI1644-1)=CI1643,BW1643,"no data"))</f>
        <v>2258</v>
      </c>
      <c r="BY1644" s="5">
        <f t="shared" si="186"/>
        <v>-0.15279007971656333</v>
      </c>
      <c r="BZ1644" s="6">
        <f t="shared" si="185"/>
        <v>-0.15279007971656333</v>
      </c>
      <c r="CA1644" s="7">
        <v>42687</v>
      </c>
      <c r="CE1644">
        <v>651</v>
      </c>
      <c r="CF1644">
        <v>625</v>
      </c>
      <c r="CG1644">
        <v>434</v>
      </c>
      <c r="CH1644">
        <v>203</v>
      </c>
      <c r="CI1644">
        <f t="shared" si="182"/>
        <v>2016</v>
      </c>
      <c r="CJ1644" t="str">
        <f t="shared" si="183"/>
        <v>6671_2016</v>
      </c>
    </row>
    <row r="1645" spans="1:88" x14ac:dyDescent="0.25">
      <c r="A1645" t="s">
        <v>79</v>
      </c>
      <c r="B1645" t="s">
        <v>80</v>
      </c>
      <c r="C1645">
        <v>6671</v>
      </c>
      <c r="D1645">
        <v>-33.871690000000001</v>
      </c>
      <c r="E1645">
        <v>151.14947900000001</v>
      </c>
      <c r="F1645">
        <v>3</v>
      </c>
      <c r="G1645" t="s">
        <v>622</v>
      </c>
      <c r="H1645">
        <v>93</v>
      </c>
      <c r="I1645">
        <v>273</v>
      </c>
      <c r="J1645">
        <v>120</v>
      </c>
      <c r="K1645">
        <v>300</v>
      </c>
      <c r="L1645">
        <v>329</v>
      </c>
      <c r="M1645">
        <v>149</v>
      </c>
      <c r="T1645">
        <v>12</v>
      </c>
      <c r="U1645">
        <v>141</v>
      </c>
      <c r="Y1645">
        <v>7</v>
      </c>
      <c r="Z1645">
        <v>497</v>
      </c>
      <c r="AD1645">
        <v>257</v>
      </c>
      <c r="AE1645">
        <v>1091</v>
      </c>
      <c r="AX1645">
        <v>153</v>
      </c>
      <c r="AY1645">
        <v>264</v>
      </c>
      <c r="AZ1645">
        <v>417</v>
      </c>
      <c r="BA1645">
        <v>504</v>
      </c>
      <c r="BB1645">
        <v>1103</v>
      </c>
      <c r="BC1645">
        <v>1607</v>
      </c>
      <c r="BD1645">
        <v>1348</v>
      </c>
      <c r="BE1645">
        <v>638</v>
      </c>
      <c r="BF1645">
        <v>1986</v>
      </c>
      <c r="BP1645">
        <v>405</v>
      </c>
      <c r="BR1645">
        <v>1181</v>
      </c>
      <c r="BS1645">
        <v>312</v>
      </c>
      <c r="BT1645">
        <v>81</v>
      </c>
      <c r="BV1645">
        <v>26</v>
      </c>
      <c r="BW1645">
        <v>2005</v>
      </c>
      <c r="BX1645">
        <f>IF(C1645=C1644,IF((CI1645-1)=CI1644,BW1644,"no data"))</f>
        <v>1913</v>
      </c>
      <c r="BY1645" s="5">
        <f t="shared" si="186"/>
        <v>4.8092002090956612E-2</v>
      </c>
      <c r="BZ1645" s="6">
        <f t="shared" si="185"/>
        <v>4.8092002090956612E-2</v>
      </c>
      <c r="CA1645" s="7">
        <v>43051</v>
      </c>
      <c r="CE1645">
        <v>638</v>
      </c>
      <c r="CF1645">
        <v>561</v>
      </c>
      <c r="CG1645">
        <v>437</v>
      </c>
      <c r="CH1645">
        <v>369</v>
      </c>
      <c r="CI1645">
        <f t="shared" si="182"/>
        <v>2017</v>
      </c>
      <c r="CJ1645" t="str">
        <f t="shared" si="183"/>
        <v>6671_2017</v>
      </c>
    </row>
    <row r="1646" spans="1:88" x14ac:dyDescent="0.25">
      <c r="A1646" t="s">
        <v>79</v>
      </c>
      <c r="B1646" t="s">
        <v>80</v>
      </c>
      <c r="C1646">
        <v>6671</v>
      </c>
      <c r="D1646">
        <v>-33.871690000000001</v>
      </c>
      <c r="E1646">
        <v>151.14947900000001</v>
      </c>
      <c r="F1646">
        <v>3</v>
      </c>
      <c r="G1646" t="s">
        <v>622</v>
      </c>
      <c r="H1646">
        <v>93</v>
      </c>
      <c r="I1646">
        <v>273</v>
      </c>
      <c r="J1646">
        <v>120</v>
      </c>
      <c r="K1646">
        <v>300</v>
      </c>
      <c r="L1646">
        <v>329</v>
      </c>
      <c r="M1646">
        <v>149</v>
      </c>
      <c r="T1646">
        <v>15</v>
      </c>
      <c r="U1646">
        <v>128</v>
      </c>
      <c r="Y1646">
        <v>10</v>
      </c>
      <c r="Z1646">
        <v>605</v>
      </c>
      <c r="AD1646">
        <v>292</v>
      </c>
      <c r="AE1646">
        <v>1411</v>
      </c>
      <c r="AX1646">
        <v>143</v>
      </c>
      <c r="AY1646">
        <v>302</v>
      </c>
      <c r="AZ1646">
        <v>445</v>
      </c>
      <c r="BA1646">
        <v>615</v>
      </c>
      <c r="BB1646">
        <v>1426</v>
      </c>
      <c r="BC1646">
        <v>2041</v>
      </c>
      <c r="BD1646">
        <v>1703</v>
      </c>
      <c r="BE1646">
        <v>733</v>
      </c>
      <c r="BF1646">
        <v>2436</v>
      </c>
      <c r="BP1646">
        <v>358</v>
      </c>
      <c r="BR1646">
        <v>1574</v>
      </c>
      <c r="BS1646">
        <v>371</v>
      </c>
      <c r="BT1646">
        <v>110</v>
      </c>
      <c r="BV1646">
        <v>48</v>
      </c>
      <c r="BW1646">
        <v>2461</v>
      </c>
      <c r="BX1646">
        <f>IF(C1646=C1645,IF((CI1646-1)=CI1645,BW1645,"no data"))</f>
        <v>2005</v>
      </c>
      <c r="BY1646" s="5">
        <f t="shared" si="186"/>
        <v>0.22743142144638404</v>
      </c>
      <c r="BZ1646" s="6">
        <f t="shared" si="185"/>
        <v>0.22743142144638404</v>
      </c>
      <c r="CA1646" s="7">
        <v>43415</v>
      </c>
      <c r="CE1646">
        <v>709</v>
      </c>
      <c r="CF1646">
        <v>711</v>
      </c>
      <c r="CG1646">
        <v>609</v>
      </c>
      <c r="CH1646">
        <v>432</v>
      </c>
      <c r="CI1646">
        <f t="shared" si="182"/>
        <v>2018</v>
      </c>
      <c r="CJ1646" t="str">
        <f t="shared" si="183"/>
        <v>6671_2018</v>
      </c>
    </row>
    <row r="1647" spans="1:88" x14ac:dyDescent="0.25">
      <c r="A1647" t="s">
        <v>79</v>
      </c>
      <c r="B1647" t="s">
        <v>80</v>
      </c>
      <c r="C1647">
        <v>6671</v>
      </c>
      <c r="D1647">
        <v>-33.871699999999997</v>
      </c>
      <c r="E1647">
        <v>151.14949999999999</v>
      </c>
      <c r="F1647">
        <v>3</v>
      </c>
      <c r="G1647" t="s">
        <v>622</v>
      </c>
      <c r="H1647">
        <v>93</v>
      </c>
      <c r="I1647">
        <v>273</v>
      </c>
      <c r="J1647">
        <v>120</v>
      </c>
      <c r="K1647">
        <v>300</v>
      </c>
      <c r="L1647">
        <v>329</v>
      </c>
      <c r="M1647">
        <v>149</v>
      </c>
      <c r="T1647">
        <v>23</v>
      </c>
      <c r="U1647">
        <v>172</v>
      </c>
      <c r="Y1647">
        <v>19</v>
      </c>
      <c r="Z1647">
        <v>873</v>
      </c>
      <c r="AD1647">
        <v>311</v>
      </c>
      <c r="AE1647">
        <v>1305</v>
      </c>
      <c r="AX1647">
        <v>195</v>
      </c>
      <c r="AY1647">
        <v>330</v>
      </c>
      <c r="AZ1647">
        <v>525</v>
      </c>
      <c r="BA1647">
        <v>892</v>
      </c>
      <c r="BB1647">
        <v>1328</v>
      </c>
      <c r="BC1647">
        <v>2220</v>
      </c>
      <c r="BD1647">
        <v>1616</v>
      </c>
      <c r="BE1647">
        <v>1045</v>
      </c>
      <c r="BF1647">
        <v>2661</v>
      </c>
      <c r="BP1647">
        <v>474</v>
      </c>
      <c r="BR1647">
        <v>1572</v>
      </c>
      <c r="BS1647">
        <v>432</v>
      </c>
      <c r="BT1647">
        <v>150</v>
      </c>
      <c r="BV1647">
        <v>75</v>
      </c>
      <c r="BW1647">
        <v>2703</v>
      </c>
      <c r="BX1647">
        <f>IF(C1647=C1646,IF((CI1647-1)=CI1646,BW1646,"no data"))</f>
        <v>2461</v>
      </c>
      <c r="BY1647" s="5">
        <f t="shared" si="186"/>
        <v>9.8334010564811059E-2</v>
      </c>
      <c r="BZ1647" s="6">
        <f t="shared" si="185"/>
        <v>9.8334010564811059E-2</v>
      </c>
      <c r="CA1647" s="7">
        <v>43779</v>
      </c>
      <c r="CE1647">
        <v>692</v>
      </c>
      <c r="CF1647">
        <v>890</v>
      </c>
      <c r="CG1647">
        <v>634</v>
      </c>
      <c r="CH1647">
        <v>487</v>
      </c>
      <c r="CI1647">
        <f t="shared" si="182"/>
        <v>2019</v>
      </c>
      <c r="CJ1647" t="str">
        <f t="shared" si="183"/>
        <v>6671_2019</v>
      </c>
    </row>
    <row r="1648" spans="1:88" x14ac:dyDescent="0.25">
      <c r="A1648" t="s">
        <v>79</v>
      </c>
      <c r="B1648" t="s">
        <v>305</v>
      </c>
      <c r="C1648">
        <v>6673</v>
      </c>
      <c r="D1648">
        <v>-33.038899999999998</v>
      </c>
      <c r="E1648">
        <v>151.661</v>
      </c>
      <c r="F1648">
        <v>5</v>
      </c>
      <c r="G1648" t="s">
        <v>623</v>
      </c>
      <c r="H1648">
        <v>11</v>
      </c>
      <c r="I1648">
        <v>191</v>
      </c>
      <c r="J1648">
        <v>80</v>
      </c>
      <c r="K1648">
        <v>260</v>
      </c>
      <c r="L1648">
        <v>101</v>
      </c>
      <c r="M1648">
        <v>281</v>
      </c>
      <c r="N1648">
        <v>214</v>
      </c>
      <c r="O1648">
        <v>34</v>
      </c>
      <c r="P1648">
        <v>287</v>
      </c>
      <c r="Q1648">
        <v>107</v>
      </c>
      <c r="U1648">
        <v>64</v>
      </c>
      <c r="V1648">
        <v>8</v>
      </c>
      <c r="W1648">
        <v>4</v>
      </c>
      <c r="AD1648">
        <v>44</v>
      </c>
      <c r="AF1648">
        <v>25</v>
      </c>
      <c r="AG1648">
        <v>13</v>
      </c>
      <c r="AI1648">
        <v>0</v>
      </c>
      <c r="AK1648">
        <v>24</v>
      </c>
      <c r="AL1648">
        <v>0</v>
      </c>
      <c r="AN1648">
        <v>18</v>
      </c>
      <c r="AP1648">
        <v>36</v>
      </c>
      <c r="AQ1648">
        <v>0</v>
      </c>
      <c r="AX1648">
        <v>76</v>
      </c>
      <c r="AY1648">
        <v>62</v>
      </c>
      <c r="AZ1648">
        <v>138</v>
      </c>
      <c r="BD1648">
        <v>82</v>
      </c>
      <c r="BE1648">
        <v>124</v>
      </c>
      <c r="BF1648">
        <v>206</v>
      </c>
      <c r="BG1648">
        <v>24</v>
      </c>
      <c r="BH1648">
        <v>33</v>
      </c>
      <c r="BI1648">
        <v>57</v>
      </c>
      <c r="BJ1648">
        <v>54</v>
      </c>
      <c r="BK1648">
        <v>17</v>
      </c>
      <c r="BL1648">
        <v>71</v>
      </c>
      <c r="BP1648">
        <v>206</v>
      </c>
      <c r="BR1648">
        <v>15</v>
      </c>
      <c r="BS1648">
        <v>6</v>
      </c>
      <c r="BT1648">
        <v>6</v>
      </c>
      <c r="BV1648">
        <v>3</v>
      </c>
      <c r="BW1648">
        <v>236</v>
      </c>
      <c r="BX1648" t="s">
        <v>82</v>
      </c>
      <c r="BY1648" s="5"/>
      <c r="BZ1648" s="6"/>
      <c r="CA1648" s="7">
        <v>41952</v>
      </c>
      <c r="CI1648">
        <f t="shared" si="182"/>
        <v>2014</v>
      </c>
      <c r="CJ1648" t="str">
        <f t="shared" si="183"/>
        <v>6673_2014</v>
      </c>
    </row>
    <row r="1649" spans="1:88" x14ac:dyDescent="0.25">
      <c r="A1649" t="s">
        <v>79</v>
      </c>
      <c r="B1649" t="s">
        <v>305</v>
      </c>
      <c r="C1649">
        <v>6673</v>
      </c>
      <c r="D1649">
        <v>-33.038899999999998</v>
      </c>
      <c r="E1649">
        <v>151.661</v>
      </c>
      <c r="F1649">
        <v>5</v>
      </c>
      <c r="G1649" t="s">
        <v>623</v>
      </c>
      <c r="H1649">
        <v>11</v>
      </c>
      <c r="I1649">
        <v>191</v>
      </c>
      <c r="J1649">
        <v>80</v>
      </c>
      <c r="K1649">
        <v>260</v>
      </c>
      <c r="L1649">
        <v>101</v>
      </c>
      <c r="M1649">
        <v>281</v>
      </c>
      <c r="N1649">
        <v>214</v>
      </c>
      <c r="O1649">
        <v>34</v>
      </c>
      <c r="P1649">
        <v>287</v>
      </c>
      <c r="Q1649">
        <v>107</v>
      </c>
      <c r="U1649">
        <v>21</v>
      </c>
      <c r="V1649">
        <v>0</v>
      </c>
      <c r="W1649">
        <v>0</v>
      </c>
      <c r="AD1649">
        <v>28</v>
      </c>
      <c r="AG1649">
        <v>49</v>
      </c>
      <c r="AI1649">
        <v>13</v>
      </c>
      <c r="AN1649">
        <v>1</v>
      </c>
      <c r="AP1649">
        <v>59</v>
      </c>
      <c r="AX1649">
        <v>21</v>
      </c>
      <c r="AY1649">
        <v>42</v>
      </c>
      <c r="AZ1649">
        <v>63</v>
      </c>
      <c r="BD1649">
        <v>77</v>
      </c>
      <c r="BE1649">
        <v>80</v>
      </c>
      <c r="BF1649">
        <v>157</v>
      </c>
      <c r="BG1649">
        <v>13</v>
      </c>
      <c r="BH1649">
        <v>0</v>
      </c>
      <c r="BI1649">
        <v>13</v>
      </c>
      <c r="BJ1649">
        <v>60</v>
      </c>
      <c r="BK1649">
        <v>49</v>
      </c>
      <c r="BL1649">
        <v>109</v>
      </c>
      <c r="BP1649">
        <v>140</v>
      </c>
      <c r="BR1649">
        <v>28</v>
      </c>
      <c r="BS1649">
        <v>0</v>
      </c>
      <c r="BT1649">
        <v>0</v>
      </c>
      <c r="BV1649">
        <v>3</v>
      </c>
      <c r="BW1649">
        <v>171</v>
      </c>
      <c r="BX1649">
        <f>IF(C1649=C1648,IF((CI1649-1)=CI1648,BW1648,"no data"))</f>
        <v>236</v>
      </c>
      <c r="BY1649" s="5">
        <f t="shared" si="186"/>
        <v>-0.27542372881355931</v>
      </c>
      <c r="BZ1649" s="6">
        <f t="shared" si="185"/>
        <v>-0.27542372881355931</v>
      </c>
      <c r="CA1649" s="7">
        <v>42316</v>
      </c>
      <c r="CE1649">
        <v>54</v>
      </c>
      <c r="CF1649">
        <v>66</v>
      </c>
      <c r="CG1649">
        <v>17</v>
      </c>
      <c r="CH1649">
        <v>34</v>
      </c>
      <c r="CI1649">
        <f t="shared" si="182"/>
        <v>2015</v>
      </c>
      <c r="CJ1649" t="str">
        <f t="shared" si="183"/>
        <v>6673_2015</v>
      </c>
    </row>
    <row r="1650" spans="1:88" x14ac:dyDescent="0.25">
      <c r="A1650" t="s">
        <v>79</v>
      </c>
      <c r="B1650" t="s">
        <v>305</v>
      </c>
      <c r="C1650">
        <v>6673</v>
      </c>
      <c r="D1650">
        <v>-33.038885000000001</v>
      </c>
      <c r="E1650">
        <v>151.660999</v>
      </c>
      <c r="F1650">
        <v>4</v>
      </c>
      <c r="G1650" t="s">
        <v>624</v>
      </c>
      <c r="H1650">
        <v>11</v>
      </c>
      <c r="I1650">
        <v>191</v>
      </c>
      <c r="J1650">
        <v>101</v>
      </c>
      <c r="K1650">
        <v>281</v>
      </c>
      <c r="L1650">
        <v>214</v>
      </c>
      <c r="M1650">
        <v>34</v>
      </c>
      <c r="N1650">
        <v>287</v>
      </c>
      <c r="O1650">
        <v>107</v>
      </c>
      <c r="T1650">
        <v>25</v>
      </c>
      <c r="U1650">
        <v>1</v>
      </c>
      <c r="V1650">
        <v>1</v>
      </c>
      <c r="Y1650">
        <v>26</v>
      </c>
      <c r="Z1650">
        <v>25</v>
      </c>
      <c r="AA1650">
        <v>27</v>
      </c>
      <c r="AD1650">
        <v>5</v>
      </c>
      <c r="AE1650">
        <v>27</v>
      </c>
      <c r="AF1650">
        <v>2</v>
      </c>
      <c r="AI1650">
        <v>0</v>
      </c>
      <c r="AJ1650">
        <v>39</v>
      </c>
      <c r="AK1650">
        <v>5</v>
      </c>
      <c r="AX1650">
        <v>27</v>
      </c>
      <c r="AY1650">
        <v>31</v>
      </c>
      <c r="AZ1650">
        <v>58</v>
      </c>
      <c r="BA1650">
        <v>78</v>
      </c>
      <c r="BB1650">
        <v>91</v>
      </c>
      <c r="BC1650">
        <v>169</v>
      </c>
      <c r="BD1650">
        <v>34</v>
      </c>
      <c r="BE1650">
        <v>31</v>
      </c>
      <c r="BF1650">
        <v>65</v>
      </c>
      <c r="BG1650">
        <v>44</v>
      </c>
      <c r="BH1650">
        <v>30</v>
      </c>
      <c r="BI1650">
        <v>74</v>
      </c>
      <c r="BP1650">
        <v>136</v>
      </c>
      <c r="BR1650">
        <v>39</v>
      </c>
      <c r="BS1650">
        <v>2</v>
      </c>
      <c r="BT1650">
        <v>4</v>
      </c>
      <c r="BV1650">
        <v>2</v>
      </c>
      <c r="BW1650">
        <v>183</v>
      </c>
      <c r="BX1650">
        <f>IF(C1650=C1649,IF((CI1650-1)=CI1649,BW1649,"no data"))</f>
        <v>171</v>
      </c>
      <c r="BY1650" s="5">
        <f t="shared" si="186"/>
        <v>7.0175438596491224E-2</v>
      </c>
      <c r="BZ1650" s="6">
        <f t="shared" si="185"/>
        <v>7.0175438596491224E-2</v>
      </c>
      <c r="CA1650" s="7">
        <v>42687</v>
      </c>
      <c r="CE1650">
        <v>72</v>
      </c>
      <c r="CF1650">
        <v>56</v>
      </c>
      <c r="CG1650">
        <v>38</v>
      </c>
      <c r="CH1650">
        <v>17</v>
      </c>
      <c r="CI1650">
        <f t="shared" si="182"/>
        <v>2016</v>
      </c>
      <c r="CJ1650" t="str">
        <f t="shared" si="183"/>
        <v>6673_2016</v>
      </c>
    </row>
    <row r="1651" spans="1:88" x14ac:dyDescent="0.25">
      <c r="A1651" t="s">
        <v>79</v>
      </c>
      <c r="B1651" t="s">
        <v>305</v>
      </c>
      <c r="C1651">
        <v>6673</v>
      </c>
      <c r="D1651">
        <v>-33.038885000000001</v>
      </c>
      <c r="E1651">
        <v>151.660999</v>
      </c>
      <c r="F1651">
        <v>4</v>
      </c>
      <c r="G1651" t="s">
        <v>624</v>
      </c>
      <c r="H1651">
        <v>11</v>
      </c>
      <c r="I1651">
        <v>191</v>
      </c>
      <c r="J1651">
        <v>80</v>
      </c>
      <c r="K1651">
        <v>260</v>
      </c>
      <c r="L1651">
        <v>101</v>
      </c>
      <c r="M1651">
        <v>281</v>
      </c>
      <c r="N1651">
        <v>214</v>
      </c>
      <c r="O1651">
        <v>34</v>
      </c>
      <c r="P1651">
        <v>287</v>
      </c>
      <c r="Q1651">
        <v>107</v>
      </c>
      <c r="U1651">
        <v>44</v>
      </c>
      <c r="V1651">
        <v>0</v>
      </c>
      <c r="W1651">
        <v>5</v>
      </c>
      <c r="AD1651">
        <v>43</v>
      </c>
      <c r="AF1651">
        <v>41</v>
      </c>
      <c r="AG1651">
        <v>44</v>
      </c>
      <c r="AI1651">
        <v>0</v>
      </c>
      <c r="AK1651">
        <v>15</v>
      </c>
      <c r="AL1651">
        <v>0</v>
      </c>
      <c r="AN1651">
        <v>4</v>
      </c>
      <c r="AP1651">
        <v>50</v>
      </c>
      <c r="AQ1651">
        <v>0</v>
      </c>
      <c r="AX1651">
        <v>49</v>
      </c>
      <c r="AY1651">
        <v>47</v>
      </c>
      <c r="AZ1651">
        <v>96</v>
      </c>
      <c r="BD1651">
        <v>128</v>
      </c>
      <c r="BE1651">
        <v>109</v>
      </c>
      <c r="BF1651">
        <v>237</v>
      </c>
      <c r="BG1651">
        <v>15</v>
      </c>
      <c r="BH1651">
        <v>41</v>
      </c>
      <c r="BI1651">
        <v>56</v>
      </c>
      <c r="BJ1651">
        <v>54</v>
      </c>
      <c r="BK1651">
        <v>49</v>
      </c>
      <c r="BL1651">
        <v>103</v>
      </c>
      <c r="BP1651">
        <v>182</v>
      </c>
      <c r="BR1651">
        <v>44</v>
      </c>
      <c r="BS1651">
        <v>6</v>
      </c>
      <c r="BT1651">
        <v>4</v>
      </c>
      <c r="BV1651">
        <v>10</v>
      </c>
      <c r="BW1651">
        <v>246</v>
      </c>
      <c r="BX1651">
        <f>IF(C1651=C1650,IF((CI1651-1)=CI1650,BW1650,"no data"))</f>
        <v>183</v>
      </c>
      <c r="BY1651" s="5">
        <f t="shared" si="186"/>
        <v>0.34426229508196721</v>
      </c>
      <c r="BZ1651" s="6">
        <f t="shared" si="185"/>
        <v>0.34426229508196721</v>
      </c>
      <c r="CA1651" s="7">
        <v>43051</v>
      </c>
      <c r="CE1651">
        <v>76</v>
      </c>
      <c r="CF1651">
        <v>56</v>
      </c>
      <c r="CG1651">
        <v>62</v>
      </c>
      <c r="CH1651">
        <v>52</v>
      </c>
      <c r="CI1651">
        <f t="shared" si="182"/>
        <v>2017</v>
      </c>
      <c r="CJ1651" t="str">
        <f t="shared" si="183"/>
        <v>6673_2017</v>
      </c>
    </row>
    <row r="1652" spans="1:88" x14ac:dyDescent="0.25">
      <c r="A1652" t="s">
        <v>79</v>
      </c>
      <c r="B1652" t="s">
        <v>305</v>
      </c>
      <c r="C1652">
        <v>6673</v>
      </c>
      <c r="D1652">
        <v>-33.038885000000001</v>
      </c>
      <c r="E1652">
        <v>151.660999</v>
      </c>
      <c r="F1652">
        <v>4</v>
      </c>
      <c r="G1652" t="s">
        <v>624</v>
      </c>
      <c r="H1652">
        <v>11</v>
      </c>
      <c r="I1652">
        <v>191</v>
      </c>
      <c r="J1652">
        <v>80</v>
      </c>
      <c r="K1652">
        <v>260</v>
      </c>
      <c r="L1652">
        <v>101</v>
      </c>
      <c r="M1652">
        <v>281</v>
      </c>
      <c r="N1652">
        <v>214</v>
      </c>
      <c r="O1652">
        <v>34</v>
      </c>
      <c r="P1652">
        <v>287</v>
      </c>
      <c r="Q1652">
        <v>107</v>
      </c>
      <c r="T1652">
        <v>19</v>
      </c>
      <c r="U1652">
        <v>6</v>
      </c>
      <c r="V1652">
        <v>5</v>
      </c>
      <c r="W1652">
        <v>12</v>
      </c>
      <c r="Y1652">
        <v>39</v>
      </c>
      <c r="Z1652">
        <v>20</v>
      </c>
      <c r="AA1652">
        <v>0</v>
      </c>
      <c r="AB1652">
        <v>12</v>
      </c>
      <c r="AD1652">
        <v>43</v>
      </c>
      <c r="AE1652">
        <v>0</v>
      </c>
      <c r="AF1652">
        <v>13</v>
      </c>
      <c r="AG1652">
        <v>2</v>
      </c>
      <c r="AI1652">
        <v>2</v>
      </c>
      <c r="AJ1652">
        <v>0</v>
      </c>
      <c r="AK1652">
        <v>0</v>
      </c>
      <c r="AL1652">
        <v>0</v>
      </c>
      <c r="AN1652">
        <v>50</v>
      </c>
      <c r="AO1652">
        <v>5</v>
      </c>
      <c r="AP1652">
        <v>4</v>
      </c>
      <c r="AQ1652">
        <v>3</v>
      </c>
      <c r="AX1652">
        <v>42</v>
      </c>
      <c r="AY1652">
        <v>134</v>
      </c>
      <c r="AZ1652">
        <v>176</v>
      </c>
      <c r="BA1652">
        <v>71</v>
      </c>
      <c r="BB1652">
        <v>24</v>
      </c>
      <c r="BC1652">
        <v>95</v>
      </c>
      <c r="BD1652">
        <v>58</v>
      </c>
      <c r="BE1652">
        <v>30</v>
      </c>
      <c r="BF1652">
        <v>88</v>
      </c>
      <c r="BG1652">
        <v>2</v>
      </c>
      <c r="BH1652">
        <v>21</v>
      </c>
      <c r="BI1652">
        <v>23</v>
      </c>
      <c r="BJ1652">
        <v>62</v>
      </c>
      <c r="BK1652">
        <v>26</v>
      </c>
      <c r="BL1652">
        <v>88</v>
      </c>
      <c r="BP1652">
        <v>136</v>
      </c>
      <c r="BR1652">
        <v>91</v>
      </c>
      <c r="BS1652">
        <v>3</v>
      </c>
      <c r="BT1652">
        <v>5</v>
      </c>
      <c r="BV1652">
        <v>0</v>
      </c>
      <c r="BW1652">
        <v>235</v>
      </c>
      <c r="BX1652">
        <f>IF(C1652=C1651,IF((CI1652-1)=CI1651,BW1651,"no data"))</f>
        <v>246</v>
      </c>
      <c r="BY1652" s="5">
        <f t="shared" si="186"/>
        <v>-4.4715447154471545E-2</v>
      </c>
      <c r="BZ1652" s="6">
        <f t="shared" si="185"/>
        <v>-4.4715447154471545E-2</v>
      </c>
      <c r="CA1652" s="7">
        <v>43415</v>
      </c>
      <c r="CE1652">
        <v>46</v>
      </c>
      <c r="CF1652">
        <v>65</v>
      </c>
      <c r="CG1652">
        <v>72</v>
      </c>
      <c r="CH1652">
        <v>52</v>
      </c>
      <c r="CI1652">
        <f t="shared" si="182"/>
        <v>2018</v>
      </c>
      <c r="CJ1652" t="str">
        <f t="shared" si="183"/>
        <v>6673_2018</v>
      </c>
    </row>
    <row r="1653" spans="1:88" x14ac:dyDescent="0.25">
      <c r="A1653" t="s">
        <v>140</v>
      </c>
      <c r="B1653" t="s">
        <v>143</v>
      </c>
      <c r="C1653">
        <v>6688</v>
      </c>
      <c r="D1653">
        <v>-32.157063000000001</v>
      </c>
      <c r="E1653">
        <v>115.856302</v>
      </c>
      <c r="F1653">
        <v>3</v>
      </c>
      <c r="G1653" t="s">
        <v>625</v>
      </c>
      <c r="H1653">
        <v>24</v>
      </c>
      <c r="I1653">
        <v>204</v>
      </c>
      <c r="J1653">
        <v>197</v>
      </c>
      <c r="K1653">
        <v>17</v>
      </c>
      <c r="L1653">
        <v>258</v>
      </c>
      <c r="M1653">
        <v>78</v>
      </c>
      <c r="T1653">
        <v>64</v>
      </c>
      <c r="U1653">
        <v>20</v>
      </c>
      <c r="Y1653">
        <v>146</v>
      </c>
      <c r="Z1653">
        <v>7</v>
      </c>
      <c r="AD1653">
        <v>11</v>
      </c>
      <c r="AE1653">
        <v>2</v>
      </c>
      <c r="AX1653">
        <v>84</v>
      </c>
      <c r="AY1653">
        <v>157</v>
      </c>
      <c r="AZ1653">
        <v>241</v>
      </c>
      <c r="BA1653">
        <v>153</v>
      </c>
      <c r="BB1653">
        <v>66</v>
      </c>
      <c r="BC1653">
        <v>219</v>
      </c>
      <c r="BD1653">
        <v>13</v>
      </c>
      <c r="BE1653">
        <v>27</v>
      </c>
      <c r="BF1653">
        <v>40</v>
      </c>
      <c r="BP1653">
        <v>238</v>
      </c>
      <c r="BR1653">
        <v>2</v>
      </c>
      <c r="BS1653">
        <v>8</v>
      </c>
      <c r="BT1653">
        <v>0</v>
      </c>
      <c r="BV1653">
        <v>2</v>
      </c>
      <c r="BW1653">
        <v>250</v>
      </c>
      <c r="BX1653" t="s">
        <v>82</v>
      </c>
      <c r="BY1653" s="5"/>
      <c r="BZ1653" s="6"/>
      <c r="CA1653" s="7">
        <v>42687</v>
      </c>
      <c r="CE1653">
        <v>130</v>
      </c>
      <c r="CF1653">
        <v>57</v>
      </c>
      <c r="CG1653">
        <v>45</v>
      </c>
      <c r="CH1653">
        <v>18</v>
      </c>
      <c r="CI1653">
        <f t="shared" si="182"/>
        <v>2016</v>
      </c>
      <c r="CJ1653" t="str">
        <f t="shared" si="183"/>
        <v>6688_2016</v>
      </c>
    </row>
    <row r="1654" spans="1:88" x14ac:dyDescent="0.25">
      <c r="A1654" t="s">
        <v>140</v>
      </c>
      <c r="B1654" t="s">
        <v>143</v>
      </c>
      <c r="C1654">
        <v>6688</v>
      </c>
      <c r="D1654">
        <v>-32.1571</v>
      </c>
      <c r="E1654">
        <v>115.8563</v>
      </c>
      <c r="F1654">
        <v>3</v>
      </c>
      <c r="G1654" t="s">
        <v>625</v>
      </c>
      <c r="H1654">
        <v>24</v>
      </c>
      <c r="I1654">
        <v>204</v>
      </c>
      <c r="J1654">
        <v>197</v>
      </c>
      <c r="K1654">
        <v>17</v>
      </c>
      <c r="L1654">
        <v>258</v>
      </c>
      <c r="M1654">
        <v>78</v>
      </c>
      <c r="T1654">
        <v>25</v>
      </c>
      <c r="U1654">
        <v>2</v>
      </c>
      <c r="Y1654">
        <v>37</v>
      </c>
      <c r="Z1654">
        <v>13</v>
      </c>
      <c r="AD1654">
        <v>3</v>
      </c>
      <c r="AE1654">
        <v>10</v>
      </c>
      <c r="AX1654">
        <v>27</v>
      </c>
      <c r="AY1654">
        <v>40</v>
      </c>
      <c r="AZ1654">
        <v>67</v>
      </c>
      <c r="BA1654">
        <v>50</v>
      </c>
      <c r="BB1654">
        <v>35</v>
      </c>
      <c r="BC1654">
        <v>85</v>
      </c>
      <c r="BD1654">
        <v>13</v>
      </c>
      <c r="BE1654">
        <v>15</v>
      </c>
      <c r="BF1654">
        <v>28</v>
      </c>
      <c r="BP1654">
        <v>75</v>
      </c>
      <c r="BR1654">
        <v>10</v>
      </c>
      <c r="BS1654">
        <v>4</v>
      </c>
      <c r="BT1654">
        <v>1</v>
      </c>
      <c r="BV1654">
        <v>0</v>
      </c>
      <c r="BW1654">
        <v>90</v>
      </c>
      <c r="BX1654" t="str">
        <f>IF(C1654=C1653,IF((CI1654-1)=CI1653,BW1653,"no data"))</f>
        <v>no data</v>
      </c>
      <c r="BY1654" s="5"/>
      <c r="BZ1654" s="6"/>
      <c r="CA1654" s="7">
        <v>43779</v>
      </c>
      <c r="CC1654">
        <v>0</v>
      </c>
      <c r="CD1654">
        <v>11</v>
      </c>
      <c r="CE1654">
        <v>39</v>
      </c>
      <c r="CF1654">
        <v>40</v>
      </c>
      <c r="CI1654">
        <f t="shared" si="182"/>
        <v>2019</v>
      </c>
      <c r="CJ1654" t="str">
        <f t="shared" si="183"/>
        <v>6688_2019</v>
      </c>
    </row>
    <row r="1655" spans="1:88" x14ac:dyDescent="0.25">
      <c r="A1655" t="s">
        <v>140</v>
      </c>
      <c r="B1655" t="s">
        <v>143</v>
      </c>
      <c r="C1655">
        <v>6688</v>
      </c>
      <c r="D1655">
        <v>-32.1571</v>
      </c>
      <c r="E1655">
        <v>115.8563</v>
      </c>
      <c r="F1655">
        <v>3</v>
      </c>
      <c r="G1655" t="s">
        <v>625</v>
      </c>
      <c r="H1655">
        <v>24</v>
      </c>
      <c r="I1655">
        <v>204</v>
      </c>
      <c r="J1655">
        <v>197</v>
      </c>
      <c r="K1655">
        <v>17</v>
      </c>
      <c r="L1655">
        <v>258</v>
      </c>
      <c r="M1655">
        <v>78</v>
      </c>
      <c r="T1655">
        <v>115</v>
      </c>
      <c r="U1655">
        <v>22</v>
      </c>
      <c r="Y1655">
        <v>81</v>
      </c>
      <c r="Z1655">
        <v>16</v>
      </c>
      <c r="AD1655">
        <v>13</v>
      </c>
      <c r="AE1655">
        <v>8</v>
      </c>
      <c r="AX1655">
        <v>137</v>
      </c>
      <c r="AY1655">
        <v>94</v>
      </c>
      <c r="AZ1655">
        <v>231</v>
      </c>
      <c r="BA1655">
        <v>97</v>
      </c>
      <c r="BB1655">
        <v>123</v>
      </c>
      <c r="BC1655">
        <v>220</v>
      </c>
      <c r="BD1655">
        <v>21</v>
      </c>
      <c r="BE1655">
        <v>38</v>
      </c>
      <c r="BF1655">
        <v>59</v>
      </c>
      <c r="BP1655">
        <v>227</v>
      </c>
      <c r="BR1655">
        <v>14</v>
      </c>
      <c r="BS1655">
        <v>7</v>
      </c>
      <c r="BT1655">
        <v>6</v>
      </c>
      <c r="BV1655">
        <v>1</v>
      </c>
      <c r="BW1655">
        <v>255</v>
      </c>
      <c r="BX1655">
        <f>IF(C1655=C1654,IF((CI1655-1)=CI1654,BW1654,"no data"))</f>
        <v>90</v>
      </c>
      <c r="BY1655" s="5">
        <f t="shared" si="186"/>
        <v>1.8333333333333333</v>
      </c>
      <c r="BZ1655" s="6">
        <f t="shared" si="185"/>
        <v>1.8333333333333333</v>
      </c>
      <c r="CA1655" s="7">
        <v>44143</v>
      </c>
      <c r="CC1655">
        <v>64</v>
      </c>
      <c r="CD1655">
        <v>68</v>
      </c>
      <c r="CE1655">
        <v>89</v>
      </c>
      <c r="CF1655">
        <v>34</v>
      </c>
      <c r="CI1655">
        <f t="shared" si="182"/>
        <v>2020</v>
      </c>
      <c r="CJ1655" t="str">
        <f t="shared" si="183"/>
        <v>6688_2020</v>
      </c>
    </row>
    <row r="1656" spans="1:88" x14ac:dyDescent="0.25">
      <c r="A1656" t="s">
        <v>140</v>
      </c>
      <c r="B1656" t="s">
        <v>143</v>
      </c>
      <c r="C1656">
        <v>6688</v>
      </c>
      <c r="D1656">
        <v>-32.157051000000003</v>
      </c>
      <c r="E1656">
        <v>115.85628199999999</v>
      </c>
      <c r="F1656">
        <v>3</v>
      </c>
      <c r="G1656" t="s">
        <v>625</v>
      </c>
      <c r="H1656">
        <v>24</v>
      </c>
      <c r="I1656">
        <v>204</v>
      </c>
      <c r="J1656">
        <v>197</v>
      </c>
      <c r="K1656">
        <v>17</v>
      </c>
      <c r="L1656">
        <v>258</v>
      </c>
      <c r="M1656">
        <v>78</v>
      </c>
      <c r="T1656">
        <v>125</v>
      </c>
      <c r="U1656">
        <v>16</v>
      </c>
      <c r="Y1656">
        <v>91</v>
      </c>
      <c r="Z1656">
        <v>14</v>
      </c>
      <c r="AD1656">
        <v>22</v>
      </c>
      <c r="AE1656">
        <v>8</v>
      </c>
      <c r="AX1656">
        <v>141</v>
      </c>
      <c r="AY1656">
        <v>113</v>
      </c>
      <c r="AZ1656">
        <v>254</v>
      </c>
      <c r="BA1656">
        <v>105</v>
      </c>
      <c r="BB1656">
        <v>133</v>
      </c>
      <c r="BC1656">
        <v>238</v>
      </c>
      <c r="BD1656">
        <v>30</v>
      </c>
      <c r="BE1656">
        <v>30</v>
      </c>
      <c r="BF1656">
        <v>60</v>
      </c>
      <c r="BP1656">
        <v>256</v>
      </c>
      <c r="BR1656">
        <v>15</v>
      </c>
      <c r="BS1656">
        <v>3</v>
      </c>
      <c r="BT1656">
        <v>2</v>
      </c>
      <c r="BV1656">
        <v>0</v>
      </c>
      <c r="BW1656">
        <v>276</v>
      </c>
      <c r="BX1656">
        <f>IF(C1656=C1655,IF((CI1656-1)=CI1655,BW1655,"no data"))</f>
        <v>255</v>
      </c>
      <c r="BY1656" s="5">
        <f t="shared" si="186"/>
        <v>8.2352941176470587E-2</v>
      </c>
      <c r="BZ1656" s="6">
        <f t="shared" si="185"/>
        <v>8.2352941176470587E-2</v>
      </c>
      <c r="CA1656" s="7">
        <v>44528</v>
      </c>
      <c r="CC1656">
        <v>88</v>
      </c>
      <c r="CD1656">
        <v>133</v>
      </c>
      <c r="CE1656">
        <v>55</v>
      </c>
      <c r="CI1656">
        <f t="shared" si="182"/>
        <v>2021</v>
      </c>
      <c r="CJ1656" t="str">
        <f t="shared" si="183"/>
        <v>6688_2021</v>
      </c>
    </row>
    <row r="1657" spans="1:88" x14ac:dyDescent="0.25">
      <c r="A1657" t="s">
        <v>140</v>
      </c>
      <c r="B1657" t="s">
        <v>143</v>
      </c>
      <c r="C1657">
        <v>6691</v>
      </c>
      <c r="D1657">
        <v>-32.090347999999999</v>
      </c>
      <c r="E1657">
        <v>115.81604900000001</v>
      </c>
      <c r="F1657">
        <v>4</v>
      </c>
      <c r="G1657" t="s">
        <v>626</v>
      </c>
      <c r="H1657">
        <v>17</v>
      </c>
      <c r="I1657">
        <v>197</v>
      </c>
      <c r="J1657">
        <v>102</v>
      </c>
      <c r="K1657">
        <v>282</v>
      </c>
      <c r="L1657">
        <v>191</v>
      </c>
      <c r="M1657">
        <v>11</v>
      </c>
      <c r="N1657">
        <v>281</v>
      </c>
      <c r="O1657">
        <v>101</v>
      </c>
      <c r="T1657">
        <v>0</v>
      </c>
      <c r="U1657">
        <v>8</v>
      </c>
      <c r="V1657">
        <v>3</v>
      </c>
      <c r="Y1657">
        <v>0</v>
      </c>
      <c r="Z1657">
        <v>1</v>
      </c>
      <c r="AA1657">
        <v>37</v>
      </c>
      <c r="AD1657">
        <v>3</v>
      </c>
      <c r="AE1657">
        <v>3</v>
      </c>
      <c r="AF1657">
        <v>7</v>
      </c>
      <c r="AI1657">
        <v>4</v>
      </c>
      <c r="AJ1657">
        <v>44</v>
      </c>
      <c r="AK1657">
        <v>4</v>
      </c>
      <c r="AX1657">
        <v>11</v>
      </c>
      <c r="AY1657">
        <v>7</v>
      </c>
      <c r="AZ1657">
        <v>18</v>
      </c>
      <c r="BA1657">
        <v>38</v>
      </c>
      <c r="BB1657">
        <v>47</v>
      </c>
      <c r="BC1657">
        <v>85</v>
      </c>
      <c r="BD1657">
        <v>13</v>
      </c>
      <c r="BE1657">
        <v>13</v>
      </c>
      <c r="BF1657">
        <v>26</v>
      </c>
      <c r="BG1657">
        <v>52</v>
      </c>
      <c r="BH1657">
        <v>47</v>
      </c>
      <c r="BI1657">
        <v>99</v>
      </c>
      <c r="BP1657">
        <v>58</v>
      </c>
      <c r="BR1657">
        <v>40</v>
      </c>
      <c r="BS1657">
        <v>1</v>
      </c>
      <c r="BT1657">
        <v>9</v>
      </c>
      <c r="BV1657">
        <v>6</v>
      </c>
      <c r="BW1657">
        <v>114</v>
      </c>
      <c r="BX1657" t="s">
        <v>82</v>
      </c>
      <c r="BY1657" s="5"/>
      <c r="BZ1657" s="6"/>
      <c r="CA1657" s="7">
        <v>42687</v>
      </c>
      <c r="CE1657">
        <v>51</v>
      </c>
      <c r="CF1657">
        <v>23</v>
      </c>
      <c r="CG1657">
        <v>26</v>
      </c>
      <c r="CH1657">
        <v>14</v>
      </c>
      <c r="CI1657">
        <f t="shared" si="182"/>
        <v>2016</v>
      </c>
      <c r="CJ1657" t="str">
        <f t="shared" si="183"/>
        <v>6691_2016</v>
      </c>
    </row>
    <row r="1658" spans="1:88" x14ac:dyDescent="0.25">
      <c r="A1658" t="s">
        <v>140</v>
      </c>
      <c r="B1658" t="s">
        <v>143</v>
      </c>
      <c r="C1658">
        <v>6691</v>
      </c>
      <c r="D1658">
        <v>-32.090499999999999</v>
      </c>
      <c r="E1658">
        <v>115.8163</v>
      </c>
      <c r="F1658">
        <v>4</v>
      </c>
      <c r="G1658" t="s">
        <v>626</v>
      </c>
      <c r="H1658">
        <v>17</v>
      </c>
      <c r="I1658">
        <v>197</v>
      </c>
      <c r="J1658">
        <v>102</v>
      </c>
      <c r="K1658">
        <v>282</v>
      </c>
      <c r="L1658">
        <v>191</v>
      </c>
      <c r="M1658">
        <v>11</v>
      </c>
      <c r="N1658">
        <v>281</v>
      </c>
      <c r="O1658">
        <v>101</v>
      </c>
      <c r="T1658">
        <v>9</v>
      </c>
      <c r="U1658">
        <v>9</v>
      </c>
      <c r="V1658">
        <v>5</v>
      </c>
      <c r="Y1658">
        <v>4</v>
      </c>
      <c r="Z1658">
        <v>3</v>
      </c>
      <c r="AA1658">
        <v>24</v>
      </c>
      <c r="AD1658">
        <v>4</v>
      </c>
      <c r="AE1658">
        <v>1</v>
      </c>
      <c r="AF1658">
        <v>6</v>
      </c>
      <c r="AI1658">
        <v>3</v>
      </c>
      <c r="AJ1658">
        <v>27</v>
      </c>
      <c r="AK1658">
        <v>7</v>
      </c>
      <c r="AX1658">
        <v>23</v>
      </c>
      <c r="AY1658">
        <v>11</v>
      </c>
      <c r="AZ1658">
        <v>34</v>
      </c>
      <c r="BA1658">
        <v>31</v>
      </c>
      <c r="BB1658">
        <v>37</v>
      </c>
      <c r="BC1658">
        <v>68</v>
      </c>
      <c r="BD1658">
        <v>11</v>
      </c>
      <c r="BE1658">
        <v>19</v>
      </c>
      <c r="BF1658">
        <v>30</v>
      </c>
      <c r="BG1658">
        <v>37</v>
      </c>
      <c r="BH1658">
        <v>35</v>
      </c>
      <c r="BI1658">
        <v>72</v>
      </c>
      <c r="BP1658">
        <v>43</v>
      </c>
      <c r="BR1658">
        <v>28</v>
      </c>
      <c r="BS1658">
        <v>18</v>
      </c>
      <c r="BT1658">
        <v>13</v>
      </c>
      <c r="BV1658">
        <v>0</v>
      </c>
      <c r="BW1658">
        <v>102</v>
      </c>
      <c r="BX1658" t="str">
        <f>IF(C1658=C1657,IF((CI1658-1)=CI1657,BW1657,"no data"))</f>
        <v>no data</v>
      </c>
      <c r="BY1658" s="5"/>
      <c r="BZ1658" s="6"/>
      <c r="CA1658" s="7">
        <v>43779</v>
      </c>
      <c r="CC1658">
        <v>22</v>
      </c>
      <c r="CD1658">
        <v>17</v>
      </c>
      <c r="CE1658">
        <v>38</v>
      </c>
      <c r="CF1658">
        <v>25</v>
      </c>
      <c r="CI1658">
        <f t="shared" si="182"/>
        <v>2019</v>
      </c>
      <c r="CJ1658" t="str">
        <f t="shared" si="183"/>
        <v>6691_2019</v>
      </c>
    </row>
    <row r="1659" spans="1:88" x14ac:dyDescent="0.25">
      <c r="A1659" t="s">
        <v>140</v>
      </c>
      <c r="B1659" t="s">
        <v>143</v>
      </c>
      <c r="C1659">
        <v>6691</v>
      </c>
      <c r="D1659">
        <v>-32.090499999999999</v>
      </c>
      <c r="E1659">
        <v>115.8163</v>
      </c>
      <c r="F1659">
        <v>4</v>
      </c>
      <c r="G1659" t="s">
        <v>626</v>
      </c>
      <c r="H1659">
        <v>17</v>
      </c>
      <c r="I1659">
        <v>197</v>
      </c>
      <c r="J1659">
        <v>102</v>
      </c>
      <c r="K1659">
        <v>282</v>
      </c>
      <c r="L1659">
        <v>191</v>
      </c>
      <c r="M1659">
        <v>11</v>
      </c>
      <c r="N1659">
        <v>281</v>
      </c>
      <c r="O1659">
        <v>101</v>
      </c>
      <c r="T1659">
        <v>9</v>
      </c>
      <c r="U1659">
        <v>6</v>
      </c>
      <c r="V1659">
        <v>9</v>
      </c>
      <c r="Y1659">
        <v>6</v>
      </c>
      <c r="Z1659">
        <v>1</v>
      </c>
      <c r="AA1659">
        <v>28</v>
      </c>
      <c r="AD1659">
        <v>2</v>
      </c>
      <c r="AE1659">
        <v>0</v>
      </c>
      <c r="AF1659">
        <v>16</v>
      </c>
      <c r="AI1659">
        <v>5</v>
      </c>
      <c r="AJ1659">
        <v>36</v>
      </c>
      <c r="AK1659">
        <v>2</v>
      </c>
      <c r="AX1659">
        <v>24</v>
      </c>
      <c r="AY1659">
        <v>13</v>
      </c>
      <c r="AZ1659">
        <v>37</v>
      </c>
      <c r="BA1659">
        <v>35</v>
      </c>
      <c r="BB1659">
        <v>45</v>
      </c>
      <c r="BC1659">
        <v>80</v>
      </c>
      <c r="BD1659">
        <v>18</v>
      </c>
      <c r="BE1659">
        <v>9</v>
      </c>
      <c r="BF1659">
        <v>27</v>
      </c>
      <c r="BG1659">
        <v>43</v>
      </c>
      <c r="BH1659">
        <v>53</v>
      </c>
      <c r="BI1659">
        <v>96</v>
      </c>
      <c r="BP1659">
        <v>67</v>
      </c>
      <c r="BR1659">
        <v>29</v>
      </c>
      <c r="BS1659">
        <v>9</v>
      </c>
      <c r="BT1659">
        <v>14</v>
      </c>
      <c r="BV1659">
        <v>1</v>
      </c>
      <c r="BW1659">
        <v>120</v>
      </c>
      <c r="BX1659">
        <f>IF(C1659=C1658,IF((CI1659-1)=CI1658,BW1658,"no data"))</f>
        <v>102</v>
      </c>
      <c r="BY1659" s="5">
        <f t="shared" si="186"/>
        <v>0.17647058823529413</v>
      </c>
      <c r="BZ1659" s="6">
        <f t="shared" si="185"/>
        <v>0.17647058823529413</v>
      </c>
      <c r="CA1659" s="7">
        <v>44143</v>
      </c>
      <c r="CC1659">
        <v>28</v>
      </c>
      <c r="CD1659">
        <v>23</v>
      </c>
      <c r="CE1659">
        <v>37</v>
      </c>
      <c r="CF1659">
        <v>32</v>
      </c>
      <c r="CI1659">
        <f t="shared" si="182"/>
        <v>2020</v>
      </c>
      <c r="CJ1659" t="str">
        <f t="shared" si="183"/>
        <v>6691_2020</v>
      </c>
    </row>
    <row r="1660" spans="1:88" x14ac:dyDescent="0.25">
      <c r="A1660" t="s">
        <v>140</v>
      </c>
      <c r="B1660" t="s">
        <v>143</v>
      </c>
      <c r="C1660">
        <v>6691</v>
      </c>
      <c r="D1660">
        <v>-32.090505</v>
      </c>
      <c r="E1660">
        <v>115.81628000000001</v>
      </c>
      <c r="F1660">
        <v>4</v>
      </c>
      <c r="G1660" t="s">
        <v>626</v>
      </c>
      <c r="H1660">
        <v>17</v>
      </c>
      <c r="I1660">
        <v>197</v>
      </c>
      <c r="J1660">
        <v>102</v>
      </c>
      <c r="K1660">
        <v>282</v>
      </c>
      <c r="L1660">
        <v>191</v>
      </c>
      <c r="M1660">
        <v>11</v>
      </c>
      <c r="N1660">
        <v>281</v>
      </c>
      <c r="O1660">
        <v>101</v>
      </c>
      <c r="T1660">
        <v>3</v>
      </c>
      <c r="U1660">
        <v>3</v>
      </c>
      <c r="V1660">
        <v>3</v>
      </c>
      <c r="Y1660">
        <v>1</v>
      </c>
      <c r="Z1660">
        <v>0</v>
      </c>
      <c r="AA1660">
        <v>16</v>
      </c>
      <c r="AD1660">
        <v>2</v>
      </c>
      <c r="AE1660">
        <v>1</v>
      </c>
      <c r="AF1660">
        <v>5</v>
      </c>
      <c r="AI1660">
        <v>2</v>
      </c>
      <c r="AJ1660">
        <v>21</v>
      </c>
      <c r="AK1660">
        <v>3</v>
      </c>
      <c r="AX1660">
        <v>9</v>
      </c>
      <c r="AY1660">
        <v>5</v>
      </c>
      <c r="AZ1660">
        <v>14</v>
      </c>
      <c r="BA1660">
        <v>17</v>
      </c>
      <c r="BB1660">
        <v>25</v>
      </c>
      <c r="BC1660">
        <v>42</v>
      </c>
      <c r="BD1660">
        <v>8</v>
      </c>
      <c r="BE1660">
        <v>6</v>
      </c>
      <c r="BF1660">
        <v>14</v>
      </c>
      <c r="BG1660">
        <v>26</v>
      </c>
      <c r="BH1660">
        <v>24</v>
      </c>
      <c r="BI1660">
        <v>50</v>
      </c>
      <c r="BP1660">
        <v>38</v>
      </c>
      <c r="BR1660">
        <v>12</v>
      </c>
      <c r="BS1660">
        <v>3</v>
      </c>
      <c r="BT1660">
        <v>4</v>
      </c>
      <c r="BV1660">
        <v>3</v>
      </c>
      <c r="BW1660">
        <v>60</v>
      </c>
      <c r="BX1660">
        <f>IF(C1660=C1659,IF((CI1660-1)=CI1659,BW1659,"no data"))</f>
        <v>120</v>
      </c>
      <c r="BY1660" s="5">
        <f t="shared" si="186"/>
        <v>-0.5</v>
      </c>
      <c r="BZ1660" s="6">
        <f t="shared" si="185"/>
        <v>-0.5</v>
      </c>
      <c r="CA1660" s="7">
        <v>44528</v>
      </c>
      <c r="CC1660">
        <v>26</v>
      </c>
      <c r="CD1660">
        <v>13</v>
      </c>
      <c r="CE1660">
        <v>21</v>
      </c>
      <c r="CI1660">
        <f t="shared" si="182"/>
        <v>2021</v>
      </c>
      <c r="CJ1660" t="str">
        <f t="shared" si="183"/>
        <v>6691_2021</v>
      </c>
    </row>
    <row r="1661" spans="1:88" x14ac:dyDescent="0.25">
      <c r="A1661" t="s">
        <v>79</v>
      </c>
      <c r="B1661" t="s">
        <v>80</v>
      </c>
      <c r="C1661">
        <v>6713</v>
      </c>
      <c r="D1661">
        <v>-33.909235000000002</v>
      </c>
      <c r="E1661">
        <v>151.178012</v>
      </c>
      <c r="F1661">
        <v>2</v>
      </c>
      <c r="G1661" t="s">
        <v>627</v>
      </c>
      <c r="H1661">
        <v>37</v>
      </c>
      <c r="I1661">
        <v>217</v>
      </c>
      <c r="J1661">
        <v>233</v>
      </c>
      <c r="K1661">
        <v>53</v>
      </c>
      <c r="T1661">
        <v>96</v>
      </c>
      <c r="Y1661">
        <v>126</v>
      </c>
      <c r="AX1661">
        <v>96</v>
      </c>
      <c r="AY1661">
        <v>126</v>
      </c>
      <c r="AZ1661">
        <v>222</v>
      </c>
      <c r="BA1661">
        <v>126</v>
      </c>
      <c r="BB1661">
        <v>96</v>
      </c>
      <c r="BC1661">
        <v>222</v>
      </c>
      <c r="BP1661">
        <v>26</v>
      </c>
      <c r="BR1661">
        <v>165</v>
      </c>
      <c r="BS1661">
        <v>13</v>
      </c>
      <c r="BT1661">
        <v>15</v>
      </c>
      <c r="BV1661">
        <v>3</v>
      </c>
      <c r="BW1661">
        <v>222</v>
      </c>
      <c r="BX1661" t="s">
        <v>82</v>
      </c>
      <c r="BY1661" s="5"/>
      <c r="BZ1661" s="6"/>
      <c r="CA1661" s="7">
        <v>42687</v>
      </c>
      <c r="CE1661">
        <v>61</v>
      </c>
      <c r="CF1661">
        <v>45</v>
      </c>
      <c r="CG1661">
        <v>59</v>
      </c>
      <c r="CH1661">
        <v>57</v>
      </c>
      <c r="CI1661">
        <f t="shared" si="182"/>
        <v>2016</v>
      </c>
      <c r="CJ1661" t="str">
        <f t="shared" si="183"/>
        <v>6713_2016</v>
      </c>
    </row>
    <row r="1662" spans="1:88" x14ac:dyDescent="0.25">
      <c r="A1662" t="s">
        <v>79</v>
      </c>
      <c r="B1662" t="s">
        <v>80</v>
      </c>
      <c r="C1662">
        <v>6713</v>
      </c>
      <c r="D1662">
        <v>-33.909235000000002</v>
      </c>
      <c r="E1662">
        <v>151.178012</v>
      </c>
      <c r="F1662">
        <v>2</v>
      </c>
      <c r="G1662" t="s">
        <v>627</v>
      </c>
      <c r="H1662">
        <v>37</v>
      </c>
      <c r="I1662">
        <v>217</v>
      </c>
      <c r="J1662">
        <v>233</v>
      </c>
      <c r="K1662">
        <v>53</v>
      </c>
      <c r="T1662">
        <v>74</v>
      </c>
      <c r="Y1662">
        <v>74</v>
      </c>
      <c r="AX1662">
        <v>74</v>
      </c>
      <c r="AY1662">
        <v>74</v>
      </c>
      <c r="AZ1662">
        <v>148</v>
      </c>
      <c r="BA1662">
        <v>74</v>
      </c>
      <c r="BB1662">
        <v>74</v>
      </c>
      <c r="BC1662">
        <v>148</v>
      </c>
      <c r="BP1662">
        <v>24</v>
      </c>
      <c r="BR1662">
        <v>115</v>
      </c>
      <c r="BS1662">
        <v>1</v>
      </c>
      <c r="BT1662">
        <v>4</v>
      </c>
      <c r="BV1662">
        <v>4</v>
      </c>
      <c r="BW1662">
        <v>148</v>
      </c>
      <c r="BX1662">
        <f>IF(C1662=C1661,IF((CI1662-1)=CI1661,BW1661,"no data"))</f>
        <v>222</v>
      </c>
      <c r="BY1662" s="5">
        <f t="shared" si="186"/>
        <v>-0.33333333333333331</v>
      </c>
      <c r="BZ1662" s="6">
        <f t="shared" si="185"/>
        <v>-0.33333333333333331</v>
      </c>
      <c r="CA1662" s="7">
        <v>43051</v>
      </c>
      <c r="CE1662">
        <v>28</v>
      </c>
      <c r="CF1662">
        <v>43</v>
      </c>
      <c r="CG1662">
        <v>38</v>
      </c>
      <c r="CH1662">
        <v>39</v>
      </c>
      <c r="CI1662">
        <f t="shared" si="182"/>
        <v>2017</v>
      </c>
      <c r="CJ1662" t="str">
        <f t="shared" si="183"/>
        <v>6713_2017</v>
      </c>
    </row>
    <row r="1663" spans="1:88" x14ac:dyDescent="0.25">
      <c r="A1663" t="s">
        <v>79</v>
      </c>
      <c r="B1663" t="s">
        <v>80</v>
      </c>
      <c r="C1663">
        <v>6713</v>
      </c>
      <c r="D1663">
        <v>-33.909235000000002</v>
      </c>
      <c r="E1663">
        <v>151.178012</v>
      </c>
      <c r="F1663">
        <v>2</v>
      </c>
      <c r="G1663" t="s">
        <v>627</v>
      </c>
      <c r="H1663">
        <v>37</v>
      </c>
      <c r="I1663">
        <v>217</v>
      </c>
      <c r="J1663">
        <v>233</v>
      </c>
      <c r="K1663">
        <v>53</v>
      </c>
      <c r="T1663">
        <v>73</v>
      </c>
      <c r="Y1663">
        <v>110</v>
      </c>
      <c r="AX1663">
        <v>73</v>
      </c>
      <c r="AY1663">
        <v>110</v>
      </c>
      <c r="AZ1663">
        <v>183</v>
      </c>
      <c r="BA1663">
        <v>110</v>
      </c>
      <c r="BB1663">
        <v>73</v>
      </c>
      <c r="BC1663">
        <v>183</v>
      </c>
      <c r="BP1663">
        <v>12</v>
      </c>
      <c r="BR1663">
        <v>139</v>
      </c>
      <c r="BS1663">
        <v>4</v>
      </c>
      <c r="BT1663">
        <v>25</v>
      </c>
      <c r="BV1663">
        <v>3</v>
      </c>
      <c r="BW1663">
        <v>183</v>
      </c>
      <c r="BX1663">
        <f>IF(C1663=C1662,IF((CI1663-1)=CI1662,BW1662,"no data"))</f>
        <v>148</v>
      </c>
      <c r="BY1663" s="5">
        <f t="shared" si="186"/>
        <v>0.23648648648648649</v>
      </c>
      <c r="BZ1663" s="6">
        <f t="shared" si="185"/>
        <v>0.23648648648648649</v>
      </c>
      <c r="CA1663" s="7">
        <v>43415</v>
      </c>
      <c r="CE1663">
        <v>47</v>
      </c>
      <c r="CF1663">
        <v>63</v>
      </c>
      <c r="CG1663">
        <v>37</v>
      </c>
      <c r="CH1663">
        <v>36</v>
      </c>
      <c r="CI1663">
        <f t="shared" si="182"/>
        <v>2018</v>
      </c>
      <c r="CJ1663" t="str">
        <f t="shared" si="183"/>
        <v>6713_2018</v>
      </c>
    </row>
    <row r="1664" spans="1:88" x14ac:dyDescent="0.25">
      <c r="A1664" t="s">
        <v>79</v>
      </c>
      <c r="B1664" t="s">
        <v>80</v>
      </c>
      <c r="C1664">
        <v>6716</v>
      </c>
      <c r="D1664">
        <v>-33.894053</v>
      </c>
      <c r="E1664">
        <v>151.16414399999999</v>
      </c>
      <c r="F1664">
        <v>4</v>
      </c>
      <c r="G1664" t="s">
        <v>628</v>
      </c>
      <c r="H1664">
        <v>14</v>
      </c>
      <c r="I1664">
        <v>194</v>
      </c>
      <c r="J1664">
        <v>85</v>
      </c>
      <c r="K1664">
        <v>265</v>
      </c>
      <c r="L1664">
        <v>170</v>
      </c>
      <c r="M1664">
        <v>350</v>
      </c>
      <c r="N1664">
        <v>281</v>
      </c>
      <c r="O1664">
        <v>101</v>
      </c>
      <c r="T1664">
        <v>57</v>
      </c>
      <c r="U1664">
        <v>169</v>
      </c>
      <c r="V1664">
        <v>31</v>
      </c>
      <c r="Y1664">
        <v>56</v>
      </c>
      <c r="Z1664">
        <v>48</v>
      </c>
      <c r="AA1664">
        <v>42</v>
      </c>
      <c r="AD1664">
        <v>125</v>
      </c>
      <c r="AE1664">
        <v>37</v>
      </c>
      <c r="AF1664">
        <v>24</v>
      </c>
      <c r="AI1664">
        <v>35</v>
      </c>
      <c r="AJ1664">
        <v>36</v>
      </c>
      <c r="AK1664">
        <v>37</v>
      </c>
      <c r="AX1664">
        <v>257</v>
      </c>
      <c r="AY1664">
        <v>216</v>
      </c>
      <c r="AZ1664">
        <v>473</v>
      </c>
      <c r="BA1664">
        <v>146</v>
      </c>
      <c r="BB1664">
        <v>130</v>
      </c>
      <c r="BC1664">
        <v>276</v>
      </c>
      <c r="BD1664">
        <v>186</v>
      </c>
      <c r="BE1664">
        <v>254</v>
      </c>
      <c r="BF1664">
        <v>440</v>
      </c>
      <c r="BG1664">
        <v>108</v>
      </c>
      <c r="BH1664">
        <v>97</v>
      </c>
      <c r="BI1664">
        <v>205</v>
      </c>
      <c r="BP1664">
        <v>80</v>
      </c>
      <c r="BR1664">
        <v>571</v>
      </c>
      <c r="BS1664">
        <v>13</v>
      </c>
      <c r="BT1664">
        <v>22</v>
      </c>
      <c r="BV1664">
        <v>11</v>
      </c>
      <c r="BW1664">
        <v>697</v>
      </c>
      <c r="BX1664" t="s">
        <v>82</v>
      </c>
      <c r="BY1664" s="5"/>
      <c r="BZ1664" s="6"/>
      <c r="CA1664" s="7">
        <v>42715</v>
      </c>
      <c r="CE1664">
        <v>62</v>
      </c>
      <c r="CF1664">
        <v>57</v>
      </c>
      <c r="CG1664">
        <v>281</v>
      </c>
      <c r="CH1664">
        <v>297</v>
      </c>
      <c r="CI1664">
        <f t="shared" si="182"/>
        <v>2016</v>
      </c>
      <c r="CJ1664" t="str">
        <f t="shared" si="183"/>
        <v>6716_2016</v>
      </c>
    </row>
    <row r="1665" spans="1:88" x14ac:dyDescent="0.25">
      <c r="A1665" t="s">
        <v>79</v>
      </c>
      <c r="B1665" t="s">
        <v>80</v>
      </c>
      <c r="C1665">
        <v>6716</v>
      </c>
      <c r="D1665">
        <v>-33.894053</v>
      </c>
      <c r="E1665">
        <v>151.16414399999999</v>
      </c>
      <c r="F1665">
        <v>4</v>
      </c>
      <c r="G1665" t="s">
        <v>628</v>
      </c>
      <c r="H1665">
        <v>14</v>
      </c>
      <c r="I1665">
        <v>194</v>
      </c>
      <c r="J1665">
        <v>85</v>
      </c>
      <c r="K1665">
        <v>265</v>
      </c>
      <c r="L1665">
        <v>170</v>
      </c>
      <c r="M1665">
        <v>350</v>
      </c>
      <c r="N1665">
        <v>281</v>
      </c>
      <c r="O1665">
        <v>101</v>
      </c>
      <c r="T1665">
        <v>16</v>
      </c>
      <c r="U1665">
        <v>367</v>
      </c>
      <c r="V1665">
        <v>19</v>
      </c>
      <c r="Y1665">
        <v>16</v>
      </c>
      <c r="Z1665">
        <v>79</v>
      </c>
      <c r="AA1665">
        <v>49</v>
      </c>
      <c r="AD1665">
        <v>238</v>
      </c>
      <c r="AE1665">
        <v>67</v>
      </c>
      <c r="AF1665">
        <v>19</v>
      </c>
      <c r="AI1665">
        <v>22</v>
      </c>
      <c r="AJ1665">
        <v>44</v>
      </c>
      <c r="AK1665">
        <v>47</v>
      </c>
      <c r="AX1665">
        <v>402</v>
      </c>
      <c r="AY1665">
        <v>276</v>
      </c>
      <c r="AZ1665">
        <v>678</v>
      </c>
      <c r="BA1665">
        <v>144</v>
      </c>
      <c r="BB1665">
        <v>127</v>
      </c>
      <c r="BC1665">
        <v>271</v>
      </c>
      <c r="BD1665">
        <v>324</v>
      </c>
      <c r="BE1665">
        <v>493</v>
      </c>
      <c r="BF1665">
        <v>817</v>
      </c>
      <c r="BG1665">
        <v>113</v>
      </c>
      <c r="BH1665">
        <v>87</v>
      </c>
      <c r="BI1665">
        <v>200</v>
      </c>
      <c r="BP1665">
        <v>69</v>
      </c>
      <c r="BR1665">
        <v>889</v>
      </c>
      <c r="BS1665">
        <v>4</v>
      </c>
      <c r="BT1665">
        <v>16</v>
      </c>
      <c r="BV1665">
        <v>5</v>
      </c>
      <c r="BW1665">
        <v>983</v>
      </c>
      <c r="BX1665">
        <f>IF(C1665=C1664,IF((CI1665-1)=CI1664,BW1664,"no data"))</f>
        <v>697</v>
      </c>
      <c r="BY1665" s="5">
        <f t="shared" si="186"/>
        <v>0.41032998565279771</v>
      </c>
      <c r="BZ1665" s="6">
        <f t="shared" si="185"/>
        <v>0.41032998565279771</v>
      </c>
      <c r="CA1665" s="7">
        <v>43051</v>
      </c>
      <c r="CE1665">
        <v>203</v>
      </c>
      <c r="CF1665">
        <v>256</v>
      </c>
      <c r="CG1665">
        <v>298</v>
      </c>
      <c r="CH1665">
        <v>226</v>
      </c>
      <c r="CI1665">
        <f t="shared" si="182"/>
        <v>2017</v>
      </c>
      <c r="CJ1665" t="str">
        <f t="shared" si="183"/>
        <v>6716_2017</v>
      </c>
    </row>
    <row r="1666" spans="1:88" x14ac:dyDescent="0.25">
      <c r="A1666" t="s">
        <v>79</v>
      </c>
      <c r="B1666" t="s">
        <v>80</v>
      </c>
      <c r="C1666">
        <v>6716</v>
      </c>
      <c r="D1666">
        <v>-33.894053</v>
      </c>
      <c r="E1666">
        <v>151.16414399999999</v>
      </c>
      <c r="F1666">
        <v>4</v>
      </c>
      <c r="G1666" t="s">
        <v>628</v>
      </c>
      <c r="H1666">
        <v>14</v>
      </c>
      <c r="I1666">
        <v>194</v>
      </c>
      <c r="J1666">
        <v>85</v>
      </c>
      <c r="K1666">
        <v>265</v>
      </c>
      <c r="L1666">
        <v>170</v>
      </c>
      <c r="M1666">
        <v>350</v>
      </c>
      <c r="N1666">
        <v>281</v>
      </c>
      <c r="O1666">
        <v>101</v>
      </c>
      <c r="T1666">
        <v>8</v>
      </c>
      <c r="U1666">
        <v>402</v>
      </c>
      <c r="V1666">
        <v>42</v>
      </c>
      <c r="Y1666">
        <v>31</v>
      </c>
      <c r="Z1666">
        <v>50</v>
      </c>
      <c r="AA1666">
        <v>93</v>
      </c>
      <c r="AD1666">
        <v>210</v>
      </c>
      <c r="AE1666">
        <v>32</v>
      </c>
      <c r="AF1666">
        <v>32</v>
      </c>
      <c r="AI1666">
        <v>43</v>
      </c>
      <c r="AJ1666">
        <v>103</v>
      </c>
      <c r="AK1666">
        <v>74</v>
      </c>
      <c r="AX1666">
        <v>452</v>
      </c>
      <c r="AY1666">
        <v>284</v>
      </c>
      <c r="AZ1666">
        <v>736</v>
      </c>
      <c r="BA1666">
        <v>174</v>
      </c>
      <c r="BB1666">
        <v>143</v>
      </c>
      <c r="BC1666">
        <v>317</v>
      </c>
      <c r="BD1666">
        <v>274</v>
      </c>
      <c r="BE1666">
        <v>526</v>
      </c>
      <c r="BF1666">
        <v>800</v>
      </c>
      <c r="BG1666">
        <v>220</v>
      </c>
      <c r="BH1666">
        <v>167</v>
      </c>
      <c r="BI1666">
        <v>387</v>
      </c>
      <c r="BP1666">
        <v>108</v>
      </c>
      <c r="BR1666">
        <v>956</v>
      </c>
      <c r="BS1666">
        <v>5</v>
      </c>
      <c r="BT1666">
        <v>27</v>
      </c>
      <c r="BV1666">
        <v>24</v>
      </c>
      <c r="BW1666">
        <v>1120</v>
      </c>
      <c r="BX1666">
        <f>IF(C1666=C1665,IF((CI1666-1)=CI1665,BW1665,"no data"))</f>
        <v>983</v>
      </c>
      <c r="BY1666" s="5">
        <f t="shared" si="186"/>
        <v>0.13936927772126145</v>
      </c>
      <c r="BZ1666" s="6">
        <f t="shared" si="185"/>
        <v>0.13936927772126145</v>
      </c>
      <c r="CA1666" s="7">
        <v>43415</v>
      </c>
      <c r="CE1666">
        <v>278</v>
      </c>
      <c r="CF1666">
        <v>283</v>
      </c>
      <c r="CG1666">
        <v>273</v>
      </c>
      <c r="CH1666">
        <v>286</v>
      </c>
      <c r="CI1666">
        <f t="shared" si="182"/>
        <v>2018</v>
      </c>
      <c r="CJ1666" t="str">
        <f t="shared" si="183"/>
        <v>6716_2018</v>
      </c>
    </row>
    <row r="1667" spans="1:88" x14ac:dyDescent="0.25">
      <c r="A1667" t="s">
        <v>111</v>
      </c>
      <c r="B1667" t="s">
        <v>114</v>
      </c>
      <c r="C1667">
        <v>6726</v>
      </c>
      <c r="D1667">
        <v>-37.808903999999998</v>
      </c>
      <c r="E1667">
        <v>145.01024799999999</v>
      </c>
      <c r="F1667">
        <v>4</v>
      </c>
      <c r="G1667" t="s">
        <v>629</v>
      </c>
      <c r="H1667">
        <v>9</v>
      </c>
      <c r="I1667">
        <v>189</v>
      </c>
      <c r="J1667">
        <v>99</v>
      </c>
      <c r="K1667">
        <v>279</v>
      </c>
      <c r="L1667">
        <v>190</v>
      </c>
      <c r="M1667">
        <v>10</v>
      </c>
      <c r="N1667">
        <v>333</v>
      </c>
      <c r="O1667">
        <v>153</v>
      </c>
      <c r="T1667">
        <v>28</v>
      </c>
      <c r="U1667">
        <v>83</v>
      </c>
      <c r="V1667">
        <v>4</v>
      </c>
      <c r="Y1667">
        <v>13</v>
      </c>
      <c r="Z1667">
        <v>42</v>
      </c>
      <c r="AA1667">
        <v>12</v>
      </c>
      <c r="AD1667">
        <v>80</v>
      </c>
      <c r="AE1667">
        <v>46</v>
      </c>
      <c r="AF1667">
        <v>91</v>
      </c>
      <c r="AI1667">
        <v>10</v>
      </c>
      <c r="AJ1667">
        <v>6</v>
      </c>
      <c r="AK1667">
        <v>131</v>
      </c>
      <c r="AX1667">
        <v>115</v>
      </c>
      <c r="AY1667">
        <v>103</v>
      </c>
      <c r="AZ1667">
        <v>218</v>
      </c>
      <c r="BA1667">
        <v>67</v>
      </c>
      <c r="BB1667">
        <v>80</v>
      </c>
      <c r="BC1667">
        <v>147</v>
      </c>
      <c r="BD1667">
        <v>217</v>
      </c>
      <c r="BE1667">
        <v>256</v>
      </c>
      <c r="BF1667">
        <v>473</v>
      </c>
      <c r="BG1667">
        <v>147</v>
      </c>
      <c r="BH1667">
        <v>107</v>
      </c>
      <c r="BI1667">
        <v>254</v>
      </c>
      <c r="BP1667">
        <v>242</v>
      </c>
      <c r="BR1667">
        <v>190</v>
      </c>
      <c r="BS1667">
        <v>92</v>
      </c>
      <c r="BT1667">
        <v>22</v>
      </c>
      <c r="BV1667">
        <v>0</v>
      </c>
      <c r="BW1667">
        <v>546</v>
      </c>
      <c r="BX1667" t="s">
        <v>82</v>
      </c>
      <c r="BY1667" s="5"/>
      <c r="BZ1667" s="6"/>
      <c r="CA1667" s="7">
        <v>42687</v>
      </c>
      <c r="CE1667">
        <v>155</v>
      </c>
      <c r="CF1667">
        <v>145</v>
      </c>
      <c r="CG1667">
        <v>122</v>
      </c>
      <c r="CH1667">
        <v>124</v>
      </c>
      <c r="CI1667">
        <f t="shared" ref="CI1667:CI1730" si="188">YEAR(CA1667)</f>
        <v>2016</v>
      </c>
      <c r="CJ1667" t="str">
        <f t="shared" ref="CJ1667:CJ1730" si="189">_xlfn.CONCAT(C1667,"_",CI1667)</f>
        <v>6726_2016</v>
      </c>
    </row>
    <row r="1668" spans="1:88" x14ac:dyDescent="0.25">
      <c r="A1668" t="s">
        <v>111</v>
      </c>
      <c r="B1668" t="s">
        <v>114</v>
      </c>
      <c r="C1668">
        <v>6726</v>
      </c>
      <c r="D1668">
        <v>-37.808903999999998</v>
      </c>
      <c r="E1668">
        <v>145.01024799999999</v>
      </c>
      <c r="F1668">
        <v>4</v>
      </c>
      <c r="G1668" t="s">
        <v>629</v>
      </c>
      <c r="H1668">
        <v>9</v>
      </c>
      <c r="I1668">
        <v>189</v>
      </c>
      <c r="J1668">
        <v>99</v>
      </c>
      <c r="K1668">
        <v>279</v>
      </c>
      <c r="L1668">
        <v>190</v>
      </c>
      <c r="M1668">
        <v>10</v>
      </c>
      <c r="N1668">
        <v>333</v>
      </c>
      <c r="O1668">
        <v>153</v>
      </c>
      <c r="T1668">
        <v>78</v>
      </c>
      <c r="U1668">
        <v>273</v>
      </c>
      <c r="V1668">
        <v>6</v>
      </c>
      <c r="Y1668">
        <v>58</v>
      </c>
      <c r="Z1668">
        <v>33</v>
      </c>
      <c r="AA1668">
        <v>2</v>
      </c>
      <c r="AD1668">
        <v>222</v>
      </c>
      <c r="AE1668">
        <v>35</v>
      </c>
      <c r="AF1668">
        <v>418</v>
      </c>
      <c r="AI1668">
        <v>18</v>
      </c>
      <c r="AJ1668">
        <v>9</v>
      </c>
      <c r="AK1668">
        <v>358</v>
      </c>
      <c r="AX1668">
        <v>357</v>
      </c>
      <c r="AY1668">
        <v>298</v>
      </c>
      <c r="AZ1668">
        <v>655</v>
      </c>
      <c r="BA1668">
        <v>93</v>
      </c>
      <c r="BB1668">
        <v>122</v>
      </c>
      <c r="BC1668">
        <v>215</v>
      </c>
      <c r="BD1668">
        <v>675</v>
      </c>
      <c r="BE1668">
        <v>664</v>
      </c>
      <c r="BF1668">
        <v>1339</v>
      </c>
      <c r="BG1668">
        <v>385</v>
      </c>
      <c r="BH1668">
        <v>426</v>
      </c>
      <c r="BI1668">
        <v>811</v>
      </c>
      <c r="BP1668">
        <v>830</v>
      </c>
      <c r="BR1668">
        <v>441</v>
      </c>
      <c r="BS1668">
        <v>136</v>
      </c>
      <c r="BT1668">
        <v>37</v>
      </c>
      <c r="BV1668">
        <v>66</v>
      </c>
      <c r="BW1668">
        <v>1510</v>
      </c>
      <c r="BX1668" t="str">
        <f>IF(C1668=C1667,IF((CI1668-1)=CI1667,BW1667,"no data"))</f>
        <v>no data</v>
      </c>
      <c r="BY1668" s="5"/>
      <c r="BZ1668" s="6"/>
      <c r="CA1668" s="7">
        <v>43415</v>
      </c>
      <c r="CE1668">
        <v>408</v>
      </c>
      <c r="CF1668">
        <v>368</v>
      </c>
      <c r="CG1668">
        <v>391</v>
      </c>
      <c r="CH1668">
        <v>343</v>
      </c>
      <c r="CI1668">
        <f t="shared" si="188"/>
        <v>2018</v>
      </c>
      <c r="CJ1668" t="str">
        <f t="shared" si="189"/>
        <v>6726_2018</v>
      </c>
    </row>
    <row r="1669" spans="1:88" x14ac:dyDescent="0.25">
      <c r="A1669" t="s">
        <v>111</v>
      </c>
      <c r="B1669" t="s">
        <v>114</v>
      </c>
      <c r="C1669">
        <v>6726</v>
      </c>
      <c r="D1669">
        <v>-37.808900000000001</v>
      </c>
      <c r="E1669">
        <v>145.0102</v>
      </c>
      <c r="F1669">
        <v>4</v>
      </c>
      <c r="G1669" t="s">
        <v>629</v>
      </c>
      <c r="H1669">
        <v>9</v>
      </c>
      <c r="I1669">
        <v>189</v>
      </c>
      <c r="J1669">
        <v>99</v>
      </c>
      <c r="K1669">
        <v>279</v>
      </c>
      <c r="L1669">
        <v>190</v>
      </c>
      <c r="M1669">
        <v>10</v>
      </c>
      <c r="N1669">
        <v>333</v>
      </c>
      <c r="O1669">
        <v>153</v>
      </c>
      <c r="T1669">
        <v>61</v>
      </c>
      <c r="U1669">
        <v>254</v>
      </c>
      <c r="V1669">
        <v>12</v>
      </c>
      <c r="Y1669">
        <v>60</v>
      </c>
      <c r="Z1669">
        <v>38</v>
      </c>
      <c r="AA1669">
        <v>16</v>
      </c>
      <c r="AD1669">
        <v>146</v>
      </c>
      <c r="AE1669">
        <v>40</v>
      </c>
      <c r="AF1669">
        <v>324</v>
      </c>
      <c r="AI1669">
        <v>24</v>
      </c>
      <c r="AJ1669">
        <v>11</v>
      </c>
      <c r="AK1669">
        <v>243</v>
      </c>
      <c r="AX1669">
        <v>327</v>
      </c>
      <c r="AY1669">
        <v>230</v>
      </c>
      <c r="AZ1669">
        <v>557</v>
      </c>
      <c r="BA1669">
        <v>114</v>
      </c>
      <c r="BB1669">
        <v>112</v>
      </c>
      <c r="BC1669">
        <v>226</v>
      </c>
      <c r="BD1669">
        <v>510</v>
      </c>
      <c r="BE1669">
        <v>535</v>
      </c>
      <c r="BF1669">
        <v>1045</v>
      </c>
      <c r="BG1669">
        <v>278</v>
      </c>
      <c r="BH1669">
        <v>352</v>
      </c>
      <c r="BI1669">
        <v>630</v>
      </c>
      <c r="BP1669">
        <v>623</v>
      </c>
      <c r="BR1669">
        <v>367</v>
      </c>
      <c r="BS1669">
        <v>123</v>
      </c>
      <c r="BT1669">
        <v>42</v>
      </c>
      <c r="BV1669">
        <v>74</v>
      </c>
      <c r="BW1669">
        <v>1229</v>
      </c>
      <c r="BX1669">
        <f>IF(C1669=C1668,IF((CI1669-1)=CI1668,BW1668,"no data"))</f>
        <v>1510</v>
      </c>
      <c r="BY1669" s="5">
        <f t="shared" si="186"/>
        <v>-0.18609271523178808</v>
      </c>
      <c r="BZ1669" s="6">
        <f t="shared" ref="BZ1669:BZ1731" si="190">BY1669</f>
        <v>-0.18609271523178808</v>
      </c>
      <c r="CA1669" s="7">
        <v>43779</v>
      </c>
      <c r="CE1669">
        <v>334</v>
      </c>
      <c r="CF1669">
        <v>364</v>
      </c>
      <c r="CG1669">
        <v>283</v>
      </c>
      <c r="CH1669">
        <v>248</v>
      </c>
      <c r="CI1669">
        <f t="shared" si="188"/>
        <v>2019</v>
      </c>
      <c r="CJ1669" t="str">
        <f t="shared" si="189"/>
        <v>6726_2019</v>
      </c>
    </row>
    <row r="1670" spans="1:88" x14ac:dyDescent="0.25">
      <c r="A1670" t="s">
        <v>111</v>
      </c>
      <c r="B1670" t="s">
        <v>114</v>
      </c>
      <c r="C1670">
        <v>6726</v>
      </c>
      <c r="D1670">
        <v>-37.808900000000001</v>
      </c>
      <c r="E1670">
        <v>145.0102</v>
      </c>
      <c r="F1670">
        <v>4</v>
      </c>
      <c r="G1670" t="s">
        <v>629</v>
      </c>
      <c r="H1670">
        <v>9</v>
      </c>
      <c r="I1670">
        <v>189</v>
      </c>
      <c r="J1670">
        <v>99</v>
      </c>
      <c r="K1670">
        <v>279</v>
      </c>
      <c r="L1670">
        <v>190</v>
      </c>
      <c r="M1670">
        <v>10</v>
      </c>
      <c r="N1670">
        <v>333</v>
      </c>
      <c r="O1670">
        <v>153</v>
      </c>
      <c r="T1670">
        <v>57</v>
      </c>
      <c r="U1670">
        <v>577</v>
      </c>
      <c r="V1670">
        <v>19</v>
      </c>
      <c r="Y1670">
        <v>27</v>
      </c>
      <c r="Z1670">
        <v>65</v>
      </c>
      <c r="AA1670">
        <v>36</v>
      </c>
      <c r="AD1670">
        <v>319</v>
      </c>
      <c r="AE1670">
        <v>53</v>
      </c>
      <c r="AF1670">
        <v>694</v>
      </c>
      <c r="AI1670">
        <v>15</v>
      </c>
      <c r="AJ1670">
        <v>28</v>
      </c>
      <c r="AK1670">
        <v>529</v>
      </c>
      <c r="AX1670">
        <v>653</v>
      </c>
      <c r="AY1670">
        <v>361</v>
      </c>
      <c r="AZ1670">
        <v>1014</v>
      </c>
      <c r="BA1670">
        <v>128</v>
      </c>
      <c r="BB1670">
        <v>138</v>
      </c>
      <c r="BC1670">
        <v>266</v>
      </c>
      <c r="BD1670">
        <v>1066</v>
      </c>
      <c r="BE1670">
        <v>1171</v>
      </c>
      <c r="BF1670">
        <v>2237</v>
      </c>
      <c r="BG1670">
        <v>572</v>
      </c>
      <c r="BH1670">
        <v>749</v>
      </c>
      <c r="BI1670">
        <v>1321</v>
      </c>
      <c r="BP1670">
        <v>1481</v>
      </c>
      <c r="BR1670">
        <v>619</v>
      </c>
      <c r="BS1670">
        <v>232</v>
      </c>
      <c r="BT1670">
        <v>72</v>
      </c>
      <c r="BV1670">
        <v>15</v>
      </c>
      <c r="BW1670">
        <v>2419</v>
      </c>
      <c r="BX1670">
        <f>IF(C1670=C1669,IF((CI1670-1)=CI1669,BW1669,"no data"))</f>
        <v>1229</v>
      </c>
      <c r="BY1670" s="5">
        <f t="shared" si="186"/>
        <v>0.96826688364524005</v>
      </c>
      <c r="BZ1670" s="6">
        <f t="shared" si="190"/>
        <v>0.96826688364524005</v>
      </c>
      <c r="CA1670" s="7">
        <v>44143</v>
      </c>
      <c r="CE1670">
        <v>630</v>
      </c>
      <c r="CF1670">
        <v>607</v>
      </c>
      <c r="CG1670">
        <v>629</v>
      </c>
      <c r="CH1670">
        <v>553</v>
      </c>
      <c r="CI1670">
        <f t="shared" si="188"/>
        <v>2020</v>
      </c>
      <c r="CJ1670" t="str">
        <f t="shared" si="189"/>
        <v>6726_2020</v>
      </c>
    </row>
    <row r="1671" spans="1:88" x14ac:dyDescent="0.25">
      <c r="A1671" t="s">
        <v>111</v>
      </c>
      <c r="B1671" t="s">
        <v>114</v>
      </c>
      <c r="C1671">
        <v>6726</v>
      </c>
      <c r="D1671">
        <v>-37.808903999999998</v>
      </c>
      <c r="E1671">
        <v>145.01024799999999</v>
      </c>
      <c r="F1671">
        <v>4</v>
      </c>
      <c r="G1671" t="s">
        <v>629</v>
      </c>
      <c r="H1671">
        <v>9</v>
      </c>
      <c r="I1671">
        <v>189</v>
      </c>
      <c r="J1671">
        <v>99</v>
      </c>
      <c r="K1671">
        <v>279</v>
      </c>
      <c r="L1671">
        <v>190</v>
      </c>
      <c r="M1671">
        <v>10</v>
      </c>
      <c r="N1671">
        <v>333</v>
      </c>
      <c r="O1671">
        <v>153</v>
      </c>
      <c r="T1671">
        <v>20</v>
      </c>
      <c r="U1671">
        <v>291</v>
      </c>
      <c r="V1671">
        <v>18</v>
      </c>
      <c r="Y1671">
        <v>21</v>
      </c>
      <c r="Z1671">
        <v>33</v>
      </c>
      <c r="AA1671">
        <v>11</v>
      </c>
      <c r="AD1671">
        <v>193</v>
      </c>
      <c r="AE1671">
        <v>26</v>
      </c>
      <c r="AF1671">
        <v>241</v>
      </c>
      <c r="AI1671">
        <v>6</v>
      </c>
      <c r="AJ1671">
        <v>0</v>
      </c>
      <c r="AK1671">
        <v>176</v>
      </c>
      <c r="AX1671">
        <v>329</v>
      </c>
      <c r="AY1671">
        <v>220</v>
      </c>
      <c r="AZ1671">
        <v>549</v>
      </c>
      <c r="BA1671">
        <v>65</v>
      </c>
      <c r="BB1671">
        <v>46</v>
      </c>
      <c r="BC1671">
        <v>111</v>
      </c>
      <c r="BD1671">
        <v>460</v>
      </c>
      <c r="BE1671">
        <v>500</v>
      </c>
      <c r="BF1671">
        <v>960</v>
      </c>
      <c r="BG1671">
        <v>182</v>
      </c>
      <c r="BH1671">
        <v>270</v>
      </c>
      <c r="BI1671">
        <v>452</v>
      </c>
      <c r="BP1671">
        <v>536</v>
      </c>
      <c r="BR1671">
        <v>358</v>
      </c>
      <c r="BS1671">
        <v>76</v>
      </c>
      <c r="BT1671">
        <v>49</v>
      </c>
      <c r="BV1671">
        <v>17</v>
      </c>
      <c r="BW1671">
        <v>1036</v>
      </c>
      <c r="BX1671">
        <f>IF(C1671=C1670,IF((CI1671-1)=CI1670,BW1670,"no data"))</f>
        <v>2419</v>
      </c>
      <c r="BY1671" s="5">
        <f t="shared" si="186"/>
        <v>-0.57172385283174865</v>
      </c>
      <c r="BZ1671" s="6">
        <f t="shared" si="190"/>
        <v>-0.57172385283174865</v>
      </c>
      <c r="CA1671" s="7">
        <v>44528</v>
      </c>
      <c r="CE1671">
        <v>320</v>
      </c>
      <c r="CF1671">
        <v>339</v>
      </c>
      <c r="CG1671">
        <v>377</v>
      </c>
      <c r="CI1671">
        <f t="shared" si="188"/>
        <v>2021</v>
      </c>
      <c r="CJ1671" t="str">
        <f t="shared" si="189"/>
        <v>6726_2021</v>
      </c>
    </row>
    <row r="1672" spans="1:88" x14ac:dyDescent="0.25">
      <c r="A1672" t="s">
        <v>111</v>
      </c>
      <c r="B1672" t="s">
        <v>114</v>
      </c>
      <c r="C1672">
        <v>6726</v>
      </c>
      <c r="D1672">
        <v>-37.808903999999998</v>
      </c>
      <c r="E1672">
        <v>145.01024799999999</v>
      </c>
      <c r="F1672">
        <v>4</v>
      </c>
      <c r="G1672" t="s">
        <v>629</v>
      </c>
      <c r="H1672">
        <v>9</v>
      </c>
      <c r="I1672">
        <v>189</v>
      </c>
      <c r="J1672">
        <v>99</v>
      </c>
      <c r="K1672">
        <v>279</v>
      </c>
      <c r="L1672">
        <v>190</v>
      </c>
      <c r="M1672">
        <v>10</v>
      </c>
      <c r="N1672">
        <v>333</v>
      </c>
      <c r="O1672">
        <v>153</v>
      </c>
      <c r="T1672">
        <v>67</v>
      </c>
      <c r="U1672">
        <v>0</v>
      </c>
      <c r="V1672">
        <v>23</v>
      </c>
      <c r="Y1672">
        <v>31</v>
      </c>
      <c r="Z1672">
        <v>0</v>
      </c>
      <c r="AA1672">
        <v>47</v>
      </c>
      <c r="AD1672">
        <v>0</v>
      </c>
      <c r="AE1672">
        <v>0</v>
      </c>
      <c r="AF1672">
        <v>0</v>
      </c>
      <c r="AI1672">
        <v>20</v>
      </c>
      <c r="AJ1672">
        <v>62</v>
      </c>
      <c r="AK1672">
        <v>0</v>
      </c>
      <c r="AX1672">
        <v>90</v>
      </c>
      <c r="AY1672">
        <v>51</v>
      </c>
      <c r="AZ1672">
        <v>141</v>
      </c>
      <c r="BA1672">
        <v>78</v>
      </c>
      <c r="BB1672">
        <v>129</v>
      </c>
      <c r="BC1672">
        <v>207</v>
      </c>
      <c r="BD1672">
        <v>0</v>
      </c>
      <c r="BE1672">
        <v>0</v>
      </c>
      <c r="BF1672">
        <v>0</v>
      </c>
      <c r="BG1672">
        <v>82</v>
      </c>
      <c r="BH1672">
        <v>70</v>
      </c>
      <c r="BI1672">
        <v>152</v>
      </c>
      <c r="BP1672">
        <v>115</v>
      </c>
      <c r="BR1672">
        <v>75</v>
      </c>
      <c r="BS1672">
        <v>31</v>
      </c>
      <c r="BT1672">
        <v>29</v>
      </c>
      <c r="BU1672">
        <v>0</v>
      </c>
      <c r="BV1672">
        <v>0</v>
      </c>
      <c r="BW1672">
        <v>250</v>
      </c>
      <c r="BX1672">
        <f>IF(C1672=C1671,IF((CI1672-1)=CI1671,BW1671,"no data"))</f>
        <v>1036</v>
      </c>
      <c r="BY1672" s="5">
        <f t="shared" si="186"/>
        <v>-0.75868725868725873</v>
      </c>
      <c r="BZ1672" s="6">
        <f t="shared" si="190"/>
        <v>-0.75868725868725873</v>
      </c>
      <c r="CA1672" s="7">
        <v>44878</v>
      </c>
      <c r="CE1672">
        <v>99</v>
      </c>
      <c r="CF1672">
        <v>85</v>
      </c>
      <c r="CG1672">
        <v>66</v>
      </c>
      <c r="CI1672">
        <f t="shared" si="188"/>
        <v>2022</v>
      </c>
      <c r="CJ1672" t="str">
        <f t="shared" si="189"/>
        <v>6726_2022</v>
      </c>
    </row>
    <row r="1673" spans="1:88" x14ac:dyDescent="0.25">
      <c r="A1673" t="s">
        <v>111</v>
      </c>
      <c r="B1673" t="s">
        <v>301</v>
      </c>
      <c r="C1673">
        <v>6825</v>
      </c>
      <c r="D1673">
        <v>-38.133499999999998</v>
      </c>
      <c r="E1673">
        <v>145.14449999999999</v>
      </c>
      <c r="F1673">
        <v>3</v>
      </c>
      <c r="G1673" t="s">
        <v>630</v>
      </c>
      <c r="H1673">
        <v>13</v>
      </c>
      <c r="I1673">
        <v>193</v>
      </c>
      <c r="J1673">
        <v>109</v>
      </c>
      <c r="K1673">
        <v>289</v>
      </c>
      <c r="L1673">
        <v>289</v>
      </c>
      <c r="M1673">
        <v>109</v>
      </c>
      <c r="T1673">
        <v>2</v>
      </c>
      <c r="U1673">
        <v>6</v>
      </c>
      <c r="Y1673">
        <v>5</v>
      </c>
      <c r="Z1673">
        <v>53</v>
      </c>
      <c r="AD1673">
        <v>4</v>
      </c>
      <c r="AE1673">
        <v>29</v>
      </c>
      <c r="AX1673">
        <v>8</v>
      </c>
      <c r="AY1673">
        <v>9</v>
      </c>
      <c r="AZ1673">
        <v>17</v>
      </c>
      <c r="BA1673">
        <v>58</v>
      </c>
      <c r="BB1673">
        <v>31</v>
      </c>
      <c r="BC1673">
        <v>89</v>
      </c>
      <c r="BD1673">
        <v>33</v>
      </c>
      <c r="BE1673">
        <v>59</v>
      </c>
      <c r="BF1673">
        <v>92</v>
      </c>
      <c r="BP1673">
        <v>27</v>
      </c>
      <c r="BR1673">
        <v>36</v>
      </c>
      <c r="BS1673">
        <v>3</v>
      </c>
      <c r="BT1673">
        <v>22</v>
      </c>
      <c r="BV1673">
        <v>11</v>
      </c>
      <c r="BW1673">
        <v>99</v>
      </c>
      <c r="BX1673" t="s">
        <v>82</v>
      </c>
      <c r="BY1673" s="5"/>
      <c r="BZ1673" s="6"/>
      <c r="CA1673" s="7">
        <v>42316</v>
      </c>
      <c r="CE1673">
        <v>11</v>
      </c>
      <c r="CF1673">
        <v>45</v>
      </c>
      <c r="CG1673">
        <v>20</v>
      </c>
      <c r="CH1673">
        <v>23</v>
      </c>
      <c r="CI1673">
        <f t="shared" si="188"/>
        <v>2015</v>
      </c>
      <c r="CJ1673" t="str">
        <f t="shared" si="189"/>
        <v>6825_2015</v>
      </c>
    </row>
    <row r="1674" spans="1:88" x14ac:dyDescent="0.25">
      <c r="A1674" t="s">
        <v>111</v>
      </c>
      <c r="B1674" t="s">
        <v>301</v>
      </c>
      <c r="C1674">
        <v>6825</v>
      </c>
      <c r="D1674">
        <v>-38.133527000000001</v>
      </c>
      <c r="E1674">
        <v>145.14454499999999</v>
      </c>
      <c r="F1674">
        <v>3</v>
      </c>
      <c r="G1674" t="s">
        <v>630</v>
      </c>
      <c r="H1674">
        <v>13</v>
      </c>
      <c r="I1674">
        <v>193</v>
      </c>
      <c r="J1674">
        <v>109</v>
      </c>
      <c r="K1674">
        <v>289</v>
      </c>
      <c r="L1674">
        <v>289</v>
      </c>
      <c r="M1674">
        <v>109</v>
      </c>
      <c r="T1674">
        <v>3</v>
      </c>
      <c r="U1674">
        <v>6</v>
      </c>
      <c r="Y1674">
        <v>4</v>
      </c>
      <c r="Z1674">
        <v>18</v>
      </c>
      <c r="AD1674">
        <v>8</v>
      </c>
      <c r="AE1674">
        <v>17</v>
      </c>
      <c r="AX1674">
        <v>9</v>
      </c>
      <c r="AY1674">
        <v>12</v>
      </c>
      <c r="AZ1674">
        <v>21</v>
      </c>
      <c r="BA1674">
        <v>22</v>
      </c>
      <c r="BB1674">
        <v>20</v>
      </c>
      <c r="BC1674">
        <v>42</v>
      </c>
      <c r="BD1674">
        <v>25</v>
      </c>
      <c r="BE1674">
        <v>24</v>
      </c>
      <c r="BF1674">
        <v>49</v>
      </c>
      <c r="BP1674">
        <v>9</v>
      </c>
      <c r="BR1674">
        <v>28</v>
      </c>
      <c r="BS1674">
        <v>3</v>
      </c>
      <c r="BT1674">
        <v>11</v>
      </c>
      <c r="BV1674">
        <v>5</v>
      </c>
      <c r="BW1674">
        <v>56</v>
      </c>
      <c r="BX1674">
        <f t="shared" ref="BX1674:BX1679" si="191">IF(C1674=C1673,IF((CI1674-1)=CI1673,BW1673,"no data"))</f>
        <v>99</v>
      </c>
      <c r="BY1674" s="5">
        <f t="shared" si="186"/>
        <v>-0.43434343434343436</v>
      </c>
      <c r="BZ1674" s="6">
        <f t="shared" si="190"/>
        <v>-0.43434343434343436</v>
      </c>
      <c r="CA1674" s="7">
        <v>42715</v>
      </c>
      <c r="CE1674">
        <v>15</v>
      </c>
      <c r="CF1674">
        <v>12</v>
      </c>
      <c r="CG1674">
        <v>14</v>
      </c>
      <c r="CH1674">
        <v>15</v>
      </c>
      <c r="CI1674">
        <f t="shared" si="188"/>
        <v>2016</v>
      </c>
      <c r="CJ1674" t="str">
        <f t="shared" si="189"/>
        <v>6825_2016</v>
      </c>
    </row>
    <row r="1675" spans="1:88" x14ac:dyDescent="0.25">
      <c r="A1675" t="s">
        <v>111</v>
      </c>
      <c r="B1675" t="s">
        <v>301</v>
      </c>
      <c r="C1675">
        <v>6825</v>
      </c>
      <c r="D1675">
        <v>-38.133527000000001</v>
      </c>
      <c r="E1675">
        <v>145.14454499999999</v>
      </c>
      <c r="F1675">
        <v>3</v>
      </c>
      <c r="G1675" t="s">
        <v>630</v>
      </c>
      <c r="H1675">
        <v>13</v>
      </c>
      <c r="I1675">
        <v>193</v>
      </c>
      <c r="J1675">
        <v>109</v>
      </c>
      <c r="K1675">
        <v>289</v>
      </c>
      <c r="L1675">
        <v>289</v>
      </c>
      <c r="M1675">
        <v>109</v>
      </c>
      <c r="T1675">
        <v>0</v>
      </c>
      <c r="U1675">
        <v>3</v>
      </c>
      <c r="Y1675">
        <v>0</v>
      </c>
      <c r="Z1675">
        <v>12</v>
      </c>
      <c r="AD1675">
        <v>2</v>
      </c>
      <c r="AE1675">
        <v>12</v>
      </c>
      <c r="AX1675">
        <v>3</v>
      </c>
      <c r="AY1675">
        <v>2</v>
      </c>
      <c r="AZ1675">
        <v>5</v>
      </c>
      <c r="BA1675">
        <v>12</v>
      </c>
      <c r="BB1675">
        <v>12</v>
      </c>
      <c r="BC1675">
        <v>24</v>
      </c>
      <c r="BD1675">
        <v>14</v>
      </c>
      <c r="BE1675">
        <v>15</v>
      </c>
      <c r="BF1675">
        <v>29</v>
      </c>
      <c r="BP1675">
        <v>4</v>
      </c>
      <c r="BR1675">
        <v>16</v>
      </c>
      <c r="BS1675">
        <v>0</v>
      </c>
      <c r="BT1675">
        <v>9</v>
      </c>
      <c r="BV1675">
        <v>0</v>
      </c>
      <c r="BW1675">
        <v>29</v>
      </c>
      <c r="BX1675">
        <f t="shared" si="191"/>
        <v>56</v>
      </c>
      <c r="BY1675" s="5">
        <f t="shared" si="186"/>
        <v>-0.48214285714285715</v>
      </c>
      <c r="BZ1675" s="6">
        <f t="shared" si="190"/>
        <v>-0.48214285714285715</v>
      </c>
      <c r="CA1675" s="7">
        <v>43051</v>
      </c>
      <c r="CE1675">
        <v>16</v>
      </c>
      <c r="CF1675">
        <v>13</v>
      </c>
      <c r="CG1675">
        <v>0</v>
      </c>
      <c r="CH1675">
        <v>0</v>
      </c>
      <c r="CI1675">
        <f t="shared" si="188"/>
        <v>2017</v>
      </c>
      <c r="CJ1675" t="str">
        <f t="shared" si="189"/>
        <v>6825_2017</v>
      </c>
    </row>
    <row r="1676" spans="1:88" x14ac:dyDescent="0.25">
      <c r="A1676" t="s">
        <v>111</v>
      </c>
      <c r="B1676" t="s">
        <v>301</v>
      </c>
      <c r="C1676">
        <v>6825</v>
      </c>
      <c r="D1676">
        <v>-38.133527000000001</v>
      </c>
      <c r="E1676">
        <v>145.14454499999999</v>
      </c>
      <c r="F1676">
        <v>3</v>
      </c>
      <c r="G1676" t="s">
        <v>630</v>
      </c>
      <c r="H1676">
        <v>13</v>
      </c>
      <c r="I1676">
        <v>193</v>
      </c>
      <c r="J1676">
        <v>109</v>
      </c>
      <c r="K1676">
        <v>289</v>
      </c>
      <c r="L1676">
        <v>289</v>
      </c>
      <c r="M1676">
        <v>109</v>
      </c>
      <c r="T1676">
        <v>4</v>
      </c>
      <c r="U1676">
        <v>10</v>
      </c>
      <c r="Y1676">
        <v>6</v>
      </c>
      <c r="Z1676">
        <v>12</v>
      </c>
      <c r="AD1676">
        <v>4</v>
      </c>
      <c r="AE1676">
        <v>7</v>
      </c>
      <c r="AX1676">
        <v>14</v>
      </c>
      <c r="AY1676">
        <v>10</v>
      </c>
      <c r="AZ1676">
        <v>24</v>
      </c>
      <c r="BA1676">
        <v>18</v>
      </c>
      <c r="BB1676">
        <v>11</v>
      </c>
      <c r="BC1676">
        <v>29</v>
      </c>
      <c r="BD1676">
        <v>11</v>
      </c>
      <c r="BE1676">
        <v>22</v>
      </c>
      <c r="BF1676">
        <v>33</v>
      </c>
      <c r="BP1676">
        <v>14</v>
      </c>
      <c r="BR1676">
        <v>13</v>
      </c>
      <c r="BS1676">
        <v>4</v>
      </c>
      <c r="BT1676">
        <v>10</v>
      </c>
      <c r="BV1676">
        <v>2</v>
      </c>
      <c r="BW1676">
        <v>43</v>
      </c>
      <c r="BX1676">
        <f t="shared" si="191"/>
        <v>29</v>
      </c>
      <c r="BY1676" s="5">
        <f t="shared" si="186"/>
        <v>0.48275862068965519</v>
      </c>
      <c r="BZ1676" s="6">
        <f t="shared" si="190"/>
        <v>0.48275862068965519</v>
      </c>
      <c r="CA1676" s="7">
        <v>43415</v>
      </c>
      <c r="CE1676">
        <v>14</v>
      </c>
      <c r="CF1676">
        <v>9</v>
      </c>
      <c r="CG1676">
        <v>17</v>
      </c>
      <c r="CH1676">
        <v>3</v>
      </c>
      <c r="CI1676">
        <f t="shared" si="188"/>
        <v>2018</v>
      </c>
      <c r="CJ1676" t="str">
        <f t="shared" si="189"/>
        <v>6825_2018</v>
      </c>
    </row>
    <row r="1677" spans="1:88" x14ac:dyDescent="0.25">
      <c r="A1677" t="s">
        <v>111</v>
      </c>
      <c r="B1677" t="s">
        <v>301</v>
      </c>
      <c r="C1677">
        <v>6825</v>
      </c>
      <c r="D1677">
        <v>-38.133499999999998</v>
      </c>
      <c r="E1677">
        <v>145.14449999999999</v>
      </c>
      <c r="F1677">
        <v>3</v>
      </c>
      <c r="G1677" t="s">
        <v>630</v>
      </c>
      <c r="H1677">
        <v>13</v>
      </c>
      <c r="I1677">
        <v>193</v>
      </c>
      <c r="J1677">
        <v>109</v>
      </c>
      <c r="K1677">
        <v>289</v>
      </c>
      <c r="L1677">
        <v>289</v>
      </c>
      <c r="M1677">
        <v>109</v>
      </c>
      <c r="T1677">
        <v>0</v>
      </c>
      <c r="U1677">
        <v>1</v>
      </c>
      <c r="Y1677">
        <v>2</v>
      </c>
      <c r="Z1677">
        <v>3</v>
      </c>
      <c r="AD1677">
        <v>2</v>
      </c>
      <c r="AE1677">
        <v>4</v>
      </c>
      <c r="AX1677">
        <v>1</v>
      </c>
      <c r="AY1677">
        <v>4</v>
      </c>
      <c r="AZ1677">
        <v>5</v>
      </c>
      <c r="BA1677">
        <v>5</v>
      </c>
      <c r="BB1677">
        <v>4</v>
      </c>
      <c r="BC1677">
        <v>9</v>
      </c>
      <c r="BD1677">
        <v>6</v>
      </c>
      <c r="BE1677">
        <v>4</v>
      </c>
      <c r="BF1677">
        <v>10</v>
      </c>
      <c r="BP1677">
        <v>4</v>
      </c>
      <c r="BR1677">
        <v>6</v>
      </c>
      <c r="BS1677">
        <v>0</v>
      </c>
      <c r="BT1677">
        <v>2</v>
      </c>
      <c r="BV1677">
        <v>0</v>
      </c>
      <c r="BW1677">
        <v>12</v>
      </c>
      <c r="BX1677">
        <f t="shared" si="191"/>
        <v>43</v>
      </c>
      <c r="BY1677" s="5">
        <f t="shared" si="186"/>
        <v>-0.72093023255813948</v>
      </c>
      <c r="BZ1677" s="6">
        <f t="shared" si="190"/>
        <v>-0.72093023255813948</v>
      </c>
      <c r="CA1677" s="7">
        <v>43779</v>
      </c>
      <c r="CE1677">
        <v>1</v>
      </c>
      <c r="CF1677">
        <v>8</v>
      </c>
      <c r="CG1677">
        <v>0</v>
      </c>
      <c r="CH1677">
        <v>3</v>
      </c>
      <c r="CI1677">
        <f t="shared" si="188"/>
        <v>2019</v>
      </c>
      <c r="CJ1677" t="str">
        <f t="shared" si="189"/>
        <v>6825_2019</v>
      </c>
    </row>
    <row r="1678" spans="1:88" x14ac:dyDescent="0.25">
      <c r="A1678" t="s">
        <v>111</v>
      </c>
      <c r="B1678" t="s">
        <v>301</v>
      </c>
      <c r="C1678">
        <v>6825</v>
      </c>
      <c r="D1678">
        <v>-38.133499999999998</v>
      </c>
      <c r="E1678">
        <v>145.14449999999999</v>
      </c>
      <c r="F1678">
        <v>3</v>
      </c>
      <c r="G1678" t="s">
        <v>630</v>
      </c>
      <c r="H1678">
        <v>13</v>
      </c>
      <c r="I1678">
        <v>193</v>
      </c>
      <c r="J1678">
        <v>109</v>
      </c>
      <c r="K1678">
        <v>289</v>
      </c>
      <c r="L1678">
        <v>289</v>
      </c>
      <c r="M1678">
        <v>109</v>
      </c>
      <c r="T1678">
        <v>4</v>
      </c>
      <c r="U1678">
        <v>5</v>
      </c>
      <c r="Y1678">
        <v>4</v>
      </c>
      <c r="Z1678">
        <v>9</v>
      </c>
      <c r="AD1678">
        <v>6</v>
      </c>
      <c r="AE1678">
        <v>14</v>
      </c>
      <c r="AX1678">
        <v>9</v>
      </c>
      <c r="AY1678">
        <v>10</v>
      </c>
      <c r="AZ1678">
        <v>19</v>
      </c>
      <c r="BA1678">
        <v>13</v>
      </c>
      <c r="BB1678">
        <v>18</v>
      </c>
      <c r="BC1678">
        <v>31</v>
      </c>
      <c r="BD1678">
        <v>20</v>
      </c>
      <c r="BE1678">
        <v>14</v>
      </c>
      <c r="BF1678">
        <v>34</v>
      </c>
      <c r="BP1678">
        <v>3</v>
      </c>
      <c r="BR1678">
        <v>18</v>
      </c>
      <c r="BS1678">
        <v>8</v>
      </c>
      <c r="BT1678">
        <v>12</v>
      </c>
      <c r="BV1678">
        <v>1</v>
      </c>
      <c r="BW1678">
        <v>42</v>
      </c>
      <c r="BX1678">
        <f t="shared" si="191"/>
        <v>12</v>
      </c>
      <c r="BY1678" s="5">
        <f t="shared" si="186"/>
        <v>2.5</v>
      </c>
      <c r="BZ1678" s="6">
        <f t="shared" si="190"/>
        <v>2.5</v>
      </c>
      <c r="CA1678" s="7">
        <v>44145</v>
      </c>
      <c r="CE1678">
        <v>10</v>
      </c>
      <c r="CF1678">
        <v>16</v>
      </c>
      <c r="CG1678">
        <v>8</v>
      </c>
      <c r="CH1678">
        <v>8</v>
      </c>
      <c r="CI1678">
        <f t="shared" si="188"/>
        <v>2020</v>
      </c>
      <c r="CJ1678" t="str">
        <f t="shared" si="189"/>
        <v>6825_2020</v>
      </c>
    </row>
    <row r="1679" spans="1:88" x14ac:dyDescent="0.25">
      <c r="A1679" t="s">
        <v>111</v>
      </c>
      <c r="B1679" t="s">
        <v>301</v>
      </c>
      <c r="C1679">
        <v>6825</v>
      </c>
      <c r="D1679">
        <v>-38.133527000000001</v>
      </c>
      <c r="E1679">
        <v>145.14454499999999</v>
      </c>
      <c r="F1679">
        <v>3</v>
      </c>
      <c r="G1679" t="s">
        <v>630</v>
      </c>
      <c r="H1679">
        <v>13</v>
      </c>
      <c r="I1679">
        <v>193</v>
      </c>
      <c r="J1679">
        <v>109</v>
      </c>
      <c r="K1679">
        <v>289</v>
      </c>
      <c r="L1679">
        <v>289</v>
      </c>
      <c r="M1679">
        <v>109</v>
      </c>
      <c r="T1679">
        <v>4</v>
      </c>
      <c r="U1679">
        <v>7</v>
      </c>
      <c r="Y1679">
        <v>4</v>
      </c>
      <c r="Z1679">
        <v>14</v>
      </c>
      <c r="AD1679">
        <v>7</v>
      </c>
      <c r="AE1679">
        <v>9</v>
      </c>
      <c r="AX1679">
        <v>11</v>
      </c>
      <c r="AY1679">
        <v>11</v>
      </c>
      <c r="AZ1679">
        <v>22</v>
      </c>
      <c r="BA1679">
        <v>18</v>
      </c>
      <c r="BB1679">
        <v>13</v>
      </c>
      <c r="BC1679">
        <v>31</v>
      </c>
      <c r="BD1679">
        <v>16</v>
      </c>
      <c r="BE1679">
        <v>21</v>
      </c>
      <c r="BF1679">
        <v>37</v>
      </c>
      <c r="BP1679">
        <v>8</v>
      </c>
      <c r="BR1679">
        <v>20</v>
      </c>
      <c r="BS1679">
        <v>8</v>
      </c>
      <c r="BT1679">
        <v>7</v>
      </c>
      <c r="BV1679">
        <v>2</v>
      </c>
      <c r="BW1679">
        <v>45</v>
      </c>
      <c r="BX1679">
        <f t="shared" si="191"/>
        <v>42</v>
      </c>
      <c r="BY1679" s="5">
        <f t="shared" si="186"/>
        <v>7.1428571428571425E-2</v>
      </c>
      <c r="BZ1679" s="6">
        <f t="shared" si="190"/>
        <v>7.1428571428571425E-2</v>
      </c>
      <c r="CA1679" s="7">
        <v>44528</v>
      </c>
      <c r="CE1679">
        <v>24</v>
      </c>
      <c r="CF1679">
        <v>12</v>
      </c>
      <c r="CG1679">
        <v>9</v>
      </c>
      <c r="CI1679">
        <f t="shared" si="188"/>
        <v>2021</v>
      </c>
      <c r="CJ1679" t="str">
        <f t="shared" si="189"/>
        <v>6825_2021</v>
      </c>
    </row>
    <row r="1680" spans="1:88" x14ac:dyDescent="0.25">
      <c r="A1680" t="s">
        <v>140</v>
      </c>
      <c r="B1680" t="s">
        <v>161</v>
      </c>
      <c r="C1680">
        <v>6832</v>
      </c>
      <c r="D1680">
        <v>-32.0471</v>
      </c>
      <c r="E1680">
        <v>115.7795</v>
      </c>
      <c r="F1680">
        <v>4</v>
      </c>
      <c r="G1680" t="s">
        <v>631</v>
      </c>
      <c r="H1680">
        <v>1</v>
      </c>
      <c r="I1680">
        <v>181</v>
      </c>
      <c r="J1680">
        <v>89</v>
      </c>
      <c r="K1680">
        <v>269</v>
      </c>
      <c r="L1680">
        <v>181</v>
      </c>
      <c r="M1680">
        <v>1</v>
      </c>
      <c r="N1680">
        <v>268</v>
      </c>
      <c r="O1680">
        <v>88</v>
      </c>
      <c r="T1680">
        <v>5</v>
      </c>
      <c r="U1680">
        <v>11</v>
      </c>
      <c r="V1680">
        <v>8</v>
      </c>
      <c r="Y1680">
        <v>5</v>
      </c>
      <c r="Z1680">
        <v>3</v>
      </c>
      <c r="AA1680">
        <v>17</v>
      </c>
      <c r="AD1680">
        <v>19</v>
      </c>
      <c r="AE1680">
        <v>6</v>
      </c>
      <c r="AF1680">
        <v>13</v>
      </c>
      <c r="AI1680">
        <v>6</v>
      </c>
      <c r="AJ1680">
        <v>28</v>
      </c>
      <c r="AK1680">
        <v>6</v>
      </c>
      <c r="AX1680">
        <v>24</v>
      </c>
      <c r="AY1680">
        <v>30</v>
      </c>
      <c r="AZ1680">
        <v>54</v>
      </c>
      <c r="BA1680">
        <v>25</v>
      </c>
      <c r="BB1680">
        <v>39</v>
      </c>
      <c r="BC1680">
        <v>64</v>
      </c>
      <c r="BD1680">
        <v>38</v>
      </c>
      <c r="BE1680">
        <v>20</v>
      </c>
      <c r="BF1680">
        <v>58</v>
      </c>
      <c r="BG1680">
        <v>40</v>
      </c>
      <c r="BH1680">
        <v>38</v>
      </c>
      <c r="BI1680">
        <v>78</v>
      </c>
      <c r="BP1680">
        <v>60</v>
      </c>
      <c r="BR1680">
        <v>50</v>
      </c>
      <c r="BS1680">
        <v>7</v>
      </c>
      <c r="BT1680">
        <v>5</v>
      </c>
      <c r="BV1680">
        <v>5</v>
      </c>
      <c r="BW1680">
        <v>127</v>
      </c>
      <c r="BX1680" t="s">
        <v>82</v>
      </c>
      <c r="BY1680" s="5"/>
      <c r="BZ1680" s="6"/>
      <c r="CA1680" s="7">
        <v>42316</v>
      </c>
      <c r="CE1680">
        <v>35</v>
      </c>
      <c r="CF1680">
        <v>47</v>
      </c>
      <c r="CG1680">
        <v>24</v>
      </c>
      <c r="CH1680">
        <v>21</v>
      </c>
      <c r="CI1680">
        <f t="shared" si="188"/>
        <v>2015</v>
      </c>
      <c r="CJ1680" t="str">
        <f t="shared" si="189"/>
        <v>6832_2015</v>
      </c>
    </row>
    <row r="1681" spans="1:88" x14ac:dyDescent="0.25">
      <c r="A1681" t="s">
        <v>140</v>
      </c>
      <c r="B1681" t="s">
        <v>161</v>
      </c>
      <c r="C1681">
        <v>6832</v>
      </c>
      <c r="D1681">
        <v>-32.047058</v>
      </c>
      <c r="E1681">
        <v>115.779472</v>
      </c>
      <c r="F1681">
        <v>4</v>
      </c>
      <c r="G1681" t="s">
        <v>631</v>
      </c>
      <c r="H1681">
        <v>1</v>
      </c>
      <c r="I1681">
        <v>181</v>
      </c>
      <c r="J1681">
        <v>89</v>
      </c>
      <c r="K1681">
        <v>269</v>
      </c>
      <c r="L1681">
        <v>181</v>
      </c>
      <c r="M1681">
        <v>1</v>
      </c>
      <c r="N1681">
        <v>268</v>
      </c>
      <c r="O1681">
        <v>88</v>
      </c>
      <c r="T1681">
        <v>4</v>
      </c>
      <c r="U1681">
        <v>15</v>
      </c>
      <c r="V1681">
        <v>7</v>
      </c>
      <c r="Y1681">
        <v>1</v>
      </c>
      <c r="Z1681">
        <v>9</v>
      </c>
      <c r="AA1681">
        <v>23</v>
      </c>
      <c r="AD1681">
        <v>13</v>
      </c>
      <c r="AE1681">
        <v>7</v>
      </c>
      <c r="AF1681">
        <v>8</v>
      </c>
      <c r="AI1681">
        <v>12</v>
      </c>
      <c r="AJ1681">
        <v>24</v>
      </c>
      <c r="AK1681">
        <v>12</v>
      </c>
      <c r="AX1681">
        <v>26</v>
      </c>
      <c r="AY1681">
        <v>26</v>
      </c>
      <c r="AZ1681">
        <v>52</v>
      </c>
      <c r="BA1681">
        <v>33</v>
      </c>
      <c r="BB1681">
        <v>35</v>
      </c>
      <c r="BC1681">
        <v>68</v>
      </c>
      <c r="BD1681">
        <v>28</v>
      </c>
      <c r="BE1681">
        <v>36</v>
      </c>
      <c r="BF1681">
        <v>64</v>
      </c>
      <c r="BG1681">
        <v>48</v>
      </c>
      <c r="BH1681">
        <v>38</v>
      </c>
      <c r="BI1681">
        <v>86</v>
      </c>
      <c r="BP1681">
        <v>44</v>
      </c>
      <c r="BR1681">
        <v>71</v>
      </c>
      <c r="BS1681">
        <v>1</v>
      </c>
      <c r="BT1681">
        <v>2</v>
      </c>
      <c r="BV1681">
        <v>17</v>
      </c>
      <c r="BW1681">
        <v>135</v>
      </c>
      <c r="BX1681">
        <f>IF(C1681=C1680,IF((CI1681-1)=CI1680,BW1680,"no data"))</f>
        <v>127</v>
      </c>
      <c r="BY1681" s="5">
        <f t="shared" si="186"/>
        <v>6.2992125984251968E-2</v>
      </c>
      <c r="BZ1681" s="6">
        <f t="shared" si="190"/>
        <v>6.2992125984251968E-2</v>
      </c>
      <c r="CA1681" s="7">
        <v>42687</v>
      </c>
      <c r="CE1681">
        <v>50</v>
      </c>
      <c r="CF1681">
        <v>19</v>
      </c>
      <c r="CG1681">
        <v>40</v>
      </c>
      <c r="CH1681">
        <v>26</v>
      </c>
      <c r="CI1681">
        <f t="shared" si="188"/>
        <v>2016</v>
      </c>
      <c r="CJ1681" t="str">
        <f t="shared" si="189"/>
        <v>6832_2016</v>
      </c>
    </row>
    <row r="1682" spans="1:88" x14ac:dyDescent="0.25">
      <c r="A1682" t="s">
        <v>140</v>
      </c>
      <c r="B1682" t="s">
        <v>161</v>
      </c>
      <c r="C1682">
        <v>6832</v>
      </c>
      <c r="D1682">
        <v>-32.047058</v>
      </c>
      <c r="E1682">
        <v>115.779472</v>
      </c>
      <c r="F1682">
        <v>4</v>
      </c>
      <c r="G1682" t="s">
        <v>631</v>
      </c>
      <c r="H1682">
        <v>1</v>
      </c>
      <c r="I1682">
        <v>181</v>
      </c>
      <c r="J1682">
        <v>89</v>
      </c>
      <c r="K1682">
        <v>269</v>
      </c>
      <c r="L1682">
        <v>181</v>
      </c>
      <c r="M1682">
        <v>1</v>
      </c>
      <c r="N1682">
        <v>268</v>
      </c>
      <c r="O1682">
        <v>88</v>
      </c>
      <c r="T1682">
        <v>0</v>
      </c>
      <c r="U1682">
        <v>19</v>
      </c>
      <c r="V1682">
        <v>9</v>
      </c>
      <c r="Y1682">
        <v>3</v>
      </c>
      <c r="Z1682">
        <v>12</v>
      </c>
      <c r="AA1682">
        <v>7</v>
      </c>
      <c r="AD1682">
        <v>16</v>
      </c>
      <c r="AE1682">
        <v>9</v>
      </c>
      <c r="AF1682">
        <v>8</v>
      </c>
      <c r="AI1682">
        <v>4</v>
      </c>
      <c r="AJ1682">
        <v>15</v>
      </c>
      <c r="AK1682">
        <v>8</v>
      </c>
      <c r="AX1682">
        <v>28</v>
      </c>
      <c r="AY1682">
        <v>23</v>
      </c>
      <c r="AZ1682">
        <v>51</v>
      </c>
      <c r="BA1682">
        <v>22</v>
      </c>
      <c r="BB1682">
        <v>24</v>
      </c>
      <c r="BC1682">
        <v>46</v>
      </c>
      <c r="BD1682">
        <v>33</v>
      </c>
      <c r="BE1682">
        <v>39</v>
      </c>
      <c r="BF1682">
        <v>72</v>
      </c>
      <c r="BG1682">
        <v>27</v>
      </c>
      <c r="BH1682">
        <v>24</v>
      </c>
      <c r="BI1682">
        <v>51</v>
      </c>
      <c r="BP1682">
        <v>32</v>
      </c>
      <c r="BR1682">
        <v>64</v>
      </c>
      <c r="BS1682">
        <v>4</v>
      </c>
      <c r="BT1682">
        <v>7</v>
      </c>
      <c r="BV1682">
        <v>3</v>
      </c>
      <c r="BW1682">
        <v>110</v>
      </c>
      <c r="BX1682" t="str">
        <f>IF(C1682=C1681,IF((CI1682-1)=CI1681,BW1681,"no data"))</f>
        <v>no data</v>
      </c>
      <c r="BY1682" s="5"/>
      <c r="BZ1682" s="6"/>
      <c r="CA1682" s="7">
        <v>43443</v>
      </c>
      <c r="CE1682">
        <v>37</v>
      </c>
      <c r="CF1682">
        <v>40</v>
      </c>
      <c r="CG1682">
        <v>25</v>
      </c>
      <c r="CH1682">
        <v>8</v>
      </c>
      <c r="CI1682">
        <f t="shared" si="188"/>
        <v>2018</v>
      </c>
      <c r="CJ1682" t="str">
        <f t="shared" si="189"/>
        <v>6832_2018</v>
      </c>
    </row>
    <row r="1683" spans="1:88" x14ac:dyDescent="0.25">
      <c r="A1683" t="s">
        <v>140</v>
      </c>
      <c r="B1683" t="s">
        <v>161</v>
      </c>
      <c r="C1683">
        <v>6833</v>
      </c>
      <c r="D1683">
        <v>-32.063299999999998</v>
      </c>
      <c r="E1683">
        <v>115.77970000000001</v>
      </c>
      <c r="F1683">
        <v>4</v>
      </c>
      <c r="G1683" t="s">
        <v>632</v>
      </c>
      <c r="H1683">
        <v>0</v>
      </c>
      <c r="I1683">
        <v>180</v>
      </c>
      <c r="J1683">
        <v>90</v>
      </c>
      <c r="K1683">
        <v>270</v>
      </c>
      <c r="L1683">
        <v>180</v>
      </c>
      <c r="M1683">
        <v>360</v>
      </c>
      <c r="N1683">
        <v>270</v>
      </c>
      <c r="O1683">
        <v>90</v>
      </c>
      <c r="T1683">
        <v>10</v>
      </c>
      <c r="U1683">
        <v>2</v>
      </c>
      <c r="V1683">
        <v>4</v>
      </c>
      <c r="Y1683">
        <v>3</v>
      </c>
      <c r="Z1683">
        <v>15</v>
      </c>
      <c r="AA1683">
        <v>30</v>
      </c>
      <c r="AD1683">
        <v>2</v>
      </c>
      <c r="AE1683">
        <v>13</v>
      </c>
      <c r="AF1683">
        <v>4</v>
      </c>
      <c r="AI1683">
        <v>0</v>
      </c>
      <c r="AJ1683">
        <v>26</v>
      </c>
      <c r="AK1683">
        <v>0</v>
      </c>
      <c r="AX1683">
        <v>16</v>
      </c>
      <c r="AY1683">
        <v>5</v>
      </c>
      <c r="AZ1683">
        <v>21</v>
      </c>
      <c r="BA1683">
        <v>48</v>
      </c>
      <c r="BB1683">
        <v>49</v>
      </c>
      <c r="BC1683">
        <v>97</v>
      </c>
      <c r="BD1683">
        <v>19</v>
      </c>
      <c r="BE1683">
        <v>17</v>
      </c>
      <c r="BF1683">
        <v>36</v>
      </c>
      <c r="BG1683">
        <v>26</v>
      </c>
      <c r="BH1683">
        <v>38</v>
      </c>
      <c r="BI1683">
        <v>64</v>
      </c>
      <c r="BP1683">
        <v>24</v>
      </c>
      <c r="BR1683">
        <v>73</v>
      </c>
      <c r="BS1683">
        <v>1</v>
      </c>
      <c r="BT1683">
        <v>3</v>
      </c>
      <c r="BV1683">
        <v>8</v>
      </c>
      <c r="BW1683">
        <v>109</v>
      </c>
      <c r="BX1683" t="s">
        <v>82</v>
      </c>
      <c r="BY1683" s="5"/>
      <c r="BZ1683" s="6"/>
      <c r="CA1683" s="7">
        <v>42316</v>
      </c>
      <c r="CE1683">
        <v>28</v>
      </c>
      <c r="CF1683">
        <v>26</v>
      </c>
      <c r="CG1683">
        <v>31</v>
      </c>
      <c r="CH1683">
        <v>24</v>
      </c>
      <c r="CI1683">
        <f t="shared" si="188"/>
        <v>2015</v>
      </c>
      <c r="CJ1683" t="str">
        <f t="shared" si="189"/>
        <v>6833_2015</v>
      </c>
    </row>
    <row r="1684" spans="1:88" x14ac:dyDescent="0.25">
      <c r="A1684" t="s">
        <v>140</v>
      </c>
      <c r="B1684" t="s">
        <v>161</v>
      </c>
      <c r="C1684">
        <v>6833</v>
      </c>
      <c r="D1684">
        <v>-32.063276000000002</v>
      </c>
      <c r="E1684">
        <v>115.779695</v>
      </c>
      <c r="F1684">
        <v>4</v>
      </c>
      <c r="G1684" t="s">
        <v>632</v>
      </c>
      <c r="H1684">
        <v>0</v>
      </c>
      <c r="I1684">
        <v>180</v>
      </c>
      <c r="J1684">
        <v>90</v>
      </c>
      <c r="K1684">
        <v>270</v>
      </c>
      <c r="L1684">
        <v>180</v>
      </c>
      <c r="M1684">
        <v>360</v>
      </c>
      <c r="N1684">
        <v>270</v>
      </c>
      <c r="O1684">
        <v>90</v>
      </c>
      <c r="T1684">
        <v>6</v>
      </c>
      <c r="U1684">
        <v>2</v>
      </c>
      <c r="V1684">
        <v>3</v>
      </c>
      <c r="Y1684">
        <v>9</v>
      </c>
      <c r="Z1684">
        <v>8</v>
      </c>
      <c r="AA1684">
        <v>17</v>
      </c>
      <c r="AD1684">
        <v>2</v>
      </c>
      <c r="AE1684">
        <v>10</v>
      </c>
      <c r="AF1684">
        <v>0</v>
      </c>
      <c r="AI1684">
        <v>3</v>
      </c>
      <c r="AJ1684">
        <v>23</v>
      </c>
      <c r="AK1684">
        <v>1</v>
      </c>
      <c r="AX1684">
        <v>11</v>
      </c>
      <c r="AY1684">
        <v>14</v>
      </c>
      <c r="AZ1684">
        <v>25</v>
      </c>
      <c r="BA1684">
        <v>34</v>
      </c>
      <c r="BB1684">
        <v>39</v>
      </c>
      <c r="BC1684">
        <v>73</v>
      </c>
      <c r="BD1684">
        <v>12</v>
      </c>
      <c r="BE1684">
        <v>11</v>
      </c>
      <c r="BF1684">
        <v>23</v>
      </c>
      <c r="BG1684">
        <v>27</v>
      </c>
      <c r="BH1684">
        <v>20</v>
      </c>
      <c r="BI1684">
        <v>47</v>
      </c>
      <c r="BP1684">
        <v>23</v>
      </c>
      <c r="BR1684">
        <v>57</v>
      </c>
      <c r="BS1684">
        <v>1</v>
      </c>
      <c r="BT1684">
        <v>2</v>
      </c>
      <c r="BV1684">
        <v>1</v>
      </c>
      <c r="BW1684">
        <v>84</v>
      </c>
      <c r="BX1684">
        <f>IF(C1684=C1683,IF((CI1684-1)=CI1683,BW1683,"no data"))</f>
        <v>109</v>
      </c>
      <c r="BY1684" s="5">
        <f t="shared" ref="BY1684:BY1747" si="192">(BW1684-BX1684)/BX1684</f>
        <v>-0.22935779816513763</v>
      </c>
      <c r="BZ1684" s="6">
        <f t="shared" si="190"/>
        <v>-0.22935779816513763</v>
      </c>
      <c r="CA1684" s="7">
        <v>42687</v>
      </c>
      <c r="CE1684">
        <v>28</v>
      </c>
      <c r="CF1684">
        <v>22</v>
      </c>
      <c r="CG1684">
        <v>18</v>
      </c>
      <c r="CH1684">
        <v>16</v>
      </c>
      <c r="CI1684">
        <f t="shared" si="188"/>
        <v>2016</v>
      </c>
      <c r="CJ1684" t="str">
        <f t="shared" si="189"/>
        <v>6833_2016</v>
      </c>
    </row>
    <row r="1685" spans="1:88" x14ac:dyDescent="0.25">
      <c r="A1685" t="s">
        <v>140</v>
      </c>
      <c r="B1685" t="s">
        <v>161</v>
      </c>
      <c r="C1685">
        <v>6834</v>
      </c>
      <c r="D1685">
        <v>-32.074800000000003</v>
      </c>
      <c r="E1685">
        <v>115.77979999999999</v>
      </c>
      <c r="F1685">
        <v>3</v>
      </c>
      <c r="G1685" t="s">
        <v>633</v>
      </c>
      <c r="H1685">
        <v>0</v>
      </c>
      <c r="I1685">
        <v>180</v>
      </c>
      <c r="J1685">
        <v>90</v>
      </c>
      <c r="K1685">
        <v>270</v>
      </c>
      <c r="L1685">
        <v>180</v>
      </c>
      <c r="M1685">
        <v>360</v>
      </c>
      <c r="T1685">
        <v>15</v>
      </c>
      <c r="U1685">
        <v>12</v>
      </c>
      <c r="Y1685">
        <v>23</v>
      </c>
      <c r="Z1685">
        <v>9</v>
      </c>
      <c r="AD1685">
        <v>15</v>
      </c>
      <c r="AE1685">
        <v>2</v>
      </c>
      <c r="AX1685">
        <v>27</v>
      </c>
      <c r="AY1685">
        <v>38</v>
      </c>
      <c r="AZ1685">
        <v>65</v>
      </c>
      <c r="BA1685">
        <v>32</v>
      </c>
      <c r="BB1685">
        <v>17</v>
      </c>
      <c r="BC1685">
        <v>49</v>
      </c>
      <c r="BD1685">
        <v>17</v>
      </c>
      <c r="BE1685">
        <v>21</v>
      </c>
      <c r="BF1685">
        <v>38</v>
      </c>
      <c r="BP1685">
        <v>25</v>
      </c>
      <c r="BR1685">
        <v>45</v>
      </c>
      <c r="BS1685">
        <v>1</v>
      </c>
      <c r="BT1685">
        <v>2</v>
      </c>
      <c r="BV1685">
        <v>3</v>
      </c>
      <c r="BW1685">
        <v>76</v>
      </c>
      <c r="BX1685" t="s">
        <v>82</v>
      </c>
      <c r="BY1685" s="5"/>
      <c r="BZ1685" s="6"/>
      <c r="CA1685" s="7">
        <v>42316</v>
      </c>
      <c r="CE1685">
        <v>13</v>
      </c>
      <c r="CF1685">
        <v>31</v>
      </c>
      <c r="CG1685">
        <v>21</v>
      </c>
      <c r="CH1685">
        <v>11</v>
      </c>
      <c r="CI1685">
        <f t="shared" si="188"/>
        <v>2015</v>
      </c>
      <c r="CJ1685" t="str">
        <f t="shared" si="189"/>
        <v>6834_2015</v>
      </c>
    </row>
    <row r="1686" spans="1:88" x14ac:dyDescent="0.25">
      <c r="A1686" t="s">
        <v>140</v>
      </c>
      <c r="B1686" t="s">
        <v>161</v>
      </c>
      <c r="C1686">
        <v>6834</v>
      </c>
      <c r="D1686">
        <v>-32.074756999999998</v>
      </c>
      <c r="E1686">
        <v>115.77982900000001</v>
      </c>
      <c r="F1686">
        <v>3</v>
      </c>
      <c r="G1686" t="s">
        <v>633</v>
      </c>
      <c r="H1686">
        <v>0</v>
      </c>
      <c r="I1686">
        <v>180</v>
      </c>
      <c r="J1686">
        <v>90</v>
      </c>
      <c r="K1686">
        <v>270</v>
      </c>
      <c r="L1686">
        <v>180</v>
      </c>
      <c r="M1686">
        <v>360</v>
      </c>
      <c r="T1686">
        <v>18</v>
      </c>
      <c r="U1686">
        <v>10</v>
      </c>
      <c r="Y1686">
        <v>19</v>
      </c>
      <c r="Z1686">
        <v>7</v>
      </c>
      <c r="AD1686">
        <v>22</v>
      </c>
      <c r="AE1686">
        <v>6</v>
      </c>
      <c r="AX1686">
        <v>28</v>
      </c>
      <c r="AY1686">
        <v>41</v>
      </c>
      <c r="AZ1686">
        <v>69</v>
      </c>
      <c r="BA1686">
        <v>26</v>
      </c>
      <c r="BB1686">
        <v>24</v>
      </c>
      <c r="BC1686">
        <v>50</v>
      </c>
      <c r="BD1686">
        <v>28</v>
      </c>
      <c r="BE1686">
        <v>17</v>
      </c>
      <c r="BF1686">
        <v>45</v>
      </c>
      <c r="BP1686">
        <v>39</v>
      </c>
      <c r="BR1686">
        <v>34</v>
      </c>
      <c r="BS1686">
        <v>2</v>
      </c>
      <c r="BT1686">
        <v>4</v>
      </c>
      <c r="BV1686">
        <v>3</v>
      </c>
      <c r="BW1686">
        <v>82</v>
      </c>
      <c r="BX1686">
        <f>IF(C1686=C1685,IF((CI1686-1)=CI1685,BW1685,"no data"))</f>
        <v>76</v>
      </c>
      <c r="BY1686" s="5">
        <f t="shared" si="192"/>
        <v>7.8947368421052627E-2</v>
      </c>
      <c r="BZ1686" s="6">
        <f t="shared" si="190"/>
        <v>7.8947368421052627E-2</v>
      </c>
      <c r="CA1686" s="7">
        <v>42687</v>
      </c>
      <c r="CE1686">
        <v>32</v>
      </c>
      <c r="CF1686">
        <v>24</v>
      </c>
      <c r="CG1686">
        <v>11</v>
      </c>
      <c r="CH1686">
        <v>15</v>
      </c>
      <c r="CI1686">
        <f t="shared" si="188"/>
        <v>2016</v>
      </c>
      <c r="CJ1686" t="str">
        <f t="shared" si="189"/>
        <v>6834_2016</v>
      </c>
    </row>
    <row r="1687" spans="1:88" x14ac:dyDescent="0.25">
      <c r="A1687" t="s">
        <v>140</v>
      </c>
      <c r="B1687" t="s">
        <v>161</v>
      </c>
      <c r="C1687">
        <v>6834</v>
      </c>
      <c r="D1687">
        <v>-32.074756999999998</v>
      </c>
      <c r="E1687">
        <v>115.77982900000001</v>
      </c>
      <c r="F1687">
        <v>3</v>
      </c>
      <c r="G1687" t="s">
        <v>633</v>
      </c>
      <c r="H1687">
        <v>0</v>
      </c>
      <c r="I1687">
        <v>180</v>
      </c>
      <c r="J1687">
        <v>90</v>
      </c>
      <c r="K1687">
        <v>270</v>
      </c>
      <c r="L1687">
        <v>180</v>
      </c>
      <c r="M1687">
        <v>360</v>
      </c>
      <c r="T1687">
        <v>8</v>
      </c>
      <c r="U1687">
        <v>12</v>
      </c>
      <c r="Y1687">
        <v>23</v>
      </c>
      <c r="Z1687">
        <v>9</v>
      </c>
      <c r="AD1687">
        <v>17</v>
      </c>
      <c r="AE1687">
        <v>3</v>
      </c>
      <c r="AX1687">
        <v>20</v>
      </c>
      <c r="AY1687">
        <v>40</v>
      </c>
      <c r="AZ1687">
        <v>60</v>
      </c>
      <c r="BA1687">
        <v>32</v>
      </c>
      <c r="BB1687">
        <v>11</v>
      </c>
      <c r="BC1687">
        <v>43</v>
      </c>
      <c r="BD1687">
        <v>20</v>
      </c>
      <c r="BE1687">
        <v>21</v>
      </c>
      <c r="BF1687">
        <v>41</v>
      </c>
      <c r="BP1687">
        <v>23</v>
      </c>
      <c r="BR1687">
        <v>43</v>
      </c>
      <c r="BS1687">
        <v>1</v>
      </c>
      <c r="BT1687">
        <v>3</v>
      </c>
      <c r="BV1687">
        <v>2</v>
      </c>
      <c r="BW1687">
        <v>72</v>
      </c>
      <c r="BX1687" t="str">
        <f>IF(C1687=C1686,IF((CI1687-1)=CI1686,BW1686,"no data"))</f>
        <v>no data</v>
      </c>
      <c r="BY1687" s="5"/>
      <c r="BZ1687" s="6"/>
      <c r="CA1687" s="7">
        <v>43443</v>
      </c>
      <c r="CE1687">
        <v>14</v>
      </c>
      <c r="CF1687">
        <v>35</v>
      </c>
      <c r="CG1687">
        <v>9</v>
      </c>
      <c r="CH1687">
        <v>14</v>
      </c>
      <c r="CI1687">
        <f t="shared" si="188"/>
        <v>2018</v>
      </c>
      <c r="CJ1687" t="str">
        <f t="shared" si="189"/>
        <v>6834_2018</v>
      </c>
    </row>
    <row r="1688" spans="1:88" x14ac:dyDescent="0.25">
      <c r="A1688" t="s">
        <v>140</v>
      </c>
      <c r="B1688" t="s">
        <v>161</v>
      </c>
      <c r="C1688">
        <v>6835</v>
      </c>
      <c r="D1688">
        <v>-32.0413</v>
      </c>
      <c r="E1688">
        <v>115.758</v>
      </c>
      <c r="F1688">
        <v>3</v>
      </c>
      <c r="G1688" t="s">
        <v>634</v>
      </c>
      <c r="H1688">
        <v>87</v>
      </c>
      <c r="I1688">
        <v>267</v>
      </c>
      <c r="J1688">
        <v>178</v>
      </c>
      <c r="K1688">
        <v>358</v>
      </c>
      <c r="L1688">
        <v>251</v>
      </c>
      <c r="M1688">
        <v>71</v>
      </c>
      <c r="T1688">
        <v>37</v>
      </c>
      <c r="U1688">
        <v>263</v>
      </c>
      <c r="Y1688">
        <v>49</v>
      </c>
      <c r="Z1688">
        <v>19</v>
      </c>
      <c r="AD1688">
        <v>235</v>
      </c>
      <c r="AE1688">
        <v>18</v>
      </c>
      <c r="AX1688">
        <v>300</v>
      </c>
      <c r="AY1688">
        <v>284</v>
      </c>
      <c r="AZ1688">
        <v>584</v>
      </c>
      <c r="BA1688">
        <v>68</v>
      </c>
      <c r="BB1688">
        <v>55</v>
      </c>
      <c r="BC1688">
        <v>123</v>
      </c>
      <c r="BD1688">
        <v>253</v>
      </c>
      <c r="BE1688">
        <v>282</v>
      </c>
      <c r="BF1688">
        <v>535</v>
      </c>
      <c r="BP1688">
        <v>371</v>
      </c>
      <c r="BR1688">
        <v>208</v>
      </c>
      <c r="BS1688">
        <v>19</v>
      </c>
      <c r="BT1688">
        <v>18</v>
      </c>
      <c r="BV1688">
        <v>5</v>
      </c>
      <c r="BW1688">
        <v>621</v>
      </c>
      <c r="BX1688" t="s">
        <v>82</v>
      </c>
      <c r="BY1688" s="5"/>
      <c r="BZ1688" s="6"/>
      <c r="CA1688" s="7">
        <v>42316</v>
      </c>
      <c r="CE1688">
        <v>238</v>
      </c>
      <c r="CF1688">
        <v>183</v>
      </c>
      <c r="CG1688">
        <v>118</v>
      </c>
      <c r="CH1688">
        <v>82</v>
      </c>
      <c r="CI1688">
        <f t="shared" si="188"/>
        <v>2015</v>
      </c>
      <c r="CJ1688" t="str">
        <f t="shared" si="189"/>
        <v>6835_2015</v>
      </c>
    </row>
    <row r="1689" spans="1:88" x14ac:dyDescent="0.25">
      <c r="A1689" t="s">
        <v>140</v>
      </c>
      <c r="B1689" t="s">
        <v>161</v>
      </c>
      <c r="C1689">
        <v>6835</v>
      </c>
      <c r="D1689">
        <v>-32.041276000000003</v>
      </c>
      <c r="E1689">
        <v>115.758017</v>
      </c>
      <c r="F1689">
        <v>3</v>
      </c>
      <c r="G1689" t="s">
        <v>634</v>
      </c>
      <c r="H1689">
        <v>87</v>
      </c>
      <c r="I1689">
        <v>267</v>
      </c>
      <c r="J1689">
        <v>178</v>
      </c>
      <c r="K1689">
        <v>358</v>
      </c>
      <c r="L1689">
        <v>251</v>
      </c>
      <c r="M1689">
        <v>71</v>
      </c>
      <c r="T1689">
        <v>25</v>
      </c>
      <c r="U1689">
        <v>161</v>
      </c>
      <c r="Y1689">
        <v>45</v>
      </c>
      <c r="Z1689">
        <v>15</v>
      </c>
      <c r="AD1689">
        <v>229</v>
      </c>
      <c r="AE1689">
        <v>18</v>
      </c>
      <c r="AX1689">
        <v>186</v>
      </c>
      <c r="AY1689">
        <v>274</v>
      </c>
      <c r="AZ1689">
        <v>460</v>
      </c>
      <c r="BA1689">
        <v>60</v>
      </c>
      <c r="BB1689">
        <v>43</v>
      </c>
      <c r="BC1689">
        <v>103</v>
      </c>
      <c r="BD1689">
        <v>247</v>
      </c>
      <c r="BE1689">
        <v>176</v>
      </c>
      <c r="BF1689">
        <v>423</v>
      </c>
      <c r="BP1689">
        <v>259</v>
      </c>
      <c r="BR1689">
        <v>184</v>
      </c>
      <c r="BS1689">
        <v>20</v>
      </c>
      <c r="BT1689">
        <v>24</v>
      </c>
      <c r="BV1689">
        <v>6</v>
      </c>
      <c r="BW1689">
        <v>493</v>
      </c>
      <c r="BX1689">
        <f>IF(C1689=C1688,IF((CI1689-1)=CI1688,BW1688,"no data"))</f>
        <v>621</v>
      </c>
      <c r="BY1689" s="5">
        <f t="shared" si="192"/>
        <v>-0.20611916264090177</v>
      </c>
      <c r="BZ1689" s="6">
        <f t="shared" si="190"/>
        <v>-0.20611916264090177</v>
      </c>
      <c r="CA1689" s="7">
        <v>42715</v>
      </c>
      <c r="CE1689">
        <v>184</v>
      </c>
      <c r="CF1689">
        <v>148</v>
      </c>
      <c r="CG1689">
        <v>91</v>
      </c>
      <c r="CH1689">
        <v>70</v>
      </c>
      <c r="CI1689">
        <f t="shared" si="188"/>
        <v>2016</v>
      </c>
      <c r="CJ1689" t="str">
        <f t="shared" si="189"/>
        <v>6835_2016</v>
      </c>
    </row>
    <row r="1690" spans="1:88" x14ac:dyDescent="0.25">
      <c r="A1690" t="s">
        <v>140</v>
      </c>
      <c r="B1690" t="s">
        <v>161</v>
      </c>
      <c r="C1690">
        <v>6835</v>
      </c>
      <c r="D1690">
        <v>-32.041276000000003</v>
      </c>
      <c r="E1690">
        <v>115.758017</v>
      </c>
      <c r="F1690">
        <v>3</v>
      </c>
      <c r="G1690" t="s">
        <v>634</v>
      </c>
      <c r="H1690">
        <v>87</v>
      </c>
      <c r="I1690">
        <v>267</v>
      </c>
      <c r="J1690">
        <v>178</v>
      </c>
      <c r="K1690">
        <v>358</v>
      </c>
      <c r="L1690">
        <v>251</v>
      </c>
      <c r="M1690">
        <v>71</v>
      </c>
      <c r="T1690">
        <v>28</v>
      </c>
      <c r="U1690">
        <v>172</v>
      </c>
      <c r="Y1690">
        <v>45</v>
      </c>
      <c r="Z1690">
        <v>14</v>
      </c>
      <c r="AD1690">
        <v>204</v>
      </c>
      <c r="AE1690">
        <v>14</v>
      </c>
      <c r="AX1690">
        <v>200</v>
      </c>
      <c r="AY1690">
        <v>249</v>
      </c>
      <c r="AZ1690">
        <v>449</v>
      </c>
      <c r="BA1690">
        <v>59</v>
      </c>
      <c r="BB1690">
        <v>42</v>
      </c>
      <c r="BC1690">
        <v>101</v>
      </c>
      <c r="BD1690">
        <v>218</v>
      </c>
      <c r="BE1690">
        <v>186</v>
      </c>
      <c r="BF1690">
        <v>404</v>
      </c>
      <c r="BP1690">
        <v>242</v>
      </c>
      <c r="BR1690">
        <v>175</v>
      </c>
      <c r="BS1690">
        <v>27</v>
      </c>
      <c r="BT1690">
        <v>27</v>
      </c>
      <c r="BV1690">
        <v>6</v>
      </c>
      <c r="BW1690">
        <v>477</v>
      </c>
      <c r="BX1690" t="str">
        <f>IF(C1690=C1689,IF((CI1690-1)=CI1689,BW1689,"no data"))</f>
        <v>no data</v>
      </c>
      <c r="BY1690" s="5"/>
      <c r="BZ1690" s="6"/>
      <c r="CA1690" s="7">
        <v>43415</v>
      </c>
      <c r="CE1690">
        <v>176</v>
      </c>
      <c r="CF1690">
        <v>130</v>
      </c>
      <c r="CG1690">
        <v>106</v>
      </c>
      <c r="CH1690">
        <v>65</v>
      </c>
      <c r="CI1690">
        <f t="shared" si="188"/>
        <v>2018</v>
      </c>
      <c r="CJ1690" t="str">
        <f t="shared" si="189"/>
        <v>6835_2018</v>
      </c>
    </row>
    <row r="1691" spans="1:88" x14ac:dyDescent="0.25">
      <c r="A1691" t="s">
        <v>502</v>
      </c>
      <c r="B1691" t="s">
        <v>503</v>
      </c>
      <c r="C1691">
        <v>6836</v>
      </c>
      <c r="D1691">
        <v>-12.3995</v>
      </c>
      <c r="E1691">
        <v>130.916</v>
      </c>
      <c r="F1691">
        <v>3</v>
      </c>
      <c r="G1691" t="s">
        <v>635</v>
      </c>
      <c r="H1691">
        <v>32</v>
      </c>
      <c r="I1691">
        <v>212</v>
      </c>
      <c r="J1691">
        <v>190</v>
      </c>
      <c r="K1691">
        <v>10</v>
      </c>
      <c r="L1691">
        <v>345</v>
      </c>
      <c r="M1691">
        <v>165</v>
      </c>
      <c r="T1691">
        <v>8</v>
      </c>
      <c r="U1691">
        <v>1</v>
      </c>
      <c r="Y1691">
        <v>5</v>
      </c>
      <c r="Z1691">
        <v>10</v>
      </c>
      <c r="AD1691">
        <v>5</v>
      </c>
      <c r="AE1691">
        <v>14</v>
      </c>
      <c r="AX1691">
        <v>9</v>
      </c>
      <c r="AY1691">
        <v>10</v>
      </c>
      <c r="AZ1691">
        <v>19</v>
      </c>
      <c r="BA1691">
        <v>15</v>
      </c>
      <c r="BB1691">
        <v>22</v>
      </c>
      <c r="BC1691">
        <v>37</v>
      </c>
      <c r="BD1691">
        <v>19</v>
      </c>
      <c r="BE1691">
        <v>11</v>
      </c>
      <c r="BF1691">
        <v>30</v>
      </c>
      <c r="BP1691">
        <v>4</v>
      </c>
      <c r="BR1691">
        <v>36</v>
      </c>
      <c r="BS1691">
        <v>0</v>
      </c>
      <c r="BT1691">
        <v>3</v>
      </c>
      <c r="BV1691">
        <v>0</v>
      </c>
      <c r="BW1691">
        <v>43</v>
      </c>
      <c r="BX1691" t="s">
        <v>82</v>
      </c>
      <c r="BY1691" s="5"/>
      <c r="BZ1691" s="6"/>
      <c r="CA1691" s="7">
        <v>42316</v>
      </c>
      <c r="CC1691">
        <v>10</v>
      </c>
      <c r="CD1691">
        <v>15</v>
      </c>
      <c r="CE1691">
        <v>7</v>
      </c>
      <c r="CF1691">
        <v>11</v>
      </c>
      <c r="CI1691">
        <f t="shared" si="188"/>
        <v>2015</v>
      </c>
      <c r="CJ1691" t="str">
        <f t="shared" si="189"/>
        <v>6836_2015</v>
      </c>
    </row>
    <row r="1692" spans="1:88" x14ac:dyDescent="0.25">
      <c r="A1692" t="s">
        <v>502</v>
      </c>
      <c r="B1692" t="s">
        <v>503</v>
      </c>
      <c r="C1692">
        <v>6836</v>
      </c>
      <c r="D1692">
        <v>-12.399501000000001</v>
      </c>
      <c r="E1692">
        <v>130.916021</v>
      </c>
      <c r="F1692">
        <v>3</v>
      </c>
      <c r="G1692" t="s">
        <v>635</v>
      </c>
      <c r="H1692">
        <v>32</v>
      </c>
      <c r="I1692">
        <v>212</v>
      </c>
      <c r="J1692">
        <v>190</v>
      </c>
      <c r="K1692">
        <v>10</v>
      </c>
      <c r="L1692">
        <v>345</v>
      </c>
      <c r="M1692">
        <v>165</v>
      </c>
      <c r="T1692">
        <v>13</v>
      </c>
      <c r="U1692">
        <v>4</v>
      </c>
      <c r="Y1692">
        <v>30</v>
      </c>
      <c r="Z1692">
        <v>7</v>
      </c>
      <c r="AD1692">
        <v>0</v>
      </c>
      <c r="AE1692">
        <v>10</v>
      </c>
      <c r="AX1692">
        <v>17</v>
      </c>
      <c r="AY1692">
        <v>30</v>
      </c>
      <c r="AZ1692">
        <v>47</v>
      </c>
      <c r="BA1692">
        <v>37</v>
      </c>
      <c r="BB1692">
        <v>23</v>
      </c>
      <c r="BC1692">
        <v>60</v>
      </c>
      <c r="BD1692">
        <v>10</v>
      </c>
      <c r="BE1692">
        <v>11</v>
      </c>
      <c r="BF1692">
        <v>21</v>
      </c>
      <c r="BP1692">
        <v>6</v>
      </c>
      <c r="BR1692">
        <v>39</v>
      </c>
      <c r="BS1692">
        <v>0</v>
      </c>
      <c r="BT1692">
        <v>8</v>
      </c>
      <c r="BV1692">
        <v>11</v>
      </c>
      <c r="BW1692">
        <v>64</v>
      </c>
      <c r="BX1692">
        <f>IF(C1692=C1691,IF((CI1692-1)=CI1691,BW1691,"no data"))</f>
        <v>43</v>
      </c>
      <c r="BY1692" s="5">
        <f t="shared" si="192"/>
        <v>0.48837209302325579</v>
      </c>
      <c r="BZ1692" s="6">
        <f t="shared" si="190"/>
        <v>0.48837209302325579</v>
      </c>
      <c r="CA1692" s="7">
        <v>42687</v>
      </c>
      <c r="CC1692">
        <v>13</v>
      </c>
      <c r="CD1692">
        <v>13</v>
      </c>
      <c r="CE1692">
        <v>18</v>
      </c>
      <c r="CF1692">
        <v>20</v>
      </c>
      <c r="CI1692">
        <f t="shared" si="188"/>
        <v>2016</v>
      </c>
      <c r="CJ1692" t="str">
        <f t="shared" si="189"/>
        <v>6836_2016</v>
      </c>
    </row>
    <row r="1693" spans="1:88" x14ac:dyDescent="0.25">
      <c r="A1693" t="s">
        <v>502</v>
      </c>
      <c r="B1693" t="s">
        <v>503</v>
      </c>
      <c r="C1693">
        <v>6836</v>
      </c>
      <c r="D1693">
        <v>-12.399501000000001</v>
      </c>
      <c r="E1693">
        <v>130.916021</v>
      </c>
      <c r="F1693">
        <v>3</v>
      </c>
      <c r="G1693" t="s">
        <v>635</v>
      </c>
      <c r="H1693">
        <v>32</v>
      </c>
      <c r="I1693">
        <v>212</v>
      </c>
      <c r="J1693">
        <v>190</v>
      </c>
      <c r="K1693">
        <v>10</v>
      </c>
      <c r="L1693">
        <v>345</v>
      </c>
      <c r="M1693">
        <v>165</v>
      </c>
      <c r="T1693">
        <v>11</v>
      </c>
      <c r="U1693">
        <v>0</v>
      </c>
      <c r="Y1693">
        <v>8</v>
      </c>
      <c r="Z1693">
        <v>20</v>
      </c>
      <c r="AD1693">
        <v>0</v>
      </c>
      <c r="AE1693">
        <v>21</v>
      </c>
      <c r="AX1693">
        <v>11</v>
      </c>
      <c r="AY1693">
        <v>8</v>
      </c>
      <c r="AZ1693">
        <v>19</v>
      </c>
      <c r="BA1693">
        <v>28</v>
      </c>
      <c r="BB1693">
        <v>32</v>
      </c>
      <c r="BC1693">
        <v>60</v>
      </c>
      <c r="BD1693">
        <v>21</v>
      </c>
      <c r="BE1693">
        <v>20</v>
      </c>
      <c r="BF1693">
        <v>41</v>
      </c>
      <c r="BP1693">
        <v>5</v>
      </c>
      <c r="BR1693">
        <v>45</v>
      </c>
      <c r="BS1693">
        <v>0</v>
      </c>
      <c r="BT1693">
        <v>3</v>
      </c>
      <c r="BV1693">
        <v>7</v>
      </c>
      <c r="BW1693">
        <v>60</v>
      </c>
      <c r="BX1693">
        <f>IF(C1693=C1692,IF((CI1693-1)=CI1692,BW1692,"no data"))</f>
        <v>64</v>
      </c>
      <c r="BY1693" s="5">
        <f t="shared" si="192"/>
        <v>-6.25E-2</v>
      </c>
      <c r="BZ1693" s="6">
        <f t="shared" si="190"/>
        <v>-6.25E-2</v>
      </c>
      <c r="CA1693" s="7">
        <v>43051</v>
      </c>
      <c r="CC1693">
        <v>4</v>
      </c>
      <c r="CD1693">
        <v>11</v>
      </c>
      <c r="CE1693">
        <v>13</v>
      </c>
      <c r="CF1693">
        <v>32</v>
      </c>
      <c r="CI1693">
        <f t="shared" si="188"/>
        <v>2017</v>
      </c>
      <c r="CJ1693" t="str">
        <f t="shared" si="189"/>
        <v>6836_2017</v>
      </c>
    </row>
    <row r="1694" spans="1:88" x14ac:dyDescent="0.25">
      <c r="A1694" t="s">
        <v>502</v>
      </c>
      <c r="B1694" t="s">
        <v>503</v>
      </c>
      <c r="C1694">
        <v>6836</v>
      </c>
      <c r="D1694">
        <v>-12.399501000000001</v>
      </c>
      <c r="E1694">
        <v>130.916021</v>
      </c>
      <c r="F1694">
        <v>3</v>
      </c>
      <c r="G1694" t="s">
        <v>635</v>
      </c>
      <c r="H1694">
        <v>32</v>
      </c>
      <c r="I1694">
        <v>212</v>
      </c>
      <c r="J1694">
        <v>190</v>
      </c>
      <c r="K1694">
        <v>10</v>
      </c>
      <c r="L1694">
        <v>345</v>
      </c>
      <c r="M1694">
        <v>165</v>
      </c>
      <c r="T1694">
        <v>7</v>
      </c>
      <c r="U1694">
        <v>8</v>
      </c>
      <c r="Y1694">
        <v>13</v>
      </c>
      <c r="Z1694">
        <v>19</v>
      </c>
      <c r="AD1694">
        <v>0</v>
      </c>
      <c r="AE1694">
        <v>21</v>
      </c>
      <c r="AX1694">
        <v>15</v>
      </c>
      <c r="AY1694">
        <v>13</v>
      </c>
      <c r="AZ1694">
        <v>28</v>
      </c>
      <c r="BA1694">
        <v>32</v>
      </c>
      <c r="BB1694">
        <v>28</v>
      </c>
      <c r="BC1694">
        <v>60</v>
      </c>
      <c r="BD1694">
        <v>21</v>
      </c>
      <c r="BE1694">
        <v>27</v>
      </c>
      <c r="BF1694">
        <v>48</v>
      </c>
      <c r="BP1694">
        <v>4</v>
      </c>
      <c r="BR1694">
        <v>50</v>
      </c>
      <c r="BS1694">
        <v>0</v>
      </c>
      <c r="BT1694">
        <v>6</v>
      </c>
      <c r="BV1694">
        <v>8</v>
      </c>
      <c r="BW1694">
        <v>68</v>
      </c>
      <c r="BX1694">
        <f>IF(C1694=C1693,IF((CI1694-1)=CI1693,BW1693,"no data"))</f>
        <v>60</v>
      </c>
      <c r="BY1694" s="5">
        <f t="shared" si="192"/>
        <v>0.13333333333333333</v>
      </c>
      <c r="BZ1694" s="6">
        <f t="shared" si="190"/>
        <v>0.13333333333333333</v>
      </c>
      <c r="CA1694" s="7">
        <v>43415</v>
      </c>
      <c r="CC1694">
        <v>64</v>
      </c>
      <c r="CD1694">
        <v>4</v>
      </c>
      <c r="CE1694">
        <v>0</v>
      </c>
      <c r="CF1694">
        <v>0</v>
      </c>
      <c r="CI1694">
        <f t="shared" si="188"/>
        <v>2018</v>
      </c>
      <c r="CJ1694" t="str">
        <f t="shared" si="189"/>
        <v>6836_2018</v>
      </c>
    </row>
    <row r="1695" spans="1:88" x14ac:dyDescent="0.25">
      <c r="A1695" t="s">
        <v>502</v>
      </c>
      <c r="B1695" t="s">
        <v>503</v>
      </c>
      <c r="C1695">
        <v>6836</v>
      </c>
      <c r="D1695">
        <v>-12.3995</v>
      </c>
      <c r="E1695">
        <v>130.916</v>
      </c>
      <c r="F1695">
        <v>3</v>
      </c>
      <c r="G1695" t="s">
        <v>635</v>
      </c>
      <c r="H1695">
        <v>32</v>
      </c>
      <c r="I1695">
        <v>212</v>
      </c>
      <c r="J1695">
        <v>190</v>
      </c>
      <c r="K1695">
        <v>10</v>
      </c>
      <c r="L1695">
        <v>345</v>
      </c>
      <c r="M1695">
        <v>165</v>
      </c>
      <c r="T1695">
        <v>11</v>
      </c>
      <c r="U1695">
        <v>0</v>
      </c>
      <c r="Y1695">
        <v>2</v>
      </c>
      <c r="Z1695">
        <v>2</v>
      </c>
      <c r="AD1695">
        <v>0</v>
      </c>
      <c r="AE1695">
        <v>3</v>
      </c>
      <c r="AX1695">
        <v>11</v>
      </c>
      <c r="AY1695">
        <v>2</v>
      </c>
      <c r="AZ1695">
        <v>13</v>
      </c>
      <c r="BA1695">
        <v>4</v>
      </c>
      <c r="BB1695">
        <v>14</v>
      </c>
      <c r="BC1695">
        <v>18</v>
      </c>
      <c r="BD1695">
        <v>3</v>
      </c>
      <c r="BE1695">
        <v>2</v>
      </c>
      <c r="BF1695">
        <v>5</v>
      </c>
      <c r="BP1695">
        <v>6</v>
      </c>
      <c r="BR1695">
        <v>12</v>
      </c>
      <c r="BS1695">
        <v>0</v>
      </c>
      <c r="BT1695">
        <v>0</v>
      </c>
      <c r="BV1695">
        <v>0</v>
      </c>
      <c r="BW1695">
        <v>18</v>
      </c>
      <c r="BX1695">
        <f>IF(C1695=C1694,IF((CI1695-1)=CI1694,BW1694,"no data"))</f>
        <v>68</v>
      </c>
      <c r="BY1695" s="5">
        <f t="shared" si="192"/>
        <v>-0.73529411764705888</v>
      </c>
      <c r="BZ1695" s="6">
        <f t="shared" si="190"/>
        <v>-0.73529411764705888</v>
      </c>
      <c r="CA1695" s="7">
        <v>43779</v>
      </c>
      <c r="CC1695">
        <v>2</v>
      </c>
      <c r="CD1695">
        <v>9</v>
      </c>
      <c r="CE1695">
        <v>2</v>
      </c>
      <c r="CF1695">
        <v>5</v>
      </c>
      <c r="CI1695">
        <f t="shared" si="188"/>
        <v>2019</v>
      </c>
      <c r="CJ1695" t="str">
        <f t="shared" si="189"/>
        <v>6836_2019</v>
      </c>
    </row>
    <row r="1696" spans="1:88" x14ac:dyDescent="0.25">
      <c r="A1696" t="s">
        <v>502</v>
      </c>
      <c r="B1696" t="s">
        <v>503</v>
      </c>
      <c r="C1696">
        <v>6836</v>
      </c>
      <c r="D1696">
        <v>-12.399501000000001</v>
      </c>
      <c r="E1696">
        <v>130.916021</v>
      </c>
      <c r="F1696">
        <v>3</v>
      </c>
      <c r="G1696" t="s">
        <v>635</v>
      </c>
      <c r="H1696">
        <v>32</v>
      </c>
      <c r="I1696">
        <v>212</v>
      </c>
      <c r="J1696">
        <v>190</v>
      </c>
      <c r="K1696">
        <v>10</v>
      </c>
      <c r="L1696">
        <v>345</v>
      </c>
      <c r="M1696">
        <v>165</v>
      </c>
      <c r="T1696">
        <v>3</v>
      </c>
      <c r="U1696">
        <v>0</v>
      </c>
      <c r="Y1696">
        <v>2</v>
      </c>
      <c r="Z1696">
        <v>0</v>
      </c>
      <c r="AD1696">
        <v>0</v>
      </c>
      <c r="AE1696">
        <v>8</v>
      </c>
      <c r="AX1696">
        <v>3</v>
      </c>
      <c r="AY1696">
        <v>2</v>
      </c>
      <c r="AZ1696">
        <v>5</v>
      </c>
      <c r="BA1696">
        <v>2</v>
      </c>
      <c r="BB1696">
        <v>11</v>
      </c>
      <c r="BC1696">
        <v>13</v>
      </c>
      <c r="BD1696">
        <v>8</v>
      </c>
      <c r="BE1696">
        <v>0</v>
      </c>
      <c r="BF1696">
        <v>8</v>
      </c>
      <c r="BP1696">
        <v>1</v>
      </c>
      <c r="BR1696">
        <v>10</v>
      </c>
      <c r="BS1696">
        <v>1</v>
      </c>
      <c r="BT1696">
        <v>1</v>
      </c>
      <c r="BV1696">
        <v>0</v>
      </c>
      <c r="BW1696">
        <v>13</v>
      </c>
      <c r="BX1696" t="str">
        <f>IF(C1696=C1695,IF((CI1696-1)=CI1695,BW1695,"no data"))</f>
        <v>no data</v>
      </c>
      <c r="BY1696" s="5"/>
      <c r="BZ1696" s="6"/>
      <c r="CA1696" s="7">
        <v>44528</v>
      </c>
      <c r="CC1696">
        <v>5</v>
      </c>
      <c r="CD1696">
        <v>6</v>
      </c>
      <c r="CE1696">
        <v>2</v>
      </c>
      <c r="CI1696">
        <f t="shared" si="188"/>
        <v>2021</v>
      </c>
      <c r="CJ1696" t="str">
        <f t="shared" si="189"/>
        <v>6836_2021</v>
      </c>
    </row>
    <row r="1697" spans="1:88" x14ac:dyDescent="0.25">
      <c r="A1697" t="s">
        <v>111</v>
      </c>
      <c r="B1697" t="s">
        <v>157</v>
      </c>
      <c r="C1697">
        <v>6841</v>
      </c>
      <c r="D1697">
        <v>-37.888300000000001</v>
      </c>
      <c r="E1697">
        <v>144.619</v>
      </c>
      <c r="F1697">
        <v>3</v>
      </c>
      <c r="G1697" t="s">
        <v>636</v>
      </c>
      <c r="H1697">
        <v>84</v>
      </c>
      <c r="I1697">
        <v>264</v>
      </c>
      <c r="J1697">
        <v>237</v>
      </c>
      <c r="K1697">
        <v>57</v>
      </c>
      <c r="L1697">
        <v>316</v>
      </c>
      <c r="M1697">
        <v>136</v>
      </c>
      <c r="T1697">
        <v>5</v>
      </c>
      <c r="U1697">
        <v>11</v>
      </c>
      <c r="Y1697">
        <v>18</v>
      </c>
      <c r="Z1697">
        <v>15</v>
      </c>
      <c r="AD1697">
        <v>18</v>
      </c>
      <c r="AE1697">
        <v>25</v>
      </c>
      <c r="AX1697">
        <v>16</v>
      </c>
      <c r="AY1697">
        <v>36</v>
      </c>
      <c r="AZ1697">
        <v>52</v>
      </c>
      <c r="BA1697">
        <v>33</v>
      </c>
      <c r="BB1697">
        <v>30</v>
      </c>
      <c r="BC1697">
        <v>63</v>
      </c>
      <c r="BD1697">
        <v>43</v>
      </c>
      <c r="BE1697">
        <v>26</v>
      </c>
      <c r="BF1697">
        <v>69</v>
      </c>
      <c r="BP1697">
        <v>16</v>
      </c>
      <c r="BR1697">
        <v>47</v>
      </c>
      <c r="BS1697">
        <v>4</v>
      </c>
      <c r="BT1697">
        <v>23</v>
      </c>
      <c r="BV1697">
        <v>2</v>
      </c>
      <c r="BW1697">
        <v>92</v>
      </c>
      <c r="BX1697" t="s">
        <v>82</v>
      </c>
      <c r="BY1697" s="5"/>
      <c r="BZ1697" s="6"/>
      <c r="CA1697" s="7">
        <v>42316</v>
      </c>
      <c r="CE1697">
        <v>29</v>
      </c>
      <c r="CF1697">
        <v>24</v>
      </c>
      <c r="CG1697">
        <v>24</v>
      </c>
      <c r="CH1697">
        <v>15</v>
      </c>
      <c r="CI1697">
        <f t="shared" si="188"/>
        <v>2015</v>
      </c>
      <c r="CJ1697" t="str">
        <f t="shared" si="189"/>
        <v>6841_2015</v>
      </c>
    </row>
    <row r="1698" spans="1:88" x14ac:dyDescent="0.25">
      <c r="A1698" t="s">
        <v>111</v>
      </c>
      <c r="B1698" t="s">
        <v>157</v>
      </c>
      <c r="C1698">
        <v>6841</v>
      </c>
      <c r="D1698">
        <v>-37.888347000000003</v>
      </c>
      <c r="E1698">
        <v>144.61904100000001</v>
      </c>
      <c r="F1698">
        <v>3</v>
      </c>
      <c r="G1698" t="s">
        <v>636</v>
      </c>
      <c r="H1698">
        <v>84</v>
      </c>
      <c r="I1698">
        <v>264</v>
      </c>
      <c r="J1698">
        <v>237</v>
      </c>
      <c r="K1698">
        <v>57</v>
      </c>
      <c r="L1698">
        <v>316</v>
      </c>
      <c r="M1698">
        <v>136</v>
      </c>
      <c r="T1698">
        <v>9</v>
      </c>
      <c r="U1698">
        <v>4</v>
      </c>
      <c r="Y1698">
        <v>5</v>
      </c>
      <c r="Z1698">
        <v>4</v>
      </c>
      <c r="AD1698">
        <v>16</v>
      </c>
      <c r="AE1698">
        <v>7</v>
      </c>
      <c r="AX1698">
        <v>13</v>
      </c>
      <c r="AY1698">
        <v>21</v>
      </c>
      <c r="AZ1698">
        <v>34</v>
      </c>
      <c r="BA1698">
        <v>9</v>
      </c>
      <c r="BB1698">
        <v>16</v>
      </c>
      <c r="BC1698">
        <v>25</v>
      </c>
      <c r="BD1698">
        <v>23</v>
      </c>
      <c r="BE1698">
        <v>8</v>
      </c>
      <c r="BF1698">
        <v>31</v>
      </c>
      <c r="BP1698">
        <v>3</v>
      </c>
      <c r="BR1698">
        <v>26</v>
      </c>
      <c r="BS1698">
        <v>2</v>
      </c>
      <c r="BT1698">
        <v>12</v>
      </c>
      <c r="BV1698">
        <v>2</v>
      </c>
      <c r="BW1698">
        <v>45</v>
      </c>
      <c r="BX1698">
        <f t="shared" ref="BX1698:BX1703" si="193">IF(C1698=C1697,IF((CI1698-1)=CI1697,BW1697,"no data"))</f>
        <v>92</v>
      </c>
      <c r="BY1698" s="5">
        <f t="shared" si="192"/>
        <v>-0.51086956521739135</v>
      </c>
      <c r="BZ1698" s="6">
        <f t="shared" si="190"/>
        <v>-0.51086956521739135</v>
      </c>
      <c r="CA1698" s="7">
        <v>42687</v>
      </c>
      <c r="CE1698">
        <v>13</v>
      </c>
      <c r="CF1698">
        <v>14</v>
      </c>
      <c r="CG1698">
        <v>8</v>
      </c>
      <c r="CH1698">
        <v>10</v>
      </c>
      <c r="CI1698">
        <f t="shared" si="188"/>
        <v>2016</v>
      </c>
      <c r="CJ1698" t="str">
        <f t="shared" si="189"/>
        <v>6841_2016</v>
      </c>
    </row>
    <row r="1699" spans="1:88" x14ac:dyDescent="0.25">
      <c r="A1699" t="s">
        <v>111</v>
      </c>
      <c r="B1699" t="s">
        <v>157</v>
      </c>
      <c r="C1699">
        <v>6841</v>
      </c>
      <c r="D1699">
        <v>-37.888347000000003</v>
      </c>
      <c r="E1699">
        <v>144.61904100000001</v>
      </c>
      <c r="F1699">
        <v>3</v>
      </c>
      <c r="G1699" t="s">
        <v>636</v>
      </c>
      <c r="H1699">
        <v>84</v>
      </c>
      <c r="I1699">
        <v>264</v>
      </c>
      <c r="J1699">
        <v>237</v>
      </c>
      <c r="K1699">
        <v>57</v>
      </c>
      <c r="L1699">
        <v>316</v>
      </c>
      <c r="M1699">
        <v>136</v>
      </c>
      <c r="T1699">
        <v>6</v>
      </c>
      <c r="U1699">
        <v>13</v>
      </c>
      <c r="Y1699">
        <v>8</v>
      </c>
      <c r="Z1699">
        <v>11</v>
      </c>
      <c r="AD1699">
        <v>31</v>
      </c>
      <c r="AE1699">
        <v>7</v>
      </c>
      <c r="AX1699">
        <v>19</v>
      </c>
      <c r="AY1699">
        <v>39</v>
      </c>
      <c r="AZ1699">
        <v>58</v>
      </c>
      <c r="BA1699">
        <v>19</v>
      </c>
      <c r="BB1699">
        <v>13</v>
      </c>
      <c r="BC1699">
        <v>32</v>
      </c>
      <c r="BD1699">
        <v>38</v>
      </c>
      <c r="BE1699">
        <v>24</v>
      </c>
      <c r="BF1699">
        <v>62</v>
      </c>
      <c r="BP1699">
        <v>15</v>
      </c>
      <c r="BR1699">
        <v>40</v>
      </c>
      <c r="BS1699">
        <v>2</v>
      </c>
      <c r="BT1699">
        <v>13</v>
      </c>
      <c r="BV1699">
        <v>6</v>
      </c>
      <c r="BW1699">
        <v>76</v>
      </c>
      <c r="BX1699">
        <f t="shared" si="193"/>
        <v>45</v>
      </c>
      <c r="BY1699" s="5">
        <f t="shared" si="192"/>
        <v>0.68888888888888888</v>
      </c>
      <c r="BZ1699" s="6">
        <f t="shared" si="190"/>
        <v>0.68888888888888888</v>
      </c>
      <c r="CA1699" s="7">
        <v>43051</v>
      </c>
      <c r="CE1699">
        <v>31</v>
      </c>
      <c r="CF1699">
        <v>24</v>
      </c>
      <c r="CG1699">
        <v>15</v>
      </c>
      <c r="CH1699">
        <v>6</v>
      </c>
      <c r="CI1699">
        <f t="shared" si="188"/>
        <v>2017</v>
      </c>
      <c r="CJ1699" t="str">
        <f t="shared" si="189"/>
        <v>6841_2017</v>
      </c>
    </row>
    <row r="1700" spans="1:88" x14ac:dyDescent="0.25">
      <c r="A1700" t="s">
        <v>111</v>
      </c>
      <c r="B1700" t="s">
        <v>157</v>
      </c>
      <c r="C1700">
        <v>6841</v>
      </c>
      <c r="D1700">
        <v>-37.888347000000003</v>
      </c>
      <c r="E1700">
        <v>144.61904100000001</v>
      </c>
      <c r="F1700">
        <v>3</v>
      </c>
      <c r="G1700" t="s">
        <v>636</v>
      </c>
      <c r="H1700">
        <v>84</v>
      </c>
      <c r="I1700">
        <v>264</v>
      </c>
      <c r="J1700">
        <v>237</v>
      </c>
      <c r="K1700">
        <v>57</v>
      </c>
      <c r="L1700">
        <v>316</v>
      </c>
      <c r="M1700">
        <v>136</v>
      </c>
      <c r="T1700">
        <v>5</v>
      </c>
      <c r="U1700">
        <v>8</v>
      </c>
      <c r="Y1700">
        <v>17</v>
      </c>
      <c r="Z1700">
        <v>6</v>
      </c>
      <c r="AD1700">
        <v>26</v>
      </c>
      <c r="AE1700">
        <v>10</v>
      </c>
      <c r="AX1700">
        <v>13</v>
      </c>
      <c r="AY1700">
        <v>43</v>
      </c>
      <c r="AZ1700">
        <v>56</v>
      </c>
      <c r="BA1700">
        <v>23</v>
      </c>
      <c r="BB1700">
        <v>15</v>
      </c>
      <c r="BC1700">
        <v>38</v>
      </c>
      <c r="BD1700">
        <v>36</v>
      </c>
      <c r="BE1700">
        <v>14</v>
      </c>
      <c r="BF1700">
        <v>50</v>
      </c>
      <c r="BP1700">
        <v>5</v>
      </c>
      <c r="BR1700">
        <v>41</v>
      </c>
      <c r="BS1700">
        <v>4</v>
      </c>
      <c r="BT1700">
        <v>20</v>
      </c>
      <c r="BV1700">
        <v>2</v>
      </c>
      <c r="BW1700">
        <v>72</v>
      </c>
      <c r="BX1700">
        <f t="shared" si="193"/>
        <v>76</v>
      </c>
      <c r="BY1700" s="5">
        <f t="shared" si="192"/>
        <v>-5.2631578947368418E-2</v>
      </c>
      <c r="BZ1700" s="6">
        <f t="shared" si="190"/>
        <v>-5.2631578947368418E-2</v>
      </c>
      <c r="CA1700" s="7">
        <v>43415</v>
      </c>
      <c r="CE1700">
        <v>25</v>
      </c>
      <c r="CF1700">
        <v>23</v>
      </c>
      <c r="CG1700">
        <v>16</v>
      </c>
      <c r="CH1700">
        <v>8</v>
      </c>
      <c r="CI1700">
        <f t="shared" si="188"/>
        <v>2018</v>
      </c>
      <c r="CJ1700" t="str">
        <f t="shared" si="189"/>
        <v>6841_2018</v>
      </c>
    </row>
    <row r="1701" spans="1:88" x14ac:dyDescent="0.25">
      <c r="A1701" t="s">
        <v>111</v>
      </c>
      <c r="B1701" t="s">
        <v>157</v>
      </c>
      <c r="C1701">
        <v>6841</v>
      </c>
      <c r="D1701">
        <v>-37.888300000000001</v>
      </c>
      <c r="E1701">
        <v>144.619</v>
      </c>
      <c r="F1701">
        <v>3</v>
      </c>
      <c r="G1701" t="s">
        <v>636</v>
      </c>
      <c r="H1701">
        <v>84</v>
      </c>
      <c r="I1701">
        <v>264</v>
      </c>
      <c r="J1701">
        <v>237</v>
      </c>
      <c r="K1701">
        <v>57</v>
      </c>
      <c r="L1701">
        <v>316</v>
      </c>
      <c r="M1701">
        <v>136</v>
      </c>
      <c r="T1701">
        <v>9</v>
      </c>
      <c r="U1701">
        <v>14</v>
      </c>
      <c r="Y1701">
        <v>12</v>
      </c>
      <c r="Z1701">
        <v>15</v>
      </c>
      <c r="AD1701">
        <v>37</v>
      </c>
      <c r="AE1701">
        <v>25</v>
      </c>
      <c r="AX1701">
        <v>23</v>
      </c>
      <c r="AY1701">
        <v>49</v>
      </c>
      <c r="AZ1701">
        <v>72</v>
      </c>
      <c r="BA1701">
        <v>27</v>
      </c>
      <c r="BB1701">
        <v>34</v>
      </c>
      <c r="BC1701">
        <v>61</v>
      </c>
      <c r="BD1701">
        <v>62</v>
      </c>
      <c r="BE1701">
        <v>29</v>
      </c>
      <c r="BF1701">
        <v>91</v>
      </c>
      <c r="BP1701">
        <v>11</v>
      </c>
      <c r="BR1701">
        <v>53</v>
      </c>
      <c r="BS1701">
        <v>10</v>
      </c>
      <c r="BT1701">
        <v>31</v>
      </c>
      <c r="BV1701">
        <v>7</v>
      </c>
      <c r="BW1701">
        <v>112</v>
      </c>
      <c r="BX1701">
        <f t="shared" si="193"/>
        <v>72</v>
      </c>
      <c r="BY1701" s="5">
        <f t="shared" si="192"/>
        <v>0.55555555555555558</v>
      </c>
      <c r="BZ1701" s="6">
        <f t="shared" si="190"/>
        <v>0.55555555555555558</v>
      </c>
      <c r="CA1701" s="7">
        <v>43779</v>
      </c>
      <c r="CE1701">
        <v>23</v>
      </c>
      <c r="CF1701">
        <v>42</v>
      </c>
      <c r="CG1701">
        <v>33</v>
      </c>
      <c r="CH1701">
        <v>14</v>
      </c>
      <c r="CI1701">
        <f t="shared" si="188"/>
        <v>2019</v>
      </c>
      <c r="CJ1701" t="str">
        <f t="shared" si="189"/>
        <v>6841_2019</v>
      </c>
    </row>
    <row r="1702" spans="1:88" x14ac:dyDescent="0.25">
      <c r="A1702" t="s">
        <v>111</v>
      </c>
      <c r="B1702" t="s">
        <v>157</v>
      </c>
      <c r="C1702">
        <v>6841</v>
      </c>
      <c r="D1702">
        <v>-37.888347000000003</v>
      </c>
      <c r="E1702">
        <v>144.61904100000001</v>
      </c>
      <c r="F1702">
        <v>3</v>
      </c>
      <c r="G1702" t="s">
        <v>636</v>
      </c>
      <c r="H1702">
        <v>84</v>
      </c>
      <c r="I1702">
        <v>264</v>
      </c>
      <c r="J1702">
        <v>237</v>
      </c>
      <c r="K1702">
        <v>57</v>
      </c>
      <c r="L1702">
        <v>316</v>
      </c>
      <c r="M1702">
        <v>136</v>
      </c>
      <c r="T1702">
        <v>4</v>
      </c>
      <c r="U1702">
        <v>14</v>
      </c>
      <c r="Y1702">
        <v>5</v>
      </c>
      <c r="Z1702">
        <v>11</v>
      </c>
      <c r="AD1702">
        <v>16</v>
      </c>
      <c r="AE1702">
        <v>9</v>
      </c>
      <c r="AX1702">
        <v>18</v>
      </c>
      <c r="AY1702">
        <v>21</v>
      </c>
      <c r="AZ1702">
        <v>39</v>
      </c>
      <c r="BA1702">
        <v>16</v>
      </c>
      <c r="BB1702">
        <v>13</v>
      </c>
      <c r="BC1702">
        <v>29</v>
      </c>
      <c r="BD1702">
        <v>25</v>
      </c>
      <c r="BE1702">
        <v>25</v>
      </c>
      <c r="BF1702">
        <v>50</v>
      </c>
      <c r="BP1702">
        <v>4</v>
      </c>
      <c r="BR1702">
        <v>27</v>
      </c>
      <c r="BS1702">
        <v>5</v>
      </c>
      <c r="BT1702">
        <v>22</v>
      </c>
      <c r="BV1702">
        <v>1</v>
      </c>
      <c r="BW1702">
        <v>59</v>
      </c>
      <c r="BX1702" t="str">
        <f t="shared" si="193"/>
        <v>no data</v>
      </c>
      <c r="BY1702" s="5"/>
      <c r="BZ1702" s="6"/>
      <c r="CA1702" s="7">
        <v>44528</v>
      </c>
      <c r="CE1702">
        <v>24</v>
      </c>
      <c r="CF1702">
        <v>19</v>
      </c>
      <c r="CG1702">
        <v>16</v>
      </c>
      <c r="CI1702">
        <f t="shared" si="188"/>
        <v>2021</v>
      </c>
      <c r="CJ1702" t="str">
        <f t="shared" si="189"/>
        <v>6841_2021</v>
      </c>
    </row>
    <row r="1703" spans="1:88" x14ac:dyDescent="0.25">
      <c r="A1703" t="s">
        <v>111</v>
      </c>
      <c r="B1703" t="s">
        <v>157</v>
      </c>
      <c r="C1703">
        <v>6841</v>
      </c>
      <c r="D1703">
        <v>-37.888347000000003</v>
      </c>
      <c r="E1703">
        <v>144.61904100000001</v>
      </c>
      <c r="F1703">
        <v>3</v>
      </c>
      <c r="G1703" t="s">
        <v>636</v>
      </c>
      <c r="H1703">
        <v>84</v>
      </c>
      <c r="I1703">
        <v>264</v>
      </c>
      <c r="J1703">
        <v>237</v>
      </c>
      <c r="K1703">
        <v>57</v>
      </c>
      <c r="L1703">
        <v>316</v>
      </c>
      <c r="M1703">
        <v>136</v>
      </c>
      <c r="T1703">
        <v>6</v>
      </c>
      <c r="U1703">
        <v>12</v>
      </c>
      <c r="Y1703">
        <v>8</v>
      </c>
      <c r="Z1703">
        <v>14</v>
      </c>
      <c r="AD1703">
        <v>17</v>
      </c>
      <c r="AE1703">
        <v>25</v>
      </c>
      <c r="AX1703">
        <v>18</v>
      </c>
      <c r="AY1703">
        <v>25</v>
      </c>
      <c r="AZ1703">
        <v>43</v>
      </c>
      <c r="BA1703">
        <v>22</v>
      </c>
      <c r="BB1703">
        <v>31</v>
      </c>
      <c r="BC1703">
        <v>53</v>
      </c>
      <c r="BD1703">
        <v>42</v>
      </c>
      <c r="BE1703">
        <v>26</v>
      </c>
      <c r="BF1703">
        <v>68</v>
      </c>
      <c r="BP1703">
        <v>8</v>
      </c>
      <c r="BR1703">
        <v>34</v>
      </c>
      <c r="BS1703">
        <v>5</v>
      </c>
      <c r="BT1703">
        <v>32</v>
      </c>
      <c r="BU1703">
        <v>3</v>
      </c>
      <c r="BV1703">
        <v>0</v>
      </c>
      <c r="BW1703">
        <v>82</v>
      </c>
      <c r="BX1703">
        <f t="shared" si="193"/>
        <v>59</v>
      </c>
      <c r="BY1703" s="5">
        <f t="shared" si="192"/>
        <v>0.38983050847457629</v>
      </c>
      <c r="BZ1703" s="6">
        <f t="shared" si="190"/>
        <v>0.38983050847457629</v>
      </c>
      <c r="CA1703" s="7">
        <v>44878</v>
      </c>
      <c r="CE1703">
        <v>35</v>
      </c>
      <c r="CF1703">
        <v>29</v>
      </c>
      <c r="CG1703">
        <v>18</v>
      </c>
      <c r="CI1703">
        <f t="shared" si="188"/>
        <v>2022</v>
      </c>
      <c r="CJ1703" t="str">
        <f t="shared" si="189"/>
        <v>6841_2022</v>
      </c>
    </row>
    <row r="1704" spans="1:88" x14ac:dyDescent="0.25">
      <c r="A1704" t="s">
        <v>111</v>
      </c>
      <c r="B1704" t="s">
        <v>129</v>
      </c>
      <c r="C1704">
        <v>6842</v>
      </c>
      <c r="D1704">
        <v>-37.862400000000001</v>
      </c>
      <c r="E1704">
        <v>144.77959999999999</v>
      </c>
      <c r="F1704">
        <v>3</v>
      </c>
      <c r="G1704" t="s">
        <v>637</v>
      </c>
      <c r="H1704">
        <v>104</v>
      </c>
      <c r="I1704">
        <v>284</v>
      </c>
      <c r="J1704">
        <v>251</v>
      </c>
      <c r="K1704">
        <v>71</v>
      </c>
      <c r="L1704">
        <v>343</v>
      </c>
      <c r="M1704">
        <v>163</v>
      </c>
      <c r="T1704">
        <v>19</v>
      </c>
      <c r="U1704">
        <v>6</v>
      </c>
      <c r="Y1704">
        <v>18</v>
      </c>
      <c r="Z1704">
        <v>18</v>
      </c>
      <c r="AD1704">
        <v>6</v>
      </c>
      <c r="AE1704">
        <v>5</v>
      </c>
      <c r="AX1704">
        <v>25</v>
      </c>
      <c r="AY1704">
        <v>24</v>
      </c>
      <c r="AZ1704">
        <v>49</v>
      </c>
      <c r="BA1704">
        <v>36</v>
      </c>
      <c r="BB1704">
        <v>24</v>
      </c>
      <c r="BC1704">
        <v>60</v>
      </c>
      <c r="BD1704">
        <v>11</v>
      </c>
      <c r="BE1704">
        <v>24</v>
      </c>
      <c r="BF1704">
        <v>35</v>
      </c>
      <c r="BP1704">
        <v>43</v>
      </c>
      <c r="BR1704">
        <v>17</v>
      </c>
      <c r="BS1704">
        <v>4</v>
      </c>
      <c r="BT1704">
        <v>8</v>
      </c>
      <c r="BV1704">
        <v>0</v>
      </c>
      <c r="BW1704">
        <v>72</v>
      </c>
      <c r="BX1704" t="s">
        <v>82</v>
      </c>
      <c r="BY1704" s="5"/>
      <c r="BZ1704" s="6"/>
      <c r="CA1704" s="7">
        <v>42316</v>
      </c>
      <c r="CE1704">
        <v>32</v>
      </c>
      <c r="CF1704">
        <v>6</v>
      </c>
      <c r="CG1704">
        <v>21</v>
      </c>
      <c r="CH1704">
        <v>13</v>
      </c>
      <c r="CI1704">
        <f t="shared" si="188"/>
        <v>2015</v>
      </c>
      <c r="CJ1704" t="str">
        <f t="shared" si="189"/>
        <v>6842_2015</v>
      </c>
    </row>
    <row r="1705" spans="1:88" x14ac:dyDescent="0.25">
      <c r="A1705" t="s">
        <v>111</v>
      </c>
      <c r="B1705" t="s">
        <v>129</v>
      </c>
      <c r="C1705">
        <v>6842</v>
      </c>
      <c r="D1705">
        <v>-37.862388000000003</v>
      </c>
      <c r="E1705">
        <v>144.77956</v>
      </c>
      <c r="F1705">
        <v>3</v>
      </c>
      <c r="G1705" t="s">
        <v>637</v>
      </c>
      <c r="H1705">
        <v>104</v>
      </c>
      <c r="I1705">
        <v>284</v>
      </c>
      <c r="J1705">
        <v>251</v>
      </c>
      <c r="K1705">
        <v>71</v>
      </c>
      <c r="L1705">
        <v>343</v>
      </c>
      <c r="M1705">
        <v>163</v>
      </c>
      <c r="T1705">
        <v>2</v>
      </c>
      <c r="U1705">
        <v>6</v>
      </c>
      <c r="Y1705">
        <v>0</v>
      </c>
      <c r="Z1705">
        <v>1</v>
      </c>
      <c r="AD1705">
        <v>2</v>
      </c>
      <c r="AE1705">
        <v>2</v>
      </c>
      <c r="AX1705">
        <v>8</v>
      </c>
      <c r="AY1705">
        <v>2</v>
      </c>
      <c r="AZ1705">
        <v>10</v>
      </c>
      <c r="BA1705">
        <v>1</v>
      </c>
      <c r="BB1705">
        <v>4</v>
      </c>
      <c r="BC1705">
        <v>5</v>
      </c>
      <c r="BD1705">
        <v>4</v>
      </c>
      <c r="BE1705">
        <v>7</v>
      </c>
      <c r="BF1705">
        <v>11</v>
      </c>
      <c r="BP1705">
        <v>3</v>
      </c>
      <c r="BR1705">
        <v>4</v>
      </c>
      <c r="BS1705">
        <v>4</v>
      </c>
      <c r="BT1705">
        <v>1</v>
      </c>
      <c r="BV1705">
        <v>1</v>
      </c>
      <c r="BW1705">
        <v>13</v>
      </c>
      <c r="BX1705">
        <f>IF(C1705=C1704,IF((CI1705-1)=CI1704,BW1704,"no data"))</f>
        <v>72</v>
      </c>
      <c r="BY1705" s="5">
        <f t="shared" si="192"/>
        <v>-0.81944444444444442</v>
      </c>
      <c r="BZ1705" s="6">
        <f t="shared" si="190"/>
        <v>-0.81944444444444442</v>
      </c>
      <c r="CA1705" s="7">
        <v>42687</v>
      </c>
      <c r="CE1705">
        <v>2</v>
      </c>
      <c r="CF1705">
        <v>1</v>
      </c>
      <c r="CG1705">
        <v>7</v>
      </c>
      <c r="CH1705">
        <v>3</v>
      </c>
      <c r="CI1705">
        <f t="shared" si="188"/>
        <v>2016</v>
      </c>
      <c r="CJ1705" t="str">
        <f t="shared" si="189"/>
        <v>6842_2016</v>
      </c>
    </row>
    <row r="1706" spans="1:88" x14ac:dyDescent="0.25">
      <c r="A1706" t="s">
        <v>111</v>
      </c>
      <c r="B1706" t="s">
        <v>129</v>
      </c>
      <c r="C1706">
        <v>6842</v>
      </c>
      <c r="D1706">
        <v>-37.862388000000003</v>
      </c>
      <c r="E1706">
        <v>144.77956</v>
      </c>
      <c r="F1706">
        <v>3</v>
      </c>
      <c r="G1706" t="s">
        <v>637</v>
      </c>
      <c r="H1706">
        <v>104</v>
      </c>
      <c r="I1706">
        <v>284</v>
      </c>
      <c r="J1706">
        <v>251</v>
      </c>
      <c r="K1706">
        <v>71</v>
      </c>
      <c r="L1706">
        <v>343</v>
      </c>
      <c r="M1706">
        <v>163</v>
      </c>
      <c r="T1706">
        <v>28</v>
      </c>
      <c r="U1706">
        <v>8</v>
      </c>
      <c r="Y1706">
        <v>15</v>
      </c>
      <c r="Z1706">
        <v>7</v>
      </c>
      <c r="AD1706">
        <v>8</v>
      </c>
      <c r="AE1706">
        <v>10</v>
      </c>
      <c r="AX1706">
        <v>36</v>
      </c>
      <c r="AY1706">
        <v>23</v>
      </c>
      <c r="AZ1706">
        <v>59</v>
      </c>
      <c r="BA1706">
        <v>22</v>
      </c>
      <c r="BB1706">
        <v>38</v>
      </c>
      <c r="BC1706">
        <v>60</v>
      </c>
      <c r="BD1706">
        <v>18</v>
      </c>
      <c r="BE1706">
        <v>15</v>
      </c>
      <c r="BF1706">
        <v>33</v>
      </c>
      <c r="BP1706">
        <v>29</v>
      </c>
      <c r="BR1706">
        <v>38</v>
      </c>
      <c r="BS1706">
        <v>0</v>
      </c>
      <c r="BT1706">
        <v>9</v>
      </c>
      <c r="BV1706">
        <v>0</v>
      </c>
      <c r="BW1706">
        <v>76</v>
      </c>
      <c r="BX1706">
        <f>IF(C1706=C1705,IF((CI1706-1)=CI1705,BW1705,"no data"))</f>
        <v>13</v>
      </c>
      <c r="BY1706" s="5">
        <f t="shared" si="192"/>
        <v>4.8461538461538458</v>
      </c>
      <c r="BZ1706" s="6">
        <f t="shared" si="190"/>
        <v>4.8461538461538458</v>
      </c>
      <c r="CA1706" s="7">
        <v>43051</v>
      </c>
      <c r="CE1706">
        <v>18</v>
      </c>
      <c r="CF1706">
        <v>25</v>
      </c>
      <c r="CG1706">
        <v>18</v>
      </c>
      <c r="CH1706">
        <v>15</v>
      </c>
      <c r="CI1706">
        <f t="shared" si="188"/>
        <v>2017</v>
      </c>
      <c r="CJ1706" t="str">
        <f t="shared" si="189"/>
        <v>6842_2017</v>
      </c>
    </row>
    <row r="1707" spans="1:88" x14ac:dyDescent="0.25">
      <c r="A1707" t="s">
        <v>111</v>
      </c>
      <c r="B1707" t="s">
        <v>129</v>
      </c>
      <c r="C1707">
        <v>6842</v>
      </c>
      <c r="D1707">
        <v>-37.862388000000003</v>
      </c>
      <c r="E1707">
        <v>144.77956</v>
      </c>
      <c r="F1707">
        <v>3</v>
      </c>
      <c r="G1707" t="s">
        <v>637</v>
      </c>
      <c r="H1707">
        <v>104</v>
      </c>
      <c r="I1707">
        <v>284</v>
      </c>
      <c r="J1707">
        <v>251</v>
      </c>
      <c r="K1707">
        <v>71</v>
      </c>
      <c r="L1707">
        <v>343</v>
      </c>
      <c r="M1707">
        <v>163</v>
      </c>
      <c r="T1707">
        <v>5</v>
      </c>
      <c r="U1707">
        <v>6</v>
      </c>
      <c r="Y1707">
        <v>14</v>
      </c>
      <c r="Z1707">
        <v>7</v>
      </c>
      <c r="AD1707">
        <v>11</v>
      </c>
      <c r="AE1707">
        <v>10</v>
      </c>
      <c r="AX1707">
        <v>11</v>
      </c>
      <c r="AY1707">
        <v>25</v>
      </c>
      <c r="AZ1707">
        <v>36</v>
      </c>
      <c r="BA1707">
        <v>21</v>
      </c>
      <c r="BB1707">
        <v>15</v>
      </c>
      <c r="BC1707">
        <v>36</v>
      </c>
      <c r="BD1707">
        <v>21</v>
      </c>
      <c r="BE1707">
        <v>13</v>
      </c>
      <c r="BF1707">
        <v>34</v>
      </c>
      <c r="BP1707">
        <v>18</v>
      </c>
      <c r="BR1707">
        <v>18</v>
      </c>
      <c r="BS1707">
        <v>5</v>
      </c>
      <c r="BT1707">
        <v>11</v>
      </c>
      <c r="BV1707">
        <v>1</v>
      </c>
      <c r="BW1707">
        <v>53</v>
      </c>
      <c r="BX1707">
        <f>IF(C1707=C1706,IF((CI1707-1)=CI1706,BW1706,"no data"))</f>
        <v>76</v>
      </c>
      <c r="BY1707" s="5">
        <f t="shared" si="192"/>
        <v>-0.30263157894736842</v>
      </c>
      <c r="BZ1707" s="6">
        <f t="shared" si="190"/>
        <v>-0.30263157894736842</v>
      </c>
      <c r="CA1707" s="7">
        <v>43415</v>
      </c>
      <c r="CE1707">
        <v>17</v>
      </c>
      <c r="CF1707">
        <v>12</v>
      </c>
      <c r="CG1707">
        <v>8</v>
      </c>
      <c r="CH1707">
        <v>16</v>
      </c>
      <c r="CI1707">
        <f t="shared" si="188"/>
        <v>2018</v>
      </c>
      <c r="CJ1707" t="str">
        <f t="shared" si="189"/>
        <v>6842_2018</v>
      </c>
    </row>
    <row r="1708" spans="1:88" x14ac:dyDescent="0.25">
      <c r="A1708" t="s">
        <v>111</v>
      </c>
      <c r="B1708" t="s">
        <v>129</v>
      </c>
      <c r="C1708">
        <v>6842</v>
      </c>
      <c r="D1708">
        <v>-37.862400000000001</v>
      </c>
      <c r="E1708">
        <v>144.77959999999999</v>
      </c>
      <c r="F1708">
        <v>3</v>
      </c>
      <c r="G1708" t="s">
        <v>637</v>
      </c>
      <c r="H1708">
        <v>104</v>
      </c>
      <c r="I1708">
        <v>284</v>
      </c>
      <c r="J1708">
        <v>251</v>
      </c>
      <c r="K1708">
        <v>71</v>
      </c>
      <c r="L1708">
        <v>343</v>
      </c>
      <c r="M1708">
        <v>163</v>
      </c>
      <c r="T1708">
        <v>2</v>
      </c>
      <c r="U1708">
        <v>2</v>
      </c>
      <c r="Y1708">
        <v>12</v>
      </c>
      <c r="Z1708">
        <v>4</v>
      </c>
      <c r="AD1708">
        <v>5</v>
      </c>
      <c r="AE1708">
        <v>2</v>
      </c>
      <c r="AX1708">
        <v>4</v>
      </c>
      <c r="AY1708">
        <v>17</v>
      </c>
      <c r="AZ1708">
        <v>21</v>
      </c>
      <c r="BA1708">
        <v>16</v>
      </c>
      <c r="BB1708">
        <v>4</v>
      </c>
      <c r="BC1708">
        <v>20</v>
      </c>
      <c r="BD1708">
        <v>7</v>
      </c>
      <c r="BE1708">
        <v>6</v>
      </c>
      <c r="BF1708">
        <v>13</v>
      </c>
      <c r="BP1708">
        <v>13</v>
      </c>
      <c r="BR1708">
        <v>11</v>
      </c>
      <c r="BS1708">
        <v>0</v>
      </c>
      <c r="BT1708">
        <v>3</v>
      </c>
      <c r="BV1708">
        <v>0</v>
      </c>
      <c r="BW1708">
        <v>27</v>
      </c>
      <c r="BX1708">
        <f>IF(C1708=C1707,IF((CI1708-1)=CI1707,BW1707,"no data"))</f>
        <v>53</v>
      </c>
      <c r="BY1708" s="5">
        <f t="shared" si="192"/>
        <v>-0.49056603773584906</v>
      </c>
      <c r="BZ1708" s="6">
        <f t="shared" si="190"/>
        <v>-0.49056603773584906</v>
      </c>
      <c r="CA1708" s="7">
        <v>43779</v>
      </c>
      <c r="CE1708">
        <v>4</v>
      </c>
      <c r="CF1708">
        <v>4</v>
      </c>
      <c r="CG1708">
        <v>7</v>
      </c>
      <c r="CH1708">
        <v>12</v>
      </c>
      <c r="CI1708">
        <f t="shared" si="188"/>
        <v>2019</v>
      </c>
      <c r="CJ1708" t="str">
        <f t="shared" si="189"/>
        <v>6842_2019</v>
      </c>
    </row>
    <row r="1709" spans="1:88" x14ac:dyDescent="0.25">
      <c r="A1709" t="s">
        <v>111</v>
      </c>
      <c r="B1709" t="s">
        <v>129</v>
      </c>
      <c r="C1709">
        <v>6842</v>
      </c>
      <c r="D1709">
        <v>-37.862388000000003</v>
      </c>
      <c r="E1709">
        <v>144.77956</v>
      </c>
      <c r="F1709">
        <v>3</v>
      </c>
      <c r="G1709" t="s">
        <v>637</v>
      </c>
      <c r="H1709">
        <v>104</v>
      </c>
      <c r="I1709">
        <v>284</v>
      </c>
      <c r="J1709">
        <v>251</v>
      </c>
      <c r="K1709">
        <v>71</v>
      </c>
      <c r="L1709">
        <v>343</v>
      </c>
      <c r="M1709">
        <v>163</v>
      </c>
      <c r="T1709">
        <v>9</v>
      </c>
      <c r="U1709">
        <v>6</v>
      </c>
      <c r="Y1709">
        <v>13</v>
      </c>
      <c r="Z1709">
        <v>2</v>
      </c>
      <c r="AD1709">
        <v>3</v>
      </c>
      <c r="AE1709">
        <v>6</v>
      </c>
      <c r="AX1709">
        <v>15</v>
      </c>
      <c r="AY1709">
        <v>16</v>
      </c>
      <c r="AZ1709">
        <v>31</v>
      </c>
      <c r="BA1709">
        <v>15</v>
      </c>
      <c r="BB1709">
        <v>15</v>
      </c>
      <c r="BC1709">
        <v>30</v>
      </c>
      <c r="BD1709">
        <v>9</v>
      </c>
      <c r="BE1709">
        <v>8</v>
      </c>
      <c r="BF1709">
        <v>17</v>
      </c>
      <c r="BP1709">
        <v>15</v>
      </c>
      <c r="BR1709">
        <v>14</v>
      </c>
      <c r="BS1709">
        <v>3</v>
      </c>
      <c r="BT1709">
        <v>6</v>
      </c>
      <c r="BV1709">
        <v>1</v>
      </c>
      <c r="BW1709">
        <v>39</v>
      </c>
      <c r="BX1709" t="str">
        <f>IF(C1709=C1708,IF((CI1709-1)=CI1708,BW1708,"no data"))</f>
        <v>no data</v>
      </c>
      <c r="BY1709" s="5"/>
      <c r="BZ1709" s="6"/>
      <c r="CA1709" s="7">
        <v>44542</v>
      </c>
      <c r="CE1709">
        <v>13</v>
      </c>
      <c r="CF1709">
        <v>13</v>
      </c>
      <c r="CG1709">
        <v>13</v>
      </c>
      <c r="CI1709">
        <f t="shared" si="188"/>
        <v>2021</v>
      </c>
      <c r="CJ1709" t="str">
        <f t="shared" si="189"/>
        <v>6842_2021</v>
      </c>
    </row>
    <row r="1710" spans="1:88" x14ac:dyDescent="0.25">
      <c r="A1710" t="s">
        <v>79</v>
      </c>
      <c r="B1710" t="s">
        <v>80</v>
      </c>
      <c r="C1710">
        <v>6843</v>
      </c>
      <c r="D1710">
        <v>-33.899500000000003</v>
      </c>
      <c r="E1710">
        <v>151.17099999999999</v>
      </c>
      <c r="F1710">
        <v>4</v>
      </c>
      <c r="G1710" t="s">
        <v>638</v>
      </c>
      <c r="H1710">
        <v>71</v>
      </c>
      <c r="I1710">
        <v>251</v>
      </c>
      <c r="J1710">
        <v>164</v>
      </c>
      <c r="K1710">
        <v>344</v>
      </c>
      <c r="L1710">
        <v>204</v>
      </c>
      <c r="M1710">
        <v>24</v>
      </c>
      <c r="N1710">
        <v>294</v>
      </c>
      <c r="O1710">
        <v>114</v>
      </c>
      <c r="T1710">
        <v>60</v>
      </c>
      <c r="U1710">
        <v>169</v>
      </c>
      <c r="V1710">
        <v>167</v>
      </c>
      <c r="Y1710">
        <v>78</v>
      </c>
      <c r="Z1710">
        <v>6</v>
      </c>
      <c r="AA1710">
        <v>47</v>
      </c>
      <c r="AD1710">
        <v>215</v>
      </c>
      <c r="AE1710">
        <v>1</v>
      </c>
      <c r="AF1710">
        <v>13</v>
      </c>
      <c r="AI1710">
        <v>408</v>
      </c>
      <c r="AJ1710">
        <v>28</v>
      </c>
      <c r="AK1710">
        <v>18</v>
      </c>
      <c r="AX1710">
        <v>396</v>
      </c>
      <c r="AY1710">
        <v>701</v>
      </c>
      <c r="AZ1710">
        <v>1097</v>
      </c>
      <c r="BA1710">
        <v>131</v>
      </c>
      <c r="BB1710">
        <v>89</v>
      </c>
      <c r="BC1710">
        <v>220</v>
      </c>
      <c r="BD1710">
        <v>229</v>
      </c>
      <c r="BE1710">
        <v>193</v>
      </c>
      <c r="BF1710">
        <v>422</v>
      </c>
      <c r="BG1710">
        <v>454</v>
      </c>
      <c r="BH1710">
        <v>227</v>
      </c>
      <c r="BI1710">
        <v>681</v>
      </c>
      <c r="BP1710">
        <v>99</v>
      </c>
      <c r="BR1710">
        <v>1076</v>
      </c>
      <c r="BS1710">
        <v>10</v>
      </c>
      <c r="BT1710">
        <v>25</v>
      </c>
      <c r="BV1710">
        <v>0</v>
      </c>
      <c r="BW1710">
        <v>1210</v>
      </c>
      <c r="BX1710" t="s">
        <v>82</v>
      </c>
      <c r="BY1710" s="5"/>
      <c r="BZ1710" s="6"/>
      <c r="CA1710" s="7">
        <v>42316</v>
      </c>
      <c r="CE1710">
        <v>219</v>
      </c>
      <c r="CF1710">
        <v>322</v>
      </c>
      <c r="CG1710">
        <v>313</v>
      </c>
      <c r="CH1710">
        <v>356</v>
      </c>
      <c r="CI1710">
        <f t="shared" si="188"/>
        <v>2015</v>
      </c>
      <c r="CJ1710" t="str">
        <f t="shared" si="189"/>
        <v>6843_2015</v>
      </c>
    </row>
    <row r="1711" spans="1:88" x14ac:dyDescent="0.25">
      <c r="A1711" t="s">
        <v>79</v>
      </c>
      <c r="B1711" t="s">
        <v>80</v>
      </c>
      <c r="C1711">
        <v>6843</v>
      </c>
      <c r="D1711">
        <v>-33.899492000000002</v>
      </c>
      <c r="E1711">
        <v>151.171031</v>
      </c>
      <c r="F1711">
        <v>4</v>
      </c>
      <c r="G1711" t="s">
        <v>638</v>
      </c>
      <c r="H1711">
        <v>71</v>
      </c>
      <c r="I1711">
        <v>251</v>
      </c>
      <c r="J1711">
        <v>164</v>
      </c>
      <c r="K1711">
        <v>344</v>
      </c>
      <c r="L1711">
        <v>204</v>
      </c>
      <c r="M1711">
        <v>24</v>
      </c>
      <c r="N1711">
        <v>294</v>
      </c>
      <c r="O1711">
        <v>114</v>
      </c>
      <c r="T1711">
        <v>83</v>
      </c>
      <c r="U1711">
        <v>150</v>
      </c>
      <c r="V1711">
        <v>113</v>
      </c>
      <c r="Y1711">
        <v>88</v>
      </c>
      <c r="Z1711">
        <v>0</v>
      </c>
      <c r="AA1711">
        <v>16</v>
      </c>
      <c r="AD1711">
        <v>251</v>
      </c>
      <c r="AE1711">
        <v>3</v>
      </c>
      <c r="AF1711">
        <v>3</v>
      </c>
      <c r="AI1711">
        <v>302</v>
      </c>
      <c r="AJ1711">
        <v>34</v>
      </c>
      <c r="AK1711">
        <v>9</v>
      </c>
      <c r="AX1711">
        <v>346</v>
      </c>
      <c r="AY1711">
        <v>641</v>
      </c>
      <c r="AZ1711">
        <v>987</v>
      </c>
      <c r="BA1711">
        <v>104</v>
      </c>
      <c r="BB1711">
        <v>120</v>
      </c>
      <c r="BC1711">
        <v>224</v>
      </c>
      <c r="BD1711">
        <v>257</v>
      </c>
      <c r="BE1711">
        <v>159</v>
      </c>
      <c r="BF1711">
        <v>416</v>
      </c>
      <c r="BG1711">
        <v>345</v>
      </c>
      <c r="BH1711">
        <v>132</v>
      </c>
      <c r="BI1711">
        <v>477</v>
      </c>
      <c r="BP1711">
        <v>102</v>
      </c>
      <c r="BR1711">
        <v>919</v>
      </c>
      <c r="BS1711">
        <v>11</v>
      </c>
      <c r="BT1711">
        <v>20</v>
      </c>
      <c r="BV1711">
        <v>0</v>
      </c>
      <c r="BW1711">
        <v>1052</v>
      </c>
      <c r="BX1711">
        <f>IF(C1711=C1710,IF((CI1711-1)=CI1710,BW1710,"no data"))</f>
        <v>1210</v>
      </c>
      <c r="BY1711" s="5">
        <f t="shared" si="192"/>
        <v>-0.13057851239669421</v>
      </c>
      <c r="BZ1711" s="6">
        <f t="shared" si="190"/>
        <v>-0.13057851239669421</v>
      </c>
      <c r="CA1711" s="7">
        <v>42687</v>
      </c>
      <c r="CE1711">
        <v>194</v>
      </c>
      <c r="CF1711">
        <v>216</v>
      </c>
      <c r="CG1711">
        <v>291</v>
      </c>
      <c r="CH1711">
        <v>351</v>
      </c>
      <c r="CI1711">
        <f t="shared" si="188"/>
        <v>2016</v>
      </c>
      <c r="CJ1711" t="str">
        <f t="shared" si="189"/>
        <v>6843_2016</v>
      </c>
    </row>
    <row r="1712" spans="1:88" x14ac:dyDescent="0.25">
      <c r="A1712" t="s">
        <v>79</v>
      </c>
      <c r="B1712" t="s">
        <v>80</v>
      </c>
      <c r="C1712">
        <v>6843</v>
      </c>
      <c r="D1712">
        <v>-33.899492000000002</v>
      </c>
      <c r="E1712">
        <v>151.171031</v>
      </c>
      <c r="F1712">
        <v>4</v>
      </c>
      <c r="G1712" t="s">
        <v>638</v>
      </c>
      <c r="H1712">
        <v>71</v>
      </c>
      <c r="I1712">
        <v>251</v>
      </c>
      <c r="J1712">
        <v>164</v>
      </c>
      <c r="K1712">
        <v>344</v>
      </c>
      <c r="L1712">
        <v>204</v>
      </c>
      <c r="M1712">
        <v>24</v>
      </c>
      <c r="N1712">
        <v>294</v>
      </c>
      <c r="O1712">
        <v>114</v>
      </c>
      <c r="T1712">
        <v>100</v>
      </c>
      <c r="U1712">
        <v>205</v>
      </c>
      <c r="V1712">
        <v>227</v>
      </c>
      <c r="Y1712">
        <v>152</v>
      </c>
      <c r="Z1712">
        <v>6</v>
      </c>
      <c r="AA1712">
        <v>14</v>
      </c>
      <c r="AD1712">
        <v>337</v>
      </c>
      <c r="AE1712">
        <v>13</v>
      </c>
      <c r="AF1712">
        <v>52</v>
      </c>
      <c r="AI1712">
        <v>345</v>
      </c>
      <c r="AJ1712">
        <v>39</v>
      </c>
      <c r="AK1712">
        <v>30</v>
      </c>
      <c r="AX1712">
        <v>532</v>
      </c>
      <c r="AY1712">
        <v>834</v>
      </c>
      <c r="AZ1712">
        <v>1366</v>
      </c>
      <c r="BA1712">
        <v>172</v>
      </c>
      <c r="BB1712">
        <v>152</v>
      </c>
      <c r="BC1712">
        <v>324</v>
      </c>
      <c r="BD1712">
        <v>402</v>
      </c>
      <c r="BE1712">
        <v>241</v>
      </c>
      <c r="BF1712">
        <v>643</v>
      </c>
      <c r="BG1712">
        <v>414</v>
      </c>
      <c r="BH1712">
        <v>293</v>
      </c>
      <c r="BI1712">
        <v>707</v>
      </c>
      <c r="BP1712">
        <v>123</v>
      </c>
      <c r="BR1712">
        <v>1318</v>
      </c>
      <c r="BS1712">
        <v>18</v>
      </c>
      <c r="BT1712">
        <v>45</v>
      </c>
      <c r="BV1712">
        <v>16</v>
      </c>
      <c r="BW1712">
        <v>1520</v>
      </c>
      <c r="BX1712">
        <f>IF(C1712=C1711,IF((CI1712-1)=CI1711,BW1711,"no data"))</f>
        <v>1052</v>
      </c>
      <c r="BY1712" s="5">
        <f t="shared" si="192"/>
        <v>0.44486692015209123</v>
      </c>
      <c r="BZ1712" s="6">
        <f t="shared" si="190"/>
        <v>0.44486692015209123</v>
      </c>
      <c r="CA1712" s="7">
        <v>43051</v>
      </c>
      <c r="CE1712">
        <v>240</v>
      </c>
      <c r="CF1712">
        <v>354</v>
      </c>
      <c r="CG1712">
        <v>438</v>
      </c>
      <c r="CH1712">
        <v>488</v>
      </c>
      <c r="CI1712">
        <f t="shared" si="188"/>
        <v>2017</v>
      </c>
      <c r="CJ1712" t="str">
        <f t="shared" si="189"/>
        <v>6843_2017</v>
      </c>
    </row>
    <row r="1713" spans="1:88" x14ac:dyDescent="0.25">
      <c r="A1713" t="s">
        <v>79</v>
      </c>
      <c r="B1713" t="s">
        <v>80</v>
      </c>
      <c r="C1713">
        <v>6843</v>
      </c>
      <c r="D1713">
        <v>-33.899492000000002</v>
      </c>
      <c r="E1713">
        <v>151.171031</v>
      </c>
      <c r="F1713">
        <v>4</v>
      </c>
      <c r="G1713" t="s">
        <v>638</v>
      </c>
      <c r="H1713">
        <v>71</v>
      </c>
      <c r="I1713">
        <v>251</v>
      </c>
      <c r="J1713">
        <v>164</v>
      </c>
      <c r="K1713">
        <v>344</v>
      </c>
      <c r="L1713">
        <v>204</v>
      </c>
      <c r="M1713">
        <v>24</v>
      </c>
      <c r="N1713">
        <v>294</v>
      </c>
      <c r="O1713">
        <v>114</v>
      </c>
      <c r="T1713">
        <v>89</v>
      </c>
      <c r="U1713">
        <v>206</v>
      </c>
      <c r="V1713">
        <v>127</v>
      </c>
      <c r="Y1713">
        <v>77</v>
      </c>
      <c r="Z1713">
        <v>2</v>
      </c>
      <c r="AA1713">
        <v>41</v>
      </c>
      <c r="AD1713">
        <v>275</v>
      </c>
      <c r="AE1713">
        <v>0</v>
      </c>
      <c r="AF1713">
        <v>24</v>
      </c>
      <c r="AI1713">
        <v>216</v>
      </c>
      <c r="AJ1713">
        <v>74</v>
      </c>
      <c r="AK1713">
        <v>21</v>
      </c>
      <c r="AX1713">
        <v>422</v>
      </c>
      <c r="AY1713">
        <v>568</v>
      </c>
      <c r="AZ1713">
        <v>990</v>
      </c>
      <c r="BA1713">
        <v>120</v>
      </c>
      <c r="BB1713">
        <v>163</v>
      </c>
      <c r="BC1713">
        <v>283</v>
      </c>
      <c r="BD1713">
        <v>299</v>
      </c>
      <c r="BE1713">
        <v>229</v>
      </c>
      <c r="BF1713">
        <v>528</v>
      </c>
      <c r="BG1713">
        <v>311</v>
      </c>
      <c r="BH1713">
        <v>192</v>
      </c>
      <c r="BI1713">
        <v>503</v>
      </c>
      <c r="BP1713">
        <v>152</v>
      </c>
      <c r="BR1713">
        <v>737</v>
      </c>
      <c r="BS1713">
        <v>12</v>
      </c>
      <c r="BT1713">
        <v>28</v>
      </c>
      <c r="BV1713">
        <v>223</v>
      </c>
      <c r="BW1713">
        <v>1152</v>
      </c>
      <c r="BX1713">
        <f>IF(C1713=C1712,IF((CI1713-1)=CI1712,BW1712,"no data"))</f>
        <v>1520</v>
      </c>
      <c r="BY1713" s="5">
        <f t="shared" si="192"/>
        <v>-0.24210526315789474</v>
      </c>
      <c r="BZ1713" s="6">
        <f t="shared" si="190"/>
        <v>-0.24210526315789474</v>
      </c>
      <c r="CA1713" s="7">
        <v>43443</v>
      </c>
      <c r="CE1713">
        <v>320</v>
      </c>
      <c r="CF1713">
        <v>269</v>
      </c>
      <c r="CG1713">
        <v>276</v>
      </c>
      <c r="CH1713">
        <v>287</v>
      </c>
      <c r="CI1713">
        <f t="shared" si="188"/>
        <v>2018</v>
      </c>
      <c r="CJ1713" t="str">
        <f t="shared" si="189"/>
        <v>6843_2018</v>
      </c>
    </row>
    <row r="1714" spans="1:88" x14ac:dyDescent="0.25">
      <c r="A1714" t="s">
        <v>79</v>
      </c>
      <c r="B1714" t="s">
        <v>80</v>
      </c>
      <c r="C1714">
        <v>6844</v>
      </c>
      <c r="D1714">
        <v>-33.908700000000003</v>
      </c>
      <c r="E1714">
        <v>151.1524</v>
      </c>
      <c r="F1714">
        <v>5</v>
      </c>
      <c r="G1714" t="s">
        <v>639</v>
      </c>
      <c r="H1714">
        <v>12</v>
      </c>
      <c r="I1714">
        <v>192</v>
      </c>
      <c r="J1714">
        <v>119</v>
      </c>
      <c r="K1714">
        <v>299</v>
      </c>
      <c r="L1714">
        <v>168</v>
      </c>
      <c r="M1714">
        <v>348</v>
      </c>
      <c r="N1714">
        <v>215</v>
      </c>
      <c r="O1714">
        <v>35</v>
      </c>
      <c r="P1714">
        <v>291</v>
      </c>
      <c r="Q1714">
        <v>111</v>
      </c>
      <c r="T1714">
        <v>75</v>
      </c>
      <c r="U1714">
        <v>63</v>
      </c>
      <c r="V1714">
        <v>15</v>
      </c>
      <c r="W1714">
        <v>2</v>
      </c>
      <c r="Y1714">
        <v>43</v>
      </c>
      <c r="Z1714">
        <v>13</v>
      </c>
      <c r="AA1714">
        <v>32</v>
      </c>
      <c r="AB1714">
        <v>85</v>
      </c>
      <c r="AD1714">
        <v>50</v>
      </c>
      <c r="AE1714">
        <v>44</v>
      </c>
      <c r="AF1714">
        <v>0</v>
      </c>
      <c r="AG1714">
        <v>14</v>
      </c>
      <c r="AI1714">
        <v>24</v>
      </c>
      <c r="AJ1714">
        <v>36</v>
      </c>
      <c r="AK1714">
        <v>0</v>
      </c>
      <c r="AL1714">
        <v>15</v>
      </c>
      <c r="AN1714">
        <v>7</v>
      </c>
      <c r="AO1714">
        <v>112</v>
      </c>
      <c r="AP1714">
        <v>37</v>
      </c>
      <c r="AQ1714">
        <v>15</v>
      </c>
      <c r="AX1714">
        <v>155</v>
      </c>
      <c r="AY1714">
        <v>124</v>
      </c>
      <c r="AZ1714">
        <v>279</v>
      </c>
      <c r="BA1714">
        <v>173</v>
      </c>
      <c r="BB1714">
        <v>267</v>
      </c>
      <c r="BC1714">
        <v>440</v>
      </c>
      <c r="BD1714">
        <v>108</v>
      </c>
      <c r="BE1714">
        <v>113</v>
      </c>
      <c r="BF1714">
        <v>221</v>
      </c>
      <c r="BG1714">
        <v>75</v>
      </c>
      <c r="BH1714">
        <v>62</v>
      </c>
      <c r="BI1714">
        <v>137</v>
      </c>
      <c r="BJ1714">
        <v>171</v>
      </c>
      <c r="BK1714">
        <v>116</v>
      </c>
      <c r="BL1714">
        <v>287</v>
      </c>
      <c r="BP1714">
        <v>59</v>
      </c>
      <c r="BR1714">
        <v>607</v>
      </c>
      <c r="BS1714">
        <v>7</v>
      </c>
      <c r="BT1714">
        <v>6</v>
      </c>
      <c r="BV1714">
        <v>3</v>
      </c>
      <c r="BW1714">
        <v>682</v>
      </c>
      <c r="BX1714" t="s">
        <v>82</v>
      </c>
      <c r="BY1714" s="5"/>
      <c r="BZ1714" s="6"/>
      <c r="CA1714" s="7">
        <v>42316</v>
      </c>
      <c r="CE1714">
        <v>191</v>
      </c>
      <c r="CF1714">
        <v>239</v>
      </c>
      <c r="CG1714">
        <v>252</v>
      </c>
      <c r="CH1714">
        <v>0</v>
      </c>
      <c r="CI1714">
        <f t="shared" si="188"/>
        <v>2015</v>
      </c>
      <c r="CJ1714" t="str">
        <f t="shared" si="189"/>
        <v>6844_2015</v>
      </c>
    </row>
    <row r="1715" spans="1:88" x14ac:dyDescent="0.25">
      <c r="A1715" t="s">
        <v>79</v>
      </c>
      <c r="B1715" t="s">
        <v>80</v>
      </c>
      <c r="C1715">
        <v>6844</v>
      </c>
      <c r="D1715">
        <v>-33.908687</v>
      </c>
      <c r="E1715">
        <v>151.15241900000001</v>
      </c>
      <c r="F1715">
        <v>5</v>
      </c>
      <c r="G1715" t="s">
        <v>639</v>
      </c>
      <c r="H1715">
        <v>12</v>
      </c>
      <c r="I1715">
        <v>192</v>
      </c>
      <c r="J1715">
        <v>119</v>
      </c>
      <c r="K1715">
        <v>299</v>
      </c>
      <c r="L1715">
        <v>168</v>
      </c>
      <c r="M1715">
        <v>348</v>
      </c>
      <c r="N1715">
        <v>215</v>
      </c>
      <c r="O1715">
        <v>35</v>
      </c>
      <c r="P1715">
        <v>291</v>
      </c>
      <c r="Q1715">
        <v>111</v>
      </c>
      <c r="T1715">
        <v>126</v>
      </c>
      <c r="U1715">
        <v>85</v>
      </c>
      <c r="V1715">
        <v>77</v>
      </c>
      <c r="W1715">
        <v>35</v>
      </c>
      <c r="Y1715">
        <v>43</v>
      </c>
      <c r="Z1715">
        <v>20</v>
      </c>
      <c r="AA1715">
        <v>56</v>
      </c>
      <c r="AB1715">
        <v>107</v>
      </c>
      <c r="AD1715">
        <v>45</v>
      </c>
      <c r="AE1715">
        <v>33</v>
      </c>
      <c r="AF1715">
        <v>18</v>
      </c>
      <c r="AG1715">
        <v>39</v>
      </c>
      <c r="AI1715">
        <v>43</v>
      </c>
      <c r="AJ1715">
        <v>58</v>
      </c>
      <c r="AK1715">
        <v>11</v>
      </c>
      <c r="AL1715">
        <v>20</v>
      </c>
      <c r="AN1715">
        <v>19</v>
      </c>
      <c r="AO1715">
        <v>146</v>
      </c>
      <c r="AP1715">
        <v>21</v>
      </c>
      <c r="AQ1715">
        <v>21</v>
      </c>
      <c r="AX1715">
        <v>323</v>
      </c>
      <c r="AY1715">
        <v>150</v>
      </c>
      <c r="AZ1715">
        <v>473</v>
      </c>
      <c r="BA1715">
        <v>226</v>
      </c>
      <c r="BB1715">
        <v>363</v>
      </c>
      <c r="BC1715">
        <v>589</v>
      </c>
      <c r="BD1715">
        <v>135</v>
      </c>
      <c r="BE1715">
        <v>137</v>
      </c>
      <c r="BF1715">
        <v>272</v>
      </c>
      <c r="BG1715">
        <v>132</v>
      </c>
      <c r="BH1715">
        <v>172</v>
      </c>
      <c r="BI1715">
        <v>304</v>
      </c>
      <c r="BJ1715">
        <v>207</v>
      </c>
      <c r="BK1715">
        <v>201</v>
      </c>
      <c r="BL1715">
        <v>408</v>
      </c>
      <c r="BP1715">
        <v>123</v>
      </c>
      <c r="BR1715">
        <v>803</v>
      </c>
      <c r="BS1715">
        <v>43</v>
      </c>
      <c r="BT1715">
        <v>29</v>
      </c>
      <c r="BV1715">
        <v>25</v>
      </c>
      <c r="BW1715">
        <v>1023</v>
      </c>
      <c r="BX1715">
        <f>IF(C1715=C1714,IF((CI1715-1)=CI1714,BW1714,"no data"))</f>
        <v>682</v>
      </c>
      <c r="BY1715" s="5">
        <f t="shared" si="192"/>
        <v>0.5</v>
      </c>
      <c r="BZ1715" s="6">
        <f t="shared" si="190"/>
        <v>0.5</v>
      </c>
      <c r="CA1715" s="7">
        <v>42687</v>
      </c>
      <c r="CE1715">
        <v>354</v>
      </c>
      <c r="CF1715">
        <v>305</v>
      </c>
      <c r="CG1715">
        <v>203</v>
      </c>
      <c r="CH1715">
        <v>161</v>
      </c>
      <c r="CI1715">
        <f t="shared" si="188"/>
        <v>2016</v>
      </c>
      <c r="CJ1715" t="str">
        <f t="shared" si="189"/>
        <v>6844_2016</v>
      </c>
    </row>
    <row r="1716" spans="1:88" x14ac:dyDescent="0.25">
      <c r="A1716" t="s">
        <v>79</v>
      </c>
      <c r="B1716" t="s">
        <v>80</v>
      </c>
      <c r="C1716">
        <v>6844</v>
      </c>
      <c r="D1716">
        <v>-33.908687</v>
      </c>
      <c r="E1716">
        <v>151.15241900000001</v>
      </c>
      <c r="F1716">
        <v>5</v>
      </c>
      <c r="G1716" t="s">
        <v>639</v>
      </c>
      <c r="H1716">
        <v>12</v>
      </c>
      <c r="I1716">
        <v>192</v>
      </c>
      <c r="J1716">
        <v>119</v>
      </c>
      <c r="K1716">
        <v>299</v>
      </c>
      <c r="L1716">
        <v>168</v>
      </c>
      <c r="M1716">
        <v>348</v>
      </c>
      <c r="N1716">
        <v>215</v>
      </c>
      <c r="O1716">
        <v>35</v>
      </c>
      <c r="P1716">
        <v>291</v>
      </c>
      <c r="Q1716">
        <v>111</v>
      </c>
      <c r="T1716">
        <v>93</v>
      </c>
      <c r="U1716">
        <v>47</v>
      </c>
      <c r="V1716">
        <v>38</v>
      </c>
      <c r="W1716">
        <v>11</v>
      </c>
      <c r="Y1716">
        <v>59</v>
      </c>
      <c r="Z1716">
        <v>4</v>
      </c>
      <c r="AA1716">
        <v>32</v>
      </c>
      <c r="AB1716">
        <v>134</v>
      </c>
      <c r="AD1716">
        <v>41</v>
      </c>
      <c r="AE1716">
        <v>19</v>
      </c>
      <c r="AF1716">
        <v>0</v>
      </c>
      <c r="AG1716">
        <v>14</v>
      </c>
      <c r="AI1716">
        <v>43</v>
      </c>
      <c r="AJ1716">
        <v>53</v>
      </c>
      <c r="AK1716">
        <v>1</v>
      </c>
      <c r="AL1716">
        <v>31</v>
      </c>
      <c r="AN1716">
        <v>6</v>
      </c>
      <c r="AO1716">
        <v>144</v>
      </c>
      <c r="AP1716">
        <v>28</v>
      </c>
      <c r="AQ1716">
        <v>18</v>
      </c>
      <c r="AX1716">
        <v>189</v>
      </c>
      <c r="AY1716">
        <v>149</v>
      </c>
      <c r="AZ1716">
        <v>338</v>
      </c>
      <c r="BA1716">
        <v>229</v>
      </c>
      <c r="BB1716">
        <v>309</v>
      </c>
      <c r="BC1716">
        <v>538</v>
      </c>
      <c r="BD1716">
        <v>74</v>
      </c>
      <c r="BE1716">
        <v>80</v>
      </c>
      <c r="BF1716">
        <v>154</v>
      </c>
      <c r="BG1716">
        <v>128</v>
      </c>
      <c r="BH1716">
        <v>88</v>
      </c>
      <c r="BI1716">
        <v>216</v>
      </c>
      <c r="BJ1716">
        <v>196</v>
      </c>
      <c r="BK1716">
        <v>190</v>
      </c>
      <c r="BL1716">
        <v>386</v>
      </c>
      <c r="BP1716">
        <v>80</v>
      </c>
      <c r="BR1716">
        <v>707</v>
      </c>
      <c r="BS1716">
        <v>14</v>
      </c>
      <c r="BT1716">
        <v>12</v>
      </c>
      <c r="BV1716">
        <v>3</v>
      </c>
      <c r="BW1716">
        <v>816</v>
      </c>
      <c r="BX1716">
        <f>IF(C1716=C1715,IF((CI1716-1)=CI1715,BW1715,"no data"))</f>
        <v>1023</v>
      </c>
      <c r="BY1716" s="5">
        <f t="shared" si="192"/>
        <v>-0.20234604105571846</v>
      </c>
      <c r="BZ1716" s="6">
        <f t="shared" si="190"/>
        <v>-0.20234604105571846</v>
      </c>
      <c r="CA1716" s="7">
        <v>43051</v>
      </c>
      <c r="CE1716">
        <v>157</v>
      </c>
      <c r="CF1716">
        <v>283</v>
      </c>
      <c r="CG1716">
        <v>216</v>
      </c>
      <c r="CH1716">
        <v>160</v>
      </c>
      <c r="CI1716">
        <f t="shared" si="188"/>
        <v>2017</v>
      </c>
      <c r="CJ1716" t="str">
        <f t="shared" si="189"/>
        <v>6844_2017</v>
      </c>
    </row>
    <row r="1717" spans="1:88" x14ac:dyDescent="0.25">
      <c r="A1717" t="s">
        <v>79</v>
      </c>
      <c r="B1717" t="s">
        <v>80</v>
      </c>
      <c r="C1717">
        <v>6844</v>
      </c>
      <c r="D1717">
        <v>-33.908687</v>
      </c>
      <c r="E1717">
        <v>151.15241900000001</v>
      </c>
      <c r="F1717">
        <v>5</v>
      </c>
      <c r="G1717" t="s">
        <v>639</v>
      </c>
      <c r="H1717">
        <v>12</v>
      </c>
      <c r="I1717">
        <v>192</v>
      </c>
      <c r="J1717">
        <v>119</v>
      </c>
      <c r="K1717">
        <v>299</v>
      </c>
      <c r="L1717">
        <v>168</v>
      </c>
      <c r="M1717">
        <v>348</v>
      </c>
      <c r="N1717">
        <v>215</v>
      </c>
      <c r="O1717">
        <v>35</v>
      </c>
      <c r="P1717">
        <v>291</v>
      </c>
      <c r="Q1717">
        <v>111</v>
      </c>
      <c r="T1717">
        <v>40</v>
      </c>
      <c r="U1717">
        <v>44</v>
      </c>
      <c r="V1717">
        <v>28</v>
      </c>
      <c r="W1717">
        <v>17</v>
      </c>
      <c r="Y1717">
        <v>24</v>
      </c>
      <c r="Z1717">
        <v>4</v>
      </c>
      <c r="AA1717">
        <v>28</v>
      </c>
      <c r="AB1717">
        <v>108</v>
      </c>
      <c r="AD1717">
        <v>30</v>
      </c>
      <c r="AE1717">
        <v>18</v>
      </c>
      <c r="AF1717">
        <v>5</v>
      </c>
      <c r="AG1717">
        <v>47</v>
      </c>
      <c r="AI1717">
        <v>13</v>
      </c>
      <c r="AJ1717">
        <v>26</v>
      </c>
      <c r="AK1717">
        <v>0</v>
      </c>
      <c r="AL1717">
        <v>16</v>
      </c>
      <c r="AN1717">
        <v>12</v>
      </c>
      <c r="AO1717">
        <v>143</v>
      </c>
      <c r="AP1717">
        <v>28</v>
      </c>
      <c r="AQ1717">
        <v>5</v>
      </c>
      <c r="AX1717">
        <v>129</v>
      </c>
      <c r="AY1717">
        <v>79</v>
      </c>
      <c r="AZ1717">
        <v>208</v>
      </c>
      <c r="BA1717">
        <v>164</v>
      </c>
      <c r="BB1717">
        <v>227</v>
      </c>
      <c r="BC1717">
        <v>391</v>
      </c>
      <c r="BD1717">
        <v>100</v>
      </c>
      <c r="BE1717">
        <v>76</v>
      </c>
      <c r="BF1717">
        <v>176</v>
      </c>
      <c r="BG1717">
        <v>55</v>
      </c>
      <c r="BH1717">
        <v>66</v>
      </c>
      <c r="BI1717">
        <v>121</v>
      </c>
      <c r="BJ1717">
        <v>188</v>
      </c>
      <c r="BK1717">
        <v>188</v>
      </c>
      <c r="BL1717">
        <v>376</v>
      </c>
      <c r="BP1717">
        <v>69</v>
      </c>
      <c r="BR1717">
        <v>529</v>
      </c>
      <c r="BS1717">
        <v>6</v>
      </c>
      <c r="BT1717">
        <v>18</v>
      </c>
      <c r="BV1717">
        <v>14</v>
      </c>
      <c r="BW1717">
        <v>636</v>
      </c>
      <c r="BX1717">
        <f>IF(C1717=C1716,IF((CI1717-1)=CI1716,BW1716,"no data"))</f>
        <v>816</v>
      </c>
      <c r="BY1717" s="5">
        <f t="shared" si="192"/>
        <v>-0.22058823529411764</v>
      </c>
      <c r="BZ1717" s="6">
        <f t="shared" si="190"/>
        <v>-0.22058823529411764</v>
      </c>
      <c r="CA1717" s="7">
        <v>43443</v>
      </c>
      <c r="CE1717">
        <v>149</v>
      </c>
      <c r="CF1717">
        <v>175</v>
      </c>
      <c r="CG1717">
        <v>168</v>
      </c>
      <c r="CH1717">
        <v>144</v>
      </c>
      <c r="CI1717">
        <f t="shared" si="188"/>
        <v>2018</v>
      </c>
      <c r="CJ1717" t="str">
        <f t="shared" si="189"/>
        <v>6844_2018</v>
      </c>
    </row>
    <row r="1718" spans="1:88" x14ac:dyDescent="0.25">
      <c r="A1718" t="s">
        <v>140</v>
      </c>
      <c r="B1718" t="s">
        <v>532</v>
      </c>
      <c r="C1718">
        <v>6846</v>
      </c>
      <c r="D1718">
        <v>-32.534140999999998</v>
      </c>
      <c r="E1718">
        <v>115.73908299999999</v>
      </c>
      <c r="F1718">
        <v>3</v>
      </c>
      <c r="G1718" t="s">
        <v>640</v>
      </c>
      <c r="H1718">
        <v>11</v>
      </c>
      <c r="I1718">
        <v>191</v>
      </c>
      <c r="J1718">
        <v>191</v>
      </c>
      <c r="K1718">
        <v>11</v>
      </c>
      <c r="L1718">
        <v>281</v>
      </c>
      <c r="M1718">
        <v>101</v>
      </c>
      <c r="T1718">
        <v>12</v>
      </c>
      <c r="U1718">
        <v>3</v>
      </c>
      <c r="Y1718">
        <v>25</v>
      </c>
      <c r="Z1718">
        <v>2</v>
      </c>
      <c r="AD1718">
        <v>6</v>
      </c>
      <c r="AE1718">
        <v>6</v>
      </c>
      <c r="AX1718">
        <v>15</v>
      </c>
      <c r="AY1718">
        <v>31</v>
      </c>
      <c r="AZ1718">
        <v>46</v>
      </c>
      <c r="BA1718">
        <v>27</v>
      </c>
      <c r="BB1718">
        <v>18</v>
      </c>
      <c r="BC1718">
        <v>45</v>
      </c>
      <c r="BD1718">
        <v>12</v>
      </c>
      <c r="BE1718">
        <v>5</v>
      </c>
      <c r="BF1718">
        <v>17</v>
      </c>
      <c r="BP1718">
        <v>11</v>
      </c>
      <c r="BR1718">
        <v>38</v>
      </c>
      <c r="BS1718">
        <v>0</v>
      </c>
      <c r="BT1718">
        <v>0</v>
      </c>
      <c r="BV1718">
        <v>5</v>
      </c>
      <c r="BW1718">
        <v>54</v>
      </c>
      <c r="BX1718" t="s">
        <v>82</v>
      </c>
      <c r="BY1718" s="5"/>
      <c r="BZ1718" s="6"/>
      <c r="CA1718" s="7">
        <v>42687</v>
      </c>
      <c r="CE1718">
        <v>14</v>
      </c>
      <c r="CF1718">
        <v>7</v>
      </c>
      <c r="CG1718">
        <v>18</v>
      </c>
      <c r="CH1718">
        <v>15</v>
      </c>
      <c r="CI1718">
        <f t="shared" si="188"/>
        <v>2016</v>
      </c>
      <c r="CJ1718" t="str">
        <f t="shared" si="189"/>
        <v>6846_2016</v>
      </c>
    </row>
    <row r="1719" spans="1:88" x14ac:dyDescent="0.25">
      <c r="A1719" t="s">
        <v>140</v>
      </c>
      <c r="B1719" t="s">
        <v>532</v>
      </c>
      <c r="C1719">
        <v>6847</v>
      </c>
      <c r="D1719">
        <v>-32.532819000000003</v>
      </c>
      <c r="E1719">
        <v>115.732563</v>
      </c>
      <c r="F1719">
        <v>4</v>
      </c>
      <c r="G1719" t="s">
        <v>641</v>
      </c>
      <c r="H1719">
        <v>0</v>
      </c>
      <c r="I1719">
        <v>180</v>
      </c>
      <c r="J1719">
        <v>101</v>
      </c>
      <c r="K1719">
        <v>281</v>
      </c>
      <c r="L1719">
        <v>180</v>
      </c>
      <c r="M1719">
        <v>360</v>
      </c>
      <c r="N1719">
        <v>270</v>
      </c>
      <c r="O1719">
        <v>90</v>
      </c>
      <c r="T1719">
        <v>5</v>
      </c>
      <c r="U1719">
        <v>10</v>
      </c>
      <c r="V1719">
        <v>2</v>
      </c>
      <c r="Y1719">
        <v>0</v>
      </c>
      <c r="Z1719">
        <v>3</v>
      </c>
      <c r="AA1719">
        <v>5</v>
      </c>
      <c r="AD1719">
        <v>12</v>
      </c>
      <c r="AE1719">
        <v>1</v>
      </c>
      <c r="AF1719">
        <v>2</v>
      </c>
      <c r="AI1719">
        <v>5</v>
      </c>
      <c r="AJ1719">
        <v>3</v>
      </c>
      <c r="AK1719">
        <v>0</v>
      </c>
      <c r="AX1719">
        <v>17</v>
      </c>
      <c r="AY1719">
        <v>17</v>
      </c>
      <c r="AZ1719">
        <v>34</v>
      </c>
      <c r="BA1719">
        <v>8</v>
      </c>
      <c r="BB1719">
        <v>9</v>
      </c>
      <c r="BC1719">
        <v>17</v>
      </c>
      <c r="BD1719">
        <v>15</v>
      </c>
      <c r="BE1719">
        <v>13</v>
      </c>
      <c r="BF1719">
        <v>28</v>
      </c>
      <c r="BG1719">
        <v>8</v>
      </c>
      <c r="BH1719">
        <v>9</v>
      </c>
      <c r="BI1719">
        <v>17</v>
      </c>
      <c r="BP1719">
        <v>19</v>
      </c>
      <c r="BR1719">
        <v>22</v>
      </c>
      <c r="BS1719">
        <v>0</v>
      </c>
      <c r="BT1719">
        <v>2</v>
      </c>
      <c r="BV1719">
        <v>5</v>
      </c>
      <c r="BW1719">
        <v>48</v>
      </c>
      <c r="BX1719" t="s">
        <v>82</v>
      </c>
      <c r="BY1719" s="5"/>
      <c r="BZ1719" s="6"/>
      <c r="CA1719" s="7">
        <v>42687</v>
      </c>
      <c r="CE1719">
        <v>18</v>
      </c>
      <c r="CF1719">
        <v>11</v>
      </c>
      <c r="CG1719">
        <v>12</v>
      </c>
      <c r="CH1719">
        <v>7</v>
      </c>
      <c r="CI1719">
        <f t="shared" si="188"/>
        <v>2016</v>
      </c>
      <c r="CJ1719" t="str">
        <f t="shared" si="189"/>
        <v>6847_2016</v>
      </c>
    </row>
    <row r="1720" spans="1:88" x14ac:dyDescent="0.25">
      <c r="A1720" t="s">
        <v>140</v>
      </c>
      <c r="B1720" t="s">
        <v>532</v>
      </c>
      <c r="C1720">
        <v>6848</v>
      </c>
      <c r="D1720">
        <v>-32.532668999999999</v>
      </c>
      <c r="E1720">
        <v>115.722459</v>
      </c>
      <c r="F1720">
        <v>4</v>
      </c>
      <c r="G1720" t="s">
        <v>642</v>
      </c>
      <c r="H1720">
        <v>10</v>
      </c>
      <c r="I1720">
        <v>190</v>
      </c>
      <c r="J1720">
        <v>90</v>
      </c>
      <c r="K1720">
        <v>270</v>
      </c>
      <c r="L1720">
        <v>180</v>
      </c>
      <c r="M1720">
        <v>360</v>
      </c>
      <c r="N1720">
        <v>270</v>
      </c>
      <c r="O1720">
        <v>90</v>
      </c>
      <c r="T1720">
        <v>9</v>
      </c>
      <c r="U1720">
        <v>34</v>
      </c>
      <c r="V1720">
        <v>27</v>
      </c>
      <c r="Y1720">
        <v>5</v>
      </c>
      <c r="Z1720">
        <v>6</v>
      </c>
      <c r="AA1720">
        <v>25</v>
      </c>
      <c r="AD1720">
        <v>6</v>
      </c>
      <c r="AE1720">
        <v>8</v>
      </c>
      <c r="AF1720">
        <v>4</v>
      </c>
      <c r="AI1720">
        <v>23</v>
      </c>
      <c r="AJ1720">
        <v>17</v>
      </c>
      <c r="AK1720">
        <v>16</v>
      </c>
      <c r="AX1720">
        <v>70</v>
      </c>
      <c r="AY1720">
        <v>34</v>
      </c>
      <c r="AZ1720">
        <v>104</v>
      </c>
      <c r="BA1720">
        <v>36</v>
      </c>
      <c r="BB1720">
        <v>34</v>
      </c>
      <c r="BC1720">
        <v>70</v>
      </c>
      <c r="BD1720">
        <v>18</v>
      </c>
      <c r="BE1720">
        <v>56</v>
      </c>
      <c r="BF1720">
        <v>74</v>
      </c>
      <c r="BG1720">
        <v>56</v>
      </c>
      <c r="BH1720">
        <v>56</v>
      </c>
      <c r="BI1720">
        <v>112</v>
      </c>
      <c r="BP1720">
        <v>31</v>
      </c>
      <c r="BR1720">
        <v>109</v>
      </c>
      <c r="BS1720">
        <v>0</v>
      </c>
      <c r="BT1720">
        <v>0</v>
      </c>
      <c r="BV1720">
        <v>40</v>
      </c>
      <c r="BW1720">
        <v>180</v>
      </c>
      <c r="BX1720" t="s">
        <v>82</v>
      </c>
      <c r="BY1720" s="5"/>
      <c r="BZ1720" s="6"/>
      <c r="CA1720" s="7">
        <v>42687</v>
      </c>
      <c r="CE1720">
        <v>37</v>
      </c>
      <c r="CF1720">
        <v>42</v>
      </c>
      <c r="CG1720">
        <v>48</v>
      </c>
      <c r="CH1720">
        <v>53</v>
      </c>
      <c r="CI1720">
        <f t="shared" si="188"/>
        <v>2016</v>
      </c>
      <c r="CJ1720" t="str">
        <f t="shared" si="189"/>
        <v>6848_2016</v>
      </c>
    </row>
    <row r="1721" spans="1:88" x14ac:dyDescent="0.25">
      <c r="A1721" t="s">
        <v>111</v>
      </c>
      <c r="B1721" t="s">
        <v>196</v>
      </c>
      <c r="C1721">
        <v>6850</v>
      </c>
      <c r="D1721">
        <v>-37.810932999999999</v>
      </c>
      <c r="E1721">
        <v>145.00983199999999</v>
      </c>
      <c r="F1721">
        <v>4</v>
      </c>
      <c r="G1721" t="s">
        <v>643</v>
      </c>
      <c r="H1721">
        <v>7</v>
      </c>
      <c r="I1721">
        <v>187</v>
      </c>
      <c r="J1721">
        <v>90</v>
      </c>
      <c r="K1721">
        <v>270</v>
      </c>
      <c r="L1721">
        <v>189</v>
      </c>
      <c r="M1721">
        <v>9</v>
      </c>
      <c r="N1721">
        <v>300</v>
      </c>
      <c r="O1721">
        <v>120</v>
      </c>
      <c r="T1721">
        <v>179</v>
      </c>
      <c r="U1721">
        <v>294</v>
      </c>
      <c r="V1721">
        <v>90</v>
      </c>
      <c r="Y1721">
        <v>171</v>
      </c>
      <c r="Z1721">
        <v>39</v>
      </c>
      <c r="AA1721">
        <v>0</v>
      </c>
      <c r="AD1721">
        <v>255</v>
      </c>
      <c r="AE1721">
        <v>53</v>
      </c>
      <c r="AF1721">
        <v>67</v>
      </c>
      <c r="AI1721">
        <v>93</v>
      </c>
      <c r="AJ1721">
        <v>2</v>
      </c>
      <c r="AK1721">
        <v>47</v>
      </c>
      <c r="AX1721">
        <v>563</v>
      </c>
      <c r="AY1721">
        <v>519</v>
      </c>
      <c r="AZ1721">
        <v>1082</v>
      </c>
      <c r="BA1721">
        <v>210</v>
      </c>
      <c r="BB1721">
        <v>234</v>
      </c>
      <c r="BC1721">
        <v>444</v>
      </c>
      <c r="BD1721">
        <v>375</v>
      </c>
      <c r="BE1721">
        <v>380</v>
      </c>
      <c r="BF1721">
        <v>755</v>
      </c>
      <c r="BG1721">
        <v>142</v>
      </c>
      <c r="BH1721">
        <v>157</v>
      </c>
      <c r="BI1721">
        <v>299</v>
      </c>
      <c r="BP1721">
        <v>637</v>
      </c>
      <c r="BR1721">
        <v>459</v>
      </c>
      <c r="BS1721">
        <v>132</v>
      </c>
      <c r="BT1721">
        <v>59</v>
      </c>
      <c r="BV1721">
        <v>3</v>
      </c>
      <c r="BW1721">
        <v>1290</v>
      </c>
      <c r="BX1721" t="s">
        <v>82</v>
      </c>
      <c r="BY1721" s="5"/>
      <c r="BZ1721" s="6"/>
      <c r="CA1721" s="7">
        <v>44528</v>
      </c>
      <c r="CE1721">
        <v>451</v>
      </c>
      <c r="CF1721">
        <v>381</v>
      </c>
      <c r="CG1721">
        <v>458</v>
      </c>
      <c r="CI1721">
        <f t="shared" si="188"/>
        <v>2021</v>
      </c>
      <c r="CJ1721" t="str">
        <f t="shared" si="189"/>
        <v>6850_2021</v>
      </c>
    </row>
    <row r="1722" spans="1:88" x14ac:dyDescent="0.25">
      <c r="A1722" t="s">
        <v>111</v>
      </c>
      <c r="B1722" t="s">
        <v>196</v>
      </c>
      <c r="C1722">
        <v>6850</v>
      </c>
      <c r="D1722">
        <v>-37.810932999999999</v>
      </c>
      <c r="E1722">
        <v>145.00983199999999</v>
      </c>
      <c r="F1722">
        <v>4</v>
      </c>
      <c r="G1722" t="s">
        <v>643</v>
      </c>
      <c r="H1722">
        <v>7</v>
      </c>
      <c r="I1722">
        <v>187</v>
      </c>
      <c r="J1722">
        <v>90</v>
      </c>
      <c r="K1722">
        <v>270</v>
      </c>
      <c r="L1722">
        <v>189</v>
      </c>
      <c r="M1722">
        <v>9</v>
      </c>
      <c r="N1722">
        <v>300</v>
      </c>
      <c r="O1722">
        <v>120</v>
      </c>
      <c r="T1722">
        <v>0</v>
      </c>
      <c r="U1722">
        <v>0</v>
      </c>
      <c r="V1722">
        <v>0</v>
      </c>
      <c r="Y1722">
        <v>9</v>
      </c>
      <c r="Z1722">
        <v>140</v>
      </c>
      <c r="AA1722">
        <v>113</v>
      </c>
      <c r="AD1722">
        <v>0</v>
      </c>
      <c r="AE1722">
        <v>89</v>
      </c>
      <c r="AF1722">
        <v>23</v>
      </c>
      <c r="AI1722">
        <v>0</v>
      </c>
      <c r="AJ1722">
        <v>131</v>
      </c>
      <c r="AK1722">
        <v>5</v>
      </c>
      <c r="AX1722">
        <v>0</v>
      </c>
      <c r="AY1722">
        <v>9</v>
      </c>
      <c r="AZ1722">
        <v>9</v>
      </c>
      <c r="BA1722">
        <v>262</v>
      </c>
      <c r="BB1722">
        <v>220</v>
      </c>
      <c r="BC1722">
        <v>482</v>
      </c>
      <c r="BD1722">
        <v>112</v>
      </c>
      <c r="BE1722">
        <v>145</v>
      </c>
      <c r="BF1722">
        <v>257</v>
      </c>
      <c r="BG1722">
        <v>136</v>
      </c>
      <c r="BH1722">
        <v>136</v>
      </c>
      <c r="BI1722">
        <v>272</v>
      </c>
      <c r="BP1722">
        <v>143</v>
      </c>
      <c r="BR1722">
        <v>228</v>
      </c>
      <c r="BS1722">
        <v>76</v>
      </c>
      <c r="BT1722">
        <v>46</v>
      </c>
      <c r="BU1722">
        <v>5</v>
      </c>
      <c r="BV1722">
        <v>12</v>
      </c>
      <c r="BW1722">
        <v>510</v>
      </c>
      <c r="BX1722">
        <f>IF(C1722=C1721,IF((CI1722-1)=CI1721,BW1721,"no data"))</f>
        <v>1290</v>
      </c>
      <c r="BY1722" s="5">
        <f t="shared" si="192"/>
        <v>-0.60465116279069764</v>
      </c>
      <c r="BZ1722" s="6">
        <f t="shared" si="190"/>
        <v>-0.60465116279069764</v>
      </c>
      <c r="CA1722" s="7">
        <v>44878</v>
      </c>
      <c r="CE1722">
        <v>122</v>
      </c>
      <c r="CF1722">
        <v>195</v>
      </c>
      <c r="CG1722">
        <v>193</v>
      </c>
      <c r="CI1722">
        <f t="shared" si="188"/>
        <v>2022</v>
      </c>
      <c r="CJ1722" t="str">
        <f t="shared" si="189"/>
        <v>6850_2022</v>
      </c>
    </row>
    <row r="1723" spans="1:88" x14ac:dyDescent="0.25">
      <c r="A1723" t="s">
        <v>79</v>
      </c>
      <c r="B1723" t="s">
        <v>91</v>
      </c>
      <c r="C1723">
        <v>6864</v>
      </c>
      <c r="D1723">
        <v>-33.913200000000003</v>
      </c>
      <c r="E1723">
        <v>151.22470000000001</v>
      </c>
      <c r="F1723">
        <v>4</v>
      </c>
      <c r="G1723" t="s">
        <v>644</v>
      </c>
      <c r="H1723">
        <v>9</v>
      </c>
      <c r="I1723">
        <v>189</v>
      </c>
      <c r="J1723">
        <v>150</v>
      </c>
      <c r="K1723">
        <v>330</v>
      </c>
      <c r="L1723">
        <v>189</v>
      </c>
      <c r="M1723">
        <v>9</v>
      </c>
      <c r="N1723">
        <v>318</v>
      </c>
      <c r="O1723">
        <v>138</v>
      </c>
      <c r="T1723">
        <v>48</v>
      </c>
      <c r="U1723">
        <v>32</v>
      </c>
      <c r="V1723">
        <v>7</v>
      </c>
      <c r="Y1723">
        <v>38</v>
      </c>
      <c r="Z1723">
        <v>11</v>
      </c>
      <c r="AA1723">
        <v>59</v>
      </c>
      <c r="AD1723">
        <v>34</v>
      </c>
      <c r="AE1723">
        <v>10</v>
      </c>
      <c r="AF1723">
        <v>20</v>
      </c>
      <c r="AI1723">
        <v>10</v>
      </c>
      <c r="AJ1723">
        <v>91</v>
      </c>
      <c r="AK1723">
        <v>23</v>
      </c>
      <c r="AX1723">
        <v>87</v>
      </c>
      <c r="AY1723">
        <v>82</v>
      </c>
      <c r="AZ1723">
        <v>169</v>
      </c>
      <c r="BA1723">
        <v>108</v>
      </c>
      <c r="BB1723">
        <v>149</v>
      </c>
      <c r="BC1723">
        <v>257</v>
      </c>
      <c r="BD1723">
        <v>64</v>
      </c>
      <c r="BE1723">
        <v>66</v>
      </c>
      <c r="BF1723">
        <v>130</v>
      </c>
      <c r="BG1723">
        <v>124</v>
      </c>
      <c r="BH1723">
        <v>86</v>
      </c>
      <c r="BI1723">
        <v>210</v>
      </c>
      <c r="BP1723">
        <v>167</v>
      </c>
      <c r="BR1723">
        <v>205</v>
      </c>
      <c r="BS1723">
        <v>11</v>
      </c>
      <c r="BT1723">
        <v>0</v>
      </c>
      <c r="BV1723">
        <v>0</v>
      </c>
      <c r="BW1723">
        <v>383</v>
      </c>
      <c r="BX1723" t="s">
        <v>82</v>
      </c>
      <c r="BY1723" s="5"/>
      <c r="BZ1723" s="6"/>
      <c r="CA1723" s="7">
        <v>44143</v>
      </c>
      <c r="CE1723">
        <v>126</v>
      </c>
      <c r="CF1723">
        <v>97</v>
      </c>
      <c r="CG1723">
        <v>93</v>
      </c>
      <c r="CH1723">
        <v>67</v>
      </c>
      <c r="CI1723">
        <f t="shared" si="188"/>
        <v>2020</v>
      </c>
      <c r="CJ1723" t="str">
        <f t="shared" si="189"/>
        <v>6864_2020</v>
      </c>
    </row>
    <row r="1724" spans="1:88" x14ac:dyDescent="0.25">
      <c r="A1724" t="s">
        <v>79</v>
      </c>
      <c r="B1724" t="s">
        <v>91</v>
      </c>
      <c r="C1724">
        <v>6864</v>
      </c>
      <c r="D1724">
        <v>-33.913178000000002</v>
      </c>
      <c r="E1724">
        <v>151.22473400000001</v>
      </c>
      <c r="F1724">
        <v>4</v>
      </c>
      <c r="G1724" t="s">
        <v>644</v>
      </c>
      <c r="H1724">
        <v>9</v>
      </c>
      <c r="I1724">
        <v>189</v>
      </c>
      <c r="J1724">
        <v>150</v>
      </c>
      <c r="K1724">
        <v>330</v>
      </c>
      <c r="L1724">
        <v>189</v>
      </c>
      <c r="M1724">
        <v>9</v>
      </c>
      <c r="N1724">
        <v>318</v>
      </c>
      <c r="O1724">
        <v>138</v>
      </c>
      <c r="T1724">
        <v>61</v>
      </c>
      <c r="U1724">
        <v>61</v>
      </c>
      <c r="V1724">
        <v>14</v>
      </c>
      <c r="Y1724">
        <v>38</v>
      </c>
      <c r="Z1724">
        <v>3</v>
      </c>
      <c r="AA1724">
        <v>85</v>
      </c>
      <c r="AD1724">
        <v>108</v>
      </c>
      <c r="AE1724">
        <v>22</v>
      </c>
      <c r="AF1724">
        <v>21</v>
      </c>
      <c r="AI1724">
        <v>11</v>
      </c>
      <c r="AJ1724">
        <v>70</v>
      </c>
      <c r="AK1724">
        <v>8</v>
      </c>
      <c r="AX1724">
        <v>136</v>
      </c>
      <c r="AY1724">
        <v>157</v>
      </c>
      <c r="AZ1724">
        <v>293</v>
      </c>
      <c r="BA1724">
        <v>126</v>
      </c>
      <c r="BB1724">
        <v>153</v>
      </c>
      <c r="BC1724">
        <v>279</v>
      </c>
      <c r="BD1724">
        <v>151</v>
      </c>
      <c r="BE1724">
        <v>72</v>
      </c>
      <c r="BF1724">
        <v>223</v>
      </c>
      <c r="BG1724">
        <v>89</v>
      </c>
      <c r="BH1724">
        <v>120</v>
      </c>
      <c r="BI1724">
        <v>209</v>
      </c>
      <c r="BP1724">
        <v>309</v>
      </c>
      <c r="BR1724">
        <v>146</v>
      </c>
      <c r="BS1724">
        <v>31</v>
      </c>
      <c r="BT1724">
        <v>13</v>
      </c>
      <c r="BV1724">
        <v>3</v>
      </c>
      <c r="BW1724">
        <v>502</v>
      </c>
      <c r="BX1724">
        <f>IF(C1724=C1723,IF((CI1724-1)=CI1723,BW1723,"no data"))</f>
        <v>383</v>
      </c>
      <c r="BY1724" s="5">
        <f t="shared" si="192"/>
        <v>0.31070496083550914</v>
      </c>
      <c r="BZ1724" s="6">
        <f t="shared" si="190"/>
        <v>0.31070496083550914</v>
      </c>
      <c r="CA1724" s="7">
        <v>44528</v>
      </c>
      <c r="CE1724">
        <v>160</v>
      </c>
      <c r="CF1724">
        <v>184</v>
      </c>
      <c r="CG1724">
        <v>158</v>
      </c>
      <c r="CI1724">
        <f t="shared" si="188"/>
        <v>2021</v>
      </c>
      <c r="CJ1724" t="str">
        <f t="shared" si="189"/>
        <v>6864_2021</v>
      </c>
    </row>
    <row r="1725" spans="1:88" x14ac:dyDescent="0.25">
      <c r="A1725" t="s">
        <v>79</v>
      </c>
      <c r="B1725" t="s">
        <v>91</v>
      </c>
      <c r="C1725">
        <v>6864</v>
      </c>
      <c r="D1725">
        <v>-33.913178000000002</v>
      </c>
      <c r="E1725">
        <v>151.22473400000001</v>
      </c>
      <c r="F1725">
        <v>4</v>
      </c>
      <c r="G1725" t="s">
        <v>644</v>
      </c>
      <c r="H1725">
        <v>9</v>
      </c>
      <c r="I1725">
        <v>189</v>
      </c>
      <c r="J1725">
        <v>150</v>
      </c>
      <c r="K1725">
        <v>330</v>
      </c>
      <c r="L1725">
        <v>189</v>
      </c>
      <c r="M1725">
        <v>9</v>
      </c>
      <c r="N1725">
        <v>318</v>
      </c>
      <c r="O1725">
        <v>138</v>
      </c>
      <c r="T1725">
        <v>7</v>
      </c>
      <c r="U1725">
        <v>92</v>
      </c>
      <c r="V1725">
        <v>3</v>
      </c>
      <c r="Y1725">
        <v>11</v>
      </c>
      <c r="Z1725">
        <v>8</v>
      </c>
      <c r="AA1725">
        <v>60</v>
      </c>
      <c r="AD1725">
        <v>69</v>
      </c>
      <c r="AE1725">
        <v>11</v>
      </c>
      <c r="AF1725">
        <v>52</v>
      </c>
      <c r="AI1725">
        <v>7</v>
      </c>
      <c r="AJ1725">
        <v>90</v>
      </c>
      <c r="AK1725">
        <v>23</v>
      </c>
      <c r="AX1725">
        <v>102</v>
      </c>
      <c r="AY1725">
        <v>87</v>
      </c>
      <c r="AZ1725">
        <v>189</v>
      </c>
      <c r="BA1725">
        <v>79</v>
      </c>
      <c r="BB1725">
        <v>108</v>
      </c>
      <c r="BC1725">
        <v>187</v>
      </c>
      <c r="BD1725">
        <v>132</v>
      </c>
      <c r="BE1725">
        <v>123</v>
      </c>
      <c r="BF1725">
        <v>255</v>
      </c>
      <c r="BG1725">
        <v>120</v>
      </c>
      <c r="BH1725">
        <v>115</v>
      </c>
      <c r="BI1725">
        <v>235</v>
      </c>
      <c r="BP1725">
        <v>244</v>
      </c>
      <c r="BR1725">
        <v>167</v>
      </c>
      <c r="BS1725">
        <v>11</v>
      </c>
      <c r="BT1725">
        <v>8</v>
      </c>
      <c r="BU1725">
        <v>3</v>
      </c>
      <c r="BV1725">
        <v>0</v>
      </c>
      <c r="BW1725">
        <v>433</v>
      </c>
      <c r="BX1725">
        <f>IF(C1725=C1724,IF((CI1725-1)=CI1724,BW1724,"no data"))</f>
        <v>502</v>
      </c>
      <c r="BY1725" s="5">
        <f t="shared" si="192"/>
        <v>-0.13745019920318724</v>
      </c>
      <c r="BZ1725" s="6">
        <f t="shared" si="190"/>
        <v>-0.13745019920318724</v>
      </c>
      <c r="CA1725" s="7">
        <v>44885</v>
      </c>
      <c r="CE1725">
        <v>158</v>
      </c>
      <c r="CF1725">
        <v>110</v>
      </c>
      <c r="CG1725">
        <v>165</v>
      </c>
      <c r="CI1725">
        <f t="shared" si="188"/>
        <v>2022</v>
      </c>
      <c r="CJ1725" t="str">
        <f t="shared" si="189"/>
        <v>6864_2022</v>
      </c>
    </row>
    <row r="1726" spans="1:88" x14ac:dyDescent="0.25">
      <c r="A1726" t="s">
        <v>79</v>
      </c>
      <c r="B1726" t="s">
        <v>98</v>
      </c>
      <c r="C1726">
        <v>6874</v>
      </c>
      <c r="D1726">
        <v>-33.722900000000003</v>
      </c>
      <c r="E1726">
        <v>151.2739</v>
      </c>
      <c r="F1726">
        <v>2</v>
      </c>
      <c r="G1726" t="s">
        <v>645</v>
      </c>
      <c r="H1726">
        <v>114</v>
      </c>
      <c r="I1726">
        <v>294</v>
      </c>
      <c r="J1726">
        <v>294</v>
      </c>
      <c r="K1726">
        <v>114</v>
      </c>
      <c r="T1726">
        <v>422</v>
      </c>
      <c r="Y1726">
        <v>390</v>
      </c>
      <c r="AX1726">
        <v>422</v>
      </c>
      <c r="AY1726">
        <v>390</v>
      </c>
      <c r="AZ1726">
        <v>812</v>
      </c>
      <c r="BA1726">
        <v>390</v>
      </c>
      <c r="BB1726">
        <v>422</v>
      </c>
      <c r="BC1726">
        <v>812</v>
      </c>
      <c r="BP1726">
        <v>410</v>
      </c>
      <c r="BR1726">
        <v>402</v>
      </c>
      <c r="BS1726">
        <v>0</v>
      </c>
      <c r="BT1726">
        <v>0</v>
      </c>
      <c r="BV1726">
        <v>0</v>
      </c>
      <c r="BW1726">
        <v>812</v>
      </c>
      <c r="BX1726" t="s">
        <v>82</v>
      </c>
      <c r="BY1726" s="5"/>
      <c r="BZ1726" s="6"/>
      <c r="CA1726" s="7">
        <v>42316</v>
      </c>
      <c r="CE1726">
        <v>189</v>
      </c>
      <c r="CF1726">
        <v>205</v>
      </c>
      <c r="CG1726">
        <v>213</v>
      </c>
      <c r="CH1726">
        <v>205</v>
      </c>
      <c r="CI1726">
        <f t="shared" si="188"/>
        <v>2015</v>
      </c>
      <c r="CJ1726" t="str">
        <f t="shared" si="189"/>
        <v>6874_2015</v>
      </c>
    </row>
    <row r="1727" spans="1:88" x14ac:dyDescent="0.25">
      <c r="A1727" t="s">
        <v>79</v>
      </c>
      <c r="B1727" t="s">
        <v>98</v>
      </c>
      <c r="C1727">
        <v>6874</v>
      </c>
      <c r="D1727">
        <v>-33.722918</v>
      </c>
      <c r="E1727">
        <v>151.27385000000001</v>
      </c>
      <c r="F1727">
        <v>2</v>
      </c>
      <c r="G1727" t="s">
        <v>645</v>
      </c>
      <c r="H1727">
        <v>114</v>
      </c>
      <c r="I1727">
        <v>294</v>
      </c>
      <c r="J1727">
        <v>294</v>
      </c>
      <c r="K1727">
        <v>114</v>
      </c>
      <c r="BX1727">
        <f>IF(C1727=C1726,IF((CI1727-1)=CI1726,BW1726,"no data"))</f>
        <v>812</v>
      </c>
      <c r="BY1727" s="5">
        <f t="shared" si="192"/>
        <v>-1</v>
      </c>
      <c r="BZ1727" s="6">
        <f t="shared" si="190"/>
        <v>-1</v>
      </c>
      <c r="CA1727" s="7">
        <v>42687</v>
      </c>
      <c r="CI1727">
        <f t="shared" si="188"/>
        <v>2016</v>
      </c>
      <c r="CJ1727" t="str">
        <f t="shared" si="189"/>
        <v>6874_2016</v>
      </c>
    </row>
    <row r="1728" spans="1:88" x14ac:dyDescent="0.25">
      <c r="A1728" t="s">
        <v>492</v>
      </c>
      <c r="B1728" t="s">
        <v>646</v>
      </c>
      <c r="C1728">
        <v>6960</v>
      </c>
      <c r="D1728" t="s">
        <v>647</v>
      </c>
      <c r="E1728">
        <v>148.24912</v>
      </c>
      <c r="F1728">
        <v>3</v>
      </c>
      <c r="G1728" t="s">
        <v>648</v>
      </c>
      <c r="H1728">
        <v>56</v>
      </c>
      <c r="I1728">
        <v>236</v>
      </c>
      <c r="J1728">
        <v>238</v>
      </c>
      <c r="K1728">
        <v>58</v>
      </c>
      <c r="L1728">
        <v>329</v>
      </c>
      <c r="M1728">
        <v>149</v>
      </c>
      <c r="T1728">
        <v>25</v>
      </c>
      <c r="U1728">
        <v>13</v>
      </c>
      <c r="Y1728">
        <v>35</v>
      </c>
      <c r="Z1728">
        <v>3</v>
      </c>
      <c r="AD1728">
        <v>17</v>
      </c>
      <c r="AE1728">
        <v>3</v>
      </c>
      <c r="AX1728">
        <v>38</v>
      </c>
      <c r="AY1728">
        <v>52</v>
      </c>
      <c r="AZ1728">
        <v>90</v>
      </c>
      <c r="BA1728">
        <v>38</v>
      </c>
      <c r="BB1728">
        <v>28</v>
      </c>
      <c r="BC1728">
        <v>66</v>
      </c>
      <c r="BD1728">
        <v>20</v>
      </c>
      <c r="BE1728">
        <v>16</v>
      </c>
      <c r="BF1728">
        <v>36</v>
      </c>
      <c r="BP1728">
        <v>5</v>
      </c>
      <c r="BR1728">
        <v>47</v>
      </c>
      <c r="BS1728">
        <v>3</v>
      </c>
      <c r="BT1728">
        <v>1</v>
      </c>
      <c r="BV1728">
        <v>40</v>
      </c>
      <c r="BW1728">
        <v>96</v>
      </c>
      <c r="BX1728" t="s">
        <v>82</v>
      </c>
      <c r="BY1728" s="5"/>
      <c r="BZ1728" s="6"/>
      <c r="CA1728" s="7">
        <v>42687</v>
      </c>
      <c r="CE1728">
        <v>29</v>
      </c>
      <c r="CF1728">
        <v>7</v>
      </c>
      <c r="CG1728">
        <v>28</v>
      </c>
      <c r="CH1728">
        <v>32</v>
      </c>
      <c r="CI1728">
        <f t="shared" si="188"/>
        <v>2016</v>
      </c>
      <c r="CJ1728" t="str">
        <f t="shared" si="189"/>
        <v>6960_2016</v>
      </c>
    </row>
    <row r="1729" spans="1:88" x14ac:dyDescent="0.25">
      <c r="A1729" t="s">
        <v>492</v>
      </c>
      <c r="B1729" t="s">
        <v>646</v>
      </c>
      <c r="C1729">
        <v>6961</v>
      </c>
      <c r="D1729" t="s">
        <v>649</v>
      </c>
      <c r="E1729">
        <v>148.24345</v>
      </c>
      <c r="F1729">
        <v>4</v>
      </c>
      <c r="G1729" t="s">
        <v>650</v>
      </c>
      <c r="H1729">
        <v>2</v>
      </c>
      <c r="I1729">
        <v>182</v>
      </c>
      <c r="J1729">
        <v>141</v>
      </c>
      <c r="K1729">
        <v>321</v>
      </c>
      <c r="L1729">
        <v>190</v>
      </c>
      <c r="M1729">
        <v>10</v>
      </c>
      <c r="N1729">
        <v>318</v>
      </c>
      <c r="O1729">
        <v>138</v>
      </c>
      <c r="T1729">
        <v>0</v>
      </c>
      <c r="U1729">
        <v>3</v>
      </c>
      <c r="V1729">
        <v>2</v>
      </c>
      <c r="Y1729">
        <v>0</v>
      </c>
      <c r="Z1729">
        <v>0</v>
      </c>
      <c r="AA1729">
        <v>0</v>
      </c>
      <c r="AD1729">
        <v>5</v>
      </c>
      <c r="AE1729">
        <v>0</v>
      </c>
      <c r="AF1729">
        <v>3</v>
      </c>
      <c r="AI1729">
        <v>3</v>
      </c>
      <c r="AJ1729">
        <v>0</v>
      </c>
      <c r="AK1729">
        <v>3</v>
      </c>
      <c r="AX1729">
        <v>5</v>
      </c>
      <c r="AY1729">
        <v>8</v>
      </c>
      <c r="AZ1729">
        <v>13</v>
      </c>
      <c r="BA1729">
        <v>0</v>
      </c>
      <c r="BB1729">
        <v>0</v>
      </c>
      <c r="BC1729">
        <v>0</v>
      </c>
      <c r="BD1729">
        <v>8</v>
      </c>
      <c r="BE1729">
        <v>6</v>
      </c>
      <c r="BF1729">
        <v>14</v>
      </c>
      <c r="BG1729">
        <v>6</v>
      </c>
      <c r="BH1729">
        <v>5</v>
      </c>
      <c r="BI1729">
        <v>11</v>
      </c>
      <c r="BP1729">
        <v>3</v>
      </c>
      <c r="BR1729">
        <v>9</v>
      </c>
      <c r="BS1729">
        <v>0</v>
      </c>
      <c r="BT1729">
        <v>0</v>
      </c>
      <c r="BV1729">
        <v>7</v>
      </c>
      <c r="BW1729">
        <v>19</v>
      </c>
      <c r="BX1729" t="s">
        <v>82</v>
      </c>
      <c r="BY1729" s="5"/>
      <c r="BZ1729" s="6"/>
      <c r="CA1729" s="7">
        <v>42687</v>
      </c>
      <c r="CE1729">
        <v>3</v>
      </c>
      <c r="CF1729">
        <v>4</v>
      </c>
      <c r="CG1729">
        <v>7</v>
      </c>
      <c r="CH1729">
        <v>5</v>
      </c>
      <c r="CI1729">
        <f t="shared" si="188"/>
        <v>2016</v>
      </c>
      <c r="CJ1729" t="str">
        <f t="shared" si="189"/>
        <v>6961_2016</v>
      </c>
    </row>
    <row r="1730" spans="1:88" x14ac:dyDescent="0.25">
      <c r="A1730" t="s">
        <v>492</v>
      </c>
      <c r="B1730" t="s">
        <v>646</v>
      </c>
      <c r="C1730">
        <v>6961</v>
      </c>
      <c r="D1730">
        <v>-19.993378</v>
      </c>
      <c r="E1730">
        <v>148.24345</v>
      </c>
      <c r="F1730">
        <v>4</v>
      </c>
      <c r="G1730" t="s">
        <v>650</v>
      </c>
      <c r="H1730">
        <v>2</v>
      </c>
      <c r="I1730">
        <v>182</v>
      </c>
      <c r="J1730">
        <v>141</v>
      </c>
      <c r="K1730">
        <v>321</v>
      </c>
      <c r="L1730">
        <v>190</v>
      </c>
      <c r="M1730">
        <v>10</v>
      </c>
      <c r="N1730">
        <v>318</v>
      </c>
      <c r="O1730">
        <v>138</v>
      </c>
      <c r="T1730">
        <v>3</v>
      </c>
      <c r="U1730">
        <v>29</v>
      </c>
      <c r="V1730">
        <v>11</v>
      </c>
      <c r="Y1730">
        <v>5</v>
      </c>
      <c r="Z1730">
        <v>0</v>
      </c>
      <c r="AA1730">
        <v>0</v>
      </c>
      <c r="AD1730">
        <v>17</v>
      </c>
      <c r="AE1730">
        <v>2</v>
      </c>
      <c r="AF1730">
        <v>1</v>
      </c>
      <c r="AI1730">
        <v>2</v>
      </c>
      <c r="AJ1730">
        <v>0</v>
      </c>
      <c r="AK1730">
        <v>7</v>
      </c>
      <c r="AX1730">
        <v>43</v>
      </c>
      <c r="AY1730">
        <v>24</v>
      </c>
      <c r="AZ1730">
        <v>67</v>
      </c>
      <c r="BA1730">
        <v>5</v>
      </c>
      <c r="BB1730">
        <v>5</v>
      </c>
      <c r="BC1730">
        <v>10</v>
      </c>
      <c r="BD1730">
        <v>20</v>
      </c>
      <c r="BE1730">
        <v>36</v>
      </c>
      <c r="BF1730">
        <v>56</v>
      </c>
      <c r="BG1730">
        <v>9</v>
      </c>
      <c r="BH1730">
        <v>12</v>
      </c>
      <c r="BI1730">
        <v>21</v>
      </c>
      <c r="BP1730">
        <v>46</v>
      </c>
      <c r="BR1730">
        <v>18</v>
      </c>
      <c r="BS1730">
        <v>4</v>
      </c>
      <c r="BT1730">
        <v>7</v>
      </c>
      <c r="BV1730">
        <v>2</v>
      </c>
      <c r="BW1730">
        <v>77</v>
      </c>
      <c r="BX1730">
        <f>IF(C1730=C1729,IF((CI1730-1)=CI1729,BW1729,"no data"))</f>
        <v>19</v>
      </c>
      <c r="BY1730" s="5">
        <f t="shared" si="192"/>
        <v>3.0526315789473686</v>
      </c>
      <c r="BZ1730" s="6">
        <f t="shared" si="190"/>
        <v>3.0526315789473686</v>
      </c>
      <c r="CA1730" s="7">
        <v>43051</v>
      </c>
      <c r="CC1730">
        <v>22</v>
      </c>
      <c r="CD1730">
        <v>35</v>
      </c>
      <c r="CE1730">
        <v>5</v>
      </c>
      <c r="CF1730">
        <v>15</v>
      </c>
      <c r="CI1730">
        <f t="shared" si="188"/>
        <v>2017</v>
      </c>
      <c r="CJ1730" t="str">
        <f t="shared" si="189"/>
        <v>6961_2017</v>
      </c>
    </row>
    <row r="1731" spans="1:88" x14ac:dyDescent="0.25">
      <c r="A1731" t="s">
        <v>492</v>
      </c>
      <c r="B1731" t="s">
        <v>646</v>
      </c>
      <c r="C1731">
        <v>6961</v>
      </c>
      <c r="D1731">
        <v>-19.993378</v>
      </c>
      <c r="E1731">
        <v>148.24345</v>
      </c>
      <c r="F1731">
        <v>4</v>
      </c>
      <c r="G1731" t="s">
        <v>650</v>
      </c>
      <c r="H1731">
        <v>2</v>
      </c>
      <c r="I1731">
        <v>182</v>
      </c>
      <c r="J1731">
        <v>141</v>
      </c>
      <c r="K1731">
        <v>321</v>
      </c>
      <c r="L1731">
        <v>190</v>
      </c>
      <c r="M1731">
        <v>10</v>
      </c>
      <c r="N1731">
        <v>318</v>
      </c>
      <c r="O1731">
        <v>138</v>
      </c>
      <c r="T1731">
        <v>4</v>
      </c>
      <c r="U1731">
        <v>4</v>
      </c>
      <c r="V1731">
        <v>3</v>
      </c>
      <c r="Y1731">
        <v>4</v>
      </c>
      <c r="Z1731">
        <v>1</v>
      </c>
      <c r="AA1731">
        <v>1</v>
      </c>
      <c r="AD1731">
        <v>7</v>
      </c>
      <c r="AE1731">
        <v>0</v>
      </c>
      <c r="AF1731">
        <v>1</v>
      </c>
      <c r="AI1731">
        <v>3</v>
      </c>
      <c r="AJ1731">
        <v>2</v>
      </c>
      <c r="AK1731">
        <v>0</v>
      </c>
      <c r="AX1731">
        <v>11</v>
      </c>
      <c r="AY1731">
        <v>14</v>
      </c>
      <c r="AZ1731">
        <v>25</v>
      </c>
      <c r="BA1731">
        <v>6</v>
      </c>
      <c r="BB1731">
        <v>6</v>
      </c>
      <c r="BC1731">
        <v>12</v>
      </c>
      <c r="BD1731">
        <v>8</v>
      </c>
      <c r="BE1731">
        <v>5</v>
      </c>
      <c r="BF1731">
        <v>13</v>
      </c>
      <c r="BG1731">
        <v>5</v>
      </c>
      <c r="BH1731">
        <v>5</v>
      </c>
      <c r="BI1731">
        <v>10</v>
      </c>
      <c r="BP1731">
        <v>10</v>
      </c>
      <c r="BR1731">
        <v>16</v>
      </c>
      <c r="BS1731">
        <v>3</v>
      </c>
      <c r="BT1731">
        <v>1</v>
      </c>
      <c r="BV1731">
        <v>0</v>
      </c>
      <c r="BW1731">
        <v>30</v>
      </c>
      <c r="BX1731">
        <f>IF(C1731=C1730,IF((CI1731-1)=CI1730,BW1730,"no data"))</f>
        <v>77</v>
      </c>
      <c r="BY1731" s="5">
        <f t="shared" si="192"/>
        <v>-0.61038961038961037</v>
      </c>
      <c r="BZ1731" s="6">
        <f t="shared" si="190"/>
        <v>-0.61038961038961037</v>
      </c>
      <c r="CA1731" s="7">
        <v>43415</v>
      </c>
      <c r="CC1731">
        <v>2</v>
      </c>
      <c r="CD1731">
        <v>9</v>
      </c>
      <c r="CE1731">
        <v>5</v>
      </c>
      <c r="CF1731">
        <v>14</v>
      </c>
      <c r="CI1731">
        <f t="shared" ref="CI1731:CI1794" si="194">YEAR(CA1731)</f>
        <v>2018</v>
      </c>
      <c r="CJ1731" t="str">
        <f t="shared" ref="CJ1731:CJ1794" si="195">_xlfn.CONCAT(C1731,"_",CI1731)</f>
        <v>6961_2018</v>
      </c>
    </row>
    <row r="1732" spans="1:88" x14ac:dyDescent="0.25">
      <c r="A1732" t="s">
        <v>492</v>
      </c>
      <c r="B1732" t="s">
        <v>646</v>
      </c>
      <c r="C1732">
        <v>6962</v>
      </c>
      <c r="D1732">
        <v>-20.264216999999999</v>
      </c>
      <c r="E1732">
        <v>148.71594999999999</v>
      </c>
      <c r="F1732">
        <v>3</v>
      </c>
      <c r="G1732" t="s">
        <v>651</v>
      </c>
      <c r="H1732">
        <v>173</v>
      </c>
      <c r="I1732">
        <v>353</v>
      </c>
      <c r="J1732">
        <v>235</v>
      </c>
      <c r="K1732">
        <v>55</v>
      </c>
      <c r="L1732">
        <v>341</v>
      </c>
      <c r="M1732">
        <v>161</v>
      </c>
      <c r="T1732">
        <v>113</v>
      </c>
      <c r="U1732">
        <v>86</v>
      </c>
      <c r="Y1732">
        <v>145</v>
      </c>
      <c r="Z1732">
        <v>7</v>
      </c>
      <c r="AD1732">
        <v>86</v>
      </c>
      <c r="AE1732">
        <v>5</v>
      </c>
      <c r="AX1732">
        <v>199</v>
      </c>
      <c r="AY1732">
        <v>231</v>
      </c>
      <c r="AZ1732">
        <v>430</v>
      </c>
      <c r="BA1732">
        <v>152</v>
      </c>
      <c r="BB1732">
        <v>118</v>
      </c>
      <c r="BC1732">
        <v>270</v>
      </c>
      <c r="BD1732">
        <v>91</v>
      </c>
      <c r="BE1732">
        <v>93</v>
      </c>
      <c r="BF1732">
        <v>184</v>
      </c>
      <c r="BP1732">
        <v>20</v>
      </c>
      <c r="BR1732">
        <v>386</v>
      </c>
      <c r="BS1732">
        <v>17</v>
      </c>
      <c r="BT1732">
        <v>9</v>
      </c>
      <c r="BV1732">
        <v>10</v>
      </c>
      <c r="BW1732">
        <v>442</v>
      </c>
      <c r="BX1732" t="s">
        <v>82</v>
      </c>
      <c r="BY1732" s="5"/>
      <c r="BZ1732" s="6"/>
      <c r="CA1732" s="7">
        <v>42687</v>
      </c>
      <c r="CE1732">
        <v>81</v>
      </c>
      <c r="CF1732">
        <v>91</v>
      </c>
      <c r="CG1732">
        <v>130</v>
      </c>
      <c r="CH1732">
        <v>140</v>
      </c>
      <c r="CI1732">
        <f t="shared" si="194"/>
        <v>2016</v>
      </c>
      <c r="CJ1732" t="str">
        <f t="shared" si="195"/>
        <v>6962_2016</v>
      </c>
    </row>
    <row r="1733" spans="1:88" x14ac:dyDescent="0.25">
      <c r="A1733" t="s">
        <v>79</v>
      </c>
      <c r="B1733" t="s">
        <v>84</v>
      </c>
      <c r="C1733">
        <v>6966</v>
      </c>
      <c r="D1733">
        <v>-33.819896999999997</v>
      </c>
      <c r="E1733">
        <v>151.06730999999999</v>
      </c>
      <c r="F1733">
        <v>3</v>
      </c>
      <c r="G1733" t="s">
        <v>652</v>
      </c>
      <c r="H1733">
        <v>20</v>
      </c>
      <c r="I1733">
        <v>200</v>
      </c>
      <c r="J1733">
        <v>186</v>
      </c>
      <c r="K1733">
        <v>6</v>
      </c>
      <c r="L1733">
        <v>307</v>
      </c>
      <c r="M1733">
        <v>127</v>
      </c>
      <c r="T1733">
        <v>254</v>
      </c>
      <c r="U1733">
        <v>43</v>
      </c>
      <c r="Y1733">
        <v>278</v>
      </c>
      <c r="Z1733">
        <v>15</v>
      </c>
      <c r="AD1733">
        <v>20</v>
      </c>
      <c r="AE1733">
        <v>23</v>
      </c>
      <c r="AX1733">
        <v>297</v>
      </c>
      <c r="AY1733">
        <v>298</v>
      </c>
      <c r="AZ1733">
        <v>595</v>
      </c>
      <c r="BA1733">
        <v>293</v>
      </c>
      <c r="BB1733">
        <v>277</v>
      </c>
      <c r="BC1733">
        <v>570</v>
      </c>
      <c r="BD1733">
        <v>43</v>
      </c>
      <c r="BE1733">
        <v>58</v>
      </c>
      <c r="BF1733">
        <v>101</v>
      </c>
      <c r="BP1733">
        <v>490</v>
      </c>
      <c r="BR1733">
        <v>90</v>
      </c>
      <c r="BS1733">
        <v>28</v>
      </c>
      <c r="BT1733">
        <v>17</v>
      </c>
      <c r="BV1733">
        <v>8</v>
      </c>
      <c r="BW1733">
        <v>633</v>
      </c>
      <c r="BX1733" t="s">
        <v>82</v>
      </c>
      <c r="BY1733" s="5"/>
      <c r="BZ1733" s="6"/>
      <c r="CA1733" s="7">
        <v>42687</v>
      </c>
      <c r="CE1733">
        <v>297</v>
      </c>
      <c r="CF1733">
        <v>161</v>
      </c>
      <c r="CG1733">
        <v>120</v>
      </c>
      <c r="CH1733">
        <v>55</v>
      </c>
      <c r="CI1733">
        <f t="shared" si="194"/>
        <v>2016</v>
      </c>
      <c r="CJ1733" t="str">
        <f t="shared" si="195"/>
        <v>6966_2016</v>
      </c>
    </row>
    <row r="1734" spans="1:88" x14ac:dyDescent="0.25">
      <c r="A1734" t="s">
        <v>79</v>
      </c>
      <c r="B1734" t="s">
        <v>84</v>
      </c>
      <c r="C1734">
        <v>6966</v>
      </c>
      <c r="D1734">
        <v>-33.819896999999997</v>
      </c>
      <c r="E1734">
        <v>151.06730999999999</v>
      </c>
      <c r="F1734">
        <v>3</v>
      </c>
      <c r="G1734" t="s">
        <v>652</v>
      </c>
      <c r="H1734">
        <v>20</v>
      </c>
      <c r="I1734">
        <v>200</v>
      </c>
      <c r="J1734">
        <v>186</v>
      </c>
      <c r="K1734">
        <v>6</v>
      </c>
      <c r="L1734">
        <v>307</v>
      </c>
      <c r="M1734">
        <v>127</v>
      </c>
      <c r="T1734">
        <v>249</v>
      </c>
      <c r="U1734">
        <v>19</v>
      </c>
      <c r="Y1734">
        <v>237</v>
      </c>
      <c r="Z1734">
        <v>26</v>
      </c>
      <c r="AD1734">
        <v>15</v>
      </c>
      <c r="AE1734">
        <v>30</v>
      </c>
      <c r="AX1734">
        <v>268</v>
      </c>
      <c r="AY1734">
        <v>252</v>
      </c>
      <c r="AZ1734">
        <v>520</v>
      </c>
      <c r="BA1734">
        <v>263</v>
      </c>
      <c r="BB1734">
        <v>279</v>
      </c>
      <c r="BC1734">
        <v>542</v>
      </c>
      <c r="BD1734">
        <v>45</v>
      </c>
      <c r="BE1734">
        <v>45</v>
      </c>
      <c r="BF1734">
        <v>90</v>
      </c>
      <c r="BP1734">
        <v>442</v>
      </c>
      <c r="BR1734">
        <v>73</v>
      </c>
      <c r="BS1734">
        <v>42</v>
      </c>
      <c r="BT1734">
        <v>14</v>
      </c>
      <c r="BV1734">
        <v>5</v>
      </c>
      <c r="BW1734">
        <v>576</v>
      </c>
      <c r="BX1734">
        <f>IF(C1734=C1733,IF((CI1734-1)=CI1733,BW1733,"no data"))</f>
        <v>633</v>
      </c>
      <c r="BY1734" s="5">
        <f t="shared" si="192"/>
        <v>-9.004739336492891E-2</v>
      </c>
      <c r="BZ1734" s="6">
        <f t="shared" ref="BZ1734:BZ1797" si="196">BY1734</f>
        <v>-9.004739336492891E-2</v>
      </c>
      <c r="CA1734" s="7">
        <v>43051</v>
      </c>
      <c r="CE1734">
        <v>187</v>
      </c>
      <c r="CF1734">
        <v>159</v>
      </c>
      <c r="CG1734">
        <v>157</v>
      </c>
      <c r="CH1734">
        <v>73</v>
      </c>
      <c r="CI1734">
        <f t="shared" si="194"/>
        <v>2017</v>
      </c>
      <c r="CJ1734" t="str">
        <f t="shared" si="195"/>
        <v>6966_2017</v>
      </c>
    </row>
    <row r="1735" spans="1:88" x14ac:dyDescent="0.25">
      <c r="A1735" t="s">
        <v>79</v>
      </c>
      <c r="B1735" t="s">
        <v>84</v>
      </c>
      <c r="C1735">
        <v>6966</v>
      </c>
      <c r="D1735">
        <v>-33.819896999999997</v>
      </c>
      <c r="E1735">
        <v>151.06730999999999</v>
      </c>
      <c r="F1735">
        <v>3</v>
      </c>
      <c r="G1735" t="s">
        <v>652</v>
      </c>
      <c r="H1735">
        <v>20</v>
      </c>
      <c r="I1735">
        <v>200</v>
      </c>
      <c r="J1735">
        <v>186</v>
      </c>
      <c r="K1735">
        <v>6</v>
      </c>
      <c r="L1735">
        <v>307</v>
      </c>
      <c r="M1735">
        <v>127</v>
      </c>
      <c r="T1735">
        <v>264</v>
      </c>
      <c r="U1735">
        <v>21</v>
      </c>
      <c r="Y1735">
        <v>238</v>
      </c>
      <c r="Z1735">
        <v>46</v>
      </c>
      <c r="AD1735">
        <v>28</v>
      </c>
      <c r="AE1735">
        <v>32</v>
      </c>
      <c r="AX1735">
        <v>285</v>
      </c>
      <c r="AY1735">
        <v>266</v>
      </c>
      <c r="AZ1735">
        <v>551</v>
      </c>
      <c r="BA1735">
        <v>284</v>
      </c>
      <c r="BB1735">
        <v>296</v>
      </c>
      <c r="BC1735">
        <v>580</v>
      </c>
      <c r="BD1735">
        <v>60</v>
      </c>
      <c r="BE1735">
        <v>67</v>
      </c>
      <c r="BF1735">
        <v>127</v>
      </c>
      <c r="BP1735">
        <v>463</v>
      </c>
      <c r="BR1735">
        <v>110</v>
      </c>
      <c r="BS1735">
        <v>28</v>
      </c>
      <c r="BT1735">
        <v>19</v>
      </c>
      <c r="BV1735">
        <v>9</v>
      </c>
      <c r="BW1735">
        <v>629</v>
      </c>
      <c r="BX1735">
        <f>IF(C1735=C1734,IF((CI1735-1)=CI1734,BW1734,"no data"))</f>
        <v>576</v>
      </c>
      <c r="BY1735" s="5">
        <f t="shared" si="192"/>
        <v>9.2013888888888895E-2</v>
      </c>
      <c r="BZ1735" s="6">
        <f t="shared" si="196"/>
        <v>9.2013888888888895E-2</v>
      </c>
      <c r="CA1735" s="7">
        <v>43415</v>
      </c>
      <c r="CE1735">
        <v>193</v>
      </c>
      <c r="CF1735">
        <v>165</v>
      </c>
      <c r="CG1735">
        <v>140</v>
      </c>
      <c r="CH1735">
        <v>131</v>
      </c>
      <c r="CI1735">
        <f t="shared" si="194"/>
        <v>2018</v>
      </c>
      <c r="CJ1735" t="str">
        <f t="shared" si="195"/>
        <v>6966_2018</v>
      </c>
    </row>
    <row r="1736" spans="1:88" x14ac:dyDescent="0.25">
      <c r="A1736" t="s">
        <v>79</v>
      </c>
      <c r="B1736" t="s">
        <v>84</v>
      </c>
      <c r="C1736">
        <v>6966</v>
      </c>
      <c r="D1736">
        <v>-33.819899999999997</v>
      </c>
      <c r="E1736">
        <v>151.06729999999999</v>
      </c>
      <c r="F1736">
        <v>3</v>
      </c>
      <c r="G1736" t="s">
        <v>652</v>
      </c>
      <c r="H1736">
        <v>20</v>
      </c>
      <c r="I1736">
        <v>200</v>
      </c>
      <c r="J1736">
        <v>186</v>
      </c>
      <c r="K1736">
        <v>6</v>
      </c>
      <c r="L1736">
        <v>307</v>
      </c>
      <c r="M1736">
        <v>127</v>
      </c>
      <c r="T1736">
        <v>282</v>
      </c>
      <c r="U1736">
        <v>17</v>
      </c>
      <c r="Y1736">
        <v>253</v>
      </c>
      <c r="Z1736">
        <v>37</v>
      </c>
      <c r="AD1736">
        <v>24</v>
      </c>
      <c r="AE1736">
        <v>26</v>
      </c>
      <c r="AX1736">
        <v>299</v>
      </c>
      <c r="AY1736">
        <v>277</v>
      </c>
      <c r="AZ1736">
        <v>576</v>
      </c>
      <c r="BA1736">
        <v>290</v>
      </c>
      <c r="BB1736">
        <v>308</v>
      </c>
      <c r="BC1736">
        <v>598</v>
      </c>
      <c r="BD1736">
        <v>50</v>
      </c>
      <c r="BE1736">
        <v>54</v>
      </c>
      <c r="BF1736">
        <v>104</v>
      </c>
      <c r="BP1736">
        <v>464</v>
      </c>
      <c r="BR1736">
        <v>103</v>
      </c>
      <c r="BS1736">
        <v>46</v>
      </c>
      <c r="BT1736">
        <v>11</v>
      </c>
      <c r="BV1736">
        <v>15</v>
      </c>
      <c r="BW1736">
        <v>639</v>
      </c>
      <c r="BX1736">
        <f>IF(C1736=C1735,IF((CI1736-1)=CI1735,BW1735,"no data"))</f>
        <v>629</v>
      </c>
      <c r="BY1736" s="5">
        <f t="shared" si="192"/>
        <v>1.5898251192368838E-2</v>
      </c>
      <c r="BZ1736" s="6">
        <f t="shared" si="196"/>
        <v>1.5898251192368838E-2</v>
      </c>
      <c r="CA1736" s="7">
        <v>43779</v>
      </c>
      <c r="CE1736">
        <v>210</v>
      </c>
      <c r="CF1736">
        <v>162</v>
      </c>
      <c r="CG1736">
        <v>163</v>
      </c>
      <c r="CH1736">
        <v>104</v>
      </c>
      <c r="CI1736">
        <f t="shared" si="194"/>
        <v>2019</v>
      </c>
      <c r="CJ1736" t="str">
        <f t="shared" si="195"/>
        <v>6966_2019</v>
      </c>
    </row>
    <row r="1737" spans="1:88" x14ac:dyDescent="0.25">
      <c r="A1737" t="s">
        <v>79</v>
      </c>
      <c r="B1737" t="s">
        <v>84</v>
      </c>
      <c r="C1737">
        <v>6966</v>
      </c>
      <c r="D1737">
        <v>-33.819899999999997</v>
      </c>
      <c r="E1737">
        <v>151.06729999999999</v>
      </c>
      <c r="F1737">
        <v>3</v>
      </c>
      <c r="G1737" t="s">
        <v>652</v>
      </c>
      <c r="H1737">
        <v>20</v>
      </c>
      <c r="I1737">
        <v>200</v>
      </c>
      <c r="J1737">
        <v>186</v>
      </c>
      <c r="K1737">
        <v>6</v>
      </c>
      <c r="L1737">
        <v>307</v>
      </c>
      <c r="M1737">
        <v>127</v>
      </c>
      <c r="T1737">
        <v>471</v>
      </c>
      <c r="U1737">
        <v>19</v>
      </c>
      <c r="Y1737">
        <v>388</v>
      </c>
      <c r="Z1737">
        <v>83</v>
      </c>
      <c r="AD1737">
        <v>46</v>
      </c>
      <c r="AE1737">
        <v>57</v>
      </c>
      <c r="AX1737">
        <v>490</v>
      </c>
      <c r="AY1737">
        <v>434</v>
      </c>
      <c r="AZ1737">
        <v>924</v>
      </c>
      <c r="BA1737">
        <v>471</v>
      </c>
      <c r="BB1737">
        <v>528</v>
      </c>
      <c r="BC1737">
        <v>999</v>
      </c>
      <c r="BD1737">
        <v>103</v>
      </c>
      <c r="BE1737">
        <v>102</v>
      </c>
      <c r="BF1737">
        <v>205</v>
      </c>
      <c r="BP1737">
        <v>674</v>
      </c>
      <c r="BR1737">
        <v>270</v>
      </c>
      <c r="BS1737">
        <v>81</v>
      </c>
      <c r="BT1737">
        <v>23</v>
      </c>
      <c r="BV1737">
        <v>16</v>
      </c>
      <c r="BW1737">
        <v>1064</v>
      </c>
      <c r="BX1737">
        <f>IF(C1737=C1736,IF((CI1737-1)=CI1736,BW1736,"no data"))</f>
        <v>639</v>
      </c>
      <c r="BY1737" s="5">
        <f t="shared" si="192"/>
        <v>0.66510172143974966</v>
      </c>
      <c r="BZ1737" s="6">
        <f t="shared" si="196"/>
        <v>0.66510172143974966</v>
      </c>
      <c r="CA1737" s="7">
        <v>44143</v>
      </c>
      <c r="CE1737">
        <v>258</v>
      </c>
      <c r="CF1737">
        <v>295</v>
      </c>
      <c r="CG1737">
        <v>261</v>
      </c>
      <c r="CH1737">
        <v>250</v>
      </c>
      <c r="CI1737">
        <f t="shared" si="194"/>
        <v>2020</v>
      </c>
      <c r="CJ1737" t="str">
        <f t="shared" si="195"/>
        <v>6966_2020</v>
      </c>
    </row>
    <row r="1738" spans="1:88" x14ac:dyDescent="0.25">
      <c r="A1738" t="s">
        <v>111</v>
      </c>
      <c r="B1738" t="s">
        <v>261</v>
      </c>
      <c r="C1738">
        <v>6967</v>
      </c>
      <c r="D1738">
        <v>-37.937266999999999</v>
      </c>
      <c r="E1738">
        <v>145.20832999999999</v>
      </c>
      <c r="F1738">
        <v>3</v>
      </c>
      <c r="G1738" t="s">
        <v>653</v>
      </c>
      <c r="H1738">
        <v>9</v>
      </c>
      <c r="I1738">
        <v>189</v>
      </c>
      <c r="J1738">
        <v>73</v>
      </c>
      <c r="K1738">
        <v>253</v>
      </c>
      <c r="L1738">
        <v>207</v>
      </c>
      <c r="M1738">
        <v>27</v>
      </c>
      <c r="T1738">
        <v>8</v>
      </c>
      <c r="U1738">
        <v>17</v>
      </c>
      <c r="Y1738">
        <v>4</v>
      </c>
      <c r="Z1738">
        <v>2</v>
      </c>
      <c r="AD1738">
        <v>29</v>
      </c>
      <c r="AE1738">
        <v>3</v>
      </c>
      <c r="AX1738">
        <v>25</v>
      </c>
      <c r="AY1738">
        <v>33</v>
      </c>
      <c r="AZ1738">
        <v>58</v>
      </c>
      <c r="BA1738">
        <v>6</v>
      </c>
      <c r="BB1738">
        <v>11</v>
      </c>
      <c r="BC1738">
        <v>17</v>
      </c>
      <c r="BD1738">
        <v>32</v>
      </c>
      <c r="BE1738">
        <v>19</v>
      </c>
      <c r="BF1738">
        <v>51</v>
      </c>
      <c r="BP1738">
        <v>40</v>
      </c>
      <c r="BR1738">
        <v>11</v>
      </c>
      <c r="BS1738">
        <v>5</v>
      </c>
      <c r="BT1738">
        <v>7</v>
      </c>
      <c r="BV1738">
        <v>0</v>
      </c>
      <c r="BW1738">
        <v>63</v>
      </c>
      <c r="BX1738" t="s">
        <v>82</v>
      </c>
      <c r="BY1738" s="5"/>
      <c r="BZ1738" s="6"/>
      <c r="CA1738" s="7">
        <v>42687</v>
      </c>
      <c r="CE1738">
        <v>7</v>
      </c>
      <c r="CF1738">
        <v>19</v>
      </c>
      <c r="CG1738">
        <v>17</v>
      </c>
      <c r="CH1738">
        <v>20</v>
      </c>
      <c r="CI1738">
        <f t="shared" si="194"/>
        <v>2016</v>
      </c>
      <c r="CJ1738" t="str">
        <f t="shared" si="195"/>
        <v>6967_2016</v>
      </c>
    </row>
    <row r="1739" spans="1:88" x14ac:dyDescent="0.25">
      <c r="A1739" t="s">
        <v>111</v>
      </c>
      <c r="B1739" t="s">
        <v>261</v>
      </c>
      <c r="C1739">
        <v>6967</v>
      </c>
      <c r="D1739">
        <v>-37.937266999999999</v>
      </c>
      <c r="E1739">
        <v>145.20832999999999</v>
      </c>
      <c r="F1739">
        <v>3</v>
      </c>
      <c r="G1739" t="s">
        <v>653</v>
      </c>
      <c r="H1739">
        <v>9</v>
      </c>
      <c r="I1739">
        <v>189</v>
      </c>
      <c r="J1739">
        <v>73</v>
      </c>
      <c r="K1739">
        <v>253</v>
      </c>
      <c r="L1739">
        <v>207</v>
      </c>
      <c r="M1739">
        <v>27</v>
      </c>
      <c r="T1739">
        <v>18</v>
      </c>
      <c r="U1739">
        <v>66</v>
      </c>
      <c r="Y1739">
        <v>4</v>
      </c>
      <c r="Z1739">
        <v>10</v>
      </c>
      <c r="AD1739">
        <v>63</v>
      </c>
      <c r="AE1739">
        <v>4</v>
      </c>
      <c r="AX1739">
        <v>84</v>
      </c>
      <c r="AY1739">
        <v>67</v>
      </c>
      <c r="AZ1739">
        <v>151</v>
      </c>
      <c r="BA1739">
        <v>14</v>
      </c>
      <c r="BB1739">
        <v>22</v>
      </c>
      <c r="BC1739">
        <v>36</v>
      </c>
      <c r="BD1739">
        <v>67</v>
      </c>
      <c r="BE1739">
        <v>76</v>
      </c>
      <c r="BF1739">
        <v>143</v>
      </c>
      <c r="BP1739">
        <v>137</v>
      </c>
      <c r="BR1739">
        <v>21</v>
      </c>
      <c r="BS1739">
        <v>4</v>
      </c>
      <c r="BT1739">
        <v>1</v>
      </c>
      <c r="BV1739">
        <v>2</v>
      </c>
      <c r="BW1739">
        <v>165</v>
      </c>
      <c r="BX1739">
        <f>IF(C1739=C1738,IF((CI1739-1)=CI1738,BW1738,"no data"))</f>
        <v>63</v>
      </c>
      <c r="BY1739" s="5">
        <f t="shared" si="192"/>
        <v>1.6190476190476191</v>
      </c>
      <c r="BZ1739" s="6">
        <f t="shared" si="196"/>
        <v>1.6190476190476191</v>
      </c>
      <c r="CA1739" s="7">
        <v>43051</v>
      </c>
      <c r="CE1739">
        <v>44</v>
      </c>
      <c r="CF1739">
        <v>47</v>
      </c>
      <c r="CG1739">
        <v>38</v>
      </c>
      <c r="CH1739">
        <v>36</v>
      </c>
      <c r="CI1739">
        <f t="shared" si="194"/>
        <v>2017</v>
      </c>
      <c r="CJ1739" t="str">
        <f t="shared" si="195"/>
        <v>6967_2017</v>
      </c>
    </row>
    <row r="1740" spans="1:88" x14ac:dyDescent="0.25">
      <c r="A1740" t="s">
        <v>111</v>
      </c>
      <c r="B1740" t="s">
        <v>261</v>
      </c>
      <c r="C1740">
        <v>6967</v>
      </c>
      <c r="D1740">
        <v>-37.937266999999999</v>
      </c>
      <c r="E1740">
        <v>145.20832999999999</v>
      </c>
      <c r="F1740">
        <v>3</v>
      </c>
      <c r="G1740" t="s">
        <v>653</v>
      </c>
      <c r="H1740">
        <v>9</v>
      </c>
      <c r="I1740">
        <v>189</v>
      </c>
      <c r="J1740">
        <v>73</v>
      </c>
      <c r="K1740">
        <v>253</v>
      </c>
      <c r="L1740">
        <v>207</v>
      </c>
      <c r="M1740">
        <v>27</v>
      </c>
      <c r="T1740">
        <v>13</v>
      </c>
      <c r="U1740">
        <v>61</v>
      </c>
      <c r="Y1740">
        <v>8</v>
      </c>
      <c r="Z1740">
        <v>1</v>
      </c>
      <c r="AD1740">
        <v>70</v>
      </c>
      <c r="AE1740">
        <v>7</v>
      </c>
      <c r="AX1740">
        <v>74</v>
      </c>
      <c r="AY1740">
        <v>78</v>
      </c>
      <c r="AZ1740">
        <v>152</v>
      </c>
      <c r="BA1740">
        <v>9</v>
      </c>
      <c r="BB1740">
        <v>20</v>
      </c>
      <c r="BC1740">
        <v>29</v>
      </c>
      <c r="BD1740">
        <v>77</v>
      </c>
      <c r="BE1740">
        <v>62</v>
      </c>
      <c r="BF1740">
        <v>139</v>
      </c>
      <c r="BP1740">
        <v>132</v>
      </c>
      <c r="BR1740">
        <v>13</v>
      </c>
      <c r="BS1740">
        <v>13</v>
      </c>
      <c r="BT1740">
        <v>0</v>
      </c>
      <c r="BV1740">
        <v>2</v>
      </c>
      <c r="BW1740">
        <v>160</v>
      </c>
      <c r="BX1740">
        <f>IF(C1740=C1739,IF((CI1740-1)=CI1739,BW1739,"no data"))</f>
        <v>165</v>
      </c>
      <c r="BY1740" s="5">
        <f t="shared" si="192"/>
        <v>-3.0303030303030304E-2</v>
      </c>
      <c r="BZ1740" s="6">
        <f t="shared" si="196"/>
        <v>-3.0303030303030304E-2</v>
      </c>
      <c r="CA1740" s="7">
        <v>43415</v>
      </c>
      <c r="CE1740">
        <v>40</v>
      </c>
      <c r="CF1740">
        <v>43</v>
      </c>
      <c r="CG1740">
        <v>46</v>
      </c>
      <c r="CH1740">
        <v>31</v>
      </c>
      <c r="CI1740">
        <f t="shared" si="194"/>
        <v>2018</v>
      </c>
      <c r="CJ1740" t="str">
        <f t="shared" si="195"/>
        <v>6967_2018</v>
      </c>
    </row>
    <row r="1741" spans="1:88" x14ac:dyDescent="0.25">
      <c r="A1741" t="s">
        <v>111</v>
      </c>
      <c r="B1741" t="s">
        <v>261</v>
      </c>
      <c r="C1741">
        <v>6967</v>
      </c>
      <c r="D1741">
        <v>-37.9373</v>
      </c>
      <c r="E1741">
        <v>145.20830000000001</v>
      </c>
      <c r="F1741">
        <v>3</v>
      </c>
      <c r="G1741" t="s">
        <v>653</v>
      </c>
      <c r="H1741">
        <v>9</v>
      </c>
      <c r="I1741">
        <v>189</v>
      </c>
      <c r="J1741">
        <v>73</v>
      </c>
      <c r="K1741">
        <v>253</v>
      </c>
      <c r="L1741">
        <v>207</v>
      </c>
      <c r="M1741">
        <v>27</v>
      </c>
      <c r="T1741">
        <v>8</v>
      </c>
      <c r="U1741">
        <v>50</v>
      </c>
      <c r="Y1741">
        <v>11</v>
      </c>
      <c r="Z1741">
        <v>3</v>
      </c>
      <c r="AD1741">
        <v>48</v>
      </c>
      <c r="AE1741">
        <v>2</v>
      </c>
      <c r="AX1741">
        <v>58</v>
      </c>
      <c r="AY1741">
        <v>59</v>
      </c>
      <c r="AZ1741">
        <v>117</v>
      </c>
      <c r="BA1741">
        <v>14</v>
      </c>
      <c r="BB1741">
        <v>10</v>
      </c>
      <c r="BC1741">
        <v>24</v>
      </c>
      <c r="BD1741">
        <v>50</v>
      </c>
      <c r="BE1741">
        <v>53</v>
      </c>
      <c r="BF1741">
        <v>103</v>
      </c>
      <c r="BP1741">
        <v>88</v>
      </c>
      <c r="BR1741">
        <v>20</v>
      </c>
      <c r="BS1741">
        <v>8</v>
      </c>
      <c r="BT1741">
        <v>6</v>
      </c>
      <c r="BV1741">
        <v>0</v>
      </c>
      <c r="BW1741">
        <v>122</v>
      </c>
      <c r="BX1741">
        <f>IF(C1741=C1740,IF((CI1741-1)=CI1740,BW1740,"no data"))</f>
        <v>160</v>
      </c>
      <c r="BY1741" s="5">
        <f t="shared" si="192"/>
        <v>-0.23749999999999999</v>
      </c>
      <c r="BZ1741" s="6">
        <f t="shared" si="196"/>
        <v>-0.23749999999999999</v>
      </c>
      <c r="CA1741" s="7">
        <v>43779</v>
      </c>
      <c r="CE1741">
        <v>25</v>
      </c>
      <c r="CF1741">
        <v>26</v>
      </c>
      <c r="CG1741">
        <v>26</v>
      </c>
      <c r="CH1741">
        <v>45</v>
      </c>
      <c r="CI1741">
        <f t="shared" si="194"/>
        <v>2019</v>
      </c>
      <c r="CJ1741" t="str">
        <f t="shared" si="195"/>
        <v>6967_2019</v>
      </c>
    </row>
    <row r="1742" spans="1:88" x14ac:dyDescent="0.25">
      <c r="A1742" t="s">
        <v>111</v>
      </c>
      <c r="B1742" t="s">
        <v>261</v>
      </c>
      <c r="C1742">
        <v>6968</v>
      </c>
      <c r="D1742">
        <v>-37.965328</v>
      </c>
      <c r="E1742">
        <v>145.19367</v>
      </c>
      <c r="F1742">
        <v>2</v>
      </c>
      <c r="G1742" t="s">
        <v>654</v>
      </c>
      <c r="H1742">
        <v>5</v>
      </c>
      <c r="I1742">
        <v>185</v>
      </c>
      <c r="J1742">
        <v>154</v>
      </c>
      <c r="K1742">
        <v>334</v>
      </c>
      <c r="T1742">
        <v>14</v>
      </c>
      <c r="Y1742">
        <v>29</v>
      </c>
      <c r="AX1742">
        <v>14</v>
      </c>
      <c r="AY1742">
        <v>29</v>
      </c>
      <c r="AZ1742">
        <v>43</v>
      </c>
      <c r="BA1742">
        <v>29</v>
      </c>
      <c r="BB1742">
        <v>14</v>
      </c>
      <c r="BC1742">
        <v>43</v>
      </c>
      <c r="BP1742">
        <v>23</v>
      </c>
      <c r="BR1742">
        <v>16</v>
      </c>
      <c r="BS1742">
        <v>2</v>
      </c>
      <c r="BT1742">
        <v>2</v>
      </c>
      <c r="BV1742">
        <v>0</v>
      </c>
      <c r="BW1742">
        <v>43</v>
      </c>
      <c r="BX1742" t="s">
        <v>82</v>
      </c>
      <c r="BY1742" s="5"/>
      <c r="BZ1742" s="6"/>
      <c r="CA1742" s="7">
        <v>42687</v>
      </c>
      <c r="CE1742">
        <v>1</v>
      </c>
      <c r="CF1742">
        <v>11</v>
      </c>
      <c r="CG1742">
        <v>15</v>
      </c>
      <c r="CH1742">
        <v>16</v>
      </c>
      <c r="CI1742">
        <f t="shared" si="194"/>
        <v>2016</v>
      </c>
      <c r="CJ1742" t="str">
        <f t="shared" si="195"/>
        <v>6968_2016</v>
      </c>
    </row>
    <row r="1743" spans="1:88" x14ac:dyDescent="0.25">
      <c r="A1743" t="s">
        <v>111</v>
      </c>
      <c r="B1743" t="s">
        <v>261</v>
      </c>
      <c r="C1743">
        <v>6968</v>
      </c>
      <c r="D1743">
        <v>-37.965328</v>
      </c>
      <c r="E1743">
        <v>145.19367</v>
      </c>
      <c r="F1743">
        <v>2</v>
      </c>
      <c r="G1743" t="s">
        <v>654</v>
      </c>
      <c r="H1743">
        <v>5</v>
      </c>
      <c r="I1743">
        <v>185</v>
      </c>
      <c r="J1743">
        <v>154</v>
      </c>
      <c r="K1743">
        <v>334</v>
      </c>
      <c r="T1743">
        <v>62</v>
      </c>
      <c r="Y1743">
        <v>54</v>
      </c>
      <c r="AX1743">
        <v>62</v>
      </c>
      <c r="AY1743">
        <v>54</v>
      </c>
      <c r="AZ1743">
        <v>116</v>
      </c>
      <c r="BA1743">
        <v>54</v>
      </c>
      <c r="BB1743">
        <v>62</v>
      </c>
      <c r="BC1743">
        <v>116</v>
      </c>
      <c r="BP1743">
        <v>78</v>
      </c>
      <c r="BR1743">
        <v>34</v>
      </c>
      <c r="BS1743">
        <v>1</v>
      </c>
      <c r="BT1743">
        <v>3</v>
      </c>
      <c r="BV1743">
        <v>0</v>
      </c>
      <c r="BW1743">
        <v>116</v>
      </c>
      <c r="BX1743">
        <f>IF(C1743=C1742,IF((CI1743-1)=CI1742,BW1742,"no data"))</f>
        <v>43</v>
      </c>
      <c r="BY1743" s="5">
        <f t="shared" si="192"/>
        <v>1.6976744186046511</v>
      </c>
      <c r="BZ1743" s="6">
        <f t="shared" si="196"/>
        <v>1.6976744186046511</v>
      </c>
      <c r="CA1743" s="7">
        <v>43051</v>
      </c>
      <c r="CE1743">
        <v>42</v>
      </c>
      <c r="CF1743">
        <v>35</v>
      </c>
      <c r="CG1743">
        <v>17</v>
      </c>
      <c r="CH1743">
        <v>22</v>
      </c>
      <c r="CI1743">
        <f t="shared" si="194"/>
        <v>2017</v>
      </c>
      <c r="CJ1743" t="str">
        <f t="shared" si="195"/>
        <v>6968_2017</v>
      </c>
    </row>
    <row r="1744" spans="1:88" x14ac:dyDescent="0.25">
      <c r="A1744" t="s">
        <v>111</v>
      </c>
      <c r="B1744" t="s">
        <v>261</v>
      </c>
      <c r="C1744">
        <v>6968</v>
      </c>
      <c r="D1744">
        <v>-37.965328</v>
      </c>
      <c r="E1744">
        <v>145.19367</v>
      </c>
      <c r="F1744">
        <v>2</v>
      </c>
      <c r="G1744" t="s">
        <v>654</v>
      </c>
      <c r="H1744">
        <v>5</v>
      </c>
      <c r="I1744">
        <v>185</v>
      </c>
      <c r="J1744">
        <v>154</v>
      </c>
      <c r="K1744">
        <v>334</v>
      </c>
      <c r="T1744">
        <v>57</v>
      </c>
      <c r="Y1744">
        <v>72</v>
      </c>
      <c r="AX1744">
        <v>57</v>
      </c>
      <c r="AY1744">
        <v>72</v>
      </c>
      <c r="AZ1744">
        <v>129</v>
      </c>
      <c r="BA1744">
        <v>72</v>
      </c>
      <c r="BB1744">
        <v>57</v>
      </c>
      <c r="BC1744">
        <v>129</v>
      </c>
      <c r="BP1744">
        <v>94</v>
      </c>
      <c r="BR1744">
        <v>28</v>
      </c>
      <c r="BS1744">
        <v>0</v>
      </c>
      <c r="BT1744">
        <v>5</v>
      </c>
      <c r="BV1744">
        <v>2</v>
      </c>
      <c r="BW1744">
        <v>129</v>
      </c>
      <c r="BX1744">
        <f>IF(C1744=C1743,IF((CI1744-1)=CI1743,BW1743,"no data"))</f>
        <v>116</v>
      </c>
      <c r="BY1744" s="5">
        <f t="shared" si="192"/>
        <v>0.11206896551724138</v>
      </c>
      <c r="BZ1744" s="6">
        <f t="shared" si="196"/>
        <v>0.11206896551724138</v>
      </c>
      <c r="CA1744" s="7">
        <v>43415</v>
      </c>
      <c r="CE1744">
        <v>41</v>
      </c>
      <c r="CF1744">
        <v>34</v>
      </c>
      <c r="CG1744">
        <v>36</v>
      </c>
      <c r="CH1744">
        <v>18</v>
      </c>
      <c r="CI1744">
        <f t="shared" si="194"/>
        <v>2018</v>
      </c>
      <c r="CJ1744" t="str">
        <f t="shared" si="195"/>
        <v>6968_2018</v>
      </c>
    </row>
    <row r="1745" spans="1:88" x14ac:dyDescent="0.25">
      <c r="A1745" t="s">
        <v>111</v>
      </c>
      <c r="B1745" t="s">
        <v>261</v>
      </c>
      <c r="C1745">
        <v>6968</v>
      </c>
      <c r="D1745">
        <v>-37.965299999999999</v>
      </c>
      <c r="E1745">
        <v>145.19370000000001</v>
      </c>
      <c r="F1745">
        <v>2</v>
      </c>
      <c r="G1745" t="s">
        <v>654</v>
      </c>
      <c r="H1745">
        <v>5</v>
      </c>
      <c r="I1745">
        <v>185</v>
      </c>
      <c r="J1745">
        <v>154</v>
      </c>
      <c r="K1745">
        <v>334</v>
      </c>
      <c r="T1745">
        <v>13</v>
      </c>
      <c r="Y1745">
        <v>11</v>
      </c>
      <c r="AX1745">
        <v>13</v>
      </c>
      <c r="AY1745">
        <v>11</v>
      </c>
      <c r="AZ1745">
        <v>24</v>
      </c>
      <c r="BA1745">
        <v>11</v>
      </c>
      <c r="BB1745">
        <v>13</v>
      </c>
      <c r="BC1745">
        <v>24</v>
      </c>
      <c r="BP1745">
        <v>13</v>
      </c>
      <c r="BR1745">
        <v>6</v>
      </c>
      <c r="BS1745">
        <v>3</v>
      </c>
      <c r="BT1745">
        <v>2</v>
      </c>
      <c r="BV1745">
        <v>0</v>
      </c>
      <c r="BW1745">
        <v>24</v>
      </c>
      <c r="BX1745">
        <f>IF(C1745=C1744,IF((CI1745-1)=CI1744,BW1744,"no data"))</f>
        <v>129</v>
      </c>
      <c r="BY1745" s="5">
        <f t="shared" si="192"/>
        <v>-0.81395348837209303</v>
      </c>
      <c r="BZ1745" s="6">
        <f t="shared" si="196"/>
        <v>-0.81395348837209303</v>
      </c>
      <c r="CA1745" s="7">
        <v>43779</v>
      </c>
      <c r="CE1745">
        <v>7</v>
      </c>
      <c r="CF1745">
        <v>5</v>
      </c>
      <c r="CG1745">
        <v>5</v>
      </c>
      <c r="CH1745">
        <v>7</v>
      </c>
      <c r="CI1745">
        <f t="shared" si="194"/>
        <v>2019</v>
      </c>
      <c r="CJ1745" t="str">
        <f t="shared" si="195"/>
        <v>6968_2019</v>
      </c>
    </row>
    <row r="1746" spans="1:88" x14ac:dyDescent="0.25">
      <c r="A1746" t="s">
        <v>111</v>
      </c>
      <c r="B1746" t="s">
        <v>261</v>
      </c>
      <c r="C1746">
        <v>6969</v>
      </c>
      <c r="D1746">
        <v>-37.939633000000001</v>
      </c>
      <c r="E1746">
        <v>145.21527</v>
      </c>
      <c r="F1746">
        <v>3</v>
      </c>
      <c r="G1746" t="s">
        <v>655</v>
      </c>
      <c r="H1746">
        <v>15</v>
      </c>
      <c r="I1746">
        <v>195</v>
      </c>
      <c r="J1746">
        <v>129</v>
      </c>
      <c r="K1746">
        <v>309</v>
      </c>
      <c r="L1746">
        <v>276</v>
      </c>
      <c r="M1746">
        <v>96</v>
      </c>
      <c r="T1746">
        <v>30</v>
      </c>
      <c r="U1746">
        <v>11</v>
      </c>
      <c r="Y1746">
        <v>22</v>
      </c>
      <c r="Z1746">
        <v>2</v>
      </c>
      <c r="AD1746">
        <v>8</v>
      </c>
      <c r="AE1746">
        <v>9</v>
      </c>
      <c r="AX1746">
        <v>41</v>
      </c>
      <c r="AY1746">
        <v>30</v>
      </c>
      <c r="AZ1746">
        <v>71</v>
      </c>
      <c r="BA1746">
        <v>24</v>
      </c>
      <c r="BB1746">
        <v>39</v>
      </c>
      <c r="BC1746">
        <v>63</v>
      </c>
      <c r="BD1746">
        <v>17</v>
      </c>
      <c r="BE1746">
        <v>13</v>
      </c>
      <c r="BF1746">
        <v>30</v>
      </c>
      <c r="BP1746">
        <v>17</v>
      </c>
      <c r="BR1746">
        <v>35</v>
      </c>
      <c r="BS1746">
        <v>22</v>
      </c>
      <c r="BT1746">
        <v>8</v>
      </c>
      <c r="BV1746">
        <v>0</v>
      </c>
      <c r="BW1746">
        <v>82</v>
      </c>
      <c r="BX1746" t="s">
        <v>82</v>
      </c>
      <c r="BY1746" s="5"/>
      <c r="BZ1746" s="6"/>
      <c r="CA1746" s="7">
        <v>42687</v>
      </c>
      <c r="CE1746">
        <v>12</v>
      </c>
      <c r="CF1746">
        <v>19</v>
      </c>
      <c r="CG1746">
        <v>28</v>
      </c>
      <c r="CH1746">
        <v>23</v>
      </c>
      <c r="CI1746">
        <f t="shared" si="194"/>
        <v>2016</v>
      </c>
      <c r="CJ1746" t="str">
        <f t="shared" si="195"/>
        <v>6969_2016</v>
      </c>
    </row>
    <row r="1747" spans="1:88" x14ac:dyDescent="0.25">
      <c r="A1747" t="s">
        <v>111</v>
      </c>
      <c r="B1747" t="s">
        <v>261</v>
      </c>
      <c r="C1747">
        <v>6969</v>
      </c>
      <c r="D1747">
        <v>-37.939633000000001</v>
      </c>
      <c r="E1747">
        <v>145.21527</v>
      </c>
      <c r="F1747">
        <v>3</v>
      </c>
      <c r="G1747" t="s">
        <v>655</v>
      </c>
      <c r="H1747">
        <v>15</v>
      </c>
      <c r="I1747">
        <v>195</v>
      </c>
      <c r="J1747">
        <v>129</v>
      </c>
      <c r="K1747">
        <v>309</v>
      </c>
      <c r="L1747">
        <v>276</v>
      </c>
      <c r="M1747">
        <v>96</v>
      </c>
      <c r="T1747">
        <v>118</v>
      </c>
      <c r="U1747">
        <v>7</v>
      </c>
      <c r="Y1747">
        <v>111</v>
      </c>
      <c r="Z1747">
        <v>30</v>
      </c>
      <c r="AD1747">
        <v>5</v>
      </c>
      <c r="AE1747">
        <v>18</v>
      </c>
      <c r="AX1747">
        <v>125</v>
      </c>
      <c r="AY1747">
        <v>116</v>
      </c>
      <c r="AZ1747">
        <v>241</v>
      </c>
      <c r="BA1747">
        <v>141</v>
      </c>
      <c r="BB1747">
        <v>136</v>
      </c>
      <c r="BC1747">
        <v>277</v>
      </c>
      <c r="BD1747">
        <v>23</v>
      </c>
      <c r="BE1747">
        <v>37</v>
      </c>
      <c r="BF1747">
        <v>60</v>
      </c>
      <c r="BP1747">
        <v>157</v>
      </c>
      <c r="BR1747">
        <v>85</v>
      </c>
      <c r="BS1747">
        <v>8</v>
      </c>
      <c r="BT1747">
        <v>34</v>
      </c>
      <c r="BV1747">
        <v>5</v>
      </c>
      <c r="BW1747">
        <v>289</v>
      </c>
      <c r="BX1747">
        <f>IF(C1747=C1746,IF((CI1747-1)=CI1746,BW1746,"no data"))</f>
        <v>82</v>
      </c>
      <c r="BY1747" s="5">
        <f t="shared" si="192"/>
        <v>2.524390243902439</v>
      </c>
      <c r="BZ1747" s="6">
        <f t="shared" si="196"/>
        <v>2.524390243902439</v>
      </c>
      <c r="CA1747" s="7">
        <v>43051</v>
      </c>
      <c r="CE1747">
        <v>72</v>
      </c>
      <c r="CF1747">
        <v>94</v>
      </c>
      <c r="CG1747">
        <v>54</v>
      </c>
      <c r="CH1747">
        <v>69</v>
      </c>
      <c r="CI1747">
        <f t="shared" si="194"/>
        <v>2017</v>
      </c>
      <c r="CJ1747" t="str">
        <f t="shared" si="195"/>
        <v>6969_2017</v>
      </c>
    </row>
    <row r="1748" spans="1:88" x14ac:dyDescent="0.25">
      <c r="A1748" t="s">
        <v>111</v>
      </c>
      <c r="B1748" t="s">
        <v>261</v>
      </c>
      <c r="C1748">
        <v>6969</v>
      </c>
      <c r="D1748">
        <v>-37.939633000000001</v>
      </c>
      <c r="E1748">
        <v>145.21527</v>
      </c>
      <c r="F1748">
        <v>3</v>
      </c>
      <c r="G1748" t="s">
        <v>655</v>
      </c>
      <c r="H1748">
        <v>15</v>
      </c>
      <c r="I1748">
        <v>195</v>
      </c>
      <c r="J1748">
        <v>129</v>
      </c>
      <c r="K1748">
        <v>309</v>
      </c>
      <c r="L1748">
        <v>276</v>
      </c>
      <c r="M1748">
        <v>96</v>
      </c>
      <c r="T1748">
        <v>93</v>
      </c>
      <c r="U1748">
        <v>9</v>
      </c>
      <c r="Y1748">
        <v>88</v>
      </c>
      <c r="Z1748">
        <v>13</v>
      </c>
      <c r="AD1748">
        <v>4</v>
      </c>
      <c r="AE1748">
        <v>18</v>
      </c>
      <c r="AX1748">
        <v>102</v>
      </c>
      <c r="AY1748">
        <v>92</v>
      </c>
      <c r="AZ1748">
        <v>194</v>
      </c>
      <c r="BA1748">
        <v>101</v>
      </c>
      <c r="BB1748">
        <v>111</v>
      </c>
      <c r="BC1748">
        <v>212</v>
      </c>
      <c r="BD1748">
        <v>22</v>
      </c>
      <c r="BE1748">
        <v>22</v>
      </c>
      <c r="BF1748">
        <v>44</v>
      </c>
      <c r="BP1748">
        <v>142</v>
      </c>
      <c r="BR1748">
        <v>52</v>
      </c>
      <c r="BS1748">
        <v>14</v>
      </c>
      <c r="BT1748">
        <v>16</v>
      </c>
      <c r="BV1748">
        <v>1</v>
      </c>
      <c r="BW1748">
        <v>225</v>
      </c>
      <c r="BX1748">
        <f>IF(C1748=C1747,IF((CI1748-1)=CI1747,BW1747,"no data"))</f>
        <v>289</v>
      </c>
      <c r="BY1748" s="5">
        <f t="shared" ref="BY1748:BY1811" si="197">(BW1748-BX1748)/BX1748</f>
        <v>-0.22145328719723184</v>
      </c>
      <c r="BZ1748" s="6">
        <f t="shared" si="196"/>
        <v>-0.22145328719723184</v>
      </c>
      <c r="CA1748" s="7">
        <v>43415</v>
      </c>
      <c r="CE1748">
        <v>61</v>
      </c>
      <c r="CF1748">
        <v>67</v>
      </c>
      <c r="CG1748">
        <v>58</v>
      </c>
      <c r="CH1748">
        <v>39</v>
      </c>
      <c r="CI1748">
        <f t="shared" si="194"/>
        <v>2018</v>
      </c>
      <c r="CJ1748" t="str">
        <f t="shared" si="195"/>
        <v>6969_2018</v>
      </c>
    </row>
    <row r="1749" spans="1:88" x14ac:dyDescent="0.25">
      <c r="A1749" t="s">
        <v>111</v>
      </c>
      <c r="B1749" t="s">
        <v>261</v>
      </c>
      <c r="C1749">
        <v>6969</v>
      </c>
      <c r="D1749">
        <v>-37.939599999999999</v>
      </c>
      <c r="E1749">
        <v>145.21530000000001</v>
      </c>
      <c r="F1749">
        <v>3</v>
      </c>
      <c r="G1749" t="s">
        <v>655</v>
      </c>
      <c r="H1749">
        <v>15</v>
      </c>
      <c r="I1749">
        <v>195</v>
      </c>
      <c r="J1749">
        <v>129</v>
      </c>
      <c r="K1749">
        <v>309</v>
      </c>
      <c r="L1749">
        <v>276</v>
      </c>
      <c r="M1749">
        <v>96</v>
      </c>
      <c r="T1749">
        <v>62</v>
      </c>
      <c r="U1749">
        <v>10</v>
      </c>
      <c r="Y1749">
        <v>67</v>
      </c>
      <c r="Z1749">
        <v>23</v>
      </c>
      <c r="AD1749">
        <v>7</v>
      </c>
      <c r="AE1749">
        <v>21</v>
      </c>
      <c r="AX1749">
        <v>72</v>
      </c>
      <c r="AY1749">
        <v>74</v>
      </c>
      <c r="AZ1749">
        <v>146</v>
      </c>
      <c r="BA1749">
        <v>90</v>
      </c>
      <c r="BB1749">
        <v>83</v>
      </c>
      <c r="BC1749">
        <v>173</v>
      </c>
      <c r="BD1749">
        <v>28</v>
      </c>
      <c r="BE1749">
        <v>33</v>
      </c>
      <c r="BF1749">
        <v>61</v>
      </c>
      <c r="BP1749">
        <v>70</v>
      </c>
      <c r="BR1749">
        <v>66</v>
      </c>
      <c r="BS1749">
        <v>29</v>
      </c>
      <c r="BT1749">
        <v>21</v>
      </c>
      <c r="BV1749">
        <v>4</v>
      </c>
      <c r="BW1749">
        <v>190</v>
      </c>
      <c r="BX1749">
        <f>IF(C1749=C1748,IF((CI1749-1)=CI1748,BW1748,"no data"))</f>
        <v>225</v>
      </c>
      <c r="BY1749" s="5">
        <f t="shared" si="197"/>
        <v>-0.15555555555555556</v>
      </c>
      <c r="BZ1749" s="6">
        <f t="shared" si="196"/>
        <v>-0.15555555555555556</v>
      </c>
      <c r="CA1749" s="7">
        <v>43779</v>
      </c>
      <c r="CE1749">
        <v>40</v>
      </c>
      <c r="CF1749">
        <v>44</v>
      </c>
      <c r="CG1749">
        <v>51</v>
      </c>
      <c r="CH1749">
        <v>55</v>
      </c>
      <c r="CI1749">
        <f t="shared" si="194"/>
        <v>2019</v>
      </c>
      <c r="CJ1749" t="str">
        <f t="shared" si="195"/>
        <v>6969_2019</v>
      </c>
    </row>
    <row r="1750" spans="1:88" x14ac:dyDescent="0.25">
      <c r="A1750" t="s">
        <v>111</v>
      </c>
      <c r="B1750" t="s">
        <v>261</v>
      </c>
      <c r="C1750">
        <v>6969</v>
      </c>
      <c r="D1750">
        <v>-37.939599999999999</v>
      </c>
      <c r="E1750">
        <v>145.21530000000001</v>
      </c>
      <c r="F1750">
        <v>3</v>
      </c>
      <c r="G1750" t="s">
        <v>655</v>
      </c>
      <c r="H1750">
        <v>15</v>
      </c>
      <c r="I1750">
        <v>195</v>
      </c>
      <c r="J1750">
        <v>129</v>
      </c>
      <c r="K1750">
        <v>309</v>
      </c>
      <c r="L1750">
        <v>276</v>
      </c>
      <c r="M1750">
        <v>96</v>
      </c>
      <c r="T1750">
        <v>322</v>
      </c>
      <c r="U1750">
        <v>24</v>
      </c>
      <c r="Y1750">
        <v>262</v>
      </c>
      <c r="Z1750">
        <v>41</v>
      </c>
      <c r="AD1750">
        <v>30</v>
      </c>
      <c r="AE1750">
        <v>45</v>
      </c>
      <c r="AX1750">
        <v>346</v>
      </c>
      <c r="AY1750">
        <v>292</v>
      </c>
      <c r="AZ1750">
        <v>638</v>
      </c>
      <c r="BA1750">
        <v>303</v>
      </c>
      <c r="BB1750">
        <v>367</v>
      </c>
      <c r="BC1750">
        <v>670</v>
      </c>
      <c r="BD1750">
        <v>75</v>
      </c>
      <c r="BE1750">
        <v>65</v>
      </c>
      <c r="BF1750">
        <v>140</v>
      </c>
      <c r="BP1750">
        <v>425</v>
      </c>
      <c r="BR1750">
        <v>194</v>
      </c>
      <c r="BS1750">
        <v>57</v>
      </c>
      <c r="BT1750">
        <v>39</v>
      </c>
      <c r="BV1750">
        <v>9</v>
      </c>
      <c r="BW1750">
        <v>724</v>
      </c>
      <c r="BX1750">
        <f>IF(C1750=C1749,IF((CI1750-1)=CI1749,BW1749,"no data"))</f>
        <v>190</v>
      </c>
      <c r="BY1750" s="5">
        <f t="shared" si="197"/>
        <v>2.8105263157894735</v>
      </c>
      <c r="BZ1750" s="6">
        <f t="shared" si="196"/>
        <v>2.8105263157894735</v>
      </c>
      <c r="CA1750" s="7">
        <v>44143</v>
      </c>
      <c r="CE1750">
        <v>212</v>
      </c>
      <c r="CF1750">
        <v>161</v>
      </c>
      <c r="CG1750">
        <v>177</v>
      </c>
      <c r="CH1750">
        <v>174</v>
      </c>
      <c r="CI1750">
        <f t="shared" si="194"/>
        <v>2020</v>
      </c>
      <c r="CJ1750" t="str">
        <f t="shared" si="195"/>
        <v>6969_2020</v>
      </c>
    </row>
    <row r="1751" spans="1:88" x14ac:dyDescent="0.25">
      <c r="A1751" t="s">
        <v>111</v>
      </c>
      <c r="B1751" t="s">
        <v>261</v>
      </c>
      <c r="C1751">
        <v>6970</v>
      </c>
      <c r="D1751">
        <v>-37.995007000000001</v>
      </c>
      <c r="E1751">
        <v>145.22385</v>
      </c>
      <c r="F1751">
        <v>4</v>
      </c>
      <c r="G1751" t="s">
        <v>656</v>
      </c>
      <c r="H1751">
        <v>70</v>
      </c>
      <c r="I1751">
        <v>250</v>
      </c>
      <c r="J1751">
        <v>143</v>
      </c>
      <c r="K1751">
        <v>323</v>
      </c>
      <c r="L1751">
        <v>211</v>
      </c>
      <c r="M1751">
        <v>31</v>
      </c>
      <c r="N1751">
        <v>329</v>
      </c>
      <c r="O1751">
        <v>149</v>
      </c>
      <c r="T1751">
        <v>1</v>
      </c>
      <c r="U1751">
        <v>0</v>
      </c>
      <c r="V1751">
        <v>0</v>
      </c>
      <c r="Y1751">
        <v>3</v>
      </c>
      <c r="Z1751">
        <v>5</v>
      </c>
      <c r="AA1751">
        <v>31</v>
      </c>
      <c r="AD1751">
        <v>3</v>
      </c>
      <c r="AE1751">
        <v>5</v>
      </c>
      <c r="AF1751">
        <v>2</v>
      </c>
      <c r="AI1751">
        <v>0</v>
      </c>
      <c r="AJ1751">
        <v>17</v>
      </c>
      <c r="AK1751">
        <v>3</v>
      </c>
      <c r="AX1751">
        <v>1</v>
      </c>
      <c r="AY1751">
        <v>6</v>
      </c>
      <c r="AZ1751">
        <v>7</v>
      </c>
      <c r="BA1751">
        <v>39</v>
      </c>
      <c r="BB1751">
        <v>23</v>
      </c>
      <c r="BC1751">
        <v>62</v>
      </c>
      <c r="BD1751">
        <v>10</v>
      </c>
      <c r="BE1751">
        <v>8</v>
      </c>
      <c r="BF1751">
        <v>18</v>
      </c>
      <c r="BG1751">
        <v>20</v>
      </c>
      <c r="BH1751">
        <v>33</v>
      </c>
      <c r="BI1751">
        <v>53</v>
      </c>
      <c r="BP1751">
        <v>11</v>
      </c>
      <c r="BR1751">
        <v>52</v>
      </c>
      <c r="BS1751">
        <v>0</v>
      </c>
      <c r="BT1751">
        <v>5</v>
      </c>
      <c r="BV1751">
        <v>2</v>
      </c>
      <c r="BW1751">
        <v>70</v>
      </c>
      <c r="BX1751" t="s">
        <v>82</v>
      </c>
      <c r="BY1751" s="5"/>
      <c r="BZ1751" s="6"/>
      <c r="CA1751" s="7">
        <v>42687</v>
      </c>
      <c r="CE1751">
        <v>15</v>
      </c>
      <c r="CF1751">
        <v>19</v>
      </c>
      <c r="CG1751">
        <v>17</v>
      </c>
      <c r="CH1751">
        <v>19</v>
      </c>
      <c r="CI1751">
        <f t="shared" si="194"/>
        <v>2016</v>
      </c>
      <c r="CJ1751" t="str">
        <f t="shared" si="195"/>
        <v>6970_2016</v>
      </c>
    </row>
    <row r="1752" spans="1:88" x14ac:dyDescent="0.25">
      <c r="A1752" t="s">
        <v>111</v>
      </c>
      <c r="B1752" t="s">
        <v>261</v>
      </c>
      <c r="C1752">
        <v>6970</v>
      </c>
      <c r="D1752">
        <v>-37.995007000000001</v>
      </c>
      <c r="E1752">
        <v>145.22385</v>
      </c>
      <c r="F1752">
        <v>4</v>
      </c>
      <c r="G1752" t="s">
        <v>656</v>
      </c>
      <c r="H1752">
        <v>70</v>
      </c>
      <c r="I1752">
        <v>250</v>
      </c>
      <c r="J1752">
        <v>143</v>
      </c>
      <c r="K1752">
        <v>323</v>
      </c>
      <c r="L1752">
        <v>211</v>
      </c>
      <c r="M1752">
        <v>31</v>
      </c>
      <c r="N1752">
        <v>329</v>
      </c>
      <c r="O1752">
        <v>149</v>
      </c>
      <c r="T1752">
        <v>21</v>
      </c>
      <c r="U1752">
        <v>32</v>
      </c>
      <c r="V1752">
        <v>10</v>
      </c>
      <c r="Y1752">
        <v>12</v>
      </c>
      <c r="Z1752">
        <v>1</v>
      </c>
      <c r="AA1752">
        <v>24</v>
      </c>
      <c r="AD1752">
        <v>32</v>
      </c>
      <c r="AE1752">
        <v>3</v>
      </c>
      <c r="AF1752">
        <v>6</v>
      </c>
      <c r="AI1752">
        <v>3</v>
      </c>
      <c r="AJ1752">
        <v>18</v>
      </c>
      <c r="AK1752">
        <v>8</v>
      </c>
      <c r="AX1752">
        <v>63</v>
      </c>
      <c r="AY1752">
        <v>47</v>
      </c>
      <c r="AZ1752">
        <v>110</v>
      </c>
      <c r="BA1752">
        <v>37</v>
      </c>
      <c r="BB1752">
        <v>42</v>
      </c>
      <c r="BC1752">
        <v>79</v>
      </c>
      <c r="BD1752">
        <v>41</v>
      </c>
      <c r="BE1752">
        <v>41</v>
      </c>
      <c r="BF1752">
        <v>82</v>
      </c>
      <c r="BG1752">
        <v>29</v>
      </c>
      <c r="BH1752">
        <v>40</v>
      </c>
      <c r="BI1752">
        <v>69</v>
      </c>
      <c r="BP1752">
        <v>96</v>
      </c>
      <c r="BR1752">
        <v>59</v>
      </c>
      <c r="BS1752">
        <v>2</v>
      </c>
      <c r="BT1752">
        <v>10</v>
      </c>
      <c r="BV1752">
        <v>3</v>
      </c>
      <c r="BW1752">
        <v>170</v>
      </c>
      <c r="BX1752">
        <f>IF(C1752=C1751,IF((CI1752-1)=CI1751,BW1751,"no data"))</f>
        <v>70</v>
      </c>
      <c r="BY1752" s="5">
        <f t="shared" si="197"/>
        <v>1.4285714285714286</v>
      </c>
      <c r="BZ1752" s="6">
        <f t="shared" si="196"/>
        <v>1.4285714285714286</v>
      </c>
      <c r="CA1752" s="7">
        <v>43051</v>
      </c>
      <c r="CE1752">
        <v>39</v>
      </c>
      <c r="CF1752">
        <v>27</v>
      </c>
      <c r="CG1752">
        <v>53</v>
      </c>
      <c r="CH1752">
        <v>51</v>
      </c>
      <c r="CI1752">
        <f t="shared" si="194"/>
        <v>2017</v>
      </c>
      <c r="CJ1752" t="str">
        <f t="shared" si="195"/>
        <v>6970_2017</v>
      </c>
    </row>
    <row r="1753" spans="1:88" x14ac:dyDescent="0.25">
      <c r="A1753" t="s">
        <v>111</v>
      </c>
      <c r="B1753" t="s">
        <v>261</v>
      </c>
      <c r="C1753">
        <v>6970</v>
      </c>
      <c r="D1753">
        <v>-37.995007000000001</v>
      </c>
      <c r="E1753">
        <v>145.22385</v>
      </c>
      <c r="F1753">
        <v>4</v>
      </c>
      <c r="G1753" t="s">
        <v>656</v>
      </c>
      <c r="H1753">
        <v>70</v>
      </c>
      <c r="I1753">
        <v>250</v>
      </c>
      <c r="J1753">
        <v>143</v>
      </c>
      <c r="K1753">
        <v>323</v>
      </c>
      <c r="L1753">
        <v>211</v>
      </c>
      <c r="M1753">
        <v>31</v>
      </c>
      <c r="N1753">
        <v>329</v>
      </c>
      <c r="O1753">
        <v>149</v>
      </c>
      <c r="T1753">
        <v>6</v>
      </c>
      <c r="U1753">
        <v>56</v>
      </c>
      <c r="V1753">
        <v>9</v>
      </c>
      <c r="Y1753">
        <v>9</v>
      </c>
      <c r="Z1753">
        <v>10</v>
      </c>
      <c r="AA1753">
        <v>27</v>
      </c>
      <c r="AD1753">
        <v>50</v>
      </c>
      <c r="AE1753">
        <v>6</v>
      </c>
      <c r="AF1753">
        <v>1</v>
      </c>
      <c r="AI1753">
        <v>4</v>
      </c>
      <c r="AJ1753">
        <v>33</v>
      </c>
      <c r="AK1753">
        <v>2</v>
      </c>
      <c r="AX1753">
        <v>71</v>
      </c>
      <c r="AY1753">
        <v>63</v>
      </c>
      <c r="AZ1753">
        <v>134</v>
      </c>
      <c r="BA1753">
        <v>46</v>
      </c>
      <c r="BB1753">
        <v>45</v>
      </c>
      <c r="BC1753">
        <v>91</v>
      </c>
      <c r="BD1753">
        <v>57</v>
      </c>
      <c r="BE1753">
        <v>68</v>
      </c>
      <c r="BF1753">
        <v>125</v>
      </c>
      <c r="BG1753">
        <v>39</v>
      </c>
      <c r="BH1753">
        <v>37</v>
      </c>
      <c r="BI1753">
        <v>76</v>
      </c>
      <c r="BP1753">
        <v>103</v>
      </c>
      <c r="BR1753">
        <v>84</v>
      </c>
      <c r="BS1753">
        <v>2</v>
      </c>
      <c r="BT1753">
        <v>13</v>
      </c>
      <c r="BV1753">
        <v>11</v>
      </c>
      <c r="BW1753">
        <v>213</v>
      </c>
      <c r="BX1753">
        <f>IF(C1753=C1752,IF((CI1753-1)=CI1752,BW1752,"no data"))</f>
        <v>170</v>
      </c>
      <c r="BY1753" s="5">
        <f t="shared" si="197"/>
        <v>0.25294117647058822</v>
      </c>
      <c r="BZ1753" s="6">
        <f t="shared" si="196"/>
        <v>0.25294117647058822</v>
      </c>
      <c r="CA1753" s="7">
        <v>43415</v>
      </c>
      <c r="CE1753">
        <v>43</v>
      </c>
      <c r="CF1753">
        <v>60</v>
      </c>
      <c r="CG1753">
        <v>61</v>
      </c>
      <c r="CH1753">
        <v>49</v>
      </c>
      <c r="CI1753">
        <f t="shared" si="194"/>
        <v>2018</v>
      </c>
      <c r="CJ1753" t="str">
        <f t="shared" si="195"/>
        <v>6970_2018</v>
      </c>
    </row>
    <row r="1754" spans="1:88" x14ac:dyDescent="0.25">
      <c r="A1754" t="s">
        <v>111</v>
      </c>
      <c r="B1754" t="s">
        <v>261</v>
      </c>
      <c r="C1754">
        <v>6970</v>
      </c>
      <c r="D1754">
        <v>-37.994999999999997</v>
      </c>
      <c r="E1754">
        <v>145.22389999999999</v>
      </c>
      <c r="F1754">
        <v>4</v>
      </c>
      <c r="G1754" t="s">
        <v>656</v>
      </c>
      <c r="H1754">
        <v>70</v>
      </c>
      <c r="I1754">
        <v>250</v>
      </c>
      <c r="J1754">
        <v>143</v>
      </c>
      <c r="K1754">
        <v>323</v>
      </c>
      <c r="L1754">
        <v>211</v>
      </c>
      <c r="M1754">
        <v>31</v>
      </c>
      <c r="N1754">
        <v>329</v>
      </c>
      <c r="O1754">
        <v>149</v>
      </c>
      <c r="T1754">
        <v>0</v>
      </c>
      <c r="U1754">
        <v>18</v>
      </c>
      <c r="V1754">
        <v>0</v>
      </c>
      <c r="Y1754">
        <v>0</v>
      </c>
      <c r="Z1754">
        <v>6</v>
      </c>
      <c r="AA1754">
        <v>13</v>
      </c>
      <c r="AD1754">
        <v>8</v>
      </c>
      <c r="AE1754">
        <v>5</v>
      </c>
      <c r="AF1754">
        <v>6</v>
      </c>
      <c r="AI1754">
        <v>1</v>
      </c>
      <c r="AJ1754">
        <v>22</v>
      </c>
      <c r="AK1754">
        <v>7</v>
      </c>
      <c r="AX1754">
        <v>18</v>
      </c>
      <c r="AY1754">
        <v>9</v>
      </c>
      <c r="AZ1754">
        <v>27</v>
      </c>
      <c r="BA1754">
        <v>19</v>
      </c>
      <c r="BB1754">
        <v>27</v>
      </c>
      <c r="BC1754">
        <v>46</v>
      </c>
      <c r="BD1754">
        <v>19</v>
      </c>
      <c r="BE1754">
        <v>31</v>
      </c>
      <c r="BF1754">
        <v>50</v>
      </c>
      <c r="BG1754">
        <v>30</v>
      </c>
      <c r="BH1754">
        <v>19</v>
      </c>
      <c r="BI1754">
        <v>49</v>
      </c>
      <c r="BP1754">
        <v>36</v>
      </c>
      <c r="BR1754">
        <v>41</v>
      </c>
      <c r="BS1754">
        <v>2</v>
      </c>
      <c r="BT1754">
        <v>4</v>
      </c>
      <c r="BV1754">
        <v>3</v>
      </c>
      <c r="BW1754">
        <v>86</v>
      </c>
      <c r="BX1754">
        <f>IF(C1754=C1753,IF((CI1754-1)=CI1753,BW1753,"no data"))</f>
        <v>213</v>
      </c>
      <c r="BY1754" s="5">
        <f t="shared" si="197"/>
        <v>-0.59624413145539901</v>
      </c>
      <c r="BZ1754" s="6">
        <f t="shared" si="196"/>
        <v>-0.59624413145539901</v>
      </c>
      <c r="CA1754" s="7">
        <v>43779</v>
      </c>
      <c r="CE1754">
        <v>15</v>
      </c>
      <c r="CF1754">
        <v>20</v>
      </c>
      <c r="CG1754">
        <v>38</v>
      </c>
      <c r="CH1754">
        <v>13</v>
      </c>
      <c r="CI1754">
        <f t="shared" si="194"/>
        <v>2019</v>
      </c>
      <c r="CJ1754" t="str">
        <f t="shared" si="195"/>
        <v>6970_2019</v>
      </c>
    </row>
    <row r="1755" spans="1:88" x14ac:dyDescent="0.25">
      <c r="A1755" t="s">
        <v>111</v>
      </c>
      <c r="B1755" t="s">
        <v>261</v>
      </c>
      <c r="C1755">
        <v>6970</v>
      </c>
      <c r="D1755">
        <v>-37.994999999999997</v>
      </c>
      <c r="E1755">
        <v>145.22389999999999</v>
      </c>
      <c r="F1755">
        <v>4</v>
      </c>
      <c r="G1755" t="s">
        <v>656</v>
      </c>
      <c r="H1755">
        <v>70</v>
      </c>
      <c r="I1755">
        <v>250</v>
      </c>
      <c r="J1755">
        <v>143</v>
      </c>
      <c r="K1755">
        <v>323</v>
      </c>
      <c r="L1755">
        <v>211</v>
      </c>
      <c r="M1755">
        <v>31</v>
      </c>
      <c r="N1755">
        <v>329</v>
      </c>
      <c r="O1755">
        <v>149</v>
      </c>
      <c r="T1755">
        <v>7</v>
      </c>
      <c r="U1755">
        <v>87</v>
      </c>
      <c r="V1755">
        <v>10</v>
      </c>
      <c r="Y1755">
        <v>9</v>
      </c>
      <c r="Z1755">
        <v>12</v>
      </c>
      <c r="AA1755">
        <v>20</v>
      </c>
      <c r="AD1755">
        <v>75</v>
      </c>
      <c r="AE1755">
        <v>14</v>
      </c>
      <c r="AF1755">
        <v>3</v>
      </c>
      <c r="AI1755">
        <v>16</v>
      </c>
      <c r="AJ1755">
        <v>20</v>
      </c>
      <c r="AK1755">
        <v>5</v>
      </c>
      <c r="AX1755">
        <v>104</v>
      </c>
      <c r="AY1755">
        <v>100</v>
      </c>
      <c r="AZ1755">
        <v>204</v>
      </c>
      <c r="BA1755">
        <v>41</v>
      </c>
      <c r="BB1755">
        <v>41</v>
      </c>
      <c r="BC1755">
        <v>82</v>
      </c>
      <c r="BD1755">
        <v>92</v>
      </c>
      <c r="BE1755">
        <v>104</v>
      </c>
      <c r="BF1755">
        <v>196</v>
      </c>
      <c r="BG1755">
        <v>41</v>
      </c>
      <c r="BH1755">
        <v>33</v>
      </c>
      <c r="BI1755">
        <v>74</v>
      </c>
      <c r="BP1755">
        <v>170</v>
      </c>
      <c r="BR1755">
        <v>99</v>
      </c>
      <c r="BS1755">
        <v>3</v>
      </c>
      <c r="BT1755">
        <v>5</v>
      </c>
      <c r="BV1755">
        <v>1</v>
      </c>
      <c r="BW1755">
        <v>278</v>
      </c>
      <c r="BX1755">
        <f>IF(C1755=C1754,IF((CI1755-1)=CI1754,BW1754,"no data"))</f>
        <v>86</v>
      </c>
      <c r="BY1755" s="5">
        <f t="shared" si="197"/>
        <v>2.2325581395348837</v>
      </c>
      <c r="BZ1755" s="6">
        <f t="shared" si="196"/>
        <v>2.2325581395348837</v>
      </c>
      <c r="CA1755" s="7">
        <v>44143</v>
      </c>
      <c r="CE1755">
        <v>64</v>
      </c>
      <c r="CF1755">
        <v>59</v>
      </c>
      <c r="CG1755">
        <v>93</v>
      </c>
      <c r="CH1755">
        <v>62</v>
      </c>
      <c r="CI1755">
        <f t="shared" si="194"/>
        <v>2020</v>
      </c>
      <c r="CJ1755" t="str">
        <f t="shared" si="195"/>
        <v>6970_2020</v>
      </c>
    </row>
    <row r="1756" spans="1:88" x14ac:dyDescent="0.25">
      <c r="A1756" t="s">
        <v>111</v>
      </c>
      <c r="B1756" t="s">
        <v>261</v>
      </c>
      <c r="C1756">
        <v>6971</v>
      </c>
      <c r="D1756">
        <v>-38.005642000000002</v>
      </c>
      <c r="E1756">
        <v>145.22755000000001</v>
      </c>
      <c r="F1756">
        <v>3</v>
      </c>
      <c r="G1756" t="s">
        <v>657</v>
      </c>
      <c r="H1756">
        <v>154</v>
      </c>
      <c r="I1756">
        <v>334</v>
      </c>
      <c r="J1756">
        <v>279</v>
      </c>
      <c r="K1756">
        <v>99</v>
      </c>
      <c r="L1756">
        <v>347</v>
      </c>
      <c r="M1756">
        <v>167</v>
      </c>
      <c r="T1756">
        <v>1</v>
      </c>
      <c r="U1756">
        <v>12</v>
      </c>
      <c r="Y1756">
        <v>2</v>
      </c>
      <c r="Z1756">
        <v>0</v>
      </c>
      <c r="AD1756">
        <v>13</v>
      </c>
      <c r="AE1756">
        <v>0</v>
      </c>
      <c r="AX1756">
        <v>13</v>
      </c>
      <c r="AY1756">
        <v>15</v>
      </c>
      <c r="AZ1756">
        <v>28</v>
      </c>
      <c r="BA1756">
        <v>2</v>
      </c>
      <c r="BB1756">
        <v>1</v>
      </c>
      <c r="BC1756">
        <v>3</v>
      </c>
      <c r="BD1756">
        <v>13</v>
      </c>
      <c r="BE1756">
        <v>12</v>
      </c>
      <c r="BF1756">
        <v>25</v>
      </c>
      <c r="BP1756">
        <v>6</v>
      </c>
      <c r="BR1756">
        <v>21</v>
      </c>
      <c r="BS1756">
        <v>0</v>
      </c>
      <c r="BT1756">
        <v>0</v>
      </c>
      <c r="BV1756">
        <v>1</v>
      </c>
      <c r="BW1756">
        <v>28</v>
      </c>
      <c r="BX1756" t="s">
        <v>82</v>
      </c>
      <c r="BY1756" s="5"/>
      <c r="BZ1756" s="6"/>
      <c r="CA1756" s="7">
        <v>42687</v>
      </c>
      <c r="CE1756">
        <v>4</v>
      </c>
      <c r="CF1756">
        <v>6</v>
      </c>
      <c r="CG1756">
        <v>7</v>
      </c>
      <c r="CH1756">
        <v>11</v>
      </c>
      <c r="CI1756">
        <f t="shared" si="194"/>
        <v>2016</v>
      </c>
      <c r="CJ1756" t="str">
        <f t="shared" si="195"/>
        <v>6971_2016</v>
      </c>
    </row>
    <row r="1757" spans="1:88" x14ac:dyDescent="0.25">
      <c r="A1757" t="s">
        <v>111</v>
      </c>
      <c r="B1757" t="s">
        <v>261</v>
      </c>
      <c r="C1757">
        <v>6971</v>
      </c>
      <c r="D1757">
        <v>-38.005642000000002</v>
      </c>
      <c r="E1757">
        <v>145.22755000000001</v>
      </c>
      <c r="F1757">
        <v>3</v>
      </c>
      <c r="G1757" t="s">
        <v>657</v>
      </c>
      <c r="H1757">
        <v>154</v>
      </c>
      <c r="I1757">
        <v>334</v>
      </c>
      <c r="J1757">
        <v>279</v>
      </c>
      <c r="K1757">
        <v>99</v>
      </c>
      <c r="L1757">
        <v>347</v>
      </c>
      <c r="M1757">
        <v>167</v>
      </c>
      <c r="T1757">
        <v>1</v>
      </c>
      <c r="U1757">
        <v>15</v>
      </c>
      <c r="Y1757">
        <v>3</v>
      </c>
      <c r="Z1757">
        <v>2</v>
      </c>
      <c r="AD1757">
        <v>6</v>
      </c>
      <c r="AE1757">
        <v>2</v>
      </c>
      <c r="AX1757">
        <v>16</v>
      </c>
      <c r="AY1757">
        <v>9</v>
      </c>
      <c r="AZ1757">
        <v>25</v>
      </c>
      <c r="BA1757">
        <v>5</v>
      </c>
      <c r="BB1757">
        <v>3</v>
      </c>
      <c r="BC1757">
        <v>8</v>
      </c>
      <c r="BD1757">
        <v>8</v>
      </c>
      <c r="BE1757">
        <v>17</v>
      </c>
      <c r="BF1757">
        <v>25</v>
      </c>
      <c r="BP1757">
        <v>8</v>
      </c>
      <c r="BR1757">
        <v>19</v>
      </c>
      <c r="BS1757">
        <v>1</v>
      </c>
      <c r="BT1757">
        <v>1</v>
      </c>
      <c r="BV1757">
        <v>0</v>
      </c>
      <c r="BW1757">
        <v>29</v>
      </c>
      <c r="BX1757">
        <f>IF(C1757=C1756,IF((CI1757-1)=CI1756,BW1756,"no data"))</f>
        <v>28</v>
      </c>
      <c r="BY1757" s="5">
        <f t="shared" si="197"/>
        <v>3.5714285714285712E-2</v>
      </c>
      <c r="BZ1757" s="6">
        <f t="shared" si="196"/>
        <v>3.5714285714285712E-2</v>
      </c>
      <c r="CA1757" s="7">
        <v>43051</v>
      </c>
      <c r="CE1757">
        <v>9</v>
      </c>
      <c r="CF1757">
        <v>5</v>
      </c>
      <c r="CG1757">
        <v>8</v>
      </c>
      <c r="CH1757">
        <v>7</v>
      </c>
      <c r="CI1757">
        <f t="shared" si="194"/>
        <v>2017</v>
      </c>
      <c r="CJ1757" t="str">
        <f t="shared" si="195"/>
        <v>6971_2017</v>
      </c>
    </row>
    <row r="1758" spans="1:88" x14ac:dyDescent="0.25">
      <c r="A1758" t="s">
        <v>111</v>
      </c>
      <c r="B1758" t="s">
        <v>261</v>
      </c>
      <c r="C1758">
        <v>6971</v>
      </c>
      <c r="D1758">
        <v>-38.005600000000001</v>
      </c>
      <c r="E1758">
        <v>145.2276</v>
      </c>
      <c r="F1758">
        <v>3</v>
      </c>
      <c r="G1758" t="s">
        <v>657</v>
      </c>
      <c r="H1758">
        <v>154</v>
      </c>
      <c r="I1758">
        <v>334</v>
      </c>
      <c r="J1758">
        <v>279</v>
      </c>
      <c r="K1758">
        <v>99</v>
      </c>
      <c r="L1758">
        <v>347</v>
      </c>
      <c r="M1758">
        <v>167</v>
      </c>
      <c r="T1758">
        <v>1</v>
      </c>
      <c r="U1758">
        <v>12</v>
      </c>
      <c r="Y1758">
        <v>3</v>
      </c>
      <c r="Z1758">
        <v>2</v>
      </c>
      <c r="AD1758">
        <v>0</v>
      </c>
      <c r="AE1758">
        <v>0</v>
      </c>
      <c r="AX1758">
        <v>13</v>
      </c>
      <c r="AY1758">
        <v>3</v>
      </c>
      <c r="AZ1758">
        <v>16</v>
      </c>
      <c r="BA1758">
        <v>5</v>
      </c>
      <c r="BB1758">
        <v>1</v>
      </c>
      <c r="BC1758">
        <v>6</v>
      </c>
      <c r="BD1758">
        <v>0</v>
      </c>
      <c r="BE1758">
        <v>14</v>
      </c>
      <c r="BF1758">
        <v>14</v>
      </c>
      <c r="BP1758">
        <v>8</v>
      </c>
      <c r="BR1758">
        <v>10</v>
      </c>
      <c r="BS1758">
        <v>0</v>
      </c>
      <c r="BT1758">
        <v>0</v>
      </c>
      <c r="BV1758">
        <v>0</v>
      </c>
      <c r="BW1758">
        <v>18</v>
      </c>
      <c r="BX1758" t="str">
        <f>IF(C1758=C1757,IF((CI1758-1)=CI1757,BW1757,"no data"))</f>
        <v>no data</v>
      </c>
      <c r="BY1758" s="5"/>
      <c r="BZ1758" s="6"/>
      <c r="CA1758" s="7">
        <v>43779</v>
      </c>
      <c r="CE1758">
        <v>3</v>
      </c>
      <c r="CF1758">
        <v>1</v>
      </c>
      <c r="CG1758">
        <v>7</v>
      </c>
      <c r="CH1758">
        <v>7</v>
      </c>
      <c r="CI1758">
        <f t="shared" si="194"/>
        <v>2019</v>
      </c>
      <c r="CJ1758" t="str">
        <f t="shared" si="195"/>
        <v>6971_2019</v>
      </c>
    </row>
    <row r="1759" spans="1:88" x14ac:dyDescent="0.25">
      <c r="A1759" t="s">
        <v>111</v>
      </c>
      <c r="B1759" t="s">
        <v>261</v>
      </c>
      <c r="C1759">
        <v>6972</v>
      </c>
      <c r="D1759">
        <v>-38.002831</v>
      </c>
      <c r="E1759">
        <v>145.20799</v>
      </c>
      <c r="F1759">
        <v>4</v>
      </c>
      <c r="G1759" t="s">
        <v>658</v>
      </c>
      <c r="H1759">
        <v>8</v>
      </c>
      <c r="I1759">
        <v>188</v>
      </c>
      <c r="J1759">
        <v>96</v>
      </c>
      <c r="K1759">
        <v>276</v>
      </c>
      <c r="L1759">
        <v>189</v>
      </c>
      <c r="M1759">
        <v>9</v>
      </c>
      <c r="N1759">
        <v>278</v>
      </c>
      <c r="O1759">
        <v>98</v>
      </c>
      <c r="T1759">
        <v>1</v>
      </c>
      <c r="U1759">
        <v>5</v>
      </c>
      <c r="V1759">
        <v>4</v>
      </c>
      <c r="Y1759">
        <v>1</v>
      </c>
      <c r="Z1759">
        <v>1</v>
      </c>
      <c r="AA1759">
        <v>1</v>
      </c>
      <c r="AD1759">
        <v>4</v>
      </c>
      <c r="AE1759">
        <v>0</v>
      </c>
      <c r="AF1759">
        <v>0</v>
      </c>
      <c r="AI1759">
        <v>4</v>
      </c>
      <c r="AJ1759">
        <v>5</v>
      </c>
      <c r="AK1759">
        <v>0</v>
      </c>
      <c r="AX1759">
        <v>10</v>
      </c>
      <c r="AY1759">
        <v>9</v>
      </c>
      <c r="AZ1759">
        <v>19</v>
      </c>
      <c r="BA1759">
        <v>3</v>
      </c>
      <c r="BB1759">
        <v>6</v>
      </c>
      <c r="BC1759">
        <v>9</v>
      </c>
      <c r="BD1759">
        <v>4</v>
      </c>
      <c r="BE1759">
        <v>6</v>
      </c>
      <c r="BF1759">
        <v>10</v>
      </c>
      <c r="BG1759">
        <v>9</v>
      </c>
      <c r="BH1759">
        <v>5</v>
      </c>
      <c r="BI1759">
        <v>14</v>
      </c>
      <c r="BP1759">
        <v>6</v>
      </c>
      <c r="BR1759">
        <v>13</v>
      </c>
      <c r="BS1759">
        <v>1</v>
      </c>
      <c r="BT1759">
        <v>4</v>
      </c>
      <c r="BV1759">
        <v>2</v>
      </c>
      <c r="BW1759">
        <v>26</v>
      </c>
      <c r="BX1759" t="s">
        <v>82</v>
      </c>
      <c r="BY1759" s="5"/>
      <c r="BZ1759" s="6"/>
      <c r="CA1759" s="7">
        <v>42687</v>
      </c>
      <c r="CE1759">
        <v>10</v>
      </c>
      <c r="CF1759">
        <v>3</v>
      </c>
      <c r="CG1759">
        <v>10</v>
      </c>
      <c r="CH1759">
        <v>3</v>
      </c>
      <c r="CI1759">
        <f t="shared" si="194"/>
        <v>2016</v>
      </c>
      <c r="CJ1759" t="str">
        <f t="shared" si="195"/>
        <v>6972_2016</v>
      </c>
    </row>
    <row r="1760" spans="1:88" x14ac:dyDescent="0.25">
      <c r="A1760" t="s">
        <v>111</v>
      </c>
      <c r="B1760" t="s">
        <v>261</v>
      </c>
      <c r="C1760">
        <v>6972</v>
      </c>
      <c r="D1760">
        <v>-38.002831</v>
      </c>
      <c r="E1760">
        <v>145.20799</v>
      </c>
      <c r="F1760">
        <v>4</v>
      </c>
      <c r="G1760" t="s">
        <v>658</v>
      </c>
      <c r="H1760">
        <v>8</v>
      </c>
      <c r="I1760">
        <v>188</v>
      </c>
      <c r="J1760">
        <v>96</v>
      </c>
      <c r="K1760">
        <v>276</v>
      </c>
      <c r="L1760">
        <v>189</v>
      </c>
      <c r="M1760">
        <v>9</v>
      </c>
      <c r="N1760">
        <v>278</v>
      </c>
      <c r="O1760">
        <v>98</v>
      </c>
      <c r="T1760">
        <v>4</v>
      </c>
      <c r="U1760">
        <v>2</v>
      </c>
      <c r="V1760">
        <v>6</v>
      </c>
      <c r="Y1760">
        <v>1</v>
      </c>
      <c r="Z1760">
        <v>2</v>
      </c>
      <c r="AA1760">
        <v>3</v>
      </c>
      <c r="AD1760">
        <v>3</v>
      </c>
      <c r="AE1760">
        <v>0</v>
      </c>
      <c r="AF1760">
        <v>1</v>
      </c>
      <c r="AI1760">
        <v>7</v>
      </c>
      <c r="AJ1760">
        <v>13</v>
      </c>
      <c r="AK1760">
        <v>0</v>
      </c>
      <c r="AX1760">
        <v>12</v>
      </c>
      <c r="AY1760">
        <v>11</v>
      </c>
      <c r="AZ1760">
        <v>23</v>
      </c>
      <c r="BA1760">
        <v>6</v>
      </c>
      <c r="BB1760">
        <v>17</v>
      </c>
      <c r="BC1760">
        <v>23</v>
      </c>
      <c r="BD1760">
        <v>4</v>
      </c>
      <c r="BE1760">
        <v>4</v>
      </c>
      <c r="BF1760">
        <v>8</v>
      </c>
      <c r="BG1760">
        <v>20</v>
      </c>
      <c r="BH1760">
        <v>10</v>
      </c>
      <c r="BI1760">
        <v>30</v>
      </c>
      <c r="BP1760">
        <v>27</v>
      </c>
      <c r="BR1760">
        <v>10</v>
      </c>
      <c r="BS1760">
        <v>3</v>
      </c>
      <c r="BT1760">
        <v>2</v>
      </c>
      <c r="BV1760">
        <v>0</v>
      </c>
      <c r="BW1760">
        <v>42</v>
      </c>
      <c r="BX1760">
        <f>IF(C1760=C1759,IF((CI1760-1)=CI1759,BW1759,"no data"))</f>
        <v>26</v>
      </c>
      <c r="BY1760" s="5">
        <f t="shared" si="197"/>
        <v>0.61538461538461542</v>
      </c>
      <c r="BZ1760" s="6">
        <f t="shared" si="196"/>
        <v>0.61538461538461542</v>
      </c>
      <c r="CA1760" s="7">
        <v>43051</v>
      </c>
      <c r="CE1760">
        <v>11</v>
      </c>
      <c r="CF1760">
        <v>13</v>
      </c>
      <c r="CG1760">
        <v>11</v>
      </c>
      <c r="CH1760">
        <v>7</v>
      </c>
      <c r="CI1760">
        <f t="shared" si="194"/>
        <v>2017</v>
      </c>
      <c r="CJ1760" t="str">
        <f t="shared" si="195"/>
        <v>6972_2017</v>
      </c>
    </row>
    <row r="1761" spans="1:88" x14ac:dyDescent="0.25">
      <c r="A1761" t="s">
        <v>111</v>
      </c>
      <c r="B1761" t="s">
        <v>261</v>
      </c>
      <c r="C1761">
        <v>6972</v>
      </c>
      <c r="D1761">
        <v>-38.002831</v>
      </c>
      <c r="E1761">
        <v>145.20799</v>
      </c>
      <c r="F1761">
        <v>4</v>
      </c>
      <c r="G1761" t="s">
        <v>658</v>
      </c>
      <c r="H1761">
        <v>8</v>
      </c>
      <c r="I1761">
        <v>188</v>
      </c>
      <c r="J1761">
        <v>96</v>
      </c>
      <c r="K1761">
        <v>276</v>
      </c>
      <c r="L1761">
        <v>189</v>
      </c>
      <c r="M1761">
        <v>9</v>
      </c>
      <c r="N1761">
        <v>278</v>
      </c>
      <c r="O1761">
        <v>98</v>
      </c>
      <c r="T1761">
        <v>0</v>
      </c>
      <c r="U1761">
        <v>1</v>
      </c>
      <c r="V1761">
        <v>5</v>
      </c>
      <c r="Y1761">
        <v>1</v>
      </c>
      <c r="Z1761">
        <v>1</v>
      </c>
      <c r="AA1761">
        <v>4</v>
      </c>
      <c r="AD1761">
        <v>1</v>
      </c>
      <c r="AE1761">
        <v>0</v>
      </c>
      <c r="AF1761">
        <v>0</v>
      </c>
      <c r="AI1761">
        <v>6</v>
      </c>
      <c r="AJ1761">
        <v>1</v>
      </c>
      <c r="AK1761">
        <v>0</v>
      </c>
      <c r="AX1761">
        <v>6</v>
      </c>
      <c r="AY1761">
        <v>8</v>
      </c>
      <c r="AZ1761">
        <v>14</v>
      </c>
      <c r="BA1761">
        <v>6</v>
      </c>
      <c r="BB1761">
        <v>1</v>
      </c>
      <c r="BC1761">
        <v>7</v>
      </c>
      <c r="BD1761">
        <v>1</v>
      </c>
      <c r="BE1761">
        <v>2</v>
      </c>
      <c r="BF1761">
        <v>3</v>
      </c>
      <c r="BG1761">
        <v>7</v>
      </c>
      <c r="BH1761">
        <v>9</v>
      </c>
      <c r="BI1761">
        <v>16</v>
      </c>
      <c r="BP1761">
        <v>8</v>
      </c>
      <c r="BR1761">
        <v>6</v>
      </c>
      <c r="BS1761">
        <v>2</v>
      </c>
      <c r="BT1761">
        <v>2</v>
      </c>
      <c r="BV1761">
        <v>2</v>
      </c>
      <c r="BW1761">
        <v>20</v>
      </c>
      <c r="BX1761">
        <f>IF(C1761=C1760,IF((CI1761-1)=CI1760,BW1760,"no data"))</f>
        <v>42</v>
      </c>
      <c r="BY1761" s="5">
        <f t="shared" si="197"/>
        <v>-0.52380952380952384</v>
      </c>
      <c r="BZ1761" s="6">
        <f t="shared" si="196"/>
        <v>-0.52380952380952384</v>
      </c>
      <c r="CA1761" s="7">
        <v>43415</v>
      </c>
      <c r="CE1761">
        <v>3</v>
      </c>
      <c r="CF1761">
        <v>9</v>
      </c>
      <c r="CG1761">
        <v>6</v>
      </c>
      <c r="CH1761">
        <v>2</v>
      </c>
      <c r="CI1761">
        <f t="shared" si="194"/>
        <v>2018</v>
      </c>
      <c r="CJ1761" t="str">
        <f t="shared" si="195"/>
        <v>6972_2018</v>
      </c>
    </row>
    <row r="1762" spans="1:88" x14ac:dyDescent="0.25">
      <c r="A1762" t="s">
        <v>111</v>
      </c>
      <c r="B1762" t="s">
        <v>261</v>
      </c>
      <c r="C1762">
        <v>6972</v>
      </c>
      <c r="D1762">
        <v>-38.002800000000001</v>
      </c>
      <c r="E1762">
        <v>145.208</v>
      </c>
      <c r="F1762">
        <v>4</v>
      </c>
      <c r="G1762" t="s">
        <v>658</v>
      </c>
      <c r="H1762">
        <v>8</v>
      </c>
      <c r="I1762">
        <v>188</v>
      </c>
      <c r="J1762">
        <v>96</v>
      </c>
      <c r="K1762">
        <v>276</v>
      </c>
      <c r="L1762">
        <v>189</v>
      </c>
      <c r="M1762">
        <v>9</v>
      </c>
      <c r="N1762">
        <v>278</v>
      </c>
      <c r="O1762">
        <v>98</v>
      </c>
      <c r="T1762">
        <v>3</v>
      </c>
      <c r="U1762">
        <v>3</v>
      </c>
      <c r="V1762">
        <v>3</v>
      </c>
      <c r="Y1762">
        <v>1</v>
      </c>
      <c r="Z1762">
        <v>0</v>
      </c>
      <c r="AA1762">
        <v>0</v>
      </c>
      <c r="AD1762">
        <v>2</v>
      </c>
      <c r="AE1762">
        <v>0</v>
      </c>
      <c r="AF1762">
        <v>1</v>
      </c>
      <c r="AI1762">
        <v>6</v>
      </c>
      <c r="AJ1762">
        <v>4</v>
      </c>
      <c r="AK1762">
        <v>0</v>
      </c>
      <c r="AX1762">
        <v>9</v>
      </c>
      <c r="AY1762">
        <v>9</v>
      </c>
      <c r="AZ1762">
        <v>18</v>
      </c>
      <c r="BA1762">
        <v>1</v>
      </c>
      <c r="BB1762">
        <v>7</v>
      </c>
      <c r="BC1762">
        <v>8</v>
      </c>
      <c r="BD1762">
        <v>3</v>
      </c>
      <c r="BE1762">
        <v>3</v>
      </c>
      <c r="BF1762">
        <v>6</v>
      </c>
      <c r="BG1762">
        <v>10</v>
      </c>
      <c r="BH1762">
        <v>4</v>
      </c>
      <c r="BI1762">
        <v>14</v>
      </c>
      <c r="BP1762">
        <v>13</v>
      </c>
      <c r="BR1762">
        <v>8</v>
      </c>
      <c r="BS1762">
        <v>1</v>
      </c>
      <c r="BT1762">
        <v>1</v>
      </c>
      <c r="BV1762">
        <v>0</v>
      </c>
      <c r="BW1762">
        <v>23</v>
      </c>
      <c r="BX1762">
        <f>IF(C1762=C1761,IF((CI1762-1)=CI1761,BW1761,"no data"))</f>
        <v>20</v>
      </c>
      <c r="BY1762" s="5">
        <f t="shared" si="197"/>
        <v>0.15</v>
      </c>
      <c r="BZ1762" s="6">
        <f t="shared" si="196"/>
        <v>0.15</v>
      </c>
      <c r="CA1762" s="7">
        <v>43779</v>
      </c>
      <c r="CE1762">
        <v>6</v>
      </c>
      <c r="CF1762">
        <v>5</v>
      </c>
      <c r="CG1762">
        <v>5</v>
      </c>
      <c r="CH1762">
        <v>7</v>
      </c>
      <c r="CI1762">
        <f t="shared" si="194"/>
        <v>2019</v>
      </c>
      <c r="CJ1762" t="str">
        <f t="shared" si="195"/>
        <v>6972_2019</v>
      </c>
    </row>
    <row r="1763" spans="1:88" x14ac:dyDescent="0.25">
      <c r="A1763" t="s">
        <v>111</v>
      </c>
      <c r="B1763" t="s">
        <v>261</v>
      </c>
      <c r="C1763">
        <v>6973</v>
      </c>
      <c r="D1763">
        <v>-37.998879000000002</v>
      </c>
      <c r="E1763">
        <v>145.17434</v>
      </c>
      <c r="F1763">
        <v>4</v>
      </c>
      <c r="G1763" t="s">
        <v>659</v>
      </c>
      <c r="H1763">
        <v>9</v>
      </c>
      <c r="I1763">
        <v>189</v>
      </c>
      <c r="J1763">
        <v>103</v>
      </c>
      <c r="K1763">
        <v>283</v>
      </c>
      <c r="L1763">
        <v>186</v>
      </c>
      <c r="M1763">
        <v>6</v>
      </c>
      <c r="N1763">
        <v>282</v>
      </c>
      <c r="O1763">
        <v>102</v>
      </c>
      <c r="T1763">
        <v>5</v>
      </c>
      <c r="U1763">
        <v>16</v>
      </c>
      <c r="V1763">
        <v>4</v>
      </c>
      <c r="Y1763">
        <v>0</v>
      </c>
      <c r="Z1763">
        <v>1</v>
      </c>
      <c r="AA1763">
        <v>7</v>
      </c>
      <c r="AD1763">
        <v>20</v>
      </c>
      <c r="AE1763">
        <v>0</v>
      </c>
      <c r="AF1763">
        <v>1</v>
      </c>
      <c r="AI1763">
        <v>4</v>
      </c>
      <c r="AJ1763">
        <v>2</v>
      </c>
      <c r="AK1763">
        <v>0</v>
      </c>
      <c r="AX1763">
        <v>25</v>
      </c>
      <c r="AY1763">
        <v>24</v>
      </c>
      <c r="AZ1763">
        <v>49</v>
      </c>
      <c r="BA1763">
        <v>8</v>
      </c>
      <c r="BB1763">
        <v>7</v>
      </c>
      <c r="BC1763">
        <v>15</v>
      </c>
      <c r="BD1763">
        <v>21</v>
      </c>
      <c r="BE1763">
        <v>17</v>
      </c>
      <c r="BF1763">
        <v>38</v>
      </c>
      <c r="BG1763">
        <v>6</v>
      </c>
      <c r="BH1763">
        <v>12</v>
      </c>
      <c r="BI1763">
        <v>18</v>
      </c>
      <c r="BP1763">
        <v>16</v>
      </c>
      <c r="BR1763">
        <v>33</v>
      </c>
      <c r="BS1763">
        <v>0</v>
      </c>
      <c r="BT1763">
        <v>8</v>
      </c>
      <c r="BV1763">
        <v>3</v>
      </c>
      <c r="BW1763">
        <v>60</v>
      </c>
      <c r="BX1763" t="s">
        <v>82</v>
      </c>
      <c r="BY1763" s="5"/>
      <c r="BZ1763" s="6"/>
      <c r="CA1763" s="7">
        <v>42687</v>
      </c>
      <c r="CE1763">
        <v>8</v>
      </c>
      <c r="CF1763">
        <v>20</v>
      </c>
      <c r="CG1763">
        <v>17</v>
      </c>
      <c r="CH1763">
        <v>15</v>
      </c>
      <c r="CI1763">
        <f t="shared" si="194"/>
        <v>2016</v>
      </c>
      <c r="CJ1763" t="str">
        <f t="shared" si="195"/>
        <v>6973_2016</v>
      </c>
    </row>
    <row r="1764" spans="1:88" x14ac:dyDescent="0.25">
      <c r="A1764" t="s">
        <v>111</v>
      </c>
      <c r="B1764" t="s">
        <v>261</v>
      </c>
      <c r="C1764">
        <v>6973</v>
      </c>
      <c r="D1764">
        <v>-37.998879000000002</v>
      </c>
      <c r="E1764">
        <v>145.17434</v>
      </c>
      <c r="F1764">
        <v>4</v>
      </c>
      <c r="G1764" t="s">
        <v>659</v>
      </c>
      <c r="H1764">
        <v>9</v>
      </c>
      <c r="I1764">
        <v>189</v>
      </c>
      <c r="J1764">
        <v>103</v>
      </c>
      <c r="K1764">
        <v>283</v>
      </c>
      <c r="L1764">
        <v>186</v>
      </c>
      <c r="M1764">
        <v>6</v>
      </c>
      <c r="N1764">
        <v>282</v>
      </c>
      <c r="O1764">
        <v>102</v>
      </c>
      <c r="T1764">
        <v>5</v>
      </c>
      <c r="U1764">
        <v>26</v>
      </c>
      <c r="V1764">
        <v>5</v>
      </c>
      <c r="Y1764">
        <v>0</v>
      </c>
      <c r="Z1764">
        <v>0</v>
      </c>
      <c r="AA1764">
        <v>12</v>
      </c>
      <c r="AD1764">
        <v>17</v>
      </c>
      <c r="AE1764">
        <v>0</v>
      </c>
      <c r="AF1764">
        <v>9</v>
      </c>
      <c r="AI1764">
        <v>14</v>
      </c>
      <c r="AJ1764">
        <v>31</v>
      </c>
      <c r="AK1764">
        <v>0</v>
      </c>
      <c r="AX1764">
        <v>36</v>
      </c>
      <c r="AY1764">
        <v>31</v>
      </c>
      <c r="AZ1764">
        <v>67</v>
      </c>
      <c r="BA1764">
        <v>12</v>
      </c>
      <c r="BB1764">
        <v>36</v>
      </c>
      <c r="BC1764">
        <v>48</v>
      </c>
      <c r="BD1764">
        <v>26</v>
      </c>
      <c r="BE1764">
        <v>26</v>
      </c>
      <c r="BF1764">
        <v>52</v>
      </c>
      <c r="BG1764">
        <v>45</v>
      </c>
      <c r="BH1764">
        <v>26</v>
      </c>
      <c r="BI1764">
        <v>71</v>
      </c>
      <c r="BP1764">
        <v>54</v>
      </c>
      <c r="BR1764">
        <v>54</v>
      </c>
      <c r="BS1764">
        <v>4</v>
      </c>
      <c r="BT1764">
        <v>0</v>
      </c>
      <c r="BV1764">
        <v>7</v>
      </c>
      <c r="BW1764">
        <v>119</v>
      </c>
      <c r="BX1764">
        <f>IF(C1764=C1763,IF((CI1764-1)=CI1763,BW1763,"no data"))</f>
        <v>60</v>
      </c>
      <c r="BY1764" s="5">
        <f t="shared" si="197"/>
        <v>0.98333333333333328</v>
      </c>
      <c r="BZ1764" s="6">
        <f t="shared" si="196"/>
        <v>0.98333333333333328</v>
      </c>
      <c r="CA1764" s="7">
        <v>43051</v>
      </c>
      <c r="CE1764">
        <v>31</v>
      </c>
      <c r="CF1764">
        <v>47</v>
      </c>
      <c r="CG1764">
        <v>30</v>
      </c>
      <c r="CH1764">
        <v>11</v>
      </c>
      <c r="CI1764">
        <f t="shared" si="194"/>
        <v>2017</v>
      </c>
      <c r="CJ1764" t="str">
        <f t="shared" si="195"/>
        <v>6973_2017</v>
      </c>
    </row>
    <row r="1765" spans="1:88" x14ac:dyDescent="0.25">
      <c r="A1765" t="s">
        <v>111</v>
      </c>
      <c r="B1765" t="s">
        <v>261</v>
      </c>
      <c r="C1765">
        <v>6973</v>
      </c>
      <c r="D1765">
        <v>-37.998879000000002</v>
      </c>
      <c r="E1765">
        <v>145.17434</v>
      </c>
      <c r="F1765">
        <v>4</v>
      </c>
      <c r="G1765" t="s">
        <v>659</v>
      </c>
      <c r="H1765">
        <v>9</v>
      </c>
      <c r="I1765">
        <v>189</v>
      </c>
      <c r="J1765">
        <v>103</v>
      </c>
      <c r="K1765">
        <v>283</v>
      </c>
      <c r="L1765">
        <v>186</v>
      </c>
      <c r="M1765">
        <v>6</v>
      </c>
      <c r="N1765">
        <v>282</v>
      </c>
      <c r="O1765">
        <v>102</v>
      </c>
      <c r="T1765">
        <v>6</v>
      </c>
      <c r="U1765">
        <v>24</v>
      </c>
      <c r="V1765">
        <v>5</v>
      </c>
      <c r="Y1765">
        <v>0</v>
      </c>
      <c r="Z1765">
        <v>0</v>
      </c>
      <c r="AA1765">
        <v>9</v>
      </c>
      <c r="AD1765">
        <v>29</v>
      </c>
      <c r="AE1765">
        <v>1</v>
      </c>
      <c r="AF1765">
        <v>2</v>
      </c>
      <c r="AI1765">
        <v>18</v>
      </c>
      <c r="AJ1765">
        <v>9</v>
      </c>
      <c r="AK1765">
        <v>9</v>
      </c>
      <c r="AX1765">
        <v>35</v>
      </c>
      <c r="AY1765">
        <v>47</v>
      </c>
      <c r="AZ1765">
        <v>82</v>
      </c>
      <c r="BA1765">
        <v>9</v>
      </c>
      <c r="BB1765">
        <v>16</v>
      </c>
      <c r="BC1765">
        <v>25</v>
      </c>
      <c r="BD1765">
        <v>32</v>
      </c>
      <c r="BE1765">
        <v>33</v>
      </c>
      <c r="BF1765">
        <v>65</v>
      </c>
      <c r="BG1765">
        <v>36</v>
      </c>
      <c r="BH1765">
        <v>16</v>
      </c>
      <c r="BI1765">
        <v>52</v>
      </c>
      <c r="BP1765">
        <v>35</v>
      </c>
      <c r="BR1765">
        <v>66</v>
      </c>
      <c r="BS1765">
        <v>1</v>
      </c>
      <c r="BT1765">
        <v>8</v>
      </c>
      <c r="BV1765">
        <v>2</v>
      </c>
      <c r="BW1765">
        <v>112</v>
      </c>
      <c r="BX1765">
        <f>IF(C1765=C1764,IF((CI1765-1)=CI1764,BW1764,"no data"))</f>
        <v>119</v>
      </c>
      <c r="BY1765" s="5">
        <f t="shared" si="197"/>
        <v>-5.8823529411764705E-2</v>
      </c>
      <c r="BZ1765" s="6">
        <f t="shared" si="196"/>
        <v>-5.8823529411764705E-2</v>
      </c>
      <c r="CA1765" s="7">
        <v>43415</v>
      </c>
      <c r="CE1765">
        <v>34</v>
      </c>
      <c r="CF1765">
        <v>15</v>
      </c>
      <c r="CG1765">
        <v>32</v>
      </c>
      <c r="CH1765">
        <v>31</v>
      </c>
      <c r="CI1765">
        <f t="shared" si="194"/>
        <v>2018</v>
      </c>
      <c r="CJ1765" t="str">
        <f t="shared" si="195"/>
        <v>6973_2018</v>
      </c>
    </row>
    <row r="1766" spans="1:88" x14ac:dyDescent="0.25">
      <c r="A1766" t="s">
        <v>111</v>
      </c>
      <c r="B1766" t="s">
        <v>261</v>
      </c>
      <c r="C1766">
        <v>6973</v>
      </c>
      <c r="D1766">
        <v>-37.998899999999999</v>
      </c>
      <c r="E1766">
        <v>145.17429999999999</v>
      </c>
      <c r="F1766">
        <v>4</v>
      </c>
      <c r="G1766" t="s">
        <v>659</v>
      </c>
      <c r="H1766">
        <v>9</v>
      </c>
      <c r="I1766">
        <v>189</v>
      </c>
      <c r="J1766">
        <v>103</v>
      </c>
      <c r="K1766">
        <v>283</v>
      </c>
      <c r="L1766">
        <v>186</v>
      </c>
      <c r="M1766">
        <v>6</v>
      </c>
      <c r="N1766">
        <v>282</v>
      </c>
      <c r="O1766">
        <v>102</v>
      </c>
      <c r="T1766">
        <v>7</v>
      </c>
      <c r="U1766">
        <v>8</v>
      </c>
      <c r="V1766">
        <v>0</v>
      </c>
      <c r="Y1766">
        <v>4</v>
      </c>
      <c r="Z1766">
        <v>0</v>
      </c>
      <c r="AA1766">
        <v>11</v>
      </c>
      <c r="AD1766">
        <v>15</v>
      </c>
      <c r="AE1766">
        <v>0</v>
      </c>
      <c r="AF1766">
        <v>7</v>
      </c>
      <c r="AI1766">
        <v>5</v>
      </c>
      <c r="AJ1766">
        <v>10</v>
      </c>
      <c r="AK1766">
        <v>0</v>
      </c>
      <c r="AX1766">
        <v>15</v>
      </c>
      <c r="AY1766">
        <v>24</v>
      </c>
      <c r="AZ1766">
        <v>39</v>
      </c>
      <c r="BA1766">
        <v>15</v>
      </c>
      <c r="BB1766">
        <v>17</v>
      </c>
      <c r="BC1766">
        <v>32</v>
      </c>
      <c r="BD1766">
        <v>22</v>
      </c>
      <c r="BE1766">
        <v>8</v>
      </c>
      <c r="BF1766">
        <v>30</v>
      </c>
      <c r="BG1766">
        <v>15</v>
      </c>
      <c r="BH1766">
        <v>18</v>
      </c>
      <c r="BI1766">
        <v>33</v>
      </c>
      <c r="BP1766">
        <v>16</v>
      </c>
      <c r="BR1766">
        <v>39</v>
      </c>
      <c r="BS1766">
        <v>4</v>
      </c>
      <c r="BT1766">
        <v>6</v>
      </c>
      <c r="BV1766">
        <v>2</v>
      </c>
      <c r="BW1766">
        <v>67</v>
      </c>
      <c r="BX1766">
        <f>IF(C1766=C1765,IF((CI1766-1)=CI1765,BW1765,"no data"))</f>
        <v>112</v>
      </c>
      <c r="BY1766" s="5">
        <f t="shared" si="197"/>
        <v>-0.4017857142857143</v>
      </c>
      <c r="BZ1766" s="6">
        <f t="shared" si="196"/>
        <v>-0.4017857142857143</v>
      </c>
      <c r="CA1766" s="7">
        <v>43779</v>
      </c>
      <c r="CE1766">
        <v>17</v>
      </c>
      <c r="CF1766">
        <v>15</v>
      </c>
      <c r="CG1766">
        <v>29</v>
      </c>
      <c r="CH1766">
        <v>6</v>
      </c>
      <c r="CI1766">
        <f t="shared" si="194"/>
        <v>2019</v>
      </c>
      <c r="CJ1766" t="str">
        <f t="shared" si="195"/>
        <v>6973_2019</v>
      </c>
    </row>
    <row r="1767" spans="1:88" x14ac:dyDescent="0.25">
      <c r="A1767" t="s">
        <v>111</v>
      </c>
      <c r="B1767" t="s">
        <v>261</v>
      </c>
      <c r="C1767">
        <v>6974</v>
      </c>
      <c r="D1767">
        <v>-37.982464999999998</v>
      </c>
      <c r="E1767">
        <v>145.14622</v>
      </c>
      <c r="F1767">
        <v>5</v>
      </c>
      <c r="G1767" t="s">
        <v>660</v>
      </c>
      <c r="H1767">
        <v>7</v>
      </c>
      <c r="I1767">
        <v>187</v>
      </c>
      <c r="J1767">
        <v>87</v>
      </c>
      <c r="K1767">
        <v>267</v>
      </c>
      <c r="L1767">
        <v>122</v>
      </c>
      <c r="M1767">
        <v>302</v>
      </c>
      <c r="N1767">
        <v>191</v>
      </c>
      <c r="O1767">
        <v>11</v>
      </c>
      <c r="P1767">
        <v>308</v>
      </c>
      <c r="Q1767">
        <v>128</v>
      </c>
      <c r="T1767">
        <v>0</v>
      </c>
      <c r="U1767">
        <v>2</v>
      </c>
      <c r="V1767">
        <v>1</v>
      </c>
      <c r="W1767">
        <v>0</v>
      </c>
      <c r="Y1767">
        <v>2</v>
      </c>
      <c r="Z1767">
        <v>3</v>
      </c>
      <c r="AA1767">
        <v>0</v>
      </c>
      <c r="AB1767">
        <v>0</v>
      </c>
      <c r="AD1767">
        <v>5</v>
      </c>
      <c r="AE1767">
        <v>6</v>
      </c>
      <c r="AF1767">
        <v>1</v>
      </c>
      <c r="AG1767">
        <v>3</v>
      </c>
      <c r="AI1767">
        <v>5</v>
      </c>
      <c r="AJ1767">
        <v>0</v>
      </c>
      <c r="AK1767">
        <v>0</v>
      </c>
      <c r="AL1767">
        <v>0</v>
      </c>
      <c r="AN1767">
        <v>5</v>
      </c>
      <c r="AO1767">
        <v>0</v>
      </c>
      <c r="AP1767">
        <v>2</v>
      </c>
      <c r="AQ1767">
        <v>0</v>
      </c>
      <c r="AX1767">
        <v>3</v>
      </c>
      <c r="AY1767">
        <v>17</v>
      </c>
      <c r="AZ1767">
        <v>20</v>
      </c>
      <c r="BA1767">
        <v>5</v>
      </c>
      <c r="BB1767">
        <v>6</v>
      </c>
      <c r="BC1767">
        <v>11</v>
      </c>
      <c r="BD1767">
        <v>15</v>
      </c>
      <c r="BE1767">
        <v>7</v>
      </c>
      <c r="BF1767">
        <v>22</v>
      </c>
      <c r="BG1767">
        <v>5</v>
      </c>
      <c r="BH1767">
        <v>2</v>
      </c>
      <c r="BI1767">
        <v>7</v>
      </c>
      <c r="BJ1767">
        <v>7</v>
      </c>
      <c r="BK1767">
        <v>3</v>
      </c>
      <c r="BL1767">
        <v>10</v>
      </c>
      <c r="BP1767">
        <v>10</v>
      </c>
      <c r="BR1767">
        <v>16</v>
      </c>
      <c r="BS1767">
        <v>3</v>
      </c>
      <c r="BT1767">
        <v>6</v>
      </c>
      <c r="BV1767">
        <v>0</v>
      </c>
      <c r="BW1767">
        <v>35</v>
      </c>
      <c r="BX1767" t="s">
        <v>82</v>
      </c>
      <c r="BY1767" s="5"/>
      <c r="BZ1767" s="6"/>
      <c r="CA1767" s="7">
        <v>42687</v>
      </c>
      <c r="CE1767">
        <v>13</v>
      </c>
      <c r="CF1767">
        <v>7</v>
      </c>
      <c r="CG1767">
        <v>14</v>
      </c>
      <c r="CH1767">
        <v>1</v>
      </c>
      <c r="CI1767">
        <f t="shared" si="194"/>
        <v>2016</v>
      </c>
      <c r="CJ1767" t="str">
        <f t="shared" si="195"/>
        <v>6974_2016</v>
      </c>
    </row>
    <row r="1768" spans="1:88" x14ac:dyDescent="0.25">
      <c r="A1768" t="s">
        <v>111</v>
      </c>
      <c r="B1768" t="s">
        <v>261</v>
      </c>
      <c r="C1768">
        <v>6974</v>
      </c>
      <c r="D1768">
        <v>-37.982464999999998</v>
      </c>
      <c r="E1768">
        <v>145.14622</v>
      </c>
      <c r="F1768">
        <v>5</v>
      </c>
      <c r="G1768" t="s">
        <v>660</v>
      </c>
      <c r="H1768">
        <v>7</v>
      </c>
      <c r="I1768">
        <v>187</v>
      </c>
      <c r="J1768">
        <v>87</v>
      </c>
      <c r="K1768">
        <v>267</v>
      </c>
      <c r="L1768">
        <v>122</v>
      </c>
      <c r="M1768">
        <v>302</v>
      </c>
      <c r="N1768">
        <v>191</v>
      </c>
      <c r="O1768">
        <v>11</v>
      </c>
      <c r="P1768">
        <v>308</v>
      </c>
      <c r="Q1768">
        <v>128</v>
      </c>
      <c r="T1768">
        <v>10</v>
      </c>
      <c r="U1768">
        <v>7</v>
      </c>
      <c r="V1768">
        <v>72</v>
      </c>
      <c r="W1768">
        <v>7</v>
      </c>
      <c r="Y1768">
        <v>6</v>
      </c>
      <c r="Z1768">
        <v>0</v>
      </c>
      <c r="AA1768">
        <v>22</v>
      </c>
      <c r="AB1768">
        <v>17</v>
      </c>
      <c r="AD1768">
        <v>12</v>
      </c>
      <c r="AE1768">
        <v>0</v>
      </c>
      <c r="AF1768">
        <v>6</v>
      </c>
      <c r="AG1768">
        <v>26</v>
      </c>
      <c r="AI1768">
        <v>59</v>
      </c>
      <c r="AJ1768">
        <v>0</v>
      </c>
      <c r="AK1768">
        <v>1</v>
      </c>
      <c r="AL1768">
        <v>0</v>
      </c>
      <c r="AN1768">
        <v>2</v>
      </c>
      <c r="AO1768">
        <v>5</v>
      </c>
      <c r="AP1768">
        <v>51</v>
      </c>
      <c r="AQ1768">
        <v>0</v>
      </c>
      <c r="AX1768">
        <v>96</v>
      </c>
      <c r="AY1768">
        <v>79</v>
      </c>
      <c r="AZ1768">
        <v>175</v>
      </c>
      <c r="BA1768">
        <v>45</v>
      </c>
      <c r="BB1768">
        <v>15</v>
      </c>
      <c r="BC1768">
        <v>60</v>
      </c>
      <c r="BD1768">
        <v>44</v>
      </c>
      <c r="BE1768">
        <v>59</v>
      </c>
      <c r="BF1768">
        <v>103</v>
      </c>
      <c r="BG1768">
        <v>60</v>
      </c>
      <c r="BH1768">
        <v>100</v>
      </c>
      <c r="BI1768">
        <v>160</v>
      </c>
      <c r="BJ1768">
        <v>58</v>
      </c>
      <c r="BK1768">
        <v>50</v>
      </c>
      <c r="BL1768">
        <v>108</v>
      </c>
      <c r="BP1768">
        <v>179</v>
      </c>
      <c r="BR1768">
        <v>55</v>
      </c>
      <c r="BS1768">
        <v>37</v>
      </c>
      <c r="BT1768">
        <v>19</v>
      </c>
      <c r="BV1768">
        <v>13</v>
      </c>
      <c r="BW1768">
        <v>303</v>
      </c>
      <c r="BX1768">
        <f>IF(C1768=C1767,IF((CI1768-1)=CI1767,BW1767,"no data"))</f>
        <v>35</v>
      </c>
      <c r="BY1768" s="5">
        <f t="shared" si="197"/>
        <v>7.6571428571428575</v>
      </c>
      <c r="BZ1768" s="6">
        <f t="shared" si="196"/>
        <v>7.6571428571428575</v>
      </c>
      <c r="CA1768" s="7">
        <v>43051</v>
      </c>
      <c r="CE1768">
        <v>17</v>
      </c>
      <c r="CF1768">
        <v>31</v>
      </c>
      <c r="CG1768">
        <v>152</v>
      </c>
      <c r="CH1768">
        <v>103</v>
      </c>
      <c r="CI1768">
        <f t="shared" si="194"/>
        <v>2017</v>
      </c>
      <c r="CJ1768" t="str">
        <f t="shared" si="195"/>
        <v>6974_2017</v>
      </c>
    </row>
    <row r="1769" spans="1:88" x14ac:dyDescent="0.25">
      <c r="A1769" t="s">
        <v>111</v>
      </c>
      <c r="B1769" t="s">
        <v>261</v>
      </c>
      <c r="C1769">
        <v>6974</v>
      </c>
      <c r="D1769">
        <v>-37.982464999999998</v>
      </c>
      <c r="E1769">
        <v>145.14622</v>
      </c>
      <c r="F1769">
        <v>5</v>
      </c>
      <c r="G1769" t="s">
        <v>660</v>
      </c>
      <c r="H1769">
        <v>7</v>
      </c>
      <c r="I1769">
        <v>187</v>
      </c>
      <c r="J1769">
        <v>87</v>
      </c>
      <c r="K1769">
        <v>267</v>
      </c>
      <c r="L1769">
        <v>122</v>
      </c>
      <c r="M1769">
        <v>302</v>
      </c>
      <c r="N1769">
        <v>191</v>
      </c>
      <c r="O1769">
        <v>11</v>
      </c>
      <c r="P1769">
        <v>308</v>
      </c>
      <c r="Q1769">
        <v>128</v>
      </c>
      <c r="T1769">
        <v>4</v>
      </c>
      <c r="U1769">
        <v>7</v>
      </c>
      <c r="V1769">
        <v>49</v>
      </c>
      <c r="W1769">
        <v>4</v>
      </c>
      <c r="Y1769">
        <v>14</v>
      </c>
      <c r="Z1769">
        <v>11</v>
      </c>
      <c r="AA1769">
        <v>0</v>
      </c>
      <c r="AB1769">
        <v>4</v>
      </c>
      <c r="AD1769">
        <v>3</v>
      </c>
      <c r="AE1769">
        <v>0</v>
      </c>
      <c r="AF1769">
        <v>2</v>
      </c>
      <c r="AG1769">
        <v>5</v>
      </c>
      <c r="AI1769">
        <v>23</v>
      </c>
      <c r="AJ1769">
        <v>1</v>
      </c>
      <c r="AK1769">
        <v>4</v>
      </c>
      <c r="AL1769">
        <v>6</v>
      </c>
      <c r="AN1769">
        <v>7</v>
      </c>
      <c r="AO1769">
        <v>0</v>
      </c>
      <c r="AP1769">
        <v>15</v>
      </c>
      <c r="AQ1769">
        <v>11</v>
      </c>
      <c r="AX1769">
        <v>64</v>
      </c>
      <c r="AY1769">
        <v>47</v>
      </c>
      <c r="AZ1769">
        <v>111</v>
      </c>
      <c r="BA1769">
        <v>29</v>
      </c>
      <c r="BB1769">
        <v>5</v>
      </c>
      <c r="BC1769">
        <v>34</v>
      </c>
      <c r="BD1769">
        <v>10</v>
      </c>
      <c r="BE1769">
        <v>37</v>
      </c>
      <c r="BF1769">
        <v>47</v>
      </c>
      <c r="BG1769">
        <v>34</v>
      </c>
      <c r="BH1769">
        <v>62</v>
      </c>
      <c r="BI1769">
        <v>96</v>
      </c>
      <c r="BJ1769">
        <v>33</v>
      </c>
      <c r="BK1769">
        <v>19</v>
      </c>
      <c r="BL1769">
        <v>52</v>
      </c>
      <c r="BP1769">
        <v>99</v>
      </c>
      <c r="BR1769">
        <v>61</v>
      </c>
      <c r="BS1769">
        <v>2</v>
      </c>
      <c r="BT1769">
        <v>7</v>
      </c>
      <c r="BV1769">
        <v>1</v>
      </c>
      <c r="BW1769">
        <v>170</v>
      </c>
      <c r="BX1769">
        <f>IF(C1769=C1768,IF((CI1769-1)=CI1768,BW1768,"no data"))</f>
        <v>303</v>
      </c>
      <c r="BY1769" s="5">
        <f t="shared" si="197"/>
        <v>-0.43894389438943893</v>
      </c>
      <c r="BZ1769" s="6">
        <f t="shared" si="196"/>
        <v>-0.43894389438943893</v>
      </c>
      <c r="CA1769" s="7">
        <v>43415</v>
      </c>
      <c r="CE1769">
        <v>47</v>
      </c>
      <c r="CF1769">
        <v>41</v>
      </c>
      <c r="CG1769">
        <v>32</v>
      </c>
      <c r="CH1769">
        <v>50</v>
      </c>
      <c r="CI1769">
        <f t="shared" si="194"/>
        <v>2018</v>
      </c>
      <c r="CJ1769" t="str">
        <f t="shared" si="195"/>
        <v>6974_2018</v>
      </c>
    </row>
    <row r="1770" spans="1:88" x14ac:dyDescent="0.25">
      <c r="A1770" t="s">
        <v>111</v>
      </c>
      <c r="B1770" t="s">
        <v>261</v>
      </c>
      <c r="C1770">
        <v>6974</v>
      </c>
      <c r="D1770">
        <v>-37.982500000000002</v>
      </c>
      <c r="E1770">
        <v>145.14619999999999</v>
      </c>
      <c r="F1770">
        <v>5</v>
      </c>
      <c r="G1770" t="s">
        <v>660</v>
      </c>
      <c r="H1770">
        <v>7</v>
      </c>
      <c r="I1770">
        <v>187</v>
      </c>
      <c r="J1770">
        <v>87</v>
      </c>
      <c r="K1770">
        <v>267</v>
      </c>
      <c r="L1770">
        <v>122</v>
      </c>
      <c r="M1770">
        <v>302</v>
      </c>
      <c r="N1770">
        <v>191</v>
      </c>
      <c r="O1770">
        <v>11</v>
      </c>
      <c r="P1770">
        <v>308</v>
      </c>
      <c r="Q1770">
        <v>128</v>
      </c>
      <c r="T1770">
        <v>5</v>
      </c>
      <c r="Y1770">
        <v>13</v>
      </c>
      <c r="AD1770">
        <v>1</v>
      </c>
      <c r="AX1770">
        <v>5</v>
      </c>
      <c r="AY1770">
        <v>14</v>
      </c>
      <c r="AZ1770">
        <v>19</v>
      </c>
      <c r="BA1770">
        <v>13</v>
      </c>
      <c r="BB1770">
        <v>5</v>
      </c>
      <c r="BC1770">
        <v>18</v>
      </c>
      <c r="BD1770">
        <v>1</v>
      </c>
      <c r="BE1770">
        <v>0</v>
      </c>
      <c r="BF1770">
        <v>1</v>
      </c>
      <c r="BP1770">
        <v>1</v>
      </c>
      <c r="BR1770">
        <v>17</v>
      </c>
      <c r="BS1770">
        <v>0</v>
      </c>
      <c r="BT1770">
        <v>1</v>
      </c>
      <c r="BV1770">
        <v>0</v>
      </c>
      <c r="BW1770">
        <v>19</v>
      </c>
      <c r="BX1770">
        <f>IF(C1770=C1769,IF((CI1770-1)=CI1769,BW1769,"no data"))</f>
        <v>170</v>
      </c>
      <c r="BY1770" s="5">
        <f t="shared" si="197"/>
        <v>-0.88823529411764701</v>
      </c>
      <c r="BZ1770" s="6">
        <f t="shared" si="196"/>
        <v>-0.88823529411764701</v>
      </c>
      <c r="CA1770" s="7">
        <v>43779</v>
      </c>
      <c r="CE1770">
        <v>7</v>
      </c>
      <c r="CF1770">
        <v>7</v>
      </c>
      <c r="CG1770">
        <v>3</v>
      </c>
      <c r="CH1770">
        <v>2</v>
      </c>
      <c r="CI1770">
        <f t="shared" si="194"/>
        <v>2019</v>
      </c>
      <c r="CJ1770" t="str">
        <f t="shared" si="195"/>
        <v>6974_2019</v>
      </c>
    </row>
    <row r="1771" spans="1:88" x14ac:dyDescent="0.25">
      <c r="A1771" t="s">
        <v>111</v>
      </c>
      <c r="B1771" t="s">
        <v>261</v>
      </c>
      <c r="C1771">
        <v>6974</v>
      </c>
      <c r="D1771">
        <v>-37.982500000000002</v>
      </c>
      <c r="E1771">
        <v>145.14619999999999</v>
      </c>
      <c r="F1771">
        <v>5</v>
      </c>
      <c r="G1771" t="s">
        <v>660</v>
      </c>
      <c r="H1771">
        <v>7</v>
      </c>
      <c r="I1771">
        <v>187</v>
      </c>
      <c r="J1771">
        <v>87</v>
      </c>
      <c r="K1771">
        <v>267</v>
      </c>
      <c r="L1771">
        <v>122</v>
      </c>
      <c r="M1771">
        <v>302</v>
      </c>
      <c r="N1771">
        <v>191</v>
      </c>
      <c r="O1771">
        <v>11</v>
      </c>
      <c r="P1771">
        <v>308</v>
      </c>
      <c r="Q1771">
        <v>128</v>
      </c>
      <c r="T1771">
        <v>3</v>
      </c>
      <c r="U1771">
        <v>9</v>
      </c>
      <c r="V1771">
        <v>62</v>
      </c>
      <c r="W1771">
        <v>3</v>
      </c>
      <c r="Y1771">
        <v>0</v>
      </c>
      <c r="Z1771">
        <v>20</v>
      </c>
      <c r="AA1771">
        <v>0</v>
      </c>
      <c r="AB1771">
        <v>3</v>
      </c>
      <c r="AD1771">
        <v>19</v>
      </c>
      <c r="AE1771">
        <v>11</v>
      </c>
      <c r="AF1771">
        <v>2</v>
      </c>
      <c r="AG1771">
        <v>43</v>
      </c>
      <c r="AI1771">
        <v>43</v>
      </c>
      <c r="AJ1771">
        <v>4</v>
      </c>
      <c r="AK1771">
        <v>10</v>
      </c>
      <c r="AL1771">
        <v>12</v>
      </c>
      <c r="AN1771">
        <v>10</v>
      </c>
      <c r="AO1771">
        <v>3</v>
      </c>
      <c r="AP1771">
        <v>58</v>
      </c>
      <c r="AQ1771">
        <v>12</v>
      </c>
      <c r="AX1771">
        <v>77</v>
      </c>
      <c r="AY1771">
        <v>72</v>
      </c>
      <c r="AZ1771">
        <v>149</v>
      </c>
      <c r="BA1771">
        <v>23</v>
      </c>
      <c r="BB1771">
        <v>21</v>
      </c>
      <c r="BC1771">
        <v>44</v>
      </c>
      <c r="BD1771">
        <v>75</v>
      </c>
      <c r="BE1771">
        <v>97</v>
      </c>
      <c r="BF1771">
        <v>172</v>
      </c>
      <c r="BG1771">
        <v>69</v>
      </c>
      <c r="BH1771">
        <v>76</v>
      </c>
      <c r="BI1771">
        <v>145</v>
      </c>
      <c r="BJ1771">
        <v>83</v>
      </c>
      <c r="BK1771">
        <v>61</v>
      </c>
      <c r="BL1771">
        <v>144</v>
      </c>
      <c r="BP1771">
        <v>236</v>
      </c>
      <c r="BR1771">
        <v>61</v>
      </c>
      <c r="BS1771">
        <v>16</v>
      </c>
      <c r="BT1771">
        <v>14</v>
      </c>
      <c r="BV1771">
        <v>0</v>
      </c>
      <c r="BW1771">
        <v>327</v>
      </c>
      <c r="BX1771">
        <f>IF(C1771=C1770,IF((CI1771-1)=CI1770,BW1770,"no data"))</f>
        <v>19</v>
      </c>
      <c r="BY1771" s="5">
        <f t="shared" si="197"/>
        <v>16.210526315789473</v>
      </c>
      <c r="BZ1771" s="6">
        <f t="shared" si="196"/>
        <v>16.210526315789473</v>
      </c>
      <c r="CA1771" s="7">
        <v>44143</v>
      </c>
      <c r="CE1771">
        <v>104</v>
      </c>
      <c r="CF1771">
        <v>106</v>
      </c>
      <c r="CG1771">
        <v>86</v>
      </c>
      <c r="CH1771">
        <v>31</v>
      </c>
      <c r="CI1771">
        <f t="shared" si="194"/>
        <v>2020</v>
      </c>
      <c r="CJ1771" t="str">
        <f t="shared" si="195"/>
        <v>6974_2020</v>
      </c>
    </row>
    <row r="1772" spans="1:88" x14ac:dyDescent="0.25">
      <c r="A1772" t="s">
        <v>111</v>
      </c>
      <c r="B1772" t="s">
        <v>261</v>
      </c>
      <c r="C1772">
        <v>6975</v>
      </c>
      <c r="D1772">
        <v>-37.989784</v>
      </c>
      <c r="E1772">
        <v>145.20471000000001</v>
      </c>
      <c r="F1772">
        <v>4</v>
      </c>
      <c r="G1772" t="s">
        <v>661</v>
      </c>
      <c r="H1772">
        <v>49</v>
      </c>
      <c r="I1772">
        <v>229</v>
      </c>
      <c r="J1772">
        <v>119</v>
      </c>
      <c r="K1772">
        <v>299</v>
      </c>
      <c r="L1772">
        <v>192</v>
      </c>
      <c r="M1772">
        <v>12</v>
      </c>
      <c r="N1772">
        <v>271</v>
      </c>
      <c r="O1772">
        <v>91</v>
      </c>
      <c r="T1772">
        <v>2</v>
      </c>
      <c r="U1772">
        <v>1</v>
      </c>
      <c r="V1772">
        <v>4</v>
      </c>
      <c r="Y1772">
        <v>0</v>
      </c>
      <c r="Z1772">
        <v>2</v>
      </c>
      <c r="AA1772">
        <v>15</v>
      </c>
      <c r="AD1772">
        <v>1</v>
      </c>
      <c r="AE1772">
        <v>5</v>
      </c>
      <c r="AF1772">
        <v>24</v>
      </c>
      <c r="AI1772">
        <v>6</v>
      </c>
      <c r="AJ1772">
        <v>12</v>
      </c>
      <c r="AK1772">
        <v>20</v>
      </c>
      <c r="AX1772">
        <v>7</v>
      </c>
      <c r="AY1772">
        <v>7</v>
      </c>
      <c r="AZ1772">
        <v>14</v>
      </c>
      <c r="BA1772">
        <v>17</v>
      </c>
      <c r="BB1772">
        <v>19</v>
      </c>
      <c r="BC1772">
        <v>36</v>
      </c>
      <c r="BD1772">
        <v>30</v>
      </c>
      <c r="BE1772">
        <v>23</v>
      </c>
      <c r="BF1772">
        <v>53</v>
      </c>
      <c r="BG1772">
        <v>38</v>
      </c>
      <c r="BH1772">
        <v>43</v>
      </c>
      <c r="BI1772">
        <v>81</v>
      </c>
      <c r="BP1772">
        <v>10</v>
      </c>
      <c r="BR1772">
        <v>78</v>
      </c>
      <c r="BS1772">
        <v>2</v>
      </c>
      <c r="BT1772">
        <v>2</v>
      </c>
      <c r="BV1772">
        <v>0</v>
      </c>
      <c r="BW1772">
        <v>92</v>
      </c>
      <c r="BX1772" t="s">
        <v>82</v>
      </c>
      <c r="BY1772" s="5"/>
      <c r="BZ1772" s="6"/>
      <c r="CA1772" s="7">
        <v>42715</v>
      </c>
      <c r="CE1772">
        <v>17</v>
      </c>
      <c r="CF1772">
        <v>20</v>
      </c>
      <c r="CG1772">
        <v>23</v>
      </c>
      <c r="CH1772">
        <v>32</v>
      </c>
      <c r="CI1772">
        <f t="shared" si="194"/>
        <v>2016</v>
      </c>
      <c r="CJ1772" t="str">
        <f t="shared" si="195"/>
        <v>6975_2016</v>
      </c>
    </row>
    <row r="1773" spans="1:88" x14ac:dyDescent="0.25">
      <c r="A1773" t="s">
        <v>111</v>
      </c>
      <c r="B1773" t="s">
        <v>261</v>
      </c>
      <c r="C1773">
        <v>6975</v>
      </c>
      <c r="D1773">
        <v>-37.989784</v>
      </c>
      <c r="E1773">
        <v>145.20471000000001</v>
      </c>
      <c r="F1773">
        <v>4</v>
      </c>
      <c r="G1773" t="s">
        <v>661</v>
      </c>
      <c r="H1773">
        <v>49</v>
      </c>
      <c r="I1773">
        <v>229</v>
      </c>
      <c r="J1773">
        <v>119</v>
      </c>
      <c r="K1773">
        <v>299</v>
      </c>
      <c r="L1773">
        <v>192</v>
      </c>
      <c r="M1773">
        <v>12</v>
      </c>
      <c r="N1773">
        <v>271</v>
      </c>
      <c r="O1773">
        <v>91</v>
      </c>
      <c r="T1773">
        <v>1</v>
      </c>
      <c r="U1773">
        <v>3</v>
      </c>
      <c r="V1773">
        <v>12</v>
      </c>
      <c r="Y1773">
        <v>4</v>
      </c>
      <c r="Z1773">
        <v>7</v>
      </c>
      <c r="AA1773">
        <v>14</v>
      </c>
      <c r="AD1773">
        <v>19</v>
      </c>
      <c r="AE1773">
        <v>2</v>
      </c>
      <c r="AF1773">
        <v>4</v>
      </c>
      <c r="AI1773">
        <v>11</v>
      </c>
      <c r="AJ1773">
        <v>17</v>
      </c>
      <c r="AK1773">
        <v>7</v>
      </c>
      <c r="AX1773">
        <v>16</v>
      </c>
      <c r="AY1773">
        <v>34</v>
      </c>
      <c r="AZ1773">
        <v>50</v>
      </c>
      <c r="BA1773">
        <v>25</v>
      </c>
      <c r="BB1773">
        <v>20</v>
      </c>
      <c r="BC1773">
        <v>45</v>
      </c>
      <c r="BD1773">
        <v>25</v>
      </c>
      <c r="BE1773">
        <v>17</v>
      </c>
      <c r="BF1773">
        <v>42</v>
      </c>
      <c r="BG1773">
        <v>35</v>
      </c>
      <c r="BH1773">
        <v>30</v>
      </c>
      <c r="BI1773">
        <v>65</v>
      </c>
      <c r="BP1773">
        <v>24</v>
      </c>
      <c r="BR1773">
        <v>73</v>
      </c>
      <c r="BS1773">
        <v>1</v>
      </c>
      <c r="BT1773">
        <v>0</v>
      </c>
      <c r="BV1773">
        <v>3</v>
      </c>
      <c r="BW1773">
        <v>101</v>
      </c>
      <c r="BX1773">
        <f>IF(C1773=C1772,IF((CI1773-1)=CI1772,BW1772,"no data"))</f>
        <v>92</v>
      </c>
      <c r="BY1773" s="5">
        <f t="shared" si="197"/>
        <v>9.7826086956521743E-2</v>
      </c>
      <c r="BZ1773" s="6">
        <f t="shared" si="196"/>
        <v>9.7826086956521743E-2</v>
      </c>
      <c r="CA1773" s="7">
        <v>43051</v>
      </c>
      <c r="CE1773">
        <v>27</v>
      </c>
      <c r="CF1773">
        <v>16</v>
      </c>
      <c r="CG1773">
        <v>26</v>
      </c>
      <c r="CH1773">
        <v>32</v>
      </c>
      <c r="CI1773">
        <f t="shared" si="194"/>
        <v>2017</v>
      </c>
      <c r="CJ1773" t="str">
        <f t="shared" si="195"/>
        <v>6975_2017</v>
      </c>
    </row>
    <row r="1774" spans="1:88" x14ac:dyDescent="0.25">
      <c r="A1774" t="s">
        <v>111</v>
      </c>
      <c r="B1774" t="s">
        <v>261</v>
      </c>
      <c r="C1774">
        <v>6975</v>
      </c>
      <c r="D1774">
        <v>-37.989784</v>
      </c>
      <c r="E1774">
        <v>145.20471000000001</v>
      </c>
      <c r="F1774">
        <v>4</v>
      </c>
      <c r="G1774" t="s">
        <v>661</v>
      </c>
      <c r="H1774">
        <v>49</v>
      </c>
      <c r="I1774">
        <v>229</v>
      </c>
      <c r="J1774">
        <v>119</v>
      </c>
      <c r="K1774">
        <v>299</v>
      </c>
      <c r="L1774">
        <v>192</v>
      </c>
      <c r="M1774">
        <v>12</v>
      </c>
      <c r="N1774">
        <v>271</v>
      </c>
      <c r="O1774">
        <v>91</v>
      </c>
      <c r="T1774">
        <v>0</v>
      </c>
      <c r="U1774">
        <v>5</v>
      </c>
      <c r="V1774">
        <v>12</v>
      </c>
      <c r="Y1774">
        <v>5</v>
      </c>
      <c r="Z1774">
        <v>5</v>
      </c>
      <c r="AA1774">
        <v>10</v>
      </c>
      <c r="AD1774">
        <v>19</v>
      </c>
      <c r="AE1774">
        <v>11</v>
      </c>
      <c r="AF1774">
        <v>32</v>
      </c>
      <c r="AI1774">
        <v>25</v>
      </c>
      <c r="AJ1774">
        <v>20</v>
      </c>
      <c r="AK1774">
        <v>20</v>
      </c>
      <c r="AX1774">
        <v>17</v>
      </c>
      <c r="AY1774">
        <v>49</v>
      </c>
      <c r="AZ1774">
        <v>66</v>
      </c>
      <c r="BA1774">
        <v>20</v>
      </c>
      <c r="BB1774">
        <v>31</v>
      </c>
      <c r="BC1774">
        <v>51</v>
      </c>
      <c r="BD1774">
        <v>62</v>
      </c>
      <c r="BE1774">
        <v>30</v>
      </c>
      <c r="BF1774">
        <v>92</v>
      </c>
      <c r="BG1774">
        <v>65</v>
      </c>
      <c r="BH1774">
        <v>54</v>
      </c>
      <c r="BI1774">
        <v>119</v>
      </c>
      <c r="BP1774">
        <v>12</v>
      </c>
      <c r="BR1774">
        <v>106</v>
      </c>
      <c r="BS1774">
        <v>33</v>
      </c>
      <c r="BT1774">
        <v>2</v>
      </c>
      <c r="BV1774">
        <v>11</v>
      </c>
      <c r="BW1774">
        <v>164</v>
      </c>
      <c r="BX1774">
        <f>IF(C1774=C1773,IF((CI1774-1)=CI1773,BW1773,"no data"))</f>
        <v>101</v>
      </c>
      <c r="BY1774" s="5">
        <f t="shared" si="197"/>
        <v>0.62376237623762376</v>
      </c>
      <c r="BZ1774" s="6">
        <f t="shared" si="196"/>
        <v>0.62376237623762376</v>
      </c>
      <c r="CA1774" s="7">
        <v>43415</v>
      </c>
      <c r="CE1774">
        <v>37</v>
      </c>
      <c r="CF1774">
        <v>40</v>
      </c>
      <c r="CG1774">
        <v>53</v>
      </c>
      <c r="CH1774">
        <v>34</v>
      </c>
      <c r="CI1774">
        <f t="shared" si="194"/>
        <v>2018</v>
      </c>
      <c r="CJ1774" t="str">
        <f t="shared" si="195"/>
        <v>6975_2018</v>
      </c>
    </row>
    <row r="1775" spans="1:88" x14ac:dyDescent="0.25">
      <c r="A1775" t="s">
        <v>111</v>
      </c>
      <c r="B1775" t="s">
        <v>261</v>
      </c>
      <c r="C1775">
        <v>6975</v>
      </c>
      <c r="D1775">
        <v>-37.989800000000002</v>
      </c>
      <c r="E1775">
        <v>145.2047</v>
      </c>
      <c r="F1775">
        <v>4</v>
      </c>
      <c r="G1775" t="s">
        <v>661</v>
      </c>
      <c r="H1775">
        <v>49</v>
      </c>
      <c r="I1775">
        <v>229</v>
      </c>
      <c r="J1775">
        <v>119</v>
      </c>
      <c r="K1775">
        <v>299</v>
      </c>
      <c r="L1775">
        <v>192</v>
      </c>
      <c r="M1775">
        <v>12</v>
      </c>
      <c r="N1775">
        <v>271</v>
      </c>
      <c r="O1775">
        <v>91</v>
      </c>
      <c r="AF1775">
        <v>18</v>
      </c>
      <c r="AK1775">
        <v>6</v>
      </c>
      <c r="BD1775">
        <v>18</v>
      </c>
      <c r="BE1775">
        <v>6</v>
      </c>
      <c r="BF1775">
        <v>24</v>
      </c>
      <c r="BG1775">
        <v>6</v>
      </c>
      <c r="BH1775">
        <v>18</v>
      </c>
      <c r="BI1775">
        <v>24</v>
      </c>
      <c r="BP1775">
        <v>2</v>
      </c>
      <c r="BR1775">
        <v>15</v>
      </c>
      <c r="BS1775">
        <v>0</v>
      </c>
      <c r="BT1775">
        <v>7</v>
      </c>
      <c r="BV1775">
        <v>0</v>
      </c>
      <c r="BW1775">
        <v>24</v>
      </c>
      <c r="BX1775">
        <f>IF(C1775=C1774,IF((CI1775-1)=CI1774,BW1774,"no data"))</f>
        <v>164</v>
      </c>
      <c r="BY1775" s="5">
        <f t="shared" si="197"/>
        <v>-0.85365853658536583</v>
      </c>
      <c r="BZ1775" s="6">
        <f t="shared" si="196"/>
        <v>-0.85365853658536583</v>
      </c>
      <c r="CA1775" s="7">
        <v>43779</v>
      </c>
      <c r="CE1775">
        <v>4</v>
      </c>
      <c r="CF1775">
        <v>6</v>
      </c>
      <c r="CG1775">
        <v>2</v>
      </c>
      <c r="CH1775">
        <v>12</v>
      </c>
      <c r="CI1775">
        <f t="shared" si="194"/>
        <v>2019</v>
      </c>
      <c r="CJ1775" t="str">
        <f t="shared" si="195"/>
        <v>6975_2019</v>
      </c>
    </row>
    <row r="1776" spans="1:88" x14ac:dyDescent="0.25">
      <c r="A1776" t="s">
        <v>111</v>
      </c>
      <c r="B1776" t="s">
        <v>261</v>
      </c>
      <c r="C1776">
        <v>6975</v>
      </c>
      <c r="D1776">
        <v>-37.989800000000002</v>
      </c>
      <c r="E1776">
        <v>145.2047</v>
      </c>
      <c r="F1776">
        <v>4</v>
      </c>
      <c r="G1776" t="s">
        <v>661</v>
      </c>
      <c r="H1776">
        <v>49</v>
      </c>
      <c r="I1776">
        <v>229</v>
      </c>
      <c r="J1776">
        <v>119</v>
      </c>
      <c r="K1776">
        <v>299</v>
      </c>
      <c r="L1776">
        <v>192</v>
      </c>
      <c r="M1776">
        <v>12</v>
      </c>
      <c r="N1776">
        <v>271</v>
      </c>
      <c r="O1776">
        <v>91</v>
      </c>
      <c r="T1776">
        <v>3</v>
      </c>
      <c r="U1776">
        <v>6</v>
      </c>
      <c r="V1776">
        <v>8</v>
      </c>
      <c r="Y1776">
        <v>5</v>
      </c>
      <c r="Z1776">
        <v>7</v>
      </c>
      <c r="AA1776">
        <v>8</v>
      </c>
      <c r="AD1776">
        <v>10</v>
      </c>
      <c r="AE1776">
        <v>5</v>
      </c>
      <c r="AF1776">
        <v>12</v>
      </c>
      <c r="AI1776">
        <v>19</v>
      </c>
      <c r="AJ1776">
        <v>19</v>
      </c>
      <c r="AK1776">
        <v>6</v>
      </c>
      <c r="AX1776">
        <v>17</v>
      </c>
      <c r="AY1776">
        <v>34</v>
      </c>
      <c r="AZ1776">
        <v>51</v>
      </c>
      <c r="BA1776">
        <v>20</v>
      </c>
      <c r="BB1776">
        <v>27</v>
      </c>
      <c r="BC1776">
        <v>47</v>
      </c>
      <c r="BD1776">
        <v>27</v>
      </c>
      <c r="BE1776">
        <v>19</v>
      </c>
      <c r="BF1776">
        <v>46</v>
      </c>
      <c r="BG1776">
        <v>44</v>
      </c>
      <c r="BH1776">
        <v>28</v>
      </c>
      <c r="BI1776">
        <v>72</v>
      </c>
      <c r="BP1776">
        <v>20</v>
      </c>
      <c r="BR1776">
        <v>82</v>
      </c>
      <c r="BS1776">
        <v>1</v>
      </c>
      <c r="BT1776">
        <v>4</v>
      </c>
      <c r="BV1776">
        <v>1</v>
      </c>
      <c r="BW1776">
        <v>108</v>
      </c>
      <c r="BX1776">
        <f>IF(C1776=C1775,IF((CI1776-1)=CI1775,BW1775,"no data"))</f>
        <v>24</v>
      </c>
      <c r="BY1776" s="5">
        <f t="shared" si="197"/>
        <v>3.5</v>
      </c>
      <c r="BZ1776" s="6">
        <f t="shared" si="196"/>
        <v>3.5</v>
      </c>
      <c r="CA1776" s="7">
        <v>44143</v>
      </c>
      <c r="CE1776">
        <v>34</v>
      </c>
      <c r="CF1776">
        <v>20</v>
      </c>
      <c r="CG1776">
        <v>28</v>
      </c>
      <c r="CH1776">
        <v>26</v>
      </c>
      <c r="CI1776">
        <f t="shared" si="194"/>
        <v>2020</v>
      </c>
      <c r="CJ1776" t="str">
        <f t="shared" si="195"/>
        <v>6975_2020</v>
      </c>
    </row>
    <row r="1777" spans="1:88" x14ac:dyDescent="0.25">
      <c r="A1777" t="s">
        <v>111</v>
      </c>
      <c r="B1777" t="s">
        <v>261</v>
      </c>
      <c r="C1777">
        <v>6976</v>
      </c>
      <c r="D1777">
        <v>-37.981679</v>
      </c>
      <c r="E1777">
        <v>145.20795000000001</v>
      </c>
      <c r="F1777">
        <v>4</v>
      </c>
      <c r="G1777" t="s">
        <v>662</v>
      </c>
      <c r="H1777">
        <v>60</v>
      </c>
      <c r="I1777">
        <v>240</v>
      </c>
      <c r="J1777">
        <v>188</v>
      </c>
      <c r="K1777">
        <v>8</v>
      </c>
      <c r="L1777">
        <v>286</v>
      </c>
      <c r="M1777">
        <v>106</v>
      </c>
      <c r="N1777">
        <v>347</v>
      </c>
      <c r="O1777">
        <v>167</v>
      </c>
      <c r="T1777">
        <v>1</v>
      </c>
      <c r="U1777">
        <v>1</v>
      </c>
      <c r="V1777">
        <v>4</v>
      </c>
      <c r="Y1777">
        <v>4</v>
      </c>
      <c r="Z1777">
        <v>7</v>
      </c>
      <c r="AA1777">
        <v>15</v>
      </c>
      <c r="AD1777">
        <v>2</v>
      </c>
      <c r="AE1777">
        <v>4</v>
      </c>
      <c r="AF1777">
        <v>2</v>
      </c>
      <c r="AI1777">
        <v>7</v>
      </c>
      <c r="AJ1777">
        <v>12</v>
      </c>
      <c r="AK1777">
        <v>3</v>
      </c>
      <c r="AX1777">
        <v>6</v>
      </c>
      <c r="AY1777">
        <v>13</v>
      </c>
      <c r="AZ1777">
        <v>19</v>
      </c>
      <c r="BA1777">
        <v>26</v>
      </c>
      <c r="BB1777">
        <v>17</v>
      </c>
      <c r="BC1777">
        <v>43</v>
      </c>
      <c r="BD1777">
        <v>8</v>
      </c>
      <c r="BE1777">
        <v>11</v>
      </c>
      <c r="BF1777">
        <v>19</v>
      </c>
      <c r="BG1777">
        <v>22</v>
      </c>
      <c r="BH1777">
        <v>21</v>
      </c>
      <c r="BI1777">
        <v>43</v>
      </c>
      <c r="BP1777">
        <v>3</v>
      </c>
      <c r="BR1777">
        <v>54</v>
      </c>
      <c r="BS1777">
        <v>3</v>
      </c>
      <c r="BT1777">
        <v>1</v>
      </c>
      <c r="BV1777">
        <v>1</v>
      </c>
      <c r="BW1777">
        <v>62</v>
      </c>
      <c r="BX1777" t="s">
        <v>82</v>
      </c>
      <c r="BY1777" s="5"/>
      <c r="BZ1777" s="6"/>
      <c r="CA1777" s="7">
        <v>42687</v>
      </c>
      <c r="CE1777">
        <v>14</v>
      </c>
      <c r="CF1777">
        <v>8</v>
      </c>
      <c r="CG1777">
        <v>18</v>
      </c>
      <c r="CH1777">
        <v>22</v>
      </c>
      <c r="CI1777">
        <f t="shared" si="194"/>
        <v>2016</v>
      </c>
      <c r="CJ1777" t="str">
        <f t="shared" si="195"/>
        <v>6976_2016</v>
      </c>
    </row>
    <row r="1778" spans="1:88" x14ac:dyDescent="0.25">
      <c r="A1778" t="s">
        <v>111</v>
      </c>
      <c r="B1778" t="s">
        <v>261</v>
      </c>
      <c r="C1778">
        <v>6976</v>
      </c>
      <c r="D1778">
        <v>-37.981679</v>
      </c>
      <c r="E1778">
        <v>145.20795000000001</v>
      </c>
      <c r="F1778">
        <v>4</v>
      </c>
      <c r="G1778" t="s">
        <v>662</v>
      </c>
      <c r="H1778">
        <v>60</v>
      </c>
      <c r="I1778">
        <v>240</v>
      </c>
      <c r="J1778">
        <v>188</v>
      </c>
      <c r="K1778">
        <v>8</v>
      </c>
      <c r="L1778">
        <v>286</v>
      </c>
      <c r="M1778">
        <v>106</v>
      </c>
      <c r="N1778">
        <v>347</v>
      </c>
      <c r="O1778">
        <v>167</v>
      </c>
      <c r="T1778">
        <v>8</v>
      </c>
      <c r="U1778">
        <v>2</v>
      </c>
      <c r="V1778">
        <v>2</v>
      </c>
      <c r="Y1778">
        <v>3</v>
      </c>
      <c r="Z1778">
        <v>3</v>
      </c>
      <c r="AA1778">
        <v>2</v>
      </c>
      <c r="AD1778">
        <v>5</v>
      </c>
      <c r="AE1778">
        <v>13</v>
      </c>
      <c r="AF1778">
        <v>3</v>
      </c>
      <c r="AI1778">
        <v>4</v>
      </c>
      <c r="AJ1778">
        <v>8</v>
      </c>
      <c r="AK1778">
        <v>3</v>
      </c>
      <c r="AX1778">
        <v>12</v>
      </c>
      <c r="AY1778">
        <v>12</v>
      </c>
      <c r="AZ1778">
        <v>24</v>
      </c>
      <c r="BA1778">
        <v>8</v>
      </c>
      <c r="BB1778">
        <v>29</v>
      </c>
      <c r="BC1778">
        <v>37</v>
      </c>
      <c r="BD1778">
        <v>21</v>
      </c>
      <c r="BE1778">
        <v>8</v>
      </c>
      <c r="BF1778">
        <v>29</v>
      </c>
      <c r="BG1778">
        <v>15</v>
      </c>
      <c r="BH1778">
        <v>7</v>
      </c>
      <c r="BI1778">
        <v>22</v>
      </c>
      <c r="BP1778">
        <v>3</v>
      </c>
      <c r="BR1778">
        <v>49</v>
      </c>
      <c r="BS1778">
        <v>0</v>
      </c>
      <c r="BT1778">
        <v>4</v>
      </c>
      <c r="BV1778">
        <v>0</v>
      </c>
      <c r="BW1778">
        <v>56</v>
      </c>
      <c r="BX1778">
        <f>IF(C1778=C1777,IF((CI1778-1)=CI1777,BW1777,"no data"))</f>
        <v>62</v>
      </c>
      <c r="BY1778" s="5">
        <f t="shared" si="197"/>
        <v>-9.6774193548387094E-2</v>
      </c>
      <c r="BZ1778" s="6">
        <f t="shared" si="196"/>
        <v>-9.6774193548387094E-2</v>
      </c>
      <c r="CA1778" s="7">
        <v>43051</v>
      </c>
      <c r="CE1778">
        <v>13</v>
      </c>
      <c r="CF1778">
        <v>17</v>
      </c>
      <c r="CG1778">
        <v>17</v>
      </c>
      <c r="CH1778">
        <v>9</v>
      </c>
      <c r="CI1778">
        <f t="shared" si="194"/>
        <v>2017</v>
      </c>
      <c r="CJ1778" t="str">
        <f t="shared" si="195"/>
        <v>6976_2017</v>
      </c>
    </row>
    <row r="1779" spans="1:88" x14ac:dyDescent="0.25">
      <c r="A1779" t="s">
        <v>111</v>
      </c>
      <c r="B1779" t="s">
        <v>261</v>
      </c>
      <c r="C1779">
        <v>6976</v>
      </c>
      <c r="D1779">
        <v>-37.981679</v>
      </c>
      <c r="E1779">
        <v>145.20795000000001</v>
      </c>
      <c r="F1779">
        <v>4</v>
      </c>
      <c r="G1779" t="s">
        <v>662</v>
      </c>
      <c r="H1779">
        <v>60</v>
      </c>
      <c r="I1779">
        <v>240</v>
      </c>
      <c r="J1779">
        <v>188</v>
      </c>
      <c r="K1779">
        <v>8</v>
      </c>
      <c r="L1779">
        <v>286</v>
      </c>
      <c r="M1779">
        <v>106</v>
      </c>
      <c r="N1779">
        <v>347</v>
      </c>
      <c r="O1779">
        <v>167</v>
      </c>
      <c r="T1779">
        <v>7</v>
      </c>
      <c r="U1779">
        <v>12</v>
      </c>
      <c r="V1779">
        <v>1</v>
      </c>
      <c r="Y1779">
        <v>0</v>
      </c>
      <c r="Z1779">
        <v>12</v>
      </c>
      <c r="AA1779">
        <v>3</v>
      </c>
      <c r="AD1779">
        <v>11</v>
      </c>
      <c r="AE1779">
        <v>10</v>
      </c>
      <c r="AF1779">
        <v>1</v>
      </c>
      <c r="AI1779">
        <v>1</v>
      </c>
      <c r="AJ1779">
        <v>28</v>
      </c>
      <c r="AK1779">
        <v>8</v>
      </c>
      <c r="AX1779">
        <v>20</v>
      </c>
      <c r="AY1779">
        <v>12</v>
      </c>
      <c r="AZ1779">
        <v>32</v>
      </c>
      <c r="BA1779">
        <v>15</v>
      </c>
      <c r="BB1779">
        <v>45</v>
      </c>
      <c r="BC1779">
        <v>60</v>
      </c>
      <c r="BD1779">
        <v>22</v>
      </c>
      <c r="BE1779">
        <v>32</v>
      </c>
      <c r="BF1779">
        <v>54</v>
      </c>
      <c r="BG1779">
        <v>37</v>
      </c>
      <c r="BH1779">
        <v>5</v>
      </c>
      <c r="BI1779">
        <v>42</v>
      </c>
      <c r="BP1779">
        <v>34</v>
      </c>
      <c r="BR1779">
        <v>54</v>
      </c>
      <c r="BS1779">
        <v>2</v>
      </c>
      <c r="BT1779">
        <v>2</v>
      </c>
      <c r="BV1779">
        <v>2</v>
      </c>
      <c r="BW1779">
        <v>94</v>
      </c>
      <c r="BX1779">
        <f>IF(C1779=C1778,IF((CI1779-1)=CI1778,BW1778,"no data"))</f>
        <v>56</v>
      </c>
      <c r="BY1779" s="5">
        <f t="shared" si="197"/>
        <v>0.6785714285714286</v>
      </c>
      <c r="BZ1779" s="6">
        <f t="shared" si="196"/>
        <v>0.6785714285714286</v>
      </c>
      <c r="CA1779" s="7">
        <v>43415</v>
      </c>
      <c r="CE1779">
        <v>27</v>
      </c>
      <c r="CF1779">
        <v>22</v>
      </c>
      <c r="CG1779">
        <v>9</v>
      </c>
      <c r="CH1779">
        <v>36</v>
      </c>
      <c r="CI1779">
        <f t="shared" si="194"/>
        <v>2018</v>
      </c>
      <c r="CJ1779" t="str">
        <f t="shared" si="195"/>
        <v>6976_2018</v>
      </c>
    </row>
    <row r="1780" spans="1:88" x14ac:dyDescent="0.25">
      <c r="A1780" t="s">
        <v>111</v>
      </c>
      <c r="B1780" t="s">
        <v>261</v>
      </c>
      <c r="C1780">
        <v>6976</v>
      </c>
      <c r="D1780">
        <v>-37.981699999999996</v>
      </c>
      <c r="E1780">
        <v>145.208</v>
      </c>
      <c r="F1780">
        <v>4</v>
      </c>
      <c r="G1780" t="s">
        <v>662</v>
      </c>
      <c r="H1780">
        <v>60</v>
      </c>
      <c r="I1780">
        <v>240</v>
      </c>
      <c r="J1780">
        <v>188</v>
      </c>
      <c r="K1780">
        <v>8</v>
      </c>
      <c r="L1780">
        <v>286</v>
      </c>
      <c r="M1780">
        <v>106</v>
      </c>
      <c r="N1780">
        <v>347</v>
      </c>
      <c r="O1780">
        <v>167</v>
      </c>
      <c r="T1780">
        <v>6</v>
      </c>
      <c r="U1780">
        <v>0</v>
      </c>
      <c r="V1780">
        <v>3</v>
      </c>
      <c r="Y1780">
        <v>9</v>
      </c>
      <c r="Z1780">
        <v>1</v>
      </c>
      <c r="AA1780">
        <v>5</v>
      </c>
      <c r="AD1780">
        <v>15</v>
      </c>
      <c r="AE1780">
        <v>5</v>
      </c>
      <c r="AF1780">
        <v>0</v>
      </c>
      <c r="AI1780">
        <v>9</v>
      </c>
      <c r="AJ1780">
        <v>5</v>
      </c>
      <c r="AK1780">
        <v>0</v>
      </c>
      <c r="AX1780">
        <v>9</v>
      </c>
      <c r="AY1780">
        <v>33</v>
      </c>
      <c r="AZ1780">
        <v>42</v>
      </c>
      <c r="BA1780">
        <v>15</v>
      </c>
      <c r="BB1780">
        <v>16</v>
      </c>
      <c r="BC1780">
        <v>31</v>
      </c>
      <c r="BD1780">
        <v>20</v>
      </c>
      <c r="BE1780">
        <v>1</v>
      </c>
      <c r="BF1780">
        <v>21</v>
      </c>
      <c r="BG1780">
        <v>14</v>
      </c>
      <c r="BH1780">
        <v>8</v>
      </c>
      <c r="BI1780">
        <v>22</v>
      </c>
      <c r="BP1780">
        <v>2</v>
      </c>
      <c r="BR1780">
        <v>54</v>
      </c>
      <c r="BS1780">
        <v>0</v>
      </c>
      <c r="BT1780">
        <v>2</v>
      </c>
      <c r="BV1780">
        <v>0</v>
      </c>
      <c r="BW1780">
        <v>58</v>
      </c>
      <c r="BX1780">
        <f>IF(C1780=C1779,IF((CI1780-1)=CI1779,BW1779,"no data"))</f>
        <v>94</v>
      </c>
      <c r="BY1780" s="5">
        <f t="shared" si="197"/>
        <v>-0.38297872340425532</v>
      </c>
      <c r="BZ1780" s="6">
        <f t="shared" si="196"/>
        <v>-0.38297872340425532</v>
      </c>
      <c r="CA1780" s="7">
        <v>43779</v>
      </c>
      <c r="CE1780">
        <v>12</v>
      </c>
      <c r="CF1780">
        <v>19</v>
      </c>
      <c r="CG1780">
        <v>18</v>
      </c>
      <c r="CH1780">
        <v>9</v>
      </c>
      <c r="CI1780">
        <f t="shared" si="194"/>
        <v>2019</v>
      </c>
      <c r="CJ1780" t="str">
        <f t="shared" si="195"/>
        <v>6976_2019</v>
      </c>
    </row>
    <row r="1781" spans="1:88" x14ac:dyDescent="0.25">
      <c r="A1781" t="s">
        <v>111</v>
      </c>
      <c r="B1781" t="s">
        <v>261</v>
      </c>
      <c r="C1781">
        <v>6977</v>
      </c>
      <c r="D1781">
        <v>-37.949328000000001</v>
      </c>
      <c r="E1781">
        <v>145.15273999999999</v>
      </c>
      <c r="F1781">
        <v>4</v>
      </c>
      <c r="G1781" t="s">
        <v>663</v>
      </c>
      <c r="H1781">
        <v>4</v>
      </c>
      <c r="I1781">
        <v>184</v>
      </c>
      <c r="J1781">
        <v>132</v>
      </c>
      <c r="K1781">
        <v>312</v>
      </c>
      <c r="L1781">
        <v>186</v>
      </c>
      <c r="M1781">
        <v>6</v>
      </c>
      <c r="N1781">
        <v>314</v>
      </c>
      <c r="O1781">
        <v>134</v>
      </c>
      <c r="T1781">
        <v>113</v>
      </c>
      <c r="U1781">
        <v>688</v>
      </c>
      <c r="V1781">
        <v>26</v>
      </c>
      <c r="Y1781">
        <v>192</v>
      </c>
      <c r="Z1781">
        <v>54</v>
      </c>
      <c r="AA1781">
        <v>8</v>
      </c>
      <c r="AD1781">
        <v>642</v>
      </c>
      <c r="AE1781">
        <v>38</v>
      </c>
      <c r="AF1781">
        <v>62</v>
      </c>
      <c r="AI1781">
        <v>33</v>
      </c>
      <c r="AJ1781">
        <v>11</v>
      </c>
      <c r="AK1781">
        <v>42</v>
      </c>
      <c r="AX1781">
        <v>827</v>
      </c>
      <c r="AY1781">
        <v>867</v>
      </c>
      <c r="AZ1781">
        <v>1694</v>
      </c>
      <c r="BA1781">
        <v>254</v>
      </c>
      <c r="BB1781">
        <v>162</v>
      </c>
      <c r="BC1781">
        <v>416</v>
      </c>
      <c r="BD1781">
        <v>742</v>
      </c>
      <c r="BE1781">
        <v>784</v>
      </c>
      <c r="BF1781">
        <v>1526</v>
      </c>
      <c r="BG1781">
        <v>86</v>
      </c>
      <c r="BH1781">
        <v>96</v>
      </c>
      <c r="BI1781">
        <v>182</v>
      </c>
      <c r="BP1781">
        <v>38</v>
      </c>
      <c r="BR1781">
        <v>1865</v>
      </c>
      <c r="BS1781">
        <v>1</v>
      </c>
      <c r="BT1781">
        <v>4</v>
      </c>
      <c r="BV1781">
        <v>1</v>
      </c>
      <c r="BW1781">
        <v>1909</v>
      </c>
      <c r="BX1781" t="s">
        <v>82</v>
      </c>
      <c r="BY1781" s="5"/>
      <c r="BZ1781" s="6"/>
      <c r="CA1781" s="7">
        <v>42687</v>
      </c>
      <c r="CE1781">
        <v>258</v>
      </c>
      <c r="CF1781">
        <v>504</v>
      </c>
      <c r="CG1781">
        <v>565</v>
      </c>
      <c r="CH1781">
        <v>582</v>
      </c>
      <c r="CI1781">
        <f t="shared" si="194"/>
        <v>2016</v>
      </c>
      <c r="CJ1781" t="str">
        <f t="shared" si="195"/>
        <v>6977_2016</v>
      </c>
    </row>
    <row r="1782" spans="1:88" x14ac:dyDescent="0.25">
      <c r="A1782" t="s">
        <v>111</v>
      </c>
      <c r="B1782" t="s">
        <v>261</v>
      </c>
      <c r="C1782">
        <v>6977</v>
      </c>
      <c r="D1782">
        <v>-37.949328000000001</v>
      </c>
      <c r="E1782">
        <v>145.15273999999999</v>
      </c>
      <c r="F1782">
        <v>4</v>
      </c>
      <c r="G1782" t="s">
        <v>663</v>
      </c>
      <c r="H1782">
        <v>4</v>
      </c>
      <c r="I1782">
        <v>184</v>
      </c>
      <c r="J1782">
        <v>132</v>
      </c>
      <c r="K1782">
        <v>312</v>
      </c>
      <c r="L1782">
        <v>186</v>
      </c>
      <c r="M1782">
        <v>6</v>
      </c>
      <c r="N1782">
        <v>314</v>
      </c>
      <c r="O1782">
        <v>134</v>
      </c>
      <c r="T1782">
        <v>12</v>
      </c>
      <c r="U1782">
        <v>404</v>
      </c>
      <c r="V1782">
        <v>35</v>
      </c>
      <c r="Y1782">
        <v>118</v>
      </c>
      <c r="Z1782">
        <v>33</v>
      </c>
      <c r="AA1782">
        <v>0</v>
      </c>
      <c r="AD1782">
        <v>390</v>
      </c>
      <c r="AE1782">
        <v>15</v>
      </c>
      <c r="AF1782">
        <v>10</v>
      </c>
      <c r="AI1782">
        <v>32</v>
      </c>
      <c r="AJ1782">
        <v>1</v>
      </c>
      <c r="AK1782">
        <v>54</v>
      </c>
      <c r="AX1782">
        <v>451</v>
      </c>
      <c r="AY1782">
        <v>540</v>
      </c>
      <c r="AZ1782">
        <v>991</v>
      </c>
      <c r="BA1782">
        <v>151</v>
      </c>
      <c r="BB1782">
        <v>28</v>
      </c>
      <c r="BC1782">
        <v>179</v>
      </c>
      <c r="BD1782">
        <v>415</v>
      </c>
      <c r="BE1782">
        <v>491</v>
      </c>
      <c r="BF1782">
        <v>906</v>
      </c>
      <c r="BG1782">
        <v>87</v>
      </c>
      <c r="BH1782">
        <v>45</v>
      </c>
      <c r="BI1782">
        <v>132</v>
      </c>
      <c r="BP1782">
        <v>40</v>
      </c>
      <c r="BR1782">
        <v>1063</v>
      </c>
      <c r="BS1782">
        <v>1</v>
      </c>
      <c r="BT1782">
        <v>0</v>
      </c>
      <c r="BV1782">
        <v>0</v>
      </c>
      <c r="BW1782">
        <v>1104</v>
      </c>
      <c r="BX1782">
        <f>IF(C1782=C1781,IF((CI1782-1)=CI1781,BW1781,"no data"))</f>
        <v>1909</v>
      </c>
      <c r="BY1782" s="5">
        <f t="shared" si="197"/>
        <v>-0.42168674698795183</v>
      </c>
      <c r="BZ1782" s="6">
        <f t="shared" si="196"/>
        <v>-0.42168674698795183</v>
      </c>
      <c r="CA1782" s="7">
        <v>43051</v>
      </c>
      <c r="CE1782">
        <v>271</v>
      </c>
      <c r="CF1782">
        <v>307</v>
      </c>
      <c r="CG1782">
        <v>203</v>
      </c>
      <c r="CH1782">
        <v>323</v>
      </c>
      <c r="CI1782">
        <f t="shared" si="194"/>
        <v>2017</v>
      </c>
      <c r="CJ1782" t="str">
        <f t="shared" si="195"/>
        <v>6977_2017</v>
      </c>
    </row>
    <row r="1783" spans="1:88" x14ac:dyDescent="0.25">
      <c r="A1783" t="s">
        <v>111</v>
      </c>
      <c r="B1783" t="s">
        <v>261</v>
      </c>
      <c r="C1783">
        <v>6977</v>
      </c>
      <c r="D1783">
        <v>-37.949300000000001</v>
      </c>
      <c r="E1783">
        <v>145.15270000000001</v>
      </c>
      <c r="F1783">
        <v>4</v>
      </c>
      <c r="G1783" t="s">
        <v>663</v>
      </c>
      <c r="H1783">
        <v>4</v>
      </c>
      <c r="I1783">
        <v>184</v>
      </c>
      <c r="J1783">
        <v>132</v>
      </c>
      <c r="K1783">
        <v>312</v>
      </c>
      <c r="L1783">
        <v>186</v>
      </c>
      <c r="M1783">
        <v>6</v>
      </c>
      <c r="N1783">
        <v>314</v>
      </c>
      <c r="O1783">
        <v>134</v>
      </c>
      <c r="T1783">
        <v>5</v>
      </c>
      <c r="U1783">
        <v>595</v>
      </c>
      <c r="V1783">
        <v>33</v>
      </c>
      <c r="Y1783">
        <v>120</v>
      </c>
      <c r="Z1783">
        <v>30</v>
      </c>
      <c r="AA1783">
        <v>35</v>
      </c>
      <c r="AD1783">
        <v>600</v>
      </c>
      <c r="AE1783">
        <v>12</v>
      </c>
      <c r="AF1783">
        <v>8</v>
      </c>
      <c r="AI1783">
        <v>19</v>
      </c>
      <c r="AJ1783">
        <v>48</v>
      </c>
      <c r="AK1783">
        <v>36</v>
      </c>
      <c r="AX1783">
        <v>633</v>
      </c>
      <c r="AY1783">
        <v>739</v>
      </c>
      <c r="AZ1783">
        <v>1372</v>
      </c>
      <c r="BA1783">
        <v>185</v>
      </c>
      <c r="BB1783">
        <v>65</v>
      </c>
      <c r="BC1783">
        <v>250</v>
      </c>
      <c r="BD1783">
        <v>620</v>
      </c>
      <c r="BE1783">
        <v>661</v>
      </c>
      <c r="BF1783">
        <v>1281</v>
      </c>
      <c r="BG1783">
        <v>103</v>
      </c>
      <c r="BH1783">
        <v>76</v>
      </c>
      <c r="BI1783">
        <v>179</v>
      </c>
      <c r="BP1783">
        <v>111</v>
      </c>
      <c r="BR1783">
        <v>1409</v>
      </c>
      <c r="BS1783">
        <v>5</v>
      </c>
      <c r="BT1783">
        <v>4</v>
      </c>
      <c r="BV1783">
        <v>12</v>
      </c>
      <c r="BW1783">
        <v>1541</v>
      </c>
      <c r="BX1783" t="str">
        <f>IF(C1783=C1782,IF((CI1783-1)=CI1782,BW1782,"no data"))</f>
        <v>no data</v>
      </c>
      <c r="BY1783" s="5"/>
      <c r="BZ1783" s="6"/>
      <c r="CA1783" s="7">
        <v>43779</v>
      </c>
      <c r="CE1783">
        <v>270</v>
      </c>
      <c r="CF1783">
        <v>317</v>
      </c>
      <c r="CG1783">
        <v>539</v>
      </c>
      <c r="CH1783">
        <v>415</v>
      </c>
      <c r="CI1783">
        <f t="shared" si="194"/>
        <v>2019</v>
      </c>
      <c r="CJ1783" t="str">
        <f t="shared" si="195"/>
        <v>6977_2019</v>
      </c>
    </row>
    <row r="1784" spans="1:88" x14ac:dyDescent="0.25">
      <c r="A1784" t="s">
        <v>111</v>
      </c>
      <c r="B1784" t="s">
        <v>261</v>
      </c>
      <c r="C1784">
        <v>6977</v>
      </c>
      <c r="D1784">
        <v>-37.949300000000001</v>
      </c>
      <c r="E1784">
        <v>145.15270000000001</v>
      </c>
      <c r="F1784">
        <v>4</v>
      </c>
      <c r="G1784" t="s">
        <v>663</v>
      </c>
      <c r="H1784">
        <v>4</v>
      </c>
      <c r="I1784">
        <v>184</v>
      </c>
      <c r="J1784">
        <v>132</v>
      </c>
      <c r="K1784">
        <v>312</v>
      </c>
      <c r="L1784">
        <v>186</v>
      </c>
      <c r="M1784">
        <v>6</v>
      </c>
      <c r="N1784">
        <v>314</v>
      </c>
      <c r="O1784">
        <v>134</v>
      </c>
      <c r="T1784">
        <v>13</v>
      </c>
      <c r="U1784">
        <v>216</v>
      </c>
      <c r="V1784">
        <v>202</v>
      </c>
      <c r="Y1784">
        <v>36</v>
      </c>
      <c r="Z1784">
        <v>6</v>
      </c>
      <c r="AA1784">
        <v>132</v>
      </c>
      <c r="AD1784">
        <v>212</v>
      </c>
      <c r="AE1784">
        <v>10</v>
      </c>
      <c r="AF1784">
        <v>14</v>
      </c>
      <c r="AI1784">
        <v>136</v>
      </c>
      <c r="AJ1784">
        <v>109</v>
      </c>
      <c r="AK1784">
        <v>4</v>
      </c>
      <c r="AX1784">
        <v>431</v>
      </c>
      <c r="AY1784">
        <v>384</v>
      </c>
      <c r="AZ1784">
        <v>815</v>
      </c>
      <c r="BA1784">
        <v>174</v>
      </c>
      <c r="BB1784">
        <v>132</v>
      </c>
      <c r="BC1784">
        <v>306</v>
      </c>
      <c r="BD1784">
        <v>236</v>
      </c>
      <c r="BE1784">
        <v>226</v>
      </c>
      <c r="BF1784">
        <v>462</v>
      </c>
      <c r="BG1784">
        <v>249</v>
      </c>
      <c r="BH1784">
        <v>348</v>
      </c>
      <c r="BI1784">
        <v>597</v>
      </c>
      <c r="BP1784">
        <v>294</v>
      </c>
      <c r="BR1784">
        <v>779</v>
      </c>
      <c r="BS1784">
        <v>8</v>
      </c>
      <c r="BT1784">
        <v>0</v>
      </c>
      <c r="BV1784">
        <v>9</v>
      </c>
      <c r="BW1784">
        <v>1090</v>
      </c>
      <c r="BX1784">
        <f>IF(C1784=C1783,IF((CI1784-1)=CI1783,BW1783,"no data"))</f>
        <v>1541</v>
      </c>
      <c r="BY1784" s="5">
        <f t="shared" si="197"/>
        <v>-0.29266709928617779</v>
      </c>
      <c r="BZ1784" s="6">
        <f t="shared" si="196"/>
        <v>-0.29266709928617779</v>
      </c>
      <c r="CA1784" s="7">
        <v>44143</v>
      </c>
      <c r="CE1784">
        <v>171</v>
      </c>
      <c r="CF1784">
        <v>268</v>
      </c>
      <c r="CG1784">
        <v>318</v>
      </c>
      <c r="CH1784">
        <v>333</v>
      </c>
      <c r="CI1784">
        <f t="shared" si="194"/>
        <v>2020</v>
      </c>
      <c r="CJ1784" t="str">
        <f t="shared" si="195"/>
        <v>6977_2020</v>
      </c>
    </row>
    <row r="1785" spans="1:88" x14ac:dyDescent="0.25">
      <c r="A1785" t="s">
        <v>111</v>
      </c>
      <c r="B1785" t="s">
        <v>261</v>
      </c>
      <c r="C1785">
        <v>6978</v>
      </c>
      <c r="D1785">
        <v>-37.953527999999999</v>
      </c>
      <c r="E1785">
        <v>145.15826000000001</v>
      </c>
      <c r="F1785">
        <v>3</v>
      </c>
      <c r="G1785" t="s">
        <v>664</v>
      </c>
      <c r="H1785">
        <v>132</v>
      </c>
      <c r="I1785">
        <v>312</v>
      </c>
      <c r="J1785">
        <v>192</v>
      </c>
      <c r="K1785">
        <v>12</v>
      </c>
      <c r="L1785">
        <v>314</v>
      </c>
      <c r="M1785">
        <v>134</v>
      </c>
      <c r="T1785">
        <v>2</v>
      </c>
      <c r="U1785">
        <v>12</v>
      </c>
      <c r="Y1785">
        <v>9</v>
      </c>
      <c r="Z1785">
        <v>27</v>
      </c>
      <c r="AD1785">
        <v>23</v>
      </c>
      <c r="AE1785">
        <v>17</v>
      </c>
      <c r="AX1785">
        <v>14</v>
      </c>
      <c r="AY1785">
        <v>32</v>
      </c>
      <c r="AZ1785">
        <v>46</v>
      </c>
      <c r="BA1785">
        <v>36</v>
      </c>
      <c r="BB1785">
        <v>19</v>
      </c>
      <c r="BC1785">
        <v>55</v>
      </c>
      <c r="BD1785">
        <v>40</v>
      </c>
      <c r="BE1785">
        <v>39</v>
      </c>
      <c r="BF1785">
        <v>79</v>
      </c>
      <c r="BP1785">
        <v>15</v>
      </c>
      <c r="BR1785">
        <v>63</v>
      </c>
      <c r="BS1785">
        <v>1</v>
      </c>
      <c r="BT1785">
        <v>3</v>
      </c>
      <c r="BV1785">
        <v>8</v>
      </c>
      <c r="BW1785">
        <v>90</v>
      </c>
      <c r="BX1785" t="s">
        <v>82</v>
      </c>
      <c r="BY1785" s="5"/>
      <c r="BZ1785" s="6"/>
      <c r="CA1785" s="7">
        <v>42715</v>
      </c>
      <c r="CE1785">
        <v>0</v>
      </c>
      <c r="CF1785">
        <v>29</v>
      </c>
      <c r="CG1785">
        <v>33</v>
      </c>
      <c r="CH1785">
        <v>28</v>
      </c>
      <c r="CI1785">
        <f t="shared" si="194"/>
        <v>2016</v>
      </c>
      <c r="CJ1785" t="str">
        <f t="shared" si="195"/>
        <v>6978_2016</v>
      </c>
    </row>
    <row r="1786" spans="1:88" x14ac:dyDescent="0.25">
      <c r="A1786" t="s">
        <v>111</v>
      </c>
      <c r="B1786" t="s">
        <v>261</v>
      </c>
      <c r="C1786">
        <v>6978</v>
      </c>
      <c r="D1786">
        <v>-37.953527999999999</v>
      </c>
      <c r="E1786">
        <v>145.15826000000001</v>
      </c>
      <c r="F1786">
        <v>3</v>
      </c>
      <c r="G1786" t="s">
        <v>664</v>
      </c>
      <c r="H1786">
        <v>132</v>
      </c>
      <c r="I1786">
        <v>312</v>
      </c>
      <c r="J1786">
        <v>192</v>
      </c>
      <c r="K1786">
        <v>12</v>
      </c>
      <c r="L1786">
        <v>314</v>
      </c>
      <c r="M1786">
        <v>134</v>
      </c>
      <c r="T1786">
        <v>8</v>
      </c>
      <c r="U1786">
        <v>24</v>
      </c>
      <c r="Y1786">
        <v>9</v>
      </c>
      <c r="Z1786">
        <v>39</v>
      </c>
      <c r="AD1786">
        <v>15</v>
      </c>
      <c r="AE1786">
        <v>15</v>
      </c>
      <c r="AX1786">
        <v>32</v>
      </c>
      <c r="AY1786">
        <v>24</v>
      </c>
      <c r="AZ1786">
        <v>56</v>
      </c>
      <c r="BA1786">
        <v>48</v>
      </c>
      <c r="BB1786">
        <v>23</v>
      </c>
      <c r="BC1786">
        <v>71</v>
      </c>
      <c r="BD1786">
        <v>30</v>
      </c>
      <c r="BE1786">
        <v>63</v>
      </c>
      <c r="BF1786">
        <v>93</v>
      </c>
      <c r="BP1786">
        <v>15</v>
      </c>
      <c r="BR1786">
        <v>86</v>
      </c>
      <c r="BS1786">
        <v>1</v>
      </c>
      <c r="BT1786">
        <v>4</v>
      </c>
      <c r="BV1786">
        <v>4</v>
      </c>
      <c r="BW1786">
        <v>110</v>
      </c>
      <c r="BX1786">
        <f>IF(C1786=C1785,IF((CI1786-1)=CI1785,BW1785,"no data"))</f>
        <v>90</v>
      </c>
      <c r="BY1786" s="5">
        <f t="shared" si="197"/>
        <v>0.22222222222222221</v>
      </c>
      <c r="BZ1786" s="6">
        <f t="shared" si="196"/>
        <v>0.22222222222222221</v>
      </c>
      <c r="CA1786" s="7">
        <v>43051</v>
      </c>
      <c r="CE1786">
        <v>22</v>
      </c>
      <c r="CF1786">
        <v>36</v>
      </c>
      <c r="CG1786">
        <v>22</v>
      </c>
      <c r="CH1786">
        <v>30</v>
      </c>
      <c r="CI1786">
        <f t="shared" si="194"/>
        <v>2017</v>
      </c>
      <c r="CJ1786" t="str">
        <f t="shared" si="195"/>
        <v>6978_2017</v>
      </c>
    </row>
    <row r="1787" spans="1:88" x14ac:dyDescent="0.25">
      <c r="A1787" t="s">
        <v>111</v>
      </c>
      <c r="B1787" t="s">
        <v>261</v>
      </c>
      <c r="C1787">
        <v>6978</v>
      </c>
      <c r="D1787">
        <v>-37.953527999999999</v>
      </c>
      <c r="E1787">
        <v>145.15826000000001</v>
      </c>
      <c r="F1787">
        <v>3</v>
      </c>
      <c r="G1787" t="s">
        <v>664</v>
      </c>
      <c r="H1787">
        <v>132</v>
      </c>
      <c r="I1787">
        <v>312</v>
      </c>
      <c r="J1787">
        <v>192</v>
      </c>
      <c r="K1787">
        <v>12</v>
      </c>
      <c r="L1787">
        <v>314</v>
      </c>
      <c r="M1787">
        <v>134</v>
      </c>
      <c r="T1787">
        <v>8</v>
      </c>
      <c r="U1787">
        <v>72</v>
      </c>
      <c r="Y1787">
        <v>9</v>
      </c>
      <c r="Z1787">
        <v>28</v>
      </c>
      <c r="AD1787">
        <v>60</v>
      </c>
      <c r="AE1787">
        <v>23</v>
      </c>
      <c r="AX1787">
        <v>80</v>
      </c>
      <c r="AY1787">
        <v>69</v>
      </c>
      <c r="AZ1787">
        <v>149</v>
      </c>
      <c r="BA1787">
        <v>37</v>
      </c>
      <c r="BB1787">
        <v>31</v>
      </c>
      <c r="BC1787">
        <v>68</v>
      </c>
      <c r="BD1787">
        <v>83</v>
      </c>
      <c r="BE1787">
        <v>100</v>
      </c>
      <c r="BF1787">
        <v>183</v>
      </c>
      <c r="BP1787">
        <v>93</v>
      </c>
      <c r="BR1787">
        <v>83</v>
      </c>
      <c r="BS1787">
        <v>2</v>
      </c>
      <c r="BT1787">
        <v>7</v>
      </c>
      <c r="BV1787">
        <v>15</v>
      </c>
      <c r="BW1787">
        <v>200</v>
      </c>
      <c r="BX1787">
        <f>IF(C1787=C1786,IF((CI1787-1)=CI1786,BW1786,"no data"))</f>
        <v>110</v>
      </c>
      <c r="BY1787" s="5">
        <f t="shared" si="197"/>
        <v>0.81818181818181823</v>
      </c>
      <c r="BZ1787" s="6">
        <f t="shared" si="196"/>
        <v>0.81818181818181823</v>
      </c>
      <c r="CA1787" s="7">
        <v>43415</v>
      </c>
      <c r="CE1787">
        <v>51</v>
      </c>
      <c r="CF1787">
        <v>47</v>
      </c>
      <c r="CG1787">
        <v>48</v>
      </c>
      <c r="CH1787">
        <v>54</v>
      </c>
      <c r="CI1787">
        <f t="shared" si="194"/>
        <v>2018</v>
      </c>
      <c r="CJ1787" t="str">
        <f t="shared" si="195"/>
        <v>6978_2018</v>
      </c>
    </row>
    <row r="1788" spans="1:88" x14ac:dyDescent="0.25">
      <c r="A1788" t="s">
        <v>111</v>
      </c>
      <c r="B1788" t="s">
        <v>261</v>
      </c>
      <c r="C1788">
        <v>6979</v>
      </c>
      <c r="D1788">
        <v>-37.977471000000001</v>
      </c>
      <c r="E1788">
        <v>145.18512999999999</v>
      </c>
      <c r="F1788">
        <v>4</v>
      </c>
      <c r="G1788" t="s">
        <v>665</v>
      </c>
      <c r="H1788">
        <v>8</v>
      </c>
      <c r="I1788">
        <v>188</v>
      </c>
      <c r="J1788">
        <v>100</v>
      </c>
      <c r="K1788">
        <v>280</v>
      </c>
      <c r="L1788">
        <v>190</v>
      </c>
      <c r="M1788">
        <v>10</v>
      </c>
      <c r="N1788">
        <v>273</v>
      </c>
      <c r="O1788">
        <v>93</v>
      </c>
      <c r="T1788">
        <v>7</v>
      </c>
      <c r="U1788">
        <v>1</v>
      </c>
      <c r="V1788">
        <v>1</v>
      </c>
      <c r="Y1788">
        <v>2</v>
      </c>
      <c r="Z1788">
        <v>0</v>
      </c>
      <c r="AA1788">
        <v>2</v>
      </c>
      <c r="AD1788">
        <v>3</v>
      </c>
      <c r="AE1788">
        <v>5</v>
      </c>
      <c r="AF1788">
        <v>8</v>
      </c>
      <c r="AI1788">
        <v>0</v>
      </c>
      <c r="AJ1788">
        <v>10</v>
      </c>
      <c r="AK1788">
        <v>2</v>
      </c>
      <c r="AX1788">
        <v>9</v>
      </c>
      <c r="AY1788">
        <v>5</v>
      </c>
      <c r="AZ1788">
        <v>14</v>
      </c>
      <c r="BA1788">
        <v>4</v>
      </c>
      <c r="BB1788">
        <v>22</v>
      </c>
      <c r="BC1788">
        <v>26</v>
      </c>
      <c r="BD1788">
        <v>16</v>
      </c>
      <c r="BE1788">
        <v>3</v>
      </c>
      <c r="BF1788">
        <v>19</v>
      </c>
      <c r="BG1788">
        <v>12</v>
      </c>
      <c r="BH1788">
        <v>11</v>
      </c>
      <c r="BI1788">
        <v>23</v>
      </c>
      <c r="BP1788">
        <v>16</v>
      </c>
      <c r="BR1788">
        <v>20</v>
      </c>
      <c r="BS1788">
        <v>0</v>
      </c>
      <c r="BT1788">
        <v>5</v>
      </c>
      <c r="BV1788">
        <v>0</v>
      </c>
      <c r="BW1788">
        <v>41</v>
      </c>
      <c r="BX1788" t="s">
        <v>82</v>
      </c>
      <c r="BY1788" s="5"/>
      <c r="BZ1788" s="6"/>
      <c r="CA1788" s="7">
        <v>42687</v>
      </c>
      <c r="CE1788">
        <v>0</v>
      </c>
      <c r="CF1788">
        <v>0</v>
      </c>
      <c r="CG1788">
        <v>23</v>
      </c>
      <c r="CH1788">
        <v>18</v>
      </c>
      <c r="CI1788">
        <f t="shared" si="194"/>
        <v>2016</v>
      </c>
      <c r="CJ1788" t="str">
        <f t="shared" si="195"/>
        <v>6979_2016</v>
      </c>
    </row>
    <row r="1789" spans="1:88" x14ac:dyDescent="0.25">
      <c r="A1789" t="s">
        <v>111</v>
      </c>
      <c r="B1789" t="s">
        <v>261</v>
      </c>
      <c r="C1789">
        <v>6979</v>
      </c>
      <c r="D1789">
        <v>-37.977471000000001</v>
      </c>
      <c r="E1789">
        <v>145.18512999999999</v>
      </c>
      <c r="F1789">
        <v>4</v>
      </c>
      <c r="G1789" t="s">
        <v>665</v>
      </c>
      <c r="H1789">
        <v>8</v>
      </c>
      <c r="I1789">
        <v>188</v>
      </c>
      <c r="J1789">
        <v>100</v>
      </c>
      <c r="K1789">
        <v>280</v>
      </c>
      <c r="L1789">
        <v>190</v>
      </c>
      <c r="M1789">
        <v>10</v>
      </c>
      <c r="N1789">
        <v>273</v>
      </c>
      <c r="O1789">
        <v>93</v>
      </c>
      <c r="T1789">
        <v>4</v>
      </c>
      <c r="U1789">
        <v>3</v>
      </c>
      <c r="V1789">
        <v>3</v>
      </c>
      <c r="Y1789">
        <v>1</v>
      </c>
      <c r="Z1789">
        <v>9</v>
      </c>
      <c r="AA1789">
        <v>0</v>
      </c>
      <c r="AD1789">
        <v>3</v>
      </c>
      <c r="AE1789">
        <v>2</v>
      </c>
      <c r="AF1789">
        <v>6</v>
      </c>
      <c r="AI1789">
        <v>3</v>
      </c>
      <c r="AJ1789">
        <v>6</v>
      </c>
      <c r="AK1789">
        <v>7</v>
      </c>
      <c r="AX1789">
        <v>10</v>
      </c>
      <c r="AY1789">
        <v>7</v>
      </c>
      <c r="AZ1789">
        <v>17</v>
      </c>
      <c r="BA1789">
        <v>10</v>
      </c>
      <c r="BB1789">
        <v>12</v>
      </c>
      <c r="BC1789">
        <v>22</v>
      </c>
      <c r="BD1789">
        <v>11</v>
      </c>
      <c r="BE1789">
        <v>19</v>
      </c>
      <c r="BF1789">
        <v>30</v>
      </c>
      <c r="BG1789">
        <v>16</v>
      </c>
      <c r="BH1789">
        <v>9</v>
      </c>
      <c r="BI1789">
        <v>25</v>
      </c>
      <c r="BP1789">
        <v>14</v>
      </c>
      <c r="BR1789">
        <v>30</v>
      </c>
      <c r="BS1789">
        <v>0</v>
      </c>
      <c r="BT1789">
        <v>1</v>
      </c>
      <c r="BV1789">
        <v>2</v>
      </c>
      <c r="BW1789">
        <v>47</v>
      </c>
      <c r="BX1789">
        <f>IF(C1789=C1788,IF((CI1789-1)=CI1788,BW1788,"no data"))</f>
        <v>41</v>
      </c>
      <c r="BY1789" s="5">
        <f t="shared" si="197"/>
        <v>0.14634146341463414</v>
      </c>
      <c r="BZ1789" s="6">
        <f t="shared" si="196"/>
        <v>0.14634146341463414</v>
      </c>
      <c r="CA1789" s="7">
        <v>43051</v>
      </c>
      <c r="CE1789">
        <v>16</v>
      </c>
      <c r="CF1789">
        <v>21</v>
      </c>
      <c r="CG1789">
        <v>10</v>
      </c>
      <c r="CH1789">
        <v>0</v>
      </c>
      <c r="CI1789">
        <f t="shared" si="194"/>
        <v>2017</v>
      </c>
      <c r="CJ1789" t="str">
        <f t="shared" si="195"/>
        <v>6979_2017</v>
      </c>
    </row>
    <row r="1790" spans="1:88" x14ac:dyDescent="0.25">
      <c r="A1790" t="s">
        <v>111</v>
      </c>
      <c r="B1790" t="s">
        <v>261</v>
      </c>
      <c r="C1790">
        <v>6979</v>
      </c>
      <c r="D1790">
        <v>-37.977471000000001</v>
      </c>
      <c r="E1790">
        <v>145.18512999999999</v>
      </c>
      <c r="F1790">
        <v>4</v>
      </c>
      <c r="G1790" t="s">
        <v>665</v>
      </c>
      <c r="H1790">
        <v>8</v>
      </c>
      <c r="I1790">
        <v>188</v>
      </c>
      <c r="J1790">
        <v>100</v>
      </c>
      <c r="K1790">
        <v>280</v>
      </c>
      <c r="L1790">
        <v>190</v>
      </c>
      <c r="M1790">
        <v>10</v>
      </c>
      <c r="N1790">
        <v>273</v>
      </c>
      <c r="O1790">
        <v>93</v>
      </c>
      <c r="T1790">
        <v>10</v>
      </c>
      <c r="U1790">
        <v>6</v>
      </c>
      <c r="V1790">
        <v>7</v>
      </c>
      <c r="Y1790">
        <v>8</v>
      </c>
      <c r="Z1790">
        <v>12</v>
      </c>
      <c r="AA1790">
        <v>3</v>
      </c>
      <c r="AD1790">
        <v>7</v>
      </c>
      <c r="AE1790">
        <v>5</v>
      </c>
      <c r="AF1790">
        <v>9</v>
      </c>
      <c r="AI1790">
        <v>8</v>
      </c>
      <c r="AJ1790">
        <v>11</v>
      </c>
      <c r="AK1790">
        <v>13</v>
      </c>
      <c r="AX1790">
        <v>23</v>
      </c>
      <c r="AY1790">
        <v>23</v>
      </c>
      <c r="AZ1790">
        <v>46</v>
      </c>
      <c r="BA1790">
        <v>23</v>
      </c>
      <c r="BB1790">
        <v>26</v>
      </c>
      <c r="BC1790">
        <v>49</v>
      </c>
      <c r="BD1790">
        <v>21</v>
      </c>
      <c r="BE1790">
        <v>31</v>
      </c>
      <c r="BF1790">
        <v>52</v>
      </c>
      <c r="BG1790">
        <v>32</v>
      </c>
      <c r="BH1790">
        <v>19</v>
      </c>
      <c r="BI1790">
        <v>51</v>
      </c>
      <c r="BP1790">
        <v>33</v>
      </c>
      <c r="BR1790">
        <v>58</v>
      </c>
      <c r="BS1790">
        <v>1</v>
      </c>
      <c r="BT1790">
        <v>7</v>
      </c>
      <c r="BV1790">
        <v>0</v>
      </c>
      <c r="BW1790">
        <v>99</v>
      </c>
      <c r="BX1790">
        <f>IF(C1790=C1789,IF((CI1790-1)=CI1789,BW1789,"no data"))</f>
        <v>47</v>
      </c>
      <c r="BY1790" s="5">
        <f t="shared" si="197"/>
        <v>1.1063829787234043</v>
      </c>
      <c r="BZ1790" s="6">
        <f t="shared" si="196"/>
        <v>1.1063829787234043</v>
      </c>
      <c r="CA1790" s="7">
        <v>43415</v>
      </c>
      <c r="CE1790">
        <v>33</v>
      </c>
      <c r="CF1790">
        <v>24</v>
      </c>
      <c r="CG1790">
        <v>19</v>
      </c>
      <c r="CH1790">
        <v>23</v>
      </c>
      <c r="CI1790">
        <f t="shared" si="194"/>
        <v>2018</v>
      </c>
      <c r="CJ1790" t="str">
        <f t="shared" si="195"/>
        <v>6979_2018</v>
      </c>
    </row>
    <row r="1791" spans="1:88" x14ac:dyDescent="0.25">
      <c r="A1791" t="s">
        <v>111</v>
      </c>
      <c r="B1791" t="s">
        <v>261</v>
      </c>
      <c r="C1791">
        <v>6980</v>
      </c>
      <c r="D1791">
        <v>-37.956581</v>
      </c>
      <c r="E1791">
        <v>145.23340999999999</v>
      </c>
      <c r="F1791">
        <v>4</v>
      </c>
      <c r="G1791" t="s">
        <v>666</v>
      </c>
      <c r="H1791">
        <v>80</v>
      </c>
      <c r="I1791">
        <v>260</v>
      </c>
      <c r="J1791">
        <v>179</v>
      </c>
      <c r="K1791">
        <v>359</v>
      </c>
      <c r="L1791">
        <v>281</v>
      </c>
      <c r="M1791">
        <v>101</v>
      </c>
      <c r="N1791">
        <v>357</v>
      </c>
      <c r="O1791">
        <v>177</v>
      </c>
      <c r="T1791">
        <v>1</v>
      </c>
      <c r="U1791">
        <v>0</v>
      </c>
      <c r="V1791">
        <v>6</v>
      </c>
      <c r="Y1791">
        <v>1</v>
      </c>
      <c r="Z1791">
        <v>2</v>
      </c>
      <c r="AA1791">
        <v>10</v>
      </c>
      <c r="AD1791">
        <v>0</v>
      </c>
      <c r="AE1791">
        <v>0</v>
      </c>
      <c r="AF1791">
        <v>4</v>
      </c>
      <c r="AI1791">
        <v>4</v>
      </c>
      <c r="AJ1791">
        <v>19</v>
      </c>
      <c r="AK1791">
        <v>1</v>
      </c>
      <c r="AX1791">
        <v>7</v>
      </c>
      <c r="AY1791">
        <v>5</v>
      </c>
      <c r="AZ1791">
        <v>12</v>
      </c>
      <c r="BA1791">
        <v>13</v>
      </c>
      <c r="BB1791">
        <v>20</v>
      </c>
      <c r="BC1791">
        <v>33</v>
      </c>
      <c r="BD1791">
        <v>4</v>
      </c>
      <c r="BE1791">
        <v>3</v>
      </c>
      <c r="BF1791">
        <v>7</v>
      </c>
      <c r="BG1791">
        <v>24</v>
      </c>
      <c r="BH1791">
        <v>20</v>
      </c>
      <c r="BI1791">
        <v>44</v>
      </c>
      <c r="BP1791">
        <v>15</v>
      </c>
      <c r="BR1791">
        <v>14</v>
      </c>
      <c r="BS1791">
        <v>15</v>
      </c>
      <c r="BT1791">
        <v>4</v>
      </c>
      <c r="BV1791">
        <v>0</v>
      </c>
      <c r="BW1791">
        <v>48</v>
      </c>
      <c r="BX1791" t="s">
        <v>82</v>
      </c>
      <c r="BY1791" s="5"/>
      <c r="BZ1791" s="6"/>
      <c r="CA1791" s="7">
        <v>42687</v>
      </c>
      <c r="CE1791">
        <v>8</v>
      </c>
      <c r="CF1791">
        <v>11</v>
      </c>
      <c r="CG1791">
        <v>16</v>
      </c>
      <c r="CH1791">
        <v>13</v>
      </c>
      <c r="CI1791">
        <f t="shared" si="194"/>
        <v>2016</v>
      </c>
      <c r="CJ1791" t="str">
        <f t="shared" si="195"/>
        <v>6980_2016</v>
      </c>
    </row>
    <row r="1792" spans="1:88" x14ac:dyDescent="0.25">
      <c r="A1792" t="s">
        <v>111</v>
      </c>
      <c r="B1792" t="s">
        <v>261</v>
      </c>
      <c r="C1792">
        <v>6980</v>
      </c>
      <c r="D1792">
        <v>-37.956581</v>
      </c>
      <c r="E1792">
        <v>145.23340999999999</v>
      </c>
      <c r="F1792">
        <v>4</v>
      </c>
      <c r="G1792" t="s">
        <v>666</v>
      </c>
      <c r="H1792">
        <v>80</v>
      </c>
      <c r="I1792">
        <v>260</v>
      </c>
      <c r="J1792">
        <v>179</v>
      </c>
      <c r="K1792">
        <v>359</v>
      </c>
      <c r="L1792">
        <v>281</v>
      </c>
      <c r="M1792">
        <v>101</v>
      </c>
      <c r="N1792">
        <v>357</v>
      </c>
      <c r="O1792">
        <v>177</v>
      </c>
      <c r="T1792">
        <v>7</v>
      </c>
      <c r="U1792">
        <v>2</v>
      </c>
      <c r="V1792">
        <v>19</v>
      </c>
      <c r="Y1792">
        <v>6</v>
      </c>
      <c r="Z1792">
        <v>12</v>
      </c>
      <c r="AA1792">
        <v>72</v>
      </c>
      <c r="AD1792">
        <v>10</v>
      </c>
      <c r="AE1792">
        <v>10</v>
      </c>
      <c r="AF1792">
        <v>10</v>
      </c>
      <c r="AI1792">
        <v>21</v>
      </c>
      <c r="AJ1792">
        <v>76</v>
      </c>
      <c r="AK1792">
        <v>15</v>
      </c>
      <c r="AX1792">
        <v>28</v>
      </c>
      <c r="AY1792">
        <v>37</v>
      </c>
      <c r="AZ1792">
        <v>65</v>
      </c>
      <c r="BA1792">
        <v>90</v>
      </c>
      <c r="BB1792">
        <v>93</v>
      </c>
      <c r="BC1792">
        <v>183</v>
      </c>
      <c r="BD1792">
        <v>30</v>
      </c>
      <c r="BE1792">
        <v>29</v>
      </c>
      <c r="BF1792">
        <v>59</v>
      </c>
      <c r="BG1792">
        <v>112</v>
      </c>
      <c r="BH1792">
        <v>101</v>
      </c>
      <c r="BI1792">
        <v>213</v>
      </c>
      <c r="BP1792">
        <v>139</v>
      </c>
      <c r="BR1792">
        <v>98</v>
      </c>
      <c r="BS1792">
        <v>3</v>
      </c>
      <c r="BT1792">
        <v>18</v>
      </c>
      <c r="BV1792">
        <v>2</v>
      </c>
      <c r="BW1792">
        <v>260</v>
      </c>
      <c r="BX1792">
        <f>IF(C1792=C1791,IF((CI1792-1)=CI1791,BW1791,"no data"))</f>
        <v>48</v>
      </c>
      <c r="BY1792" s="5">
        <f t="shared" si="197"/>
        <v>4.416666666666667</v>
      </c>
      <c r="BZ1792" s="6">
        <f t="shared" si="196"/>
        <v>4.416666666666667</v>
      </c>
      <c r="CA1792" s="7">
        <v>43051</v>
      </c>
      <c r="CE1792">
        <v>102</v>
      </c>
      <c r="CF1792">
        <v>86</v>
      </c>
      <c r="CG1792">
        <v>36</v>
      </c>
      <c r="CH1792">
        <v>36</v>
      </c>
      <c r="CI1792">
        <f t="shared" si="194"/>
        <v>2017</v>
      </c>
      <c r="CJ1792" t="str">
        <f t="shared" si="195"/>
        <v>6980_2017</v>
      </c>
    </row>
    <row r="1793" spans="1:88" x14ac:dyDescent="0.25">
      <c r="A1793" t="s">
        <v>111</v>
      </c>
      <c r="B1793" t="s">
        <v>261</v>
      </c>
      <c r="C1793">
        <v>6980</v>
      </c>
      <c r="D1793">
        <v>-37.956581</v>
      </c>
      <c r="E1793">
        <v>145.23340999999999</v>
      </c>
      <c r="F1793">
        <v>4</v>
      </c>
      <c r="G1793" t="s">
        <v>666</v>
      </c>
      <c r="H1793">
        <v>80</v>
      </c>
      <c r="I1793">
        <v>260</v>
      </c>
      <c r="J1793">
        <v>179</v>
      </c>
      <c r="K1793">
        <v>359</v>
      </c>
      <c r="L1793">
        <v>281</v>
      </c>
      <c r="M1793">
        <v>101</v>
      </c>
      <c r="N1793">
        <v>357</v>
      </c>
      <c r="O1793">
        <v>177</v>
      </c>
      <c r="T1793">
        <v>5</v>
      </c>
      <c r="U1793">
        <v>9</v>
      </c>
      <c r="V1793">
        <v>11</v>
      </c>
      <c r="Y1793">
        <v>3</v>
      </c>
      <c r="Z1793">
        <v>7</v>
      </c>
      <c r="AA1793">
        <v>61</v>
      </c>
      <c r="AD1793">
        <v>5</v>
      </c>
      <c r="AE1793">
        <v>10</v>
      </c>
      <c r="AF1793">
        <v>9</v>
      </c>
      <c r="AI1793">
        <v>7</v>
      </c>
      <c r="AJ1793">
        <v>73</v>
      </c>
      <c r="AK1793">
        <v>18</v>
      </c>
      <c r="AX1793">
        <v>25</v>
      </c>
      <c r="AY1793">
        <v>15</v>
      </c>
      <c r="AZ1793">
        <v>40</v>
      </c>
      <c r="BA1793">
        <v>71</v>
      </c>
      <c r="BB1793">
        <v>88</v>
      </c>
      <c r="BC1793">
        <v>159</v>
      </c>
      <c r="BD1793">
        <v>24</v>
      </c>
      <c r="BE1793">
        <v>34</v>
      </c>
      <c r="BF1793">
        <v>58</v>
      </c>
      <c r="BG1793">
        <v>98</v>
      </c>
      <c r="BH1793">
        <v>81</v>
      </c>
      <c r="BI1793">
        <v>179</v>
      </c>
      <c r="BP1793">
        <v>145</v>
      </c>
      <c r="BR1793">
        <v>41</v>
      </c>
      <c r="BS1793">
        <v>9</v>
      </c>
      <c r="BT1793">
        <v>15</v>
      </c>
      <c r="BV1793">
        <v>8</v>
      </c>
      <c r="BW1793">
        <v>218</v>
      </c>
      <c r="BX1793">
        <f>IF(C1793=C1792,IF((CI1793-1)=CI1792,BW1792,"no data"))</f>
        <v>260</v>
      </c>
      <c r="BY1793" s="5">
        <f t="shared" si="197"/>
        <v>-0.16153846153846155</v>
      </c>
      <c r="BZ1793" s="6">
        <f t="shared" si="196"/>
        <v>-0.16153846153846155</v>
      </c>
      <c r="CA1793" s="7">
        <v>43415</v>
      </c>
      <c r="CE1793">
        <v>55</v>
      </c>
      <c r="CF1793">
        <v>63</v>
      </c>
      <c r="CG1793">
        <v>57</v>
      </c>
      <c r="CH1793">
        <v>43</v>
      </c>
      <c r="CI1793">
        <f t="shared" si="194"/>
        <v>2018</v>
      </c>
      <c r="CJ1793" t="str">
        <f t="shared" si="195"/>
        <v>6980_2018</v>
      </c>
    </row>
    <row r="1794" spans="1:88" x14ac:dyDescent="0.25">
      <c r="A1794" t="s">
        <v>111</v>
      </c>
      <c r="B1794" t="s">
        <v>261</v>
      </c>
      <c r="C1794">
        <v>6980</v>
      </c>
      <c r="D1794">
        <v>-37.956600000000002</v>
      </c>
      <c r="E1794">
        <v>145.23339999999999</v>
      </c>
      <c r="F1794">
        <v>4</v>
      </c>
      <c r="G1794" t="s">
        <v>666</v>
      </c>
      <c r="H1794">
        <v>80</v>
      </c>
      <c r="I1794">
        <v>260</v>
      </c>
      <c r="J1794">
        <v>179</v>
      </c>
      <c r="K1794">
        <v>359</v>
      </c>
      <c r="L1794">
        <v>281</v>
      </c>
      <c r="M1794">
        <v>101</v>
      </c>
      <c r="N1794">
        <v>357</v>
      </c>
      <c r="O1794">
        <v>177</v>
      </c>
      <c r="T1794">
        <v>4</v>
      </c>
      <c r="U1794">
        <v>1</v>
      </c>
      <c r="V1794">
        <v>2</v>
      </c>
      <c r="Y1794">
        <v>5</v>
      </c>
      <c r="Z1794">
        <v>0</v>
      </c>
      <c r="AA1794">
        <v>39</v>
      </c>
      <c r="AD1794">
        <v>1</v>
      </c>
      <c r="AE1794">
        <v>9</v>
      </c>
      <c r="AF1794">
        <v>3</v>
      </c>
      <c r="AI1794">
        <v>2</v>
      </c>
      <c r="AJ1794">
        <v>19</v>
      </c>
      <c r="AK1794">
        <v>0</v>
      </c>
      <c r="AX1794">
        <v>7</v>
      </c>
      <c r="AY1794">
        <v>8</v>
      </c>
      <c r="AZ1794">
        <v>15</v>
      </c>
      <c r="BA1794">
        <v>44</v>
      </c>
      <c r="BB1794">
        <v>32</v>
      </c>
      <c r="BC1794">
        <v>76</v>
      </c>
      <c r="BD1794">
        <v>13</v>
      </c>
      <c r="BE1794">
        <v>1</v>
      </c>
      <c r="BF1794">
        <v>14</v>
      </c>
      <c r="BG1794">
        <v>21</v>
      </c>
      <c r="BH1794">
        <v>44</v>
      </c>
      <c r="BI1794">
        <v>65</v>
      </c>
      <c r="BP1794">
        <v>52</v>
      </c>
      <c r="BR1794">
        <v>20</v>
      </c>
      <c r="BS1794">
        <v>7</v>
      </c>
      <c r="BT1794">
        <v>6</v>
      </c>
      <c r="BV1794">
        <v>0</v>
      </c>
      <c r="BW1794">
        <v>85</v>
      </c>
      <c r="BX1794">
        <f>IF(C1794=C1793,IF((CI1794-1)=CI1793,BW1793,"no data"))</f>
        <v>218</v>
      </c>
      <c r="BY1794" s="5">
        <f t="shared" si="197"/>
        <v>-0.61009174311926606</v>
      </c>
      <c r="BZ1794" s="6">
        <f t="shared" si="196"/>
        <v>-0.61009174311926606</v>
      </c>
      <c r="CA1794" s="7">
        <v>43779</v>
      </c>
      <c r="CE1794">
        <v>14</v>
      </c>
      <c r="CF1794">
        <v>21</v>
      </c>
      <c r="CG1794">
        <v>25</v>
      </c>
      <c r="CH1794">
        <v>25</v>
      </c>
      <c r="CI1794">
        <f t="shared" si="194"/>
        <v>2019</v>
      </c>
      <c r="CJ1794" t="str">
        <f t="shared" si="195"/>
        <v>6980_2019</v>
      </c>
    </row>
    <row r="1795" spans="1:88" x14ac:dyDescent="0.25">
      <c r="A1795" t="s">
        <v>111</v>
      </c>
      <c r="B1795" t="s">
        <v>129</v>
      </c>
      <c r="C1795">
        <v>6981</v>
      </c>
      <c r="D1795">
        <v>-37.858493000000003</v>
      </c>
      <c r="E1795">
        <v>144.85031000000001</v>
      </c>
      <c r="F1795">
        <v>3</v>
      </c>
      <c r="G1795" t="s">
        <v>667</v>
      </c>
      <c r="H1795">
        <v>51</v>
      </c>
      <c r="I1795">
        <v>231</v>
      </c>
      <c r="J1795">
        <v>170</v>
      </c>
      <c r="K1795">
        <v>350</v>
      </c>
      <c r="L1795">
        <v>278</v>
      </c>
      <c r="M1795">
        <v>98</v>
      </c>
      <c r="T1795">
        <v>21</v>
      </c>
      <c r="U1795">
        <v>4</v>
      </c>
      <c r="Y1795">
        <v>12</v>
      </c>
      <c r="Z1795">
        <v>8</v>
      </c>
      <c r="AD1795">
        <v>7</v>
      </c>
      <c r="AE1795">
        <v>0</v>
      </c>
      <c r="AX1795">
        <v>25</v>
      </c>
      <c r="AY1795">
        <v>19</v>
      </c>
      <c r="AZ1795">
        <v>44</v>
      </c>
      <c r="BA1795">
        <v>20</v>
      </c>
      <c r="BB1795">
        <v>21</v>
      </c>
      <c r="BC1795">
        <v>41</v>
      </c>
      <c r="BD1795">
        <v>7</v>
      </c>
      <c r="BE1795">
        <v>12</v>
      </c>
      <c r="BF1795">
        <v>19</v>
      </c>
      <c r="BP1795">
        <v>37</v>
      </c>
      <c r="BR1795">
        <v>9</v>
      </c>
      <c r="BS1795">
        <v>3</v>
      </c>
      <c r="BT1795">
        <v>2</v>
      </c>
      <c r="BV1795">
        <v>1</v>
      </c>
      <c r="BW1795">
        <v>52</v>
      </c>
      <c r="BX1795" t="s">
        <v>82</v>
      </c>
      <c r="BY1795" s="5"/>
      <c r="BZ1795" s="6"/>
      <c r="CA1795" s="7">
        <v>42687</v>
      </c>
      <c r="CE1795">
        <v>18</v>
      </c>
      <c r="CF1795">
        <v>20</v>
      </c>
      <c r="CG1795">
        <v>5</v>
      </c>
      <c r="CH1795">
        <v>9</v>
      </c>
      <c r="CI1795">
        <f t="shared" ref="CI1795:CI1858" si="198">YEAR(CA1795)</f>
        <v>2016</v>
      </c>
      <c r="CJ1795" t="str">
        <f t="shared" ref="CJ1795:CJ1858" si="199">_xlfn.CONCAT(C1795,"_",CI1795)</f>
        <v>6981_2016</v>
      </c>
    </row>
    <row r="1796" spans="1:88" x14ac:dyDescent="0.25">
      <c r="A1796" t="s">
        <v>111</v>
      </c>
      <c r="B1796" t="s">
        <v>129</v>
      </c>
      <c r="C1796">
        <v>6981</v>
      </c>
      <c r="D1796">
        <v>-37.858493000000003</v>
      </c>
      <c r="E1796">
        <v>144.85031000000001</v>
      </c>
      <c r="F1796">
        <v>3</v>
      </c>
      <c r="G1796" t="s">
        <v>667</v>
      </c>
      <c r="H1796">
        <v>51</v>
      </c>
      <c r="I1796">
        <v>231</v>
      </c>
      <c r="J1796">
        <v>170</v>
      </c>
      <c r="K1796">
        <v>350</v>
      </c>
      <c r="L1796">
        <v>278</v>
      </c>
      <c r="M1796">
        <v>98</v>
      </c>
      <c r="T1796">
        <v>92</v>
      </c>
      <c r="U1796">
        <v>58</v>
      </c>
      <c r="Y1796">
        <v>12</v>
      </c>
      <c r="Z1796">
        <v>17</v>
      </c>
      <c r="AD1796">
        <v>37</v>
      </c>
      <c r="AE1796">
        <v>17</v>
      </c>
      <c r="AX1796">
        <v>150</v>
      </c>
      <c r="AY1796">
        <v>49</v>
      </c>
      <c r="AZ1796">
        <v>199</v>
      </c>
      <c r="BA1796">
        <v>29</v>
      </c>
      <c r="BB1796">
        <v>109</v>
      </c>
      <c r="BC1796">
        <v>138</v>
      </c>
      <c r="BD1796">
        <v>54</v>
      </c>
      <c r="BE1796">
        <v>75</v>
      </c>
      <c r="BF1796">
        <v>129</v>
      </c>
      <c r="BP1796">
        <v>143</v>
      </c>
      <c r="BR1796">
        <v>66</v>
      </c>
      <c r="BS1796">
        <v>12</v>
      </c>
      <c r="BT1796">
        <v>11</v>
      </c>
      <c r="BV1796">
        <v>1</v>
      </c>
      <c r="BW1796">
        <v>233</v>
      </c>
      <c r="BX1796">
        <f>IF(C1796=C1795,IF((CI1796-1)=CI1795,BW1795,"no data"))</f>
        <v>52</v>
      </c>
      <c r="BY1796" s="5">
        <f t="shared" si="197"/>
        <v>3.4807692307692308</v>
      </c>
      <c r="BZ1796" s="6">
        <f t="shared" si="196"/>
        <v>3.4807692307692308</v>
      </c>
      <c r="CA1796" s="7">
        <v>43051</v>
      </c>
      <c r="CE1796">
        <v>53</v>
      </c>
      <c r="CF1796">
        <v>41</v>
      </c>
      <c r="CG1796">
        <v>61</v>
      </c>
      <c r="CH1796">
        <v>78</v>
      </c>
      <c r="CI1796">
        <f t="shared" si="198"/>
        <v>2017</v>
      </c>
      <c r="CJ1796" t="str">
        <f t="shared" si="199"/>
        <v>6981_2017</v>
      </c>
    </row>
    <row r="1797" spans="1:88" x14ac:dyDescent="0.25">
      <c r="A1797" t="s">
        <v>111</v>
      </c>
      <c r="B1797" t="s">
        <v>129</v>
      </c>
      <c r="C1797">
        <v>6981</v>
      </c>
      <c r="D1797">
        <v>-37.858493000000003</v>
      </c>
      <c r="E1797">
        <v>144.85031000000001</v>
      </c>
      <c r="F1797">
        <v>3</v>
      </c>
      <c r="G1797" t="s">
        <v>667</v>
      </c>
      <c r="H1797">
        <v>51</v>
      </c>
      <c r="I1797">
        <v>231</v>
      </c>
      <c r="J1797">
        <v>170</v>
      </c>
      <c r="K1797">
        <v>350</v>
      </c>
      <c r="L1797">
        <v>278</v>
      </c>
      <c r="M1797">
        <v>98</v>
      </c>
      <c r="T1797">
        <v>52</v>
      </c>
      <c r="U1797">
        <v>18</v>
      </c>
      <c r="Y1797">
        <v>25</v>
      </c>
      <c r="Z1797">
        <v>11</v>
      </c>
      <c r="AD1797">
        <v>27</v>
      </c>
      <c r="AE1797">
        <v>12</v>
      </c>
      <c r="AX1797">
        <v>70</v>
      </c>
      <c r="AY1797">
        <v>52</v>
      </c>
      <c r="AZ1797">
        <v>122</v>
      </c>
      <c r="BA1797">
        <v>36</v>
      </c>
      <c r="BB1797">
        <v>64</v>
      </c>
      <c r="BC1797">
        <v>100</v>
      </c>
      <c r="BD1797">
        <v>39</v>
      </c>
      <c r="BE1797">
        <v>29</v>
      </c>
      <c r="BF1797">
        <v>68</v>
      </c>
      <c r="BP1797">
        <v>100</v>
      </c>
      <c r="BR1797">
        <v>22</v>
      </c>
      <c r="BS1797">
        <v>14</v>
      </c>
      <c r="BT1797">
        <v>4</v>
      </c>
      <c r="BV1797">
        <v>5</v>
      </c>
      <c r="BW1797">
        <v>145</v>
      </c>
      <c r="BX1797">
        <f>IF(C1797=C1796,IF((CI1797-1)=CI1796,BW1796,"no data"))</f>
        <v>233</v>
      </c>
      <c r="BY1797" s="5">
        <f t="shared" si="197"/>
        <v>-0.37768240343347642</v>
      </c>
      <c r="BZ1797" s="6">
        <f t="shared" si="196"/>
        <v>-0.37768240343347642</v>
      </c>
      <c r="CA1797" s="7">
        <v>43443</v>
      </c>
      <c r="CE1797">
        <v>34</v>
      </c>
      <c r="CF1797">
        <v>39</v>
      </c>
      <c r="CG1797">
        <v>42</v>
      </c>
      <c r="CH1797">
        <v>30</v>
      </c>
      <c r="CI1797">
        <f t="shared" si="198"/>
        <v>2018</v>
      </c>
      <c r="CJ1797" t="str">
        <f t="shared" si="199"/>
        <v>6981_2018</v>
      </c>
    </row>
    <row r="1798" spans="1:88" x14ac:dyDescent="0.25">
      <c r="A1798" t="s">
        <v>111</v>
      </c>
      <c r="B1798" t="s">
        <v>129</v>
      </c>
      <c r="C1798">
        <v>6981</v>
      </c>
      <c r="D1798">
        <v>-37.858499999999999</v>
      </c>
      <c r="E1798">
        <v>144.8503</v>
      </c>
      <c r="F1798">
        <v>3</v>
      </c>
      <c r="G1798" t="s">
        <v>667</v>
      </c>
      <c r="H1798">
        <v>51</v>
      </c>
      <c r="I1798">
        <v>231</v>
      </c>
      <c r="J1798">
        <v>170</v>
      </c>
      <c r="K1798">
        <v>350</v>
      </c>
      <c r="L1798">
        <v>278</v>
      </c>
      <c r="M1798">
        <v>98</v>
      </c>
      <c r="T1798">
        <v>88</v>
      </c>
      <c r="U1798">
        <v>15</v>
      </c>
      <c r="Y1798">
        <v>116</v>
      </c>
      <c r="Z1798">
        <v>14</v>
      </c>
      <c r="AD1798">
        <v>17</v>
      </c>
      <c r="AE1798">
        <v>18</v>
      </c>
      <c r="AX1798">
        <v>103</v>
      </c>
      <c r="AY1798">
        <v>133</v>
      </c>
      <c r="AZ1798">
        <v>236</v>
      </c>
      <c r="BA1798">
        <v>130</v>
      </c>
      <c r="BB1798">
        <v>106</v>
      </c>
      <c r="BC1798">
        <v>236</v>
      </c>
      <c r="BD1798">
        <v>35</v>
      </c>
      <c r="BE1798">
        <v>29</v>
      </c>
      <c r="BF1798">
        <v>64</v>
      </c>
      <c r="BP1798">
        <v>125</v>
      </c>
      <c r="BR1798">
        <v>32</v>
      </c>
      <c r="BS1798">
        <v>8</v>
      </c>
      <c r="BT1798">
        <v>21</v>
      </c>
      <c r="BV1798">
        <v>82</v>
      </c>
      <c r="BW1798">
        <v>268</v>
      </c>
      <c r="BX1798">
        <f>IF(C1798=C1797,IF((CI1798-1)=CI1797,BW1797,"no data"))</f>
        <v>145</v>
      </c>
      <c r="BY1798" s="5">
        <f t="shared" si="197"/>
        <v>0.84827586206896555</v>
      </c>
      <c r="BZ1798" s="6">
        <f t="shared" ref="BZ1798:BZ1860" si="200">BY1798</f>
        <v>0.84827586206896555</v>
      </c>
      <c r="CA1798" s="7">
        <v>43779</v>
      </c>
      <c r="CE1798">
        <v>64</v>
      </c>
      <c r="CF1798">
        <v>82</v>
      </c>
      <c r="CG1798">
        <v>61</v>
      </c>
      <c r="CH1798">
        <v>61</v>
      </c>
      <c r="CI1798">
        <f t="shared" si="198"/>
        <v>2019</v>
      </c>
      <c r="CJ1798" t="str">
        <f t="shared" si="199"/>
        <v>6981_2019</v>
      </c>
    </row>
    <row r="1799" spans="1:88" x14ac:dyDescent="0.25">
      <c r="A1799" t="s">
        <v>111</v>
      </c>
      <c r="B1799" t="s">
        <v>129</v>
      </c>
      <c r="C1799">
        <v>6981</v>
      </c>
      <c r="D1799">
        <v>-37.858499999999999</v>
      </c>
      <c r="E1799">
        <v>144.8503</v>
      </c>
      <c r="F1799">
        <v>3</v>
      </c>
      <c r="G1799" t="s">
        <v>667</v>
      </c>
      <c r="H1799">
        <v>51</v>
      </c>
      <c r="I1799">
        <v>231</v>
      </c>
      <c r="J1799">
        <v>170</v>
      </c>
      <c r="K1799">
        <v>350</v>
      </c>
      <c r="L1799">
        <v>278</v>
      </c>
      <c r="M1799">
        <v>98</v>
      </c>
      <c r="T1799">
        <v>341</v>
      </c>
      <c r="U1799">
        <v>50</v>
      </c>
      <c r="Y1799">
        <v>298</v>
      </c>
      <c r="Z1799">
        <v>30</v>
      </c>
      <c r="AD1799">
        <v>44</v>
      </c>
      <c r="AE1799">
        <v>22</v>
      </c>
      <c r="AX1799">
        <v>391</v>
      </c>
      <c r="AY1799">
        <v>342</v>
      </c>
      <c r="AZ1799">
        <v>733</v>
      </c>
      <c r="BA1799">
        <v>328</v>
      </c>
      <c r="BB1799">
        <v>363</v>
      </c>
      <c r="BC1799">
        <v>691</v>
      </c>
      <c r="BD1799">
        <v>66</v>
      </c>
      <c r="BE1799">
        <v>80</v>
      </c>
      <c r="BF1799">
        <v>146</v>
      </c>
      <c r="BP1799">
        <v>253</v>
      </c>
      <c r="BR1799">
        <v>111</v>
      </c>
      <c r="BS1799">
        <v>27</v>
      </c>
      <c r="BT1799">
        <v>20</v>
      </c>
      <c r="BV1799">
        <v>374</v>
      </c>
      <c r="BW1799">
        <v>785</v>
      </c>
      <c r="BX1799">
        <f>IF(C1799=C1798,IF((CI1799-1)=CI1798,BW1798,"no data"))</f>
        <v>268</v>
      </c>
      <c r="BY1799" s="5">
        <f t="shared" si="197"/>
        <v>1.9291044776119404</v>
      </c>
      <c r="BZ1799" s="6">
        <f t="shared" si="200"/>
        <v>1.9291044776119404</v>
      </c>
      <c r="CA1799" s="7">
        <v>44143</v>
      </c>
      <c r="CE1799">
        <v>191</v>
      </c>
      <c r="CF1799">
        <v>241</v>
      </c>
      <c r="CG1799">
        <v>209</v>
      </c>
      <c r="CH1799">
        <v>144</v>
      </c>
      <c r="CI1799">
        <f t="shared" si="198"/>
        <v>2020</v>
      </c>
      <c r="CJ1799" t="str">
        <f t="shared" si="199"/>
        <v>6981_2020</v>
      </c>
    </row>
    <row r="1800" spans="1:88" x14ac:dyDescent="0.25">
      <c r="A1800" t="s">
        <v>111</v>
      </c>
      <c r="B1800" t="s">
        <v>129</v>
      </c>
      <c r="C1800">
        <v>6981</v>
      </c>
      <c r="D1800">
        <v>-37.858493000000003</v>
      </c>
      <c r="E1800">
        <v>144.85031000000001</v>
      </c>
      <c r="F1800">
        <v>3</v>
      </c>
      <c r="G1800" t="s">
        <v>667</v>
      </c>
      <c r="H1800">
        <v>51</v>
      </c>
      <c r="I1800">
        <v>231</v>
      </c>
      <c r="J1800">
        <v>170</v>
      </c>
      <c r="K1800">
        <v>350</v>
      </c>
      <c r="L1800">
        <v>278</v>
      </c>
      <c r="M1800">
        <v>98</v>
      </c>
      <c r="T1800">
        <v>189</v>
      </c>
      <c r="U1800">
        <v>36</v>
      </c>
      <c r="Y1800">
        <v>171</v>
      </c>
      <c r="Z1800">
        <v>8</v>
      </c>
      <c r="AD1800">
        <v>27</v>
      </c>
      <c r="AE1800">
        <v>13</v>
      </c>
      <c r="AX1800">
        <v>225</v>
      </c>
      <c r="AY1800">
        <v>198</v>
      </c>
      <c r="AZ1800">
        <v>423</v>
      </c>
      <c r="BA1800">
        <v>179</v>
      </c>
      <c r="BB1800">
        <v>202</v>
      </c>
      <c r="BC1800">
        <v>381</v>
      </c>
      <c r="BD1800">
        <v>40</v>
      </c>
      <c r="BE1800">
        <v>44</v>
      </c>
      <c r="BF1800">
        <v>84</v>
      </c>
      <c r="BP1800">
        <v>376</v>
      </c>
      <c r="BR1800">
        <v>34</v>
      </c>
      <c r="BS1800">
        <v>27</v>
      </c>
      <c r="BT1800">
        <v>5</v>
      </c>
      <c r="BV1800">
        <v>2</v>
      </c>
      <c r="BW1800">
        <v>444</v>
      </c>
      <c r="BX1800">
        <f>IF(C1800=C1799,IF((CI1800-1)=CI1799,BW1799,"no data"))</f>
        <v>785</v>
      </c>
      <c r="BY1800" s="5">
        <f t="shared" si="197"/>
        <v>-0.43439490445859874</v>
      </c>
      <c r="BZ1800" s="6">
        <f t="shared" si="200"/>
        <v>-0.43439490445859874</v>
      </c>
      <c r="CA1800" s="7">
        <v>44528</v>
      </c>
      <c r="CE1800">
        <v>180</v>
      </c>
      <c r="CF1800">
        <v>115</v>
      </c>
      <c r="CG1800">
        <v>149</v>
      </c>
      <c r="CI1800">
        <f t="shared" si="198"/>
        <v>2021</v>
      </c>
      <c r="CJ1800" t="str">
        <f t="shared" si="199"/>
        <v>6981_2021</v>
      </c>
    </row>
    <row r="1801" spans="1:88" x14ac:dyDescent="0.25">
      <c r="A1801" t="s">
        <v>111</v>
      </c>
      <c r="B1801" t="s">
        <v>129</v>
      </c>
      <c r="C1801">
        <v>6982</v>
      </c>
      <c r="D1801">
        <v>-37.871144000000001</v>
      </c>
      <c r="E1801">
        <v>144.90486999999999</v>
      </c>
      <c r="F1801">
        <v>4</v>
      </c>
      <c r="G1801" t="s">
        <v>668</v>
      </c>
      <c r="H1801">
        <v>75</v>
      </c>
      <c r="I1801">
        <v>255</v>
      </c>
      <c r="J1801">
        <v>184</v>
      </c>
      <c r="K1801">
        <v>4</v>
      </c>
      <c r="L1801">
        <v>227</v>
      </c>
      <c r="M1801">
        <v>47</v>
      </c>
      <c r="N1801">
        <v>340</v>
      </c>
      <c r="O1801">
        <v>160</v>
      </c>
      <c r="T1801">
        <v>21</v>
      </c>
      <c r="U1801">
        <v>84</v>
      </c>
      <c r="V1801">
        <v>20</v>
      </c>
      <c r="Y1801">
        <v>52</v>
      </c>
      <c r="Z1801">
        <v>38</v>
      </c>
      <c r="AA1801">
        <v>19</v>
      </c>
      <c r="AD1801">
        <v>103</v>
      </c>
      <c r="AE1801">
        <v>30</v>
      </c>
      <c r="AF1801">
        <v>15</v>
      </c>
      <c r="AI1801">
        <v>10</v>
      </c>
      <c r="AJ1801">
        <v>21</v>
      </c>
      <c r="AK1801">
        <v>13</v>
      </c>
      <c r="AX1801">
        <v>125</v>
      </c>
      <c r="AY1801">
        <v>165</v>
      </c>
      <c r="AZ1801">
        <v>290</v>
      </c>
      <c r="BA1801">
        <v>109</v>
      </c>
      <c r="BB1801">
        <v>72</v>
      </c>
      <c r="BC1801">
        <v>181</v>
      </c>
      <c r="BD1801">
        <v>148</v>
      </c>
      <c r="BE1801">
        <v>135</v>
      </c>
      <c r="BF1801">
        <v>283</v>
      </c>
      <c r="BG1801">
        <v>44</v>
      </c>
      <c r="BH1801">
        <v>54</v>
      </c>
      <c r="BI1801">
        <v>98</v>
      </c>
      <c r="BP1801">
        <v>41</v>
      </c>
      <c r="BR1801">
        <v>212</v>
      </c>
      <c r="BS1801">
        <v>58</v>
      </c>
      <c r="BT1801">
        <v>112</v>
      </c>
      <c r="BV1801">
        <v>3</v>
      </c>
      <c r="BW1801">
        <v>426</v>
      </c>
      <c r="BX1801" t="s">
        <v>82</v>
      </c>
      <c r="BY1801" s="5"/>
      <c r="BZ1801" s="6"/>
      <c r="CA1801" s="7">
        <v>42687</v>
      </c>
      <c r="CE1801">
        <v>139</v>
      </c>
      <c r="CF1801">
        <v>110</v>
      </c>
      <c r="CG1801">
        <v>107</v>
      </c>
      <c r="CH1801">
        <v>70</v>
      </c>
      <c r="CI1801">
        <f t="shared" si="198"/>
        <v>2016</v>
      </c>
      <c r="CJ1801" t="str">
        <f t="shared" si="199"/>
        <v>6982_2016</v>
      </c>
    </row>
    <row r="1802" spans="1:88" x14ac:dyDescent="0.25">
      <c r="A1802" t="s">
        <v>111</v>
      </c>
      <c r="B1802" t="s">
        <v>129</v>
      </c>
      <c r="C1802">
        <v>6982</v>
      </c>
      <c r="D1802">
        <v>-37.871144000000001</v>
      </c>
      <c r="E1802">
        <v>144.90486999999999</v>
      </c>
      <c r="F1802">
        <v>4</v>
      </c>
      <c r="G1802" t="s">
        <v>668</v>
      </c>
      <c r="H1802">
        <v>75</v>
      </c>
      <c r="I1802">
        <v>255</v>
      </c>
      <c r="J1802">
        <v>184</v>
      </c>
      <c r="K1802">
        <v>4</v>
      </c>
      <c r="L1802">
        <v>227</v>
      </c>
      <c r="M1802">
        <v>47</v>
      </c>
      <c r="N1802">
        <v>340</v>
      </c>
      <c r="O1802">
        <v>160</v>
      </c>
      <c r="T1802">
        <v>24</v>
      </c>
      <c r="U1802">
        <v>226</v>
      </c>
      <c r="V1802">
        <v>17</v>
      </c>
      <c r="Y1802">
        <v>43</v>
      </c>
      <c r="Z1802">
        <v>44</v>
      </c>
      <c r="AA1802">
        <v>19</v>
      </c>
      <c r="AD1802">
        <v>181</v>
      </c>
      <c r="AE1802">
        <v>15</v>
      </c>
      <c r="AF1802">
        <v>24</v>
      </c>
      <c r="AI1802">
        <v>15</v>
      </c>
      <c r="AJ1802">
        <v>25</v>
      </c>
      <c r="AK1802">
        <v>23</v>
      </c>
      <c r="AX1802">
        <v>267</v>
      </c>
      <c r="AY1802">
        <v>239</v>
      </c>
      <c r="AZ1802">
        <v>506</v>
      </c>
      <c r="BA1802">
        <v>106</v>
      </c>
      <c r="BB1802">
        <v>64</v>
      </c>
      <c r="BC1802">
        <v>170</v>
      </c>
      <c r="BD1802">
        <v>220</v>
      </c>
      <c r="BE1802">
        <v>293</v>
      </c>
      <c r="BF1802">
        <v>513</v>
      </c>
      <c r="BG1802">
        <v>63</v>
      </c>
      <c r="BH1802">
        <v>60</v>
      </c>
      <c r="BI1802">
        <v>123</v>
      </c>
      <c r="BP1802">
        <v>224</v>
      </c>
      <c r="BR1802">
        <v>288</v>
      </c>
      <c r="BS1802">
        <v>75</v>
      </c>
      <c r="BT1802">
        <v>58</v>
      </c>
      <c r="BV1802">
        <v>11</v>
      </c>
      <c r="BW1802">
        <v>656</v>
      </c>
      <c r="BX1802">
        <f>IF(C1802=C1801,IF((CI1802-1)=CI1801,BW1801,"no data"))</f>
        <v>426</v>
      </c>
      <c r="BY1802" s="5">
        <f t="shared" si="197"/>
        <v>0.539906103286385</v>
      </c>
      <c r="BZ1802" s="6">
        <f t="shared" si="200"/>
        <v>0.539906103286385</v>
      </c>
      <c r="CA1802" s="7">
        <v>43051</v>
      </c>
      <c r="CE1802">
        <v>173</v>
      </c>
      <c r="CF1802">
        <v>170</v>
      </c>
      <c r="CG1802">
        <v>171</v>
      </c>
      <c r="CH1802">
        <v>142</v>
      </c>
      <c r="CI1802">
        <f t="shared" si="198"/>
        <v>2017</v>
      </c>
      <c r="CJ1802" t="str">
        <f t="shared" si="199"/>
        <v>6982_2017</v>
      </c>
    </row>
    <row r="1803" spans="1:88" x14ac:dyDescent="0.25">
      <c r="A1803" t="s">
        <v>111</v>
      </c>
      <c r="B1803" t="s">
        <v>129</v>
      </c>
      <c r="C1803">
        <v>6982</v>
      </c>
      <c r="D1803">
        <v>-37.871144000000001</v>
      </c>
      <c r="E1803">
        <v>144.90486999999999</v>
      </c>
      <c r="F1803">
        <v>4</v>
      </c>
      <c r="G1803" t="s">
        <v>668</v>
      </c>
      <c r="H1803">
        <v>75</v>
      </c>
      <c r="I1803">
        <v>255</v>
      </c>
      <c r="J1803">
        <v>184</v>
      </c>
      <c r="K1803">
        <v>4</v>
      </c>
      <c r="L1803">
        <v>227</v>
      </c>
      <c r="M1803">
        <v>47</v>
      </c>
      <c r="N1803">
        <v>340</v>
      </c>
      <c r="O1803">
        <v>160</v>
      </c>
      <c r="T1803">
        <v>63</v>
      </c>
      <c r="U1803">
        <v>262</v>
      </c>
      <c r="V1803">
        <v>164</v>
      </c>
      <c r="Y1803">
        <v>149</v>
      </c>
      <c r="Z1803">
        <v>55</v>
      </c>
      <c r="AA1803">
        <v>22</v>
      </c>
      <c r="AD1803">
        <v>307</v>
      </c>
      <c r="AE1803">
        <v>8</v>
      </c>
      <c r="AF1803">
        <v>13</v>
      </c>
      <c r="AI1803">
        <v>152</v>
      </c>
      <c r="AJ1803">
        <v>33</v>
      </c>
      <c r="AK1803">
        <v>51</v>
      </c>
      <c r="AX1803">
        <v>489</v>
      </c>
      <c r="AY1803">
        <v>608</v>
      </c>
      <c r="AZ1803">
        <v>1097</v>
      </c>
      <c r="BA1803">
        <v>226</v>
      </c>
      <c r="BB1803">
        <v>104</v>
      </c>
      <c r="BC1803">
        <v>330</v>
      </c>
      <c r="BD1803">
        <v>328</v>
      </c>
      <c r="BE1803">
        <v>368</v>
      </c>
      <c r="BF1803">
        <v>696</v>
      </c>
      <c r="BG1803">
        <v>236</v>
      </c>
      <c r="BH1803">
        <v>199</v>
      </c>
      <c r="BI1803">
        <v>435</v>
      </c>
      <c r="BP1803">
        <v>461</v>
      </c>
      <c r="BR1803">
        <v>485</v>
      </c>
      <c r="BS1803">
        <v>123</v>
      </c>
      <c r="BT1803">
        <v>179</v>
      </c>
      <c r="BV1803">
        <v>31</v>
      </c>
      <c r="BW1803">
        <v>1279</v>
      </c>
      <c r="BX1803">
        <f>IF(C1803=C1802,IF((CI1803-1)=CI1802,BW1802,"no data"))</f>
        <v>656</v>
      </c>
      <c r="BY1803" s="5">
        <f t="shared" si="197"/>
        <v>0.94969512195121952</v>
      </c>
      <c r="BZ1803" s="6">
        <f t="shared" si="200"/>
        <v>0.94969512195121952</v>
      </c>
      <c r="CA1803" s="7">
        <v>43415</v>
      </c>
      <c r="CE1803">
        <v>372</v>
      </c>
      <c r="CF1803">
        <v>331</v>
      </c>
      <c r="CG1803">
        <v>321</v>
      </c>
      <c r="CH1803">
        <v>255</v>
      </c>
      <c r="CI1803">
        <f t="shared" si="198"/>
        <v>2018</v>
      </c>
      <c r="CJ1803" t="str">
        <f t="shared" si="199"/>
        <v>6982_2018</v>
      </c>
    </row>
    <row r="1804" spans="1:88" x14ac:dyDescent="0.25">
      <c r="A1804" t="s">
        <v>111</v>
      </c>
      <c r="B1804" t="s">
        <v>129</v>
      </c>
      <c r="C1804">
        <v>6982</v>
      </c>
      <c r="D1804">
        <v>-37.871099999999998</v>
      </c>
      <c r="E1804">
        <v>144.9049</v>
      </c>
      <c r="F1804">
        <v>4</v>
      </c>
      <c r="G1804" t="s">
        <v>668</v>
      </c>
      <c r="H1804">
        <v>75</v>
      </c>
      <c r="I1804">
        <v>255</v>
      </c>
      <c r="J1804">
        <v>184</v>
      </c>
      <c r="K1804">
        <v>4</v>
      </c>
      <c r="L1804">
        <v>227</v>
      </c>
      <c r="M1804">
        <v>47</v>
      </c>
      <c r="N1804">
        <v>340</v>
      </c>
      <c r="O1804">
        <v>160</v>
      </c>
      <c r="T1804">
        <v>56</v>
      </c>
      <c r="U1804">
        <v>219</v>
      </c>
      <c r="Y1804">
        <v>101</v>
      </c>
      <c r="Z1804">
        <v>0</v>
      </c>
      <c r="AD1804">
        <v>222</v>
      </c>
      <c r="AE1804">
        <v>25</v>
      </c>
      <c r="AX1804">
        <v>275</v>
      </c>
      <c r="AY1804">
        <v>323</v>
      </c>
      <c r="AZ1804">
        <v>598</v>
      </c>
      <c r="BA1804">
        <v>101</v>
      </c>
      <c r="BB1804">
        <v>81</v>
      </c>
      <c r="BC1804">
        <v>182</v>
      </c>
      <c r="BD1804">
        <v>247</v>
      </c>
      <c r="BE1804">
        <v>219</v>
      </c>
      <c r="BF1804">
        <v>466</v>
      </c>
      <c r="BP1804">
        <v>98</v>
      </c>
      <c r="BR1804">
        <v>333</v>
      </c>
      <c r="BS1804">
        <v>66</v>
      </c>
      <c r="BT1804">
        <v>110</v>
      </c>
      <c r="BV1804">
        <v>16</v>
      </c>
      <c r="BW1804">
        <v>623</v>
      </c>
      <c r="BX1804">
        <f>IF(C1804=C1803,IF((CI1804-1)=CI1803,BW1803,"no data"))</f>
        <v>1279</v>
      </c>
      <c r="BY1804" s="5">
        <f t="shared" si="197"/>
        <v>-0.51290070367474594</v>
      </c>
      <c r="BZ1804" s="6">
        <f t="shared" si="200"/>
        <v>-0.51290070367474594</v>
      </c>
      <c r="CA1804" s="7">
        <v>43779</v>
      </c>
      <c r="CE1804">
        <v>175</v>
      </c>
      <c r="CF1804">
        <v>151</v>
      </c>
      <c r="CG1804">
        <v>154</v>
      </c>
      <c r="CH1804">
        <v>143</v>
      </c>
      <c r="CI1804">
        <f t="shared" si="198"/>
        <v>2019</v>
      </c>
      <c r="CJ1804" t="str">
        <f t="shared" si="199"/>
        <v>6982_2019</v>
      </c>
    </row>
    <row r="1805" spans="1:88" x14ac:dyDescent="0.25">
      <c r="A1805" t="s">
        <v>111</v>
      </c>
      <c r="B1805" t="s">
        <v>129</v>
      </c>
      <c r="C1805">
        <v>6982</v>
      </c>
      <c r="D1805">
        <v>-37.871099999999998</v>
      </c>
      <c r="E1805">
        <v>144.9049</v>
      </c>
      <c r="F1805">
        <v>4</v>
      </c>
      <c r="G1805" t="s">
        <v>668</v>
      </c>
      <c r="H1805">
        <v>75</v>
      </c>
      <c r="I1805">
        <v>255</v>
      </c>
      <c r="J1805">
        <v>184</v>
      </c>
      <c r="K1805">
        <v>4</v>
      </c>
      <c r="L1805">
        <v>227</v>
      </c>
      <c r="M1805">
        <v>47</v>
      </c>
      <c r="N1805">
        <v>340</v>
      </c>
      <c r="O1805">
        <v>160</v>
      </c>
      <c r="T1805">
        <v>74</v>
      </c>
      <c r="U1805">
        <v>347</v>
      </c>
      <c r="V1805">
        <v>367</v>
      </c>
      <c r="Y1805">
        <v>100</v>
      </c>
      <c r="Z1805">
        <v>14</v>
      </c>
      <c r="AA1805">
        <v>70</v>
      </c>
      <c r="AD1805">
        <v>344</v>
      </c>
      <c r="AE1805">
        <v>2</v>
      </c>
      <c r="AF1805">
        <v>123</v>
      </c>
      <c r="AI1805">
        <v>389</v>
      </c>
      <c r="AJ1805">
        <v>105</v>
      </c>
      <c r="AK1805">
        <v>74</v>
      </c>
      <c r="AX1805">
        <v>788</v>
      </c>
      <c r="AY1805">
        <v>833</v>
      </c>
      <c r="AZ1805">
        <v>1621</v>
      </c>
      <c r="BA1805">
        <v>184</v>
      </c>
      <c r="BB1805">
        <v>181</v>
      </c>
      <c r="BC1805">
        <v>365</v>
      </c>
      <c r="BD1805">
        <v>469</v>
      </c>
      <c r="BE1805">
        <v>435</v>
      </c>
      <c r="BF1805">
        <v>904</v>
      </c>
      <c r="BG1805">
        <v>568</v>
      </c>
      <c r="BH1805">
        <v>560</v>
      </c>
      <c r="BI1805">
        <v>1128</v>
      </c>
      <c r="BP1805">
        <v>1053</v>
      </c>
      <c r="BR1805">
        <v>712</v>
      </c>
      <c r="BS1805">
        <v>93</v>
      </c>
      <c r="BT1805">
        <v>127</v>
      </c>
      <c r="BV1805">
        <v>24</v>
      </c>
      <c r="BW1805">
        <v>2009</v>
      </c>
      <c r="BX1805">
        <f>IF(C1805=C1804,IF((CI1805-1)=CI1804,BW1804,"no data"))</f>
        <v>623</v>
      </c>
      <c r="BY1805" s="5">
        <f t="shared" si="197"/>
        <v>2.2247191011235956</v>
      </c>
      <c r="BZ1805" s="6">
        <f t="shared" si="200"/>
        <v>2.2247191011235956</v>
      </c>
      <c r="CA1805" s="7">
        <v>44143</v>
      </c>
      <c r="CE1805">
        <v>554</v>
      </c>
      <c r="CF1805">
        <v>487</v>
      </c>
      <c r="CG1805">
        <v>485</v>
      </c>
      <c r="CH1805">
        <v>483</v>
      </c>
      <c r="CI1805">
        <f t="shared" si="198"/>
        <v>2020</v>
      </c>
      <c r="CJ1805" t="str">
        <f t="shared" si="199"/>
        <v>6982_2020</v>
      </c>
    </row>
    <row r="1806" spans="1:88" x14ac:dyDescent="0.25">
      <c r="A1806" t="s">
        <v>111</v>
      </c>
      <c r="B1806" t="s">
        <v>129</v>
      </c>
      <c r="C1806">
        <v>6982</v>
      </c>
      <c r="D1806">
        <v>-37.871144000000001</v>
      </c>
      <c r="E1806">
        <v>144.90486999999999</v>
      </c>
      <c r="F1806">
        <v>4</v>
      </c>
      <c r="G1806" t="s">
        <v>668</v>
      </c>
      <c r="H1806">
        <v>75</v>
      </c>
      <c r="I1806">
        <v>255</v>
      </c>
      <c r="J1806">
        <v>184</v>
      </c>
      <c r="K1806">
        <v>4</v>
      </c>
      <c r="L1806">
        <v>227</v>
      </c>
      <c r="M1806">
        <v>47</v>
      </c>
      <c r="N1806">
        <v>340</v>
      </c>
      <c r="O1806">
        <v>160</v>
      </c>
      <c r="T1806">
        <v>59</v>
      </c>
      <c r="U1806">
        <v>206</v>
      </c>
      <c r="V1806">
        <v>215</v>
      </c>
      <c r="Y1806">
        <v>86</v>
      </c>
      <c r="Z1806">
        <v>22</v>
      </c>
      <c r="AA1806">
        <v>38</v>
      </c>
      <c r="AD1806">
        <v>233</v>
      </c>
      <c r="AE1806">
        <v>21</v>
      </c>
      <c r="AF1806">
        <v>42</v>
      </c>
      <c r="AI1806">
        <v>185</v>
      </c>
      <c r="AJ1806">
        <v>63</v>
      </c>
      <c r="AK1806">
        <v>30</v>
      </c>
      <c r="AX1806">
        <v>480</v>
      </c>
      <c r="AY1806">
        <v>504</v>
      </c>
      <c r="AZ1806">
        <v>984</v>
      </c>
      <c r="BA1806">
        <v>146</v>
      </c>
      <c r="BB1806">
        <v>143</v>
      </c>
      <c r="BC1806">
        <v>289</v>
      </c>
      <c r="BD1806">
        <v>296</v>
      </c>
      <c r="BE1806">
        <v>258</v>
      </c>
      <c r="BF1806">
        <v>554</v>
      </c>
      <c r="BG1806">
        <v>278</v>
      </c>
      <c r="BH1806">
        <v>295</v>
      </c>
      <c r="BI1806">
        <v>573</v>
      </c>
      <c r="BP1806">
        <v>560</v>
      </c>
      <c r="BR1806">
        <v>381</v>
      </c>
      <c r="BS1806">
        <v>139</v>
      </c>
      <c r="BT1806">
        <v>115</v>
      </c>
      <c r="BV1806">
        <v>5</v>
      </c>
      <c r="BW1806">
        <v>1200</v>
      </c>
      <c r="BX1806">
        <f>IF(C1806=C1805,IF((CI1806-1)=CI1805,BW1805,"no data"))</f>
        <v>2009</v>
      </c>
      <c r="BY1806" s="5">
        <f t="shared" si="197"/>
        <v>-0.40268790443006469</v>
      </c>
      <c r="BZ1806" s="6">
        <f t="shared" si="200"/>
        <v>-0.40268790443006469</v>
      </c>
      <c r="CA1806" s="7">
        <v>44528</v>
      </c>
      <c r="CE1806">
        <v>484</v>
      </c>
      <c r="CF1806">
        <v>365</v>
      </c>
      <c r="CG1806">
        <v>351</v>
      </c>
      <c r="CI1806">
        <f t="shared" si="198"/>
        <v>2021</v>
      </c>
      <c r="CJ1806" t="str">
        <f t="shared" si="199"/>
        <v>6982_2021</v>
      </c>
    </row>
    <row r="1807" spans="1:88" x14ac:dyDescent="0.25">
      <c r="A1807" t="s">
        <v>111</v>
      </c>
      <c r="B1807" t="s">
        <v>418</v>
      </c>
      <c r="C1807">
        <v>6983</v>
      </c>
      <c r="D1807">
        <v>-37.803227</v>
      </c>
      <c r="E1807">
        <v>144.90826999999999</v>
      </c>
      <c r="F1807">
        <v>2</v>
      </c>
      <c r="G1807" t="s">
        <v>669</v>
      </c>
      <c r="H1807">
        <v>18</v>
      </c>
      <c r="I1807">
        <v>198</v>
      </c>
      <c r="J1807">
        <v>201</v>
      </c>
      <c r="K1807">
        <v>21</v>
      </c>
      <c r="T1807">
        <v>162</v>
      </c>
      <c r="Y1807">
        <v>114</v>
      </c>
      <c r="AX1807">
        <v>162</v>
      </c>
      <c r="AY1807">
        <v>114</v>
      </c>
      <c r="AZ1807">
        <v>276</v>
      </c>
      <c r="BA1807">
        <v>114</v>
      </c>
      <c r="BB1807">
        <v>162</v>
      </c>
      <c r="BC1807">
        <v>276</v>
      </c>
      <c r="BP1807">
        <v>93</v>
      </c>
      <c r="BR1807">
        <v>79</v>
      </c>
      <c r="BS1807">
        <v>37</v>
      </c>
      <c r="BT1807">
        <v>19</v>
      </c>
      <c r="BV1807">
        <v>48</v>
      </c>
      <c r="BW1807">
        <v>276</v>
      </c>
      <c r="BX1807" t="s">
        <v>82</v>
      </c>
      <c r="BY1807" s="5"/>
      <c r="BZ1807" s="6"/>
      <c r="CA1807" s="7">
        <v>42687</v>
      </c>
      <c r="CE1807">
        <v>68</v>
      </c>
      <c r="CF1807">
        <v>61</v>
      </c>
      <c r="CG1807">
        <v>87</v>
      </c>
      <c r="CH1807">
        <v>60</v>
      </c>
      <c r="CI1807">
        <f t="shared" si="198"/>
        <v>2016</v>
      </c>
      <c r="CJ1807" t="str">
        <f t="shared" si="199"/>
        <v>6983_2016</v>
      </c>
    </row>
    <row r="1808" spans="1:88" x14ac:dyDescent="0.25">
      <c r="A1808" t="s">
        <v>111</v>
      </c>
      <c r="B1808" t="s">
        <v>418</v>
      </c>
      <c r="C1808">
        <v>6983</v>
      </c>
      <c r="D1808">
        <v>-37.803227</v>
      </c>
      <c r="E1808">
        <v>144.90826999999999</v>
      </c>
      <c r="F1808">
        <v>2</v>
      </c>
      <c r="G1808" t="s">
        <v>669</v>
      </c>
      <c r="H1808">
        <v>18</v>
      </c>
      <c r="I1808">
        <v>198</v>
      </c>
      <c r="J1808">
        <v>201</v>
      </c>
      <c r="K1808">
        <v>21</v>
      </c>
      <c r="T1808">
        <v>245</v>
      </c>
      <c r="Y1808">
        <v>299</v>
      </c>
      <c r="AX1808">
        <v>245</v>
      </c>
      <c r="AY1808">
        <v>299</v>
      </c>
      <c r="AZ1808">
        <v>544</v>
      </c>
      <c r="BA1808">
        <v>299</v>
      </c>
      <c r="BB1808">
        <v>245</v>
      </c>
      <c r="BC1808">
        <v>544</v>
      </c>
      <c r="BP1808">
        <v>350</v>
      </c>
      <c r="BR1808">
        <v>127</v>
      </c>
      <c r="BS1808">
        <v>29</v>
      </c>
      <c r="BT1808">
        <v>22</v>
      </c>
      <c r="BV1808">
        <v>16</v>
      </c>
      <c r="BW1808">
        <v>544</v>
      </c>
      <c r="BX1808">
        <f t="shared" ref="BX1808:BX1813" si="201">IF(C1808=C1807,IF((CI1808-1)=CI1807,BW1807,"no data"))</f>
        <v>276</v>
      </c>
      <c r="BY1808" s="5">
        <f t="shared" si="197"/>
        <v>0.97101449275362317</v>
      </c>
      <c r="BZ1808" s="6">
        <f t="shared" si="200"/>
        <v>0.97101449275362317</v>
      </c>
      <c r="CA1808" s="7">
        <v>43051</v>
      </c>
      <c r="CE1808">
        <v>134</v>
      </c>
      <c r="CF1808">
        <v>139</v>
      </c>
      <c r="CG1808">
        <v>130</v>
      </c>
      <c r="CH1808">
        <v>141</v>
      </c>
      <c r="CI1808">
        <f t="shared" si="198"/>
        <v>2017</v>
      </c>
      <c r="CJ1808" t="str">
        <f t="shared" si="199"/>
        <v>6983_2017</v>
      </c>
    </row>
    <row r="1809" spans="1:88" x14ac:dyDescent="0.25">
      <c r="A1809" t="s">
        <v>111</v>
      </c>
      <c r="B1809" t="s">
        <v>418</v>
      </c>
      <c r="C1809">
        <v>6983</v>
      </c>
      <c r="D1809">
        <v>-37.803199999999997</v>
      </c>
      <c r="E1809">
        <v>144.9083</v>
      </c>
      <c r="F1809">
        <v>2</v>
      </c>
      <c r="G1809" t="s">
        <v>669</v>
      </c>
      <c r="H1809">
        <v>18</v>
      </c>
      <c r="I1809">
        <v>198</v>
      </c>
      <c r="J1809">
        <v>201</v>
      </c>
      <c r="K1809">
        <v>21</v>
      </c>
      <c r="T1809">
        <v>292</v>
      </c>
      <c r="Y1809">
        <v>365</v>
      </c>
      <c r="AX1809">
        <v>292</v>
      </c>
      <c r="AY1809">
        <v>365</v>
      </c>
      <c r="AZ1809">
        <v>657</v>
      </c>
      <c r="BA1809">
        <v>365</v>
      </c>
      <c r="BB1809">
        <v>292</v>
      </c>
      <c r="BC1809">
        <v>657</v>
      </c>
      <c r="BP1809">
        <v>411</v>
      </c>
      <c r="BR1809">
        <v>151</v>
      </c>
      <c r="BS1809">
        <v>58</v>
      </c>
      <c r="BT1809">
        <v>26</v>
      </c>
      <c r="BV1809">
        <v>11</v>
      </c>
      <c r="BW1809">
        <v>657</v>
      </c>
      <c r="BX1809">
        <f t="shared" si="201"/>
        <v>544</v>
      </c>
      <c r="BY1809" s="5">
        <f t="shared" si="197"/>
        <v>0.20772058823529413</v>
      </c>
      <c r="BZ1809" s="6">
        <f t="shared" si="200"/>
        <v>0.20772058823529413</v>
      </c>
      <c r="CA1809" s="7">
        <v>43415</v>
      </c>
      <c r="CE1809">
        <v>203</v>
      </c>
      <c r="CF1809">
        <v>168</v>
      </c>
      <c r="CG1809">
        <v>159</v>
      </c>
      <c r="CH1809">
        <v>127</v>
      </c>
      <c r="CI1809">
        <f t="shared" si="198"/>
        <v>2018</v>
      </c>
      <c r="CJ1809" t="str">
        <f t="shared" si="199"/>
        <v>6983_2018</v>
      </c>
    </row>
    <row r="1810" spans="1:88" x14ac:dyDescent="0.25">
      <c r="A1810" t="s">
        <v>111</v>
      </c>
      <c r="B1810" t="s">
        <v>418</v>
      </c>
      <c r="C1810">
        <v>6983</v>
      </c>
      <c r="D1810">
        <v>-37.803199999999997</v>
      </c>
      <c r="E1810">
        <v>144.9083</v>
      </c>
      <c r="F1810">
        <v>2</v>
      </c>
      <c r="G1810" t="s">
        <v>669</v>
      </c>
      <c r="H1810">
        <v>18</v>
      </c>
      <c r="I1810">
        <v>198</v>
      </c>
      <c r="J1810">
        <v>201</v>
      </c>
      <c r="K1810">
        <v>21</v>
      </c>
      <c r="T1810">
        <v>267</v>
      </c>
      <c r="Y1810">
        <v>334</v>
      </c>
      <c r="AX1810">
        <v>267</v>
      </c>
      <c r="AY1810">
        <v>334</v>
      </c>
      <c r="AZ1810">
        <v>601</v>
      </c>
      <c r="BA1810">
        <v>334</v>
      </c>
      <c r="BB1810">
        <v>267</v>
      </c>
      <c r="BC1810">
        <v>601</v>
      </c>
      <c r="BP1810">
        <v>282</v>
      </c>
      <c r="BR1810">
        <v>181</v>
      </c>
      <c r="BS1810">
        <v>66</v>
      </c>
      <c r="BT1810">
        <v>52</v>
      </c>
      <c r="BV1810">
        <v>20</v>
      </c>
      <c r="BW1810">
        <v>601</v>
      </c>
      <c r="BX1810">
        <f t="shared" si="201"/>
        <v>657</v>
      </c>
      <c r="BY1810" s="5">
        <f t="shared" si="197"/>
        <v>-8.5235920852359204E-2</v>
      </c>
      <c r="BZ1810" s="6">
        <f t="shared" si="200"/>
        <v>-8.5235920852359204E-2</v>
      </c>
      <c r="CA1810" s="7">
        <v>43779</v>
      </c>
      <c r="CE1810">
        <v>138</v>
      </c>
      <c r="CF1810">
        <v>143</v>
      </c>
      <c r="CG1810">
        <v>150</v>
      </c>
      <c r="CH1810">
        <v>170</v>
      </c>
      <c r="CI1810">
        <f t="shared" si="198"/>
        <v>2019</v>
      </c>
      <c r="CJ1810" t="str">
        <f t="shared" si="199"/>
        <v>6983_2019</v>
      </c>
    </row>
    <row r="1811" spans="1:88" x14ac:dyDescent="0.25">
      <c r="A1811" t="s">
        <v>111</v>
      </c>
      <c r="B1811" t="s">
        <v>418</v>
      </c>
      <c r="C1811">
        <v>6983</v>
      </c>
      <c r="D1811">
        <v>-37.803199999999997</v>
      </c>
      <c r="E1811">
        <v>144.9083</v>
      </c>
      <c r="F1811">
        <v>2</v>
      </c>
      <c r="G1811" t="s">
        <v>669</v>
      </c>
      <c r="H1811">
        <v>18</v>
      </c>
      <c r="I1811">
        <v>198</v>
      </c>
      <c r="J1811">
        <v>201</v>
      </c>
      <c r="K1811">
        <v>21</v>
      </c>
      <c r="T1811">
        <v>314</v>
      </c>
      <c r="Y1811">
        <v>335</v>
      </c>
      <c r="AX1811">
        <v>314</v>
      </c>
      <c r="AY1811">
        <v>335</v>
      </c>
      <c r="AZ1811">
        <v>649</v>
      </c>
      <c r="BA1811">
        <v>335</v>
      </c>
      <c r="BB1811">
        <v>314</v>
      </c>
      <c r="BC1811">
        <v>649</v>
      </c>
      <c r="BP1811">
        <v>507</v>
      </c>
      <c r="BR1811">
        <v>94</v>
      </c>
      <c r="BS1811">
        <v>30</v>
      </c>
      <c r="BT1811">
        <v>18</v>
      </c>
      <c r="BV1811">
        <v>0</v>
      </c>
      <c r="BW1811">
        <v>649</v>
      </c>
      <c r="BX1811">
        <f t="shared" si="201"/>
        <v>601</v>
      </c>
      <c r="BY1811" s="5">
        <f t="shared" si="197"/>
        <v>7.9866888519134774E-2</v>
      </c>
      <c r="BZ1811" s="6">
        <f t="shared" si="200"/>
        <v>7.9866888519134774E-2</v>
      </c>
      <c r="CA1811" s="7">
        <v>44143</v>
      </c>
      <c r="CE1811">
        <v>205</v>
      </c>
      <c r="CF1811">
        <v>156</v>
      </c>
      <c r="CG1811">
        <v>159</v>
      </c>
      <c r="CH1811">
        <v>129</v>
      </c>
      <c r="CI1811">
        <f t="shared" si="198"/>
        <v>2020</v>
      </c>
      <c r="CJ1811" t="str">
        <f t="shared" si="199"/>
        <v>6983_2020</v>
      </c>
    </row>
    <row r="1812" spans="1:88" x14ac:dyDescent="0.25">
      <c r="A1812" t="s">
        <v>111</v>
      </c>
      <c r="B1812" t="s">
        <v>418</v>
      </c>
      <c r="C1812">
        <v>6983</v>
      </c>
      <c r="D1812">
        <v>-37.803227</v>
      </c>
      <c r="E1812">
        <v>144.90826999999999</v>
      </c>
      <c r="F1812">
        <v>2</v>
      </c>
      <c r="G1812" t="s">
        <v>669</v>
      </c>
      <c r="H1812">
        <v>18</v>
      </c>
      <c r="I1812">
        <v>198</v>
      </c>
      <c r="J1812">
        <v>201</v>
      </c>
      <c r="K1812">
        <v>21</v>
      </c>
      <c r="T1812">
        <v>94</v>
      </c>
      <c r="Y1812">
        <v>87</v>
      </c>
      <c r="AX1812">
        <v>94</v>
      </c>
      <c r="AY1812">
        <v>87</v>
      </c>
      <c r="AZ1812">
        <v>181</v>
      </c>
      <c r="BA1812">
        <v>87</v>
      </c>
      <c r="BB1812">
        <v>94</v>
      </c>
      <c r="BC1812">
        <v>181</v>
      </c>
      <c r="BP1812">
        <v>52</v>
      </c>
      <c r="BR1812">
        <v>74</v>
      </c>
      <c r="BS1812">
        <v>18</v>
      </c>
      <c r="BT1812">
        <v>27</v>
      </c>
      <c r="BV1812">
        <v>10</v>
      </c>
      <c r="BW1812">
        <v>181</v>
      </c>
      <c r="BX1812">
        <f t="shared" si="201"/>
        <v>649</v>
      </c>
      <c r="BY1812" s="5">
        <f t="shared" ref="BY1812:BY1860" si="202">(BW1812-BX1812)/BX1812</f>
        <v>-0.72110939907550076</v>
      </c>
      <c r="BZ1812" s="6">
        <f t="shared" si="200"/>
        <v>-0.72110939907550076</v>
      </c>
      <c r="CA1812" s="7">
        <v>44528</v>
      </c>
      <c r="CE1812">
        <v>87</v>
      </c>
      <c r="CF1812">
        <v>55</v>
      </c>
      <c r="CG1812">
        <v>39</v>
      </c>
      <c r="CI1812">
        <f t="shared" si="198"/>
        <v>2021</v>
      </c>
      <c r="CJ1812" t="str">
        <f t="shared" si="199"/>
        <v>6983_2021</v>
      </c>
    </row>
    <row r="1813" spans="1:88" x14ac:dyDescent="0.25">
      <c r="A1813" t="s">
        <v>111</v>
      </c>
      <c r="B1813" t="s">
        <v>418</v>
      </c>
      <c r="C1813">
        <v>6983</v>
      </c>
      <c r="D1813">
        <v>-37.803227</v>
      </c>
      <c r="E1813">
        <v>144.90826999999999</v>
      </c>
      <c r="F1813">
        <v>2</v>
      </c>
      <c r="G1813" t="s">
        <v>669</v>
      </c>
      <c r="H1813">
        <v>18</v>
      </c>
      <c r="I1813">
        <v>198</v>
      </c>
      <c r="J1813">
        <v>201</v>
      </c>
      <c r="K1813">
        <v>21</v>
      </c>
      <c r="T1813">
        <v>327</v>
      </c>
      <c r="Y1813">
        <v>324</v>
      </c>
      <c r="AX1813">
        <v>327</v>
      </c>
      <c r="AY1813">
        <v>324</v>
      </c>
      <c r="AZ1813">
        <v>651</v>
      </c>
      <c r="BA1813">
        <v>324</v>
      </c>
      <c r="BB1813">
        <v>327</v>
      </c>
      <c r="BC1813">
        <v>651</v>
      </c>
      <c r="BP1813">
        <v>254</v>
      </c>
      <c r="BR1813">
        <v>234</v>
      </c>
      <c r="BS1813">
        <v>74</v>
      </c>
      <c r="BT1813">
        <v>71</v>
      </c>
      <c r="BU1813">
        <v>13</v>
      </c>
      <c r="BV1813">
        <v>5</v>
      </c>
      <c r="BW1813">
        <v>651</v>
      </c>
      <c r="BX1813">
        <f t="shared" si="201"/>
        <v>181</v>
      </c>
      <c r="BY1813" s="5">
        <f t="shared" si="202"/>
        <v>2.596685082872928</v>
      </c>
      <c r="BZ1813" s="6">
        <f t="shared" si="200"/>
        <v>2.596685082872928</v>
      </c>
      <c r="CA1813" s="7">
        <v>44878</v>
      </c>
      <c r="CE1813">
        <v>236</v>
      </c>
      <c r="CF1813">
        <v>244</v>
      </c>
      <c r="CG1813">
        <v>171</v>
      </c>
      <c r="CI1813">
        <f t="shared" si="198"/>
        <v>2022</v>
      </c>
      <c r="CJ1813" t="str">
        <f t="shared" si="199"/>
        <v>6983_2022</v>
      </c>
    </row>
    <row r="1814" spans="1:88" x14ac:dyDescent="0.25">
      <c r="A1814" t="s">
        <v>111</v>
      </c>
      <c r="B1814" t="s">
        <v>418</v>
      </c>
      <c r="C1814">
        <v>6984</v>
      </c>
      <c r="D1814">
        <v>-37.777645</v>
      </c>
      <c r="E1814">
        <v>144.89648</v>
      </c>
      <c r="F1814">
        <v>4</v>
      </c>
      <c r="G1814" t="s">
        <v>670</v>
      </c>
      <c r="H1814">
        <v>83</v>
      </c>
      <c r="I1814">
        <v>263</v>
      </c>
      <c r="J1814">
        <v>177</v>
      </c>
      <c r="K1814">
        <v>357</v>
      </c>
      <c r="L1814">
        <v>270</v>
      </c>
      <c r="M1814">
        <v>90</v>
      </c>
      <c r="N1814">
        <v>352</v>
      </c>
      <c r="O1814">
        <v>172</v>
      </c>
      <c r="T1814">
        <v>37</v>
      </c>
      <c r="U1814">
        <v>45</v>
      </c>
      <c r="V1814">
        <v>47</v>
      </c>
      <c r="Y1814">
        <v>36</v>
      </c>
      <c r="Z1814">
        <v>18</v>
      </c>
      <c r="AA1814">
        <v>137</v>
      </c>
      <c r="AD1814">
        <v>32</v>
      </c>
      <c r="AE1814">
        <v>15</v>
      </c>
      <c r="AF1814">
        <v>15</v>
      </c>
      <c r="AI1814">
        <v>48</v>
      </c>
      <c r="AJ1814">
        <v>106</v>
      </c>
      <c r="AK1814">
        <v>8</v>
      </c>
      <c r="AX1814">
        <v>129</v>
      </c>
      <c r="AY1814">
        <v>116</v>
      </c>
      <c r="AZ1814">
        <v>245</v>
      </c>
      <c r="BA1814">
        <v>191</v>
      </c>
      <c r="BB1814">
        <v>158</v>
      </c>
      <c r="BC1814">
        <v>349</v>
      </c>
      <c r="BD1814">
        <v>62</v>
      </c>
      <c r="BE1814">
        <v>71</v>
      </c>
      <c r="BF1814">
        <v>133</v>
      </c>
      <c r="BG1814">
        <v>162</v>
      </c>
      <c r="BH1814">
        <v>199</v>
      </c>
      <c r="BI1814">
        <v>361</v>
      </c>
      <c r="BP1814">
        <v>159</v>
      </c>
      <c r="BR1814">
        <v>235</v>
      </c>
      <c r="BS1814">
        <v>94</v>
      </c>
      <c r="BT1814">
        <v>56</v>
      </c>
      <c r="BV1814">
        <v>0</v>
      </c>
      <c r="BW1814">
        <v>544</v>
      </c>
      <c r="BX1814" t="s">
        <v>82</v>
      </c>
      <c r="BY1814" s="5"/>
      <c r="BZ1814" s="6"/>
      <c r="CA1814" s="7">
        <v>42687</v>
      </c>
      <c r="CE1814">
        <v>136</v>
      </c>
      <c r="CF1814">
        <v>142</v>
      </c>
      <c r="CG1814">
        <v>107</v>
      </c>
      <c r="CH1814">
        <v>159</v>
      </c>
      <c r="CI1814">
        <f t="shared" si="198"/>
        <v>2016</v>
      </c>
      <c r="CJ1814" t="str">
        <f t="shared" si="199"/>
        <v>6984_2016</v>
      </c>
    </row>
    <row r="1815" spans="1:88" x14ac:dyDescent="0.25">
      <c r="A1815" t="s">
        <v>111</v>
      </c>
      <c r="B1815" t="s">
        <v>418</v>
      </c>
      <c r="C1815">
        <v>6984</v>
      </c>
      <c r="D1815">
        <v>-37.777645</v>
      </c>
      <c r="E1815">
        <v>144.89648</v>
      </c>
      <c r="F1815">
        <v>4</v>
      </c>
      <c r="G1815" t="s">
        <v>670</v>
      </c>
      <c r="H1815">
        <v>83</v>
      </c>
      <c r="I1815">
        <v>263</v>
      </c>
      <c r="J1815">
        <v>177</v>
      </c>
      <c r="K1815">
        <v>357</v>
      </c>
      <c r="L1815">
        <v>270</v>
      </c>
      <c r="M1815">
        <v>90</v>
      </c>
      <c r="N1815">
        <v>352</v>
      </c>
      <c r="O1815">
        <v>172</v>
      </c>
      <c r="T1815">
        <v>60</v>
      </c>
      <c r="U1815">
        <v>62</v>
      </c>
      <c r="V1815">
        <v>72</v>
      </c>
      <c r="Y1815">
        <v>94</v>
      </c>
      <c r="Z1815">
        <v>15</v>
      </c>
      <c r="AA1815">
        <v>311</v>
      </c>
      <c r="AD1815">
        <v>57</v>
      </c>
      <c r="AE1815">
        <v>23</v>
      </c>
      <c r="AF1815">
        <v>15</v>
      </c>
      <c r="AI1815">
        <v>127</v>
      </c>
      <c r="AJ1815">
        <v>269</v>
      </c>
      <c r="AK1815">
        <v>5</v>
      </c>
      <c r="AX1815">
        <v>194</v>
      </c>
      <c r="AY1815">
        <v>278</v>
      </c>
      <c r="AZ1815">
        <v>472</v>
      </c>
      <c r="BA1815">
        <v>420</v>
      </c>
      <c r="BB1815">
        <v>352</v>
      </c>
      <c r="BC1815">
        <v>772</v>
      </c>
      <c r="BD1815">
        <v>95</v>
      </c>
      <c r="BE1815">
        <v>82</v>
      </c>
      <c r="BF1815">
        <v>177</v>
      </c>
      <c r="BG1815">
        <v>401</v>
      </c>
      <c r="BH1815">
        <v>398</v>
      </c>
      <c r="BI1815">
        <v>799</v>
      </c>
      <c r="BP1815">
        <v>504</v>
      </c>
      <c r="BR1815">
        <v>367</v>
      </c>
      <c r="BS1815">
        <v>152</v>
      </c>
      <c r="BT1815">
        <v>67</v>
      </c>
      <c r="BV1815">
        <v>20</v>
      </c>
      <c r="BW1815">
        <v>1110</v>
      </c>
      <c r="BX1815">
        <f t="shared" ref="BX1815:BX1820" si="203">IF(C1815=C1814,IF((CI1815-1)=CI1814,BW1814,"no data"))</f>
        <v>544</v>
      </c>
      <c r="BY1815" s="5">
        <f t="shared" si="202"/>
        <v>1.0404411764705883</v>
      </c>
      <c r="BZ1815" s="6">
        <f t="shared" si="200"/>
        <v>1.0404411764705883</v>
      </c>
      <c r="CA1815" s="7">
        <v>43051</v>
      </c>
      <c r="CE1815">
        <v>318</v>
      </c>
      <c r="CF1815">
        <v>302</v>
      </c>
      <c r="CG1815">
        <v>340</v>
      </c>
      <c r="CH1815">
        <v>150</v>
      </c>
      <c r="CI1815">
        <f t="shared" si="198"/>
        <v>2017</v>
      </c>
      <c r="CJ1815" t="str">
        <f t="shared" si="199"/>
        <v>6984_2017</v>
      </c>
    </row>
    <row r="1816" spans="1:88" x14ac:dyDescent="0.25">
      <c r="A1816" t="s">
        <v>111</v>
      </c>
      <c r="B1816" t="s">
        <v>418</v>
      </c>
      <c r="C1816">
        <v>6984</v>
      </c>
      <c r="D1816">
        <v>-37.7776</v>
      </c>
      <c r="E1816">
        <v>144.8965</v>
      </c>
      <c r="F1816">
        <v>4</v>
      </c>
      <c r="G1816" t="s">
        <v>671</v>
      </c>
      <c r="H1816">
        <v>83</v>
      </c>
      <c r="I1816">
        <v>263</v>
      </c>
      <c r="J1816">
        <v>177</v>
      </c>
      <c r="K1816">
        <v>357</v>
      </c>
      <c r="L1816">
        <v>270</v>
      </c>
      <c r="M1816">
        <v>90</v>
      </c>
      <c r="N1816">
        <v>352</v>
      </c>
      <c r="O1816">
        <v>172</v>
      </c>
      <c r="T1816">
        <v>145</v>
      </c>
      <c r="U1816">
        <v>76</v>
      </c>
      <c r="V1816">
        <v>78</v>
      </c>
      <c r="Y1816">
        <v>106</v>
      </c>
      <c r="Z1816">
        <v>41</v>
      </c>
      <c r="AA1816">
        <v>411</v>
      </c>
      <c r="AD1816">
        <v>81</v>
      </c>
      <c r="AE1816">
        <v>23</v>
      </c>
      <c r="AF1816">
        <v>8</v>
      </c>
      <c r="AI1816">
        <v>142</v>
      </c>
      <c r="AJ1816">
        <v>369</v>
      </c>
      <c r="AK1816">
        <v>19</v>
      </c>
      <c r="AX1816">
        <v>299</v>
      </c>
      <c r="AY1816">
        <v>329</v>
      </c>
      <c r="AZ1816">
        <v>628</v>
      </c>
      <c r="BA1816">
        <v>558</v>
      </c>
      <c r="BB1816">
        <v>537</v>
      </c>
      <c r="BC1816">
        <v>1095</v>
      </c>
      <c r="BD1816">
        <v>112</v>
      </c>
      <c r="BE1816">
        <v>136</v>
      </c>
      <c r="BF1816">
        <v>248</v>
      </c>
      <c r="BG1816">
        <v>530</v>
      </c>
      <c r="BH1816">
        <v>497</v>
      </c>
      <c r="BI1816">
        <v>1027</v>
      </c>
      <c r="BP1816">
        <v>611</v>
      </c>
      <c r="BR1816">
        <v>576</v>
      </c>
      <c r="BS1816">
        <v>176</v>
      </c>
      <c r="BT1816">
        <v>100</v>
      </c>
      <c r="BV1816">
        <v>36</v>
      </c>
      <c r="BW1816">
        <v>1499</v>
      </c>
      <c r="BX1816">
        <f t="shared" si="203"/>
        <v>1110</v>
      </c>
      <c r="BY1816" s="5">
        <f t="shared" si="202"/>
        <v>0.35045045045045042</v>
      </c>
      <c r="BZ1816" s="6">
        <f t="shared" si="200"/>
        <v>0.35045045045045042</v>
      </c>
      <c r="CA1816" s="7">
        <v>43415</v>
      </c>
      <c r="CE1816">
        <v>417</v>
      </c>
      <c r="CF1816">
        <v>368</v>
      </c>
      <c r="CG1816">
        <v>389</v>
      </c>
      <c r="CH1816">
        <v>325</v>
      </c>
      <c r="CI1816">
        <f t="shared" si="198"/>
        <v>2018</v>
      </c>
      <c r="CJ1816" t="str">
        <f t="shared" si="199"/>
        <v>6984_2018</v>
      </c>
    </row>
    <row r="1817" spans="1:88" x14ac:dyDescent="0.25">
      <c r="A1817" t="s">
        <v>111</v>
      </c>
      <c r="B1817" t="s">
        <v>418</v>
      </c>
      <c r="C1817">
        <v>6984</v>
      </c>
      <c r="D1817">
        <v>-37.7776</v>
      </c>
      <c r="E1817">
        <v>144.8965</v>
      </c>
      <c r="F1817">
        <v>4</v>
      </c>
      <c r="G1817" t="s">
        <v>671</v>
      </c>
      <c r="H1817">
        <v>83</v>
      </c>
      <c r="I1817">
        <v>263</v>
      </c>
      <c r="J1817">
        <v>177</v>
      </c>
      <c r="K1817">
        <v>357</v>
      </c>
      <c r="L1817">
        <v>270</v>
      </c>
      <c r="M1817">
        <v>90</v>
      </c>
      <c r="N1817">
        <v>352</v>
      </c>
      <c r="O1817">
        <v>172</v>
      </c>
      <c r="T1817">
        <v>84</v>
      </c>
      <c r="U1817">
        <v>53</v>
      </c>
      <c r="V1817">
        <v>56</v>
      </c>
      <c r="Y1817">
        <v>89</v>
      </c>
      <c r="Z1817">
        <v>42</v>
      </c>
      <c r="AA1817">
        <v>261</v>
      </c>
      <c r="AD1817">
        <v>62</v>
      </c>
      <c r="AE1817">
        <v>35</v>
      </c>
      <c r="AF1817">
        <v>7</v>
      </c>
      <c r="AI1817">
        <v>103</v>
      </c>
      <c r="AJ1817">
        <v>283</v>
      </c>
      <c r="AK1817">
        <v>7</v>
      </c>
      <c r="AX1817">
        <v>193</v>
      </c>
      <c r="AY1817">
        <v>254</v>
      </c>
      <c r="AZ1817">
        <v>447</v>
      </c>
      <c r="BA1817">
        <v>392</v>
      </c>
      <c r="BB1817">
        <v>402</v>
      </c>
      <c r="BC1817">
        <v>794</v>
      </c>
      <c r="BD1817">
        <v>104</v>
      </c>
      <c r="BE1817">
        <v>102</v>
      </c>
      <c r="BF1817">
        <v>206</v>
      </c>
      <c r="BG1817">
        <v>393</v>
      </c>
      <c r="BH1817">
        <v>324</v>
      </c>
      <c r="BI1817">
        <v>717</v>
      </c>
      <c r="BP1817">
        <v>311</v>
      </c>
      <c r="BR1817">
        <v>466</v>
      </c>
      <c r="BS1817">
        <v>206</v>
      </c>
      <c r="BT1817">
        <v>98</v>
      </c>
      <c r="BV1817">
        <v>1</v>
      </c>
      <c r="BW1817">
        <v>1082</v>
      </c>
      <c r="BX1817">
        <f t="shared" si="203"/>
        <v>1499</v>
      </c>
      <c r="BY1817" s="5">
        <f t="shared" si="202"/>
        <v>-0.27818545697131419</v>
      </c>
      <c r="BZ1817" s="6">
        <f t="shared" si="200"/>
        <v>-0.27818545697131419</v>
      </c>
      <c r="CA1817" s="7">
        <v>43779</v>
      </c>
      <c r="CE1817">
        <v>223</v>
      </c>
      <c r="CF1817">
        <v>276</v>
      </c>
      <c r="CG1817">
        <v>311</v>
      </c>
      <c r="CH1817">
        <v>272</v>
      </c>
      <c r="CI1817">
        <f t="shared" si="198"/>
        <v>2019</v>
      </c>
      <c r="CJ1817" t="str">
        <f t="shared" si="199"/>
        <v>6984_2019</v>
      </c>
    </row>
    <row r="1818" spans="1:88" x14ac:dyDescent="0.25">
      <c r="A1818" t="s">
        <v>111</v>
      </c>
      <c r="B1818" t="s">
        <v>418</v>
      </c>
      <c r="C1818">
        <v>6984</v>
      </c>
      <c r="D1818">
        <v>-37.7776</v>
      </c>
      <c r="E1818">
        <v>144.8965</v>
      </c>
      <c r="F1818">
        <v>4</v>
      </c>
      <c r="G1818" t="s">
        <v>671</v>
      </c>
      <c r="H1818">
        <v>83</v>
      </c>
      <c r="I1818">
        <v>263</v>
      </c>
      <c r="J1818">
        <v>177</v>
      </c>
      <c r="K1818">
        <v>357</v>
      </c>
      <c r="L1818">
        <v>270</v>
      </c>
      <c r="M1818">
        <v>90</v>
      </c>
      <c r="N1818">
        <v>352</v>
      </c>
      <c r="O1818">
        <v>172</v>
      </c>
      <c r="T1818">
        <v>274</v>
      </c>
      <c r="U1818">
        <v>91</v>
      </c>
      <c r="V1818">
        <v>120</v>
      </c>
      <c r="Y1818">
        <v>199</v>
      </c>
      <c r="Z1818">
        <v>72</v>
      </c>
      <c r="AA1818">
        <v>698</v>
      </c>
      <c r="AD1818">
        <v>60</v>
      </c>
      <c r="AE1818">
        <v>68</v>
      </c>
      <c r="AF1818">
        <v>48</v>
      </c>
      <c r="AI1818">
        <v>174</v>
      </c>
      <c r="AJ1818">
        <v>582</v>
      </c>
      <c r="AK1818">
        <v>45</v>
      </c>
      <c r="AX1818">
        <v>485</v>
      </c>
      <c r="AY1818">
        <v>433</v>
      </c>
      <c r="AZ1818">
        <v>918</v>
      </c>
      <c r="BA1818">
        <v>969</v>
      </c>
      <c r="BB1818">
        <v>924</v>
      </c>
      <c r="BC1818">
        <v>1893</v>
      </c>
      <c r="BD1818">
        <v>176</v>
      </c>
      <c r="BE1818">
        <v>208</v>
      </c>
      <c r="BF1818">
        <v>384</v>
      </c>
      <c r="BG1818">
        <v>801</v>
      </c>
      <c r="BH1818">
        <v>866</v>
      </c>
      <c r="BI1818">
        <v>1667</v>
      </c>
      <c r="BP1818">
        <v>999</v>
      </c>
      <c r="BR1818">
        <v>1036</v>
      </c>
      <c r="BS1818">
        <v>258</v>
      </c>
      <c r="BT1818">
        <v>129</v>
      </c>
      <c r="BV1818">
        <v>9</v>
      </c>
      <c r="BW1818">
        <v>2431</v>
      </c>
      <c r="BX1818">
        <f t="shared" si="203"/>
        <v>1082</v>
      </c>
      <c r="BY1818" s="5">
        <f t="shared" si="202"/>
        <v>1.2467652495378927</v>
      </c>
      <c r="BZ1818" s="6">
        <f t="shared" si="200"/>
        <v>1.2467652495378927</v>
      </c>
      <c r="CA1818" s="7">
        <v>44143</v>
      </c>
      <c r="CE1818">
        <v>651</v>
      </c>
      <c r="CF1818">
        <v>520</v>
      </c>
      <c r="CG1818">
        <v>601</v>
      </c>
      <c r="CH1818">
        <v>659</v>
      </c>
      <c r="CI1818">
        <f t="shared" si="198"/>
        <v>2020</v>
      </c>
      <c r="CJ1818" t="str">
        <f t="shared" si="199"/>
        <v>6984_2020</v>
      </c>
    </row>
    <row r="1819" spans="1:88" x14ac:dyDescent="0.25">
      <c r="A1819" t="s">
        <v>111</v>
      </c>
      <c r="B1819" t="s">
        <v>418</v>
      </c>
      <c r="C1819">
        <v>6984</v>
      </c>
      <c r="D1819">
        <v>-37.777645</v>
      </c>
      <c r="E1819">
        <v>144.89648</v>
      </c>
      <c r="F1819">
        <v>4</v>
      </c>
      <c r="G1819" t="s">
        <v>671</v>
      </c>
      <c r="H1819">
        <v>83</v>
      </c>
      <c r="I1819">
        <v>263</v>
      </c>
      <c r="J1819">
        <v>177</v>
      </c>
      <c r="K1819">
        <v>357</v>
      </c>
      <c r="L1819">
        <v>270</v>
      </c>
      <c r="M1819">
        <v>90</v>
      </c>
      <c r="N1819">
        <v>352</v>
      </c>
      <c r="O1819">
        <v>172</v>
      </c>
      <c r="T1819">
        <v>112</v>
      </c>
      <c r="U1819">
        <v>79</v>
      </c>
      <c r="V1819">
        <v>95</v>
      </c>
      <c r="Y1819">
        <v>141</v>
      </c>
      <c r="Z1819">
        <v>47</v>
      </c>
      <c r="AA1819">
        <v>319</v>
      </c>
      <c r="AD1819">
        <v>70</v>
      </c>
      <c r="AE1819">
        <v>46</v>
      </c>
      <c r="AF1819">
        <v>22</v>
      </c>
      <c r="AI1819">
        <v>122</v>
      </c>
      <c r="AJ1819">
        <v>362</v>
      </c>
      <c r="AK1819">
        <v>14</v>
      </c>
      <c r="AX1819">
        <v>286</v>
      </c>
      <c r="AY1819">
        <v>333</v>
      </c>
      <c r="AZ1819">
        <v>619</v>
      </c>
      <c r="BA1819">
        <v>507</v>
      </c>
      <c r="BB1819">
        <v>520</v>
      </c>
      <c r="BC1819">
        <v>1027</v>
      </c>
      <c r="BD1819">
        <v>138</v>
      </c>
      <c r="BE1819">
        <v>140</v>
      </c>
      <c r="BF1819">
        <v>278</v>
      </c>
      <c r="BG1819">
        <v>498</v>
      </c>
      <c r="BH1819">
        <v>436</v>
      </c>
      <c r="BI1819">
        <v>934</v>
      </c>
      <c r="BP1819">
        <v>452</v>
      </c>
      <c r="BR1819">
        <v>558</v>
      </c>
      <c r="BS1819">
        <v>299</v>
      </c>
      <c r="BT1819">
        <v>88</v>
      </c>
      <c r="BV1819">
        <v>32</v>
      </c>
      <c r="BW1819">
        <v>1429</v>
      </c>
      <c r="BX1819">
        <f t="shared" si="203"/>
        <v>2431</v>
      </c>
      <c r="BY1819" s="5">
        <f t="shared" si="202"/>
        <v>-0.41217605923488276</v>
      </c>
      <c r="BZ1819" s="6">
        <f t="shared" si="200"/>
        <v>-0.41217605923488276</v>
      </c>
      <c r="CA1819" s="7">
        <v>44528</v>
      </c>
      <c r="CE1819">
        <v>482</v>
      </c>
      <c r="CF1819">
        <v>470</v>
      </c>
      <c r="CG1819">
        <v>477</v>
      </c>
      <c r="CI1819">
        <f t="shared" si="198"/>
        <v>2021</v>
      </c>
      <c r="CJ1819" t="str">
        <f t="shared" si="199"/>
        <v>6984_2021</v>
      </c>
    </row>
    <row r="1820" spans="1:88" x14ac:dyDescent="0.25">
      <c r="A1820" t="s">
        <v>111</v>
      </c>
      <c r="B1820" t="s">
        <v>418</v>
      </c>
      <c r="C1820">
        <v>6984</v>
      </c>
      <c r="D1820">
        <v>-37.777645</v>
      </c>
      <c r="E1820">
        <v>144.89648</v>
      </c>
      <c r="F1820">
        <v>4</v>
      </c>
      <c r="G1820" t="s">
        <v>671</v>
      </c>
      <c r="H1820">
        <v>83</v>
      </c>
      <c r="I1820">
        <v>263</v>
      </c>
      <c r="J1820">
        <v>177</v>
      </c>
      <c r="K1820">
        <v>357</v>
      </c>
      <c r="L1820">
        <v>270</v>
      </c>
      <c r="M1820">
        <v>90</v>
      </c>
      <c r="N1820">
        <v>352</v>
      </c>
      <c r="O1820">
        <v>172</v>
      </c>
      <c r="T1820">
        <v>88</v>
      </c>
      <c r="U1820">
        <v>48</v>
      </c>
      <c r="V1820">
        <v>70</v>
      </c>
      <c r="Y1820">
        <v>101</v>
      </c>
      <c r="Z1820">
        <v>40</v>
      </c>
      <c r="AA1820">
        <v>253</v>
      </c>
      <c r="AD1820">
        <v>28</v>
      </c>
      <c r="AE1820">
        <v>31</v>
      </c>
      <c r="AF1820">
        <v>12</v>
      </c>
      <c r="AI1820">
        <v>105</v>
      </c>
      <c r="AJ1820">
        <v>241</v>
      </c>
      <c r="AK1820">
        <v>20</v>
      </c>
      <c r="AX1820">
        <v>206</v>
      </c>
      <c r="AY1820">
        <v>234</v>
      </c>
      <c r="AZ1820">
        <v>440</v>
      </c>
      <c r="BA1820">
        <v>394</v>
      </c>
      <c r="BB1820">
        <v>360</v>
      </c>
      <c r="BC1820">
        <v>754</v>
      </c>
      <c r="BD1820">
        <v>71</v>
      </c>
      <c r="BE1820">
        <v>108</v>
      </c>
      <c r="BF1820">
        <v>179</v>
      </c>
      <c r="BG1820">
        <v>366</v>
      </c>
      <c r="BH1820">
        <v>335</v>
      </c>
      <c r="BI1820">
        <v>701</v>
      </c>
      <c r="BP1820">
        <v>264</v>
      </c>
      <c r="BR1820">
        <v>488</v>
      </c>
      <c r="BS1820">
        <v>180</v>
      </c>
      <c r="BT1820">
        <v>98</v>
      </c>
      <c r="BU1820">
        <v>4</v>
      </c>
      <c r="BV1820">
        <v>3</v>
      </c>
      <c r="BW1820">
        <v>1037</v>
      </c>
      <c r="BX1820">
        <f t="shared" si="203"/>
        <v>1429</v>
      </c>
      <c r="BY1820" s="5">
        <f t="shared" si="202"/>
        <v>-0.2743177046885934</v>
      </c>
      <c r="BZ1820" s="6">
        <f t="shared" si="200"/>
        <v>-0.2743177046885934</v>
      </c>
      <c r="CA1820" s="7">
        <v>44878</v>
      </c>
      <c r="CE1820">
        <v>388</v>
      </c>
      <c r="CF1820">
        <v>383</v>
      </c>
      <c r="CG1820">
        <v>266</v>
      </c>
      <c r="CI1820">
        <f t="shared" si="198"/>
        <v>2022</v>
      </c>
      <c r="CJ1820" t="str">
        <f t="shared" si="199"/>
        <v>6984_2022</v>
      </c>
    </row>
    <row r="1821" spans="1:88" x14ac:dyDescent="0.25">
      <c r="A1821" t="s">
        <v>111</v>
      </c>
      <c r="B1821" t="s">
        <v>135</v>
      </c>
      <c r="C1821">
        <v>6985</v>
      </c>
      <c r="D1821">
        <v>-37.764290000000003</v>
      </c>
      <c r="E1821">
        <v>144.89924300000001</v>
      </c>
      <c r="F1821">
        <v>2</v>
      </c>
      <c r="G1821" t="s">
        <v>672</v>
      </c>
      <c r="H1821">
        <v>106</v>
      </c>
      <c r="I1821">
        <v>286</v>
      </c>
      <c r="J1821">
        <v>266</v>
      </c>
      <c r="K1821">
        <v>86</v>
      </c>
      <c r="T1821">
        <v>538</v>
      </c>
      <c r="Y1821">
        <v>278</v>
      </c>
      <c r="AX1821">
        <v>538</v>
      </c>
      <c r="AY1821">
        <v>278</v>
      </c>
      <c r="AZ1821">
        <v>816</v>
      </c>
      <c r="BA1821">
        <v>278</v>
      </c>
      <c r="BB1821">
        <v>538</v>
      </c>
      <c r="BC1821">
        <v>816</v>
      </c>
      <c r="BP1821">
        <v>58</v>
      </c>
      <c r="BR1821">
        <v>491</v>
      </c>
      <c r="BS1821">
        <v>171</v>
      </c>
      <c r="BT1821">
        <v>70</v>
      </c>
      <c r="BV1821">
        <v>26</v>
      </c>
      <c r="BW1821">
        <v>816</v>
      </c>
      <c r="BX1821" t="s">
        <v>82</v>
      </c>
      <c r="BY1821" s="5"/>
      <c r="BZ1821" s="6"/>
      <c r="CA1821" s="7">
        <v>42687</v>
      </c>
      <c r="CE1821">
        <v>339</v>
      </c>
      <c r="CF1821">
        <v>367</v>
      </c>
      <c r="CG1821">
        <v>461</v>
      </c>
      <c r="CH1821">
        <v>428</v>
      </c>
      <c r="CI1821">
        <f t="shared" si="198"/>
        <v>2016</v>
      </c>
      <c r="CJ1821" t="str">
        <f t="shared" si="199"/>
        <v>6985_2016</v>
      </c>
    </row>
    <row r="1822" spans="1:88" x14ac:dyDescent="0.25">
      <c r="A1822" t="s">
        <v>111</v>
      </c>
      <c r="B1822" t="s">
        <v>135</v>
      </c>
      <c r="C1822">
        <v>6985</v>
      </c>
      <c r="D1822">
        <v>-37.764290000000003</v>
      </c>
      <c r="E1822">
        <v>144.89924300000001</v>
      </c>
      <c r="F1822">
        <v>2</v>
      </c>
      <c r="G1822" t="s">
        <v>672</v>
      </c>
      <c r="H1822">
        <v>106</v>
      </c>
      <c r="I1822">
        <v>286</v>
      </c>
      <c r="J1822">
        <v>266</v>
      </c>
      <c r="K1822">
        <v>86</v>
      </c>
      <c r="T1822">
        <v>955</v>
      </c>
      <c r="Y1822">
        <v>640</v>
      </c>
      <c r="AX1822">
        <v>955</v>
      </c>
      <c r="AY1822">
        <v>640</v>
      </c>
      <c r="AZ1822">
        <v>1595</v>
      </c>
      <c r="BA1822">
        <v>640</v>
      </c>
      <c r="BB1822">
        <v>955</v>
      </c>
      <c r="BC1822">
        <v>1595</v>
      </c>
      <c r="BP1822">
        <v>208</v>
      </c>
      <c r="BR1822">
        <v>1004</v>
      </c>
      <c r="BS1822">
        <v>197</v>
      </c>
      <c r="BT1822">
        <v>157</v>
      </c>
      <c r="BV1822">
        <v>29</v>
      </c>
      <c r="BW1822">
        <v>1595</v>
      </c>
      <c r="BX1822">
        <f t="shared" ref="BX1822:BX1827" si="204">IF(C1822=C1821,IF((CI1822-1)=CI1821,BW1821,"no data"))</f>
        <v>816</v>
      </c>
      <c r="BY1822" s="5">
        <f t="shared" si="202"/>
        <v>0.95465686274509809</v>
      </c>
      <c r="BZ1822" s="6">
        <f t="shared" si="200"/>
        <v>0.95465686274509809</v>
      </c>
      <c r="CA1822" s="7">
        <v>43051</v>
      </c>
      <c r="CE1822">
        <v>339</v>
      </c>
      <c r="CF1822">
        <v>367</v>
      </c>
      <c r="CG1822">
        <v>461</v>
      </c>
      <c r="CH1822">
        <v>428</v>
      </c>
      <c r="CI1822">
        <f t="shared" si="198"/>
        <v>2017</v>
      </c>
      <c r="CJ1822" t="str">
        <f t="shared" si="199"/>
        <v>6985_2017</v>
      </c>
    </row>
    <row r="1823" spans="1:88" x14ac:dyDescent="0.25">
      <c r="A1823" t="s">
        <v>111</v>
      </c>
      <c r="B1823" t="s">
        <v>135</v>
      </c>
      <c r="C1823">
        <v>6985</v>
      </c>
      <c r="D1823">
        <v>-37.764290000000003</v>
      </c>
      <c r="E1823">
        <v>144.89924300000001</v>
      </c>
      <c r="F1823">
        <v>2</v>
      </c>
      <c r="G1823" t="s">
        <v>672</v>
      </c>
      <c r="H1823">
        <v>106</v>
      </c>
      <c r="I1823">
        <v>286</v>
      </c>
      <c r="J1823">
        <v>266</v>
      </c>
      <c r="K1823">
        <v>86</v>
      </c>
      <c r="T1823">
        <v>1285</v>
      </c>
      <c r="Y1823">
        <v>643</v>
      </c>
      <c r="AX1823">
        <v>1285</v>
      </c>
      <c r="AY1823">
        <v>643</v>
      </c>
      <c r="AZ1823">
        <v>1928</v>
      </c>
      <c r="BA1823">
        <v>643</v>
      </c>
      <c r="BB1823">
        <v>1285</v>
      </c>
      <c r="BC1823">
        <v>1928</v>
      </c>
      <c r="BP1823">
        <v>101</v>
      </c>
      <c r="BR1823">
        <v>1338</v>
      </c>
      <c r="BS1823">
        <v>229</v>
      </c>
      <c r="BT1823">
        <v>178</v>
      </c>
      <c r="BV1823">
        <v>82</v>
      </c>
      <c r="BW1823">
        <v>1928</v>
      </c>
      <c r="BX1823">
        <f t="shared" si="204"/>
        <v>1595</v>
      </c>
      <c r="BY1823" s="5">
        <f t="shared" si="202"/>
        <v>0.20877742946708464</v>
      </c>
      <c r="BZ1823" s="6">
        <f t="shared" si="200"/>
        <v>0.20877742946708464</v>
      </c>
      <c r="CA1823" s="7">
        <v>43415</v>
      </c>
      <c r="CE1823">
        <v>508</v>
      </c>
      <c r="CF1823">
        <v>576</v>
      </c>
      <c r="CG1823">
        <v>467</v>
      </c>
      <c r="CH1823">
        <v>377</v>
      </c>
      <c r="CI1823">
        <f t="shared" si="198"/>
        <v>2018</v>
      </c>
      <c r="CJ1823" t="str">
        <f t="shared" si="199"/>
        <v>6985_2018</v>
      </c>
    </row>
    <row r="1824" spans="1:88" x14ac:dyDescent="0.25">
      <c r="A1824" t="s">
        <v>111</v>
      </c>
      <c r="B1824" t="s">
        <v>135</v>
      </c>
      <c r="C1824">
        <v>6985</v>
      </c>
      <c r="D1824">
        <v>-37.764290000000003</v>
      </c>
      <c r="E1824">
        <v>144.89924300000001</v>
      </c>
      <c r="F1824">
        <v>2</v>
      </c>
      <c r="G1824" t="s">
        <v>672</v>
      </c>
      <c r="H1824">
        <v>106</v>
      </c>
      <c r="I1824">
        <v>286</v>
      </c>
      <c r="J1824">
        <v>266</v>
      </c>
      <c r="K1824">
        <v>86</v>
      </c>
      <c r="T1824">
        <v>906</v>
      </c>
      <c r="Y1824">
        <v>597</v>
      </c>
      <c r="AX1824">
        <v>906</v>
      </c>
      <c r="AY1824">
        <v>597</v>
      </c>
      <c r="AZ1824">
        <v>1503</v>
      </c>
      <c r="BA1824">
        <v>597</v>
      </c>
      <c r="BB1824">
        <v>906</v>
      </c>
      <c r="BC1824">
        <v>1503</v>
      </c>
      <c r="BP1824">
        <v>142</v>
      </c>
      <c r="BR1824">
        <v>934</v>
      </c>
      <c r="BS1824">
        <v>242</v>
      </c>
      <c r="BT1824">
        <v>135</v>
      </c>
      <c r="BV1824">
        <v>50</v>
      </c>
      <c r="BW1824">
        <v>1503</v>
      </c>
      <c r="BX1824">
        <f t="shared" si="204"/>
        <v>1928</v>
      </c>
      <c r="BY1824" s="5">
        <f t="shared" si="202"/>
        <v>-0.2204356846473029</v>
      </c>
      <c r="BZ1824" s="6">
        <f t="shared" si="200"/>
        <v>-0.2204356846473029</v>
      </c>
      <c r="CA1824" s="7">
        <v>43779</v>
      </c>
      <c r="CE1824">
        <v>353</v>
      </c>
      <c r="CF1824">
        <v>409</v>
      </c>
      <c r="CG1824">
        <v>362</v>
      </c>
      <c r="CH1824">
        <v>379</v>
      </c>
      <c r="CI1824">
        <f t="shared" si="198"/>
        <v>2019</v>
      </c>
      <c r="CJ1824" t="str">
        <f t="shared" si="199"/>
        <v>6985_2019</v>
      </c>
    </row>
    <row r="1825" spans="1:88" x14ac:dyDescent="0.25">
      <c r="A1825" t="s">
        <v>111</v>
      </c>
      <c r="B1825" t="s">
        <v>135</v>
      </c>
      <c r="C1825">
        <v>6985</v>
      </c>
      <c r="D1825">
        <v>-37.764299999999999</v>
      </c>
      <c r="E1825">
        <v>144.89920000000001</v>
      </c>
      <c r="F1825">
        <v>2</v>
      </c>
      <c r="G1825" t="s">
        <v>672</v>
      </c>
      <c r="H1825">
        <v>106</v>
      </c>
      <c r="I1825">
        <v>286</v>
      </c>
      <c r="J1825">
        <v>266</v>
      </c>
      <c r="K1825">
        <v>86</v>
      </c>
      <c r="T1825">
        <v>1271</v>
      </c>
      <c r="Y1825">
        <v>880</v>
      </c>
      <c r="AX1825">
        <v>1271</v>
      </c>
      <c r="AY1825">
        <v>880</v>
      </c>
      <c r="AZ1825">
        <v>2151</v>
      </c>
      <c r="BA1825">
        <v>880</v>
      </c>
      <c r="BB1825">
        <v>1271</v>
      </c>
      <c r="BC1825">
        <v>2151</v>
      </c>
      <c r="BP1825">
        <v>152</v>
      </c>
      <c r="BR1825">
        <v>1460</v>
      </c>
      <c r="BS1825">
        <v>293</v>
      </c>
      <c r="BT1825">
        <v>168</v>
      </c>
      <c r="BV1825">
        <v>78</v>
      </c>
      <c r="BW1825">
        <v>2151</v>
      </c>
      <c r="BX1825">
        <f t="shared" si="204"/>
        <v>1503</v>
      </c>
      <c r="BY1825" s="5">
        <f t="shared" si="202"/>
        <v>0.43113772455089822</v>
      </c>
      <c r="BZ1825" s="6">
        <f t="shared" si="200"/>
        <v>0.43113772455089822</v>
      </c>
      <c r="CA1825" s="7">
        <v>44143</v>
      </c>
      <c r="CE1825">
        <v>452</v>
      </c>
      <c r="CF1825">
        <v>580</v>
      </c>
      <c r="CG1825">
        <v>588</v>
      </c>
      <c r="CH1825">
        <v>531</v>
      </c>
      <c r="CI1825">
        <f t="shared" si="198"/>
        <v>2020</v>
      </c>
      <c r="CJ1825" t="str">
        <f t="shared" si="199"/>
        <v>6985_2020</v>
      </c>
    </row>
    <row r="1826" spans="1:88" x14ac:dyDescent="0.25">
      <c r="A1826" t="s">
        <v>111</v>
      </c>
      <c r="B1826" t="s">
        <v>135</v>
      </c>
      <c r="C1826">
        <v>6985</v>
      </c>
      <c r="D1826">
        <v>-37.764290000000003</v>
      </c>
      <c r="E1826">
        <v>144.89924300000001</v>
      </c>
      <c r="F1826">
        <v>2</v>
      </c>
      <c r="G1826" t="s">
        <v>672</v>
      </c>
      <c r="H1826">
        <v>106</v>
      </c>
      <c r="I1826">
        <v>286</v>
      </c>
      <c r="J1826">
        <v>266</v>
      </c>
      <c r="K1826">
        <v>86</v>
      </c>
      <c r="T1826">
        <v>645</v>
      </c>
      <c r="Y1826">
        <v>474</v>
      </c>
      <c r="AX1826">
        <v>645</v>
      </c>
      <c r="AY1826">
        <v>474</v>
      </c>
      <c r="AZ1826">
        <v>1119</v>
      </c>
      <c r="BA1826">
        <v>474</v>
      </c>
      <c r="BB1826">
        <v>645</v>
      </c>
      <c r="BC1826">
        <v>1119</v>
      </c>
      <c r="BP1826">
        <v>120</v>
      </c>
      <c r="BR1826">
        <v>697</v>
      </c>
      <c r="BS1826">
        <v>192</v>
      </c>
      <c r="BT1826">
        <v>85</v>
      </c>
      <c r="BV1826">
        <v>25</v>
      </c>
      <c r="BW1826">
        <v>1119</v>
      </c>
      <c r="BX1826">
        <f t="shared" si="204"/>
        <v>2151</v>
      </c>
      <c r="BY1826" s="5">
        <f t="shared" si="202"/>
        <v>-0.47977684797768477</v>
      </c>
      <c r="BZ1826" s="6">
        <f t="shared" si="200"/>
        <v>-0.47977684797768477</v>
      </c>
      <c r="CA1826" s="7">
        <v>44528</v>
      </c>
      <c r="CE1826">
        <v>345</v>
      </c>
      <c r="CF1826">
        <v>439</v>
      </c>
      <c r="CG1826">
        <v>335</v>
      </c>
      <c r="CI1826">
        <f t="shared" si="198"/>
        <v>2021</v>
      </c>
      <c r="CJ1826" t="str">
        <f t="shared" si="199"/>
        <v>6985_2021</v>
      </c>
    </row>
    <row r="1827" spans="1:88" x14ac:dyDescent="0.25">
      <c r="A1827" t="s">
        <v>111</v>
      </c>
      <c r="B1827" t="s">
        <v>135</v>
      </c>
      <c r="C1827">
        <v>6985</v>
      </c>
      <c r="D1827">
        <v>-37.764290000000003</v>
      </c>
      <c r="E1827">
        <v>144.89924300000001</v>
      </c>
      <c r="F1827">
        <v>2</v>
      </c>
      <c r="G1827" t="s">
        <v>672</v>
      </c>
      <c r="H1827">
        <v>106</v>
      </c>
      <c r="I1827">
        <v>286</v>
      </c>
      <c r="J1827">
        <v>266</v>
      </c>
      <c r="K1827">
        <v>86</v>
      </c>
      <c r="T1827">
        <v>704</v>
      </c>
      <c r="Y1827">
        <v>541</v>
      </c>
      <c r="AX1827">
        <v>704</v>
      </c>
      <c r="AY1827">
        <v>541</v>
      </c>
      <c r="AZ1827">
        <v>1245</v>
      </c>
      <c r="BA1827">
        <v>541</v>
      </c>
      <c r="BB1827">
        <v>704</v>
      </c>
      <c r="BC1827">
        <v>1245</v>
      </c>
      <c r="BP1827">
        <v>121</v>
      </c>
      <c r="BR1827">
        <v>718</v>
      </c>
      <c r="BS1827">
        <v>172</v>
      </c>
      <c r="BT1827">
        <v>229</v>
      </c>
      <c r="BU1827">
        <v>5</v>
      </c>
      <c r="BV1827">
        <v>0</v>
      </c>
      <c r="BW1827">
        <v>1245</v>
      </c>
      <c r="BX1827">
        <f t="shared" si="204"/>
        <v>1119</v>
      </c>
      <c r="BY1827" s="5">
        <f t="shared" si="202"/>
        <v>0.1126005361930295</v>
      </c>
      <c r="BZ1827" s="6">
        <f t="shared" si="200"/>
        <v>0.1126005361930295</v>
      </c>
      <c r="CA1827" s="7">
        <v>44878</v>
      </c>
      <c r="CE1827">
        <v>399</v>
      </c>
      <c r="CF1827">
        <v>448</v>
      </c>
      <c r="CG1827">
        <v>398</v>
      </c>
      <c r="CI1827">
        <f t="shared" si="198"/>
        <v>2022</v>
      </c>
      <c r="CJ1827" t="str">
        <f t="shared" si="199"/>
        <v>6985_2022</v>
      </c>
    </row>
    <row r="1828" spans="1:88" x14ac:dyDescent="0.25">
      <c r="A1828" t="s">
        <v>111</v>
      </c>
      <c r="B1828" t="s">
        <v>135</v>
      </c>
      <c r="C1828">
        <v>6987</v>
      </c>
      <c r="D1828">
        <v>-37.747836</v>
      </c>
      <c r="E1828">
        <v>144.88106999999999</v>
      </c>
      <c r="F1828">
        <v>4</v>
      </c>
      <c r="G1828" t="s">
        <v>673</v>
      </c>
      <c r="H1828">
        <v>97</v>
      </c>
      <c r="I1828">
        <v>277</v>
      </c>
      <c r="J1828">
        <v>194</v>
      </c>
      <c r="K1828">
        <v>14</v>
      </c>
      <c r="L1828">
        <v>278</v>
      </c>
      <c r="M1828">
        <v>98</v>
      </c>
      <c r="N1828">
        <v>357</v>
      </c>
      <c r="O1828">
        <v>177</v>
      </c>
      <c r="T1828">
        <v>4</v>
      </c>
      <c r="U1828">
        <v>5</v>
      </c>
      <c r="V1828">
        <v>6</v>
      </c>
      <c r="Y1828">
        <v>3</v>
      </c>
      <c r="Z1828">
        <v>1</v>
      </c>
      <c r="AA1828">
        <v>30</v>
      </c>
      <c r="AD1828">
        <v>5</v>
      </c>
      <c r="AE1828">
        <v>3</v>
      </c>
      <c r="AF1828">
        <v>5</v>
      </c>
      <c r="AI1828">
        <v>4</v>
      </c>
      <c r="AJ1828">
        <v>31</v>
      </c>
      <c r="AK1828">
        <v>6</v>
      </c>
      <c r="AX1828">
        <v>15</v>
      </c>
      <c r="AY1828">
        <v>12</v>
      </c>
      <c r="AZ1828">
        <v>27</v>
      </c>
      <c r="BA1828">
        <v>34</v>
      </c>
      <c r="BB1828">
        <v>38</v>
      </c>
      <c r="BC1828">
        <v>72</v>
      </c>
      <c r="BD1828">
        <v>13</v>
      </c>
      <c r="BE1828">
        <v>12</v>
      </c>
      <c r="BF1828">
        <v>25</v>
      </c>
      <c r="BG1828">
        <v>41</v>
      </c>
      <c r="BH1828">
        <v>41</v>
      </c>
      <c r="BI1828">
        <v>82</v>
      </c>
      <c r="BP1828">
        <v>18</v>
      </c>
      <c r="BR1828">
        <v>57</v>
      </c>
      <c r="BS1828">
        <v>12</v>
      </c>
      <c r="BT1828">
        <v>16</v>
      </c>
      <c r="BV1828">
        <v>0</v>
      </c>
      <c r="BW1828">
        <v>103</v>
      </c>
      <c r="BX1828" t="s">
        <v>82</v>
      </c>
      <c r="BY1828" s="5"/>
      <c r="BZ1828" s="6"/>
      <c r="CA1828" s="7">
        <v>42687</v>
      </c>
      <c r="CE1828">
        <v>78</v>
      </c>
      <c r="CF1828">
        <v>71</v>
      </c>
      <c r="CG1828">
        <v>33</v>
      </c>
      <c r="CH1828">
        <v>25</v>
      </c>
      <c r="CI1828">
        <f t="shared" si="198"/>
        <v>2016</v>
      </c>
      <c r="CJ1828" t="str">
        <f t="shared" si="199"/>
        <v>6987_2016</v>
      </c>
    </row>
    <row r="1829" spans="1:88" x14ac:dyDescent="0.25">
      <c r="A1829" t="s">
        <v>111</v>
      </c>
      <c r="B1829" t="s">
        <v>135</v>
      </c>
      <c r="C1829">
        <v>6987</v>
      </c>
      <c r="D1829">
        <v>-37.747836</v>
      </c>
      <c r="E1829">
        <v>144.88106999999999</v>
      </c>
      <c r="F1829">
        <v>4</v>
      </c>
      <c r="G1829" t="s">
        <v>673</v>
      </c>
      <c r="H1829">
        <v>97</v>
      </c>
      <c r="I1829">
        <v>277</v>
      </c>
      <c r="J1829">
        <v>194</v>
      </c>
      <c r="K1829">
        <v>14</v>
      </c>
      <c r="L1829">
        <v>278</v>
      </c>
      <c r="M1829">
        <v>98</v>
      </c>
      <c r="N1829">
        <v>357</v>
      </c>
      <c r="O1829">
        <v>177</v>
      </c>
      <c r="T1829">
        <v>7</v>
      </c>
      <c r="U1829">
        <v>8</v>
      </c>
      <c r="V1829">
        <v>10</v>
      </c>
      <c r="Y1829">
        <v>0</v>
      </c>
      <c r="Z1829">
        <v>2</v>
      </c>
      <c r="AA1829">
        <v>71</v>
      </c>
      <c r="AD1829">
        <v>13</v>
      </c>
      <c r="AE1829">
        <v>5</v>
      </c>
      <c r="AF1829">
        <v>9</v>
      </c>
      <c r="AI1829">
        <v>11</v>
      </c>
      <c r="AJ1829">
        <v>68</v>
      </c>
      <c r="AK1829">
        <v>3</v>
      </c>
      <c r="AX1829">
        <v>25</v>
      </c>
      <c r="AY1829">
        <v>24</v>
      </c>
      <c r="AZ1829">
        <v>49</v>
      </c>
      <c r="BA1829">
        <v>73</v>
      </c>
      <c r="BB1829">
        <v>80</v>
      </c>
      <c r="BC1829">
        <v>153</v>
      </c>
      <c r="BD1829">
        <v>27</v>
      </c>
      <c r="BE1829">
        <v>13</v>
      </c>
      <c r="BF1829">
        <v>40</v>
      </c>
      <c r="BG1829">
        <v>82</v>
      </c>
      <c r="BH1829">
        <v>90</v>
      </c>
      <c r="BI1829">
        <v>172</v>
      </c>
      <c r="BP1829">
        <v>83</v>
      </c>
      <c r="BR1829">
        <v>85</v>
      </c>
      <c r="BS1829">
        <v>11</v>
      </c>
      <c r="BT1829">
        <v>22</v>
      </c>
      <c r="BV1829">
        <v>6</v>
      </c>
      <c r="BW1829">
        <v>207</v>
      </c>
      <c r="BX1829">
        <f t="shared" ref="BX1829:BX1834" si="205">IF(C1829=C1828,IF((CI1829-1)=CI1828,BW1828,"no data"))</f>
        <v>103</v>
      </c>
      <c r="BY1829" s="5">
        <f t="shared" si="202"/>
        <v>1.0097087378640777</v>
      </c>
      <c r="BZ1829" s="6">
        <f t="shared" si="200"/>
        <v>1.0097087378640777</v>
      </c>
      <c r="CA1829" s="7">
        <v>43051</v>
      </c>
      <c r="CE1829">
        <v>78</v>
      </c>
      <c r="CF1829">
        <v>71</v>
      </c>
      <c r="CG1829">
        <v>33</v>
      </c>
      <c r="CH1829">
        <v>25</v>
      </c>
      <c r="CI1829">
        <f t="shared" si="198"/>
        <v>2017</v>
      </c>
      <c r="CJ1829" t="str">
        <f t="shared" si="199"/>
        <v>6987_2017</v>
      </c>
    </row>
    <row r="1830" spans="1:88" x14ac:dyDescent="0.25">
      <c r="A1830" t="s">
        <v>111</v>
      </c>
      <c r="B1830" t="s">
        <v>135</v>
      </c>
      <c r="C1830">
        <v>6987</v>
      </c>
      <c r="D1830">
        <v>-37.747836</v>
      </c>
      <c r="E1830">
        <v>144.88106999999999</v>
      </c>
      <c r="F1830">
        <v>4</v>
      </c>
      <c r="G1830" t="s">
        <v>674</v>
      </c>
      <c r="H1830">
        <v>97</v>
      </c>
      <c r="I1830">
        <v>277</v>
      </c>
      <c r="J1830">
        <v>194</v>
      </c>
      <c r="K1830">
        <v>14</v>
      </c>
      <c r="L1830">
        <v>278</v>
      </c>
      <c r="M1830">
        <v>98</v>
      </c>
      <c r="N1830">
        <v>357</v>
      </c>
      <c r="O1830">
        <v>177</v>
      </c>
      <c r="T1830">
        <v>3</v>
      </c>
      <c r="U1830">
        <v>18</v>
      </c>
      <c r="V1830">
        <v>10</v>
      </c>
      <c r="Y1830">
        <v>0</v>
      </c>
      <c r="Z1830">
        <v>3</v>
      </c>
      <c r="AA1830">
        <v>55</v>
      </c>
      <c r="AD1830">
        <v>13</v>
      </c>
      <c r="AE1830">
        <v>16</v>
      </c>
      <c r="AF1830">
        <v>54</v>
      </c>
      <c r="AI1830">
        <v>19</v>
      </c>
      <c r="AJ1830">
        <v>46</v>
      </c>
      <c r="AK1830">
        <v>35</v>
      </c>
      <c r="AX1830">
        <v>31</v>
      </c>
      <c r="AY1830">
        <v>32</v>
      </c>
      <c r="AZ1830">
        <v>63</v>
      </c>
      <c r="BA1830">
        <v>58</v>
      </c>
      <c r="BB1830">
        <v>65</v>
      </c>
      <c r="BC1830">
        <v>123</v>
      </c>
      <c r="BD1830">
        <v>83</v>
      </c>
      <c r="BE1830">
        <v>56</v>
      </c>
      <c r="BF1830">
        <v>139</v>
      </c>
      <c r="BG1830">
        <v>100</v>
      </c>
      <c r="BH1830">
        <v>119</v>
      </c>
      <c r="BI1830">
        <v>219</v>
      </c>
      <c r="BP1830">
        <v>72</v>
      </c>
      <c r="BR1830">
        <v>146</v>
      </c>
      <c r="BS1830">
        <v>22</v>
      </c>
      <c r="BT1830">
        <v>30</v>
      </c>
      <c r="BV1830">
        <v>2</v>
      </c>
      <c r="BW1830">
        <v>272</v>
      </c>
      <c r="BX1830">
        <f t="shared" si="205"/>
        <v>207</v>
      </c>
      <c r="BY1830" s="5">
        <f t="shared" si="202"/>
        <v>0.3140096618357488</v>
      </c>
      <c r="BZ1830" s="6">
        <f t="shared" si="200"/>
        <v>0.3140096618357488</v>
      </c>
      <c r="CA1830" s="7">
        <v>43415</v>
      </c>
      <c r="CE1830">
        <v>109</v>
      </c>
      <c r="CF1830">
        <v>67</v>
      </c>
      <c r="CG1830">
        <v>61</v>
      </c>
      <c r="CH1830">
        <v>35</v>
      </c>
      <c r="CI1830">
        <f t="shared" si="198"/>
        <v>2018</v>
      </c>
      <c r="CJ1830" t="str">
        <f t="shared" si="199"/>
        <v>6987_2018</v>
      </c>
    </row>
    <row r="1831" spans="1:88" x14ac:dyDescent="0.25">
      <c r="A1831" t="s">
        <v>111</v>
      </c>
      <c r="B1831" t="s">
        <v>135</v>
      </c>
      <c r="C1831">
        <v>6987</v>
      </c>
      <c r="D1831">
        <v>-37.747836</v>
      </c>
      <c r="E1831">
        <v>144.88106999999999</v>
      </c>
      <c r="F1831">
        <v>4</v>
      </c>
      <c r="G1831" t="s">
        <v>674</v>
      </c>
      <c r="H1831">
        <v>97</v>
      </c>
      <c r="I1831">
        <v>277</v>
      </c>
      <c r="J1831">
        <v>194</v>
      </c>
      <c r="K1831">
        <v>14</v>
      </c>
      <c r="L1831">
        <v>278</v>
      </c>
      <c r="M1831">
        <v>98</v>
      </c>
      <c r="N1831">
        <v>357</v>
      </c>
      <c r="O1831">
        <v>177</v>
      </c>
      <c r="T1831">
        <v>5</v>
      </c>
      <c r="U1831">
        <v>9</v>
      </c>
      <c r="V1831">
        <v>9</v>
      </c>
      <c r="Y1831">
        <v>0</v>
      </c>
      <c r="Z1831">
        <v>2</v>
      </c>
      <c r="AA1831">
        <v>82</v>
      </c>
      <c r="AD1831">
        <v>8</v>
      </c>
      <c r="AE1831">
        <v>6</v>
      </c>
      <c r="AF1831">
        <v>8</v>
      </c>
      <c r="AI1831">
        <v>15</v>
      </c>
      <c r="AJ1831">
        <v>65</v>
      </c>
      <c r="AK1831">
        <v>8</v>
      </c>
      <c r="AX1831">
        <v>23</v>
      </c>
      <c r="AY1831">
        <v>23</v>
      </c>
      <c r="AZ1831">
        <v>46</v>
      </c>
      <c r="BA1831">
        <v>84</v>
      </c>
      <c r="BB1831">
        <v>76</v>
      </c>
      <c r="BC1831">
        <v>160</v>
      </c>
      <c r="BD1831">
        <v>22</v>
      </c>
      <c r="BE1831">
        <v>19</v>
      </c>
      <c r="BF1831">
        <v>41</v>
      </c>
      <c r="BG1831">
        <v>88</v>
      </c>
      <c r="BH1831">
        <v>99</v>
      </c>
      <c r="BI1831">
        <v>187</v>
      </c>
      <c r="BP1831">
        <v>73</v>
      </c>
      <c r="BR1831">
        <v>81</v>
      </c>
      <c r="BS1831">
        <v>24</v>
      </c>
      <c r="BT1831">
        <v>39</v>
      </c>
      <c r="BV1831">
        <v>0</v>
      </c>
      <c r="BW1831">
        <v>217</v>
      </c>
      <c r="BX1831">
        <f t="shared" si="205"/>
        <v>272</v>
      </c>
      <c r="BY1831" s="5">
        <f t="shared" si="202"/>
        <v>-0.20220588235294118</v>
      </c>
      <c r="BZ1831" s="6">
        <f t="shared" si="200"/>
        <v>-0.20220588235294118</v>
      </c>
      <c r="CA1831" s="7">
        <v>43779</v>
      </c>
      <c r="CE1831">
        <v>88</v>
      </c>
      <c r="CF1831">
        <v>40</v>
      </c>
      <c r="CG1831">
        <v>50</v>
      </c>
      <c r="CH1831">
        <v>39</v>
      </c>
      <c r="CI1831">
        <f t="shared" si="198"/>
        <v>2019</v>
      </c>
      <c r="CJ1831" t="str">
        <f t="shared" si="199"/>
        <v>6987_2019</v>
      </c>
    </row>
    <row r="1832" spans="1:88" x14ac:dyDescent="0.25">
      <c r="A1832" t="s">
        <v>111</v>
      </c>
      <c r="B1832" t="s">
        <v>135</v>
      </c>
      <c r="C1832">
        <v>6987</v>
      </c>
      <c r="D1832">
        <v>-37.747799999999998</v>
      </c>
      <c r="E1832">
        <v>144.8811</v>
      </c>
      <c r="F1832">
        <v>4</v>
      </c>
      <c r="G1832" t="s">
        <v>674</v>
      </c>
      <c r="H1832">
        <v>97</v>
      </c>
      <c r="I1832">
        <v>277</v>
      </c>
      <c r="J1832">
        <v>194</v>
      </c>
      <c r="K1832">
        <v>14</v>
      </c>
      <c r="L1832">
        <v>278</v>
      </c>
      <c r="M1832">
        <v>98</v>
      </c>
      <c r="N1832">
        <v>357</v>
      </c>
      <c r="O1832">
        <v>177</v>
      </c>
      <c r="T1832">
        <v>15</v>
      </c>
      <c r="U1832">
        <v>26</v>
      </c>
      <c r="V1832">
        <v>33</v>
      </c>
      <c r="Y1832">
        <v>6</v>
      </c>
      <c r="Z1832">
        <v>12</v>
      </c>
      <c r="AA1832">
        <v>150</v>
      </c>
      <c r="AD1832">
        <v>28</v>
      </c>
      <c r="AE1832">
        <v>14</v>
      </c>
      <c r="AF1832">
        <v>19</v>
      </c>
      <c r="AI1832">
        <v>19</v>
      </c>
      <c r="AJ1832">
        <v>195</v>
      </c>
      <c r="AK1832">
        <v>9</v>
      </c>
      <c r="AX1832">
        <v>74</v>
      </c>
      <c r="AY1832">
        <v>53</v>
      </c>
      <c r="AZ1832">
        <v>127</v>
      </c>
      <c r="BA1832">
        <v>168</v>
      </c>
      <c r="BB1832">
        <v>224</v>
      </c>
      <c r="BC1832">
        <v>392</v>
      </c>
      <c r="BD1832">
        <v>61</v>
      </c>
      <c r="BE1832">
        <v>47</v>
      </c>
      <c r="BF1832">
        <v>108</v>
      </c>
      <c r="BG1832">
        <v>223</v>
      </c>
      <c r="BH1832">
        <v>202</v>
      </c>
      <c r="BI1832">
        <v>425</v>
      </c>
      <c r="BP1832">
        <v>170</v>
      </c>
      <c r="BR1832">
        <v>259</v>
      </c>
      <c r="BS1832">
        <v>44</v>
      </c>
      <c r="BT1832">
        <v>46</v>
      </c>
      <c r="BV1832">
        <v>7</v>
      </c>
      <c r="BW1832">
        <v>526</v>
      </c>
      <c r="BX1832">
        <f t="shared" si="205"/>
        <v>217</v>
      </c>
      <c r="BY1832" s="5">
        <f t="shared" si="202"/>
        <v>1.4239631336405529</v>
      </c>
      <c r="BZ1832" s="6">
        <f t="shared" si="200"/>
        <v>1.4239631336405529</v>
      </c>
      <c r="CA1832" s="7">
        <v>44143</v>
      </c>
      <c r="CE1832">
        <v>154</v>
      </c>
      <c r="CF1832">
        <v>138</v>
      </c>
      <c r="CG1832">
        <v>134</v>
      </c>
      <c r="CH1832">
        <v>100</v>
      </c>
      <c r="CI1832">
        <f t="shared" si="198"/>
        <v>2020</v>
      </c>
      <c r="CJ1832" t="str">
        <f t="shared" si="199"/>
        <v>6987_2020</v>
      </c>
    </row>
    <row r="1833" spans="1:88" x14ac:dyDescent="0.25">
      <c r="A1833" t="s">
        <v>111</v>
      </c>
      <c r="B1833" t="s">
        <v>135</v>
      </c>
      <c r="C1833">
        <v>6987</v>
      </c>
      <c r="D1833">
        <v>-37.747836</v>
      </c>
      <c r="E1833">
        <v>144.88106999999999</v>
      </c>
      <c r="F1833">
        <v>4</v>
      </c>
      <c r="G1833" t="s">
        <v>674</v>
      </c>
      <c r="H1833">
        <v>97</v>
      </c>
      <c r="I1833">
        <v>277</v>
      </c>
      <c r="J1833">
        <v>194</v>
      </c>
      <c r="K1833">
        <v>14</v>
      </c>
      <c r="L1833">
        <v>278</v>
      </c>
      <c r="M1833">
        <v>98</v>
      </c>
      <c r="N1833">
        <v>357</v>
      </c>
      <c r="O1833">
        <v>177</v>
      </c>
      <c r="T1833">
        <v>4</v>
      </c>
      <c r="U1833">
        <v>10</v>
      </c>
      <c r="V1833">
        <v>11</v>
      </c>
      <c r="Y1833">
        <v>6</v>
      </c>
      <c r="Z1833">
        <v>4</v>
      </c>
      <c r="AA1833">
        <v>64</v>
      </c>
      <c r="AD1833">
        <v>8</v>
      </c>
      <c r="AE1833">
        <v>9</v>
      </c>
      <c r="AF1833">
        <v>15</v>
      </c>
      <c r="AI1833">
        <v>10</v>
      </c>
      <c r="AJ1833">
        <v>61</v>
      </c>
      <c r="AK1833">
        <v>6</v>
      </c>
      <c r="AX1833">
        <v>25</v>
      </c>
      <c r="AY1833">
        <v>24</v>
      </c>
      <c r="AZ1833">
        <v>49</v>
      </c>
      <c r="BA1833">
        <v>74</v>
      </c>
      <c r="BB1833">
        <v>74</v>
      </c>
      <c r="BC1833">
        <v>148</v>
      </c>
      <c r="BD1833">
        <v>32</v>
      </c>
      <c r="BE1833">
        <v>20</v>
      </c>
      <c r="BF1833">
        <v>52</v>
      </c>
      <c r="BG1833">
        <v>77</v>
      </c>
      <c r="BH1833">
        <v>90</v>
      </c>
      <c r="BI1833">
        <v>167</v>
      </c>
      <c r="BP1833">
        <v>51</v>
      </c>
      <c r="BR1833">
        <v>101</v>
      </c>
      <c r="BS1833">
        <v>17</v>
      </c>
      <c r="BT1833">
        <v>29</v>
      </c>
      <c r="BV1833">
        <v>10</v>
      </c>
      <c r="BW1833">
        <v>208</v>
      </c>
      <c r="BX1833">
        <f t="shared" si="205"/>
        <v>526</v>
      </c>
      <c r="BY1833" s="5">
        <f t="shared" si="202"/>
        <v>-0.6045627376425855</v>
      </c>
      <c r="BZ1833" s="6">
        <f t="shared" si="200"/>
        <v>-0.6045627376425855</v>
      </c>
      <c r="CA1833" s="7">
        <v>44528</v>
      </c>
      <c r="CE1833">
        <v>49</v>
      </c>
      <c r="CF1833">
        <v>92</v>
      </c>
      <c r="CG1833">
        <v>67</v>
      </c>
      <c r="CI1833">
        <f t="shared" si="198"/>
        <v>2021</v>
      </c>
      <c r="CJ1833" t="str">
        <f t="shared" si="199"/>
        <v>6987_2021</v>
      </c>
    </row>
    <row r="1834" spans="1:88" x14ac:dyDescent="0.25">
      <c r="A1834" t="s">
        <v>111</v>
      </c>
      <c r="B1834" t="s">
        <v>135</v>
      </c>
      <c r="C1834">
        <v>6987</v>
      </c>
      <c r="D1834">
        <v>-37.747836</v>
      </c>
      <c r="E1834">
        <v>144.88106999999999</v>
      </c>
      <c r="F1834">
        <v>4</v>
      </c>
      <c r="G1834" t="s">
        <v>674</v>
      </c>
      <c r="H1834">
        <v>97</v>
      </c>
      <c r="I1834">
        <v>277</v>
      </c>
      <c r="J1834">
        <v>194</v>
      </c>
      <c r="K1834">
        <v>14</v>
      </c>
      <c r="L1834">
        <v>278</v>
      </c>
      <c r="M1834">
        <v>98</v>
      </c>
      <c r="N1834">
        <v>357</v>
      </c>
      <c r="O1834">
        <v>177</v>
      </c>
      <c r="T1834">
        <v>1</v>
      </c>
      <c r="U1834">
        <v>13</v>
      </c>
      <c r="V1834">
        <v>7</v>
      </c>
      <c r="Y1834">
        <v>2</v>
      </c>
      <c r="Z1834">
        <v>6</v>
      </c>
      <c r="AA1834">
        <v>51</v>
      </c>
      <c r="AD1834">
        <v>10</v>
      </c>
      <c r="AE1834">
        <v>7</v>
      </c>
      <c r="AF1834">
        <v>12</v>
      </c>
      <c r="AI1834">
        <v>14</v>
      </c>
      <c r="AJ1834">
        <v>62</v>
      </c>
      <c r="AK1834">
        <v>11</v>
      </c>
      <c r="AX1834">
        <v>21</v>
      </c>
      <c r="AY1834">
        <v>26</v>
      </c>
      <c r="AZ1834">
        <v>47</v>
      </c>
      <c r="BA1834">
        <v>59</v>
      </c>
      <c r="BB1834">
        <v>70</v>
      </c>
      <c r="BC1834">
        <v>129</v>
      </c>
      <c r="BD1834">
        <v>29</v>
      </c>
      <c r="BE1834">
        <v>30</v>
      </c>
      <c r="BF1834">
        <v>59</v>
      </c>
      <c r="BG1834">
        <v>87</v>
      </c>
      <c r="BH1834">
        <v>70</v>
      </c>
      <c r="BI1834">
        <v>157</v>
      </c>
      <c r="BP1834">
        <v>35</v>
      </c>
      <c r="BR1834">
        <v>102</v>
      </c>
      <c r="BS1834">
        <v>13</v>
      </c>
      <c r="BT1834">
        <v>40</v>
      </c>
      <c r="BU1834">
        <v>6</v>
      </c>
      <c r="BV1834">
        <v>0</v>
      </c>
      <c r="BW1834">
        <v>196</v>
      </c>
      <c r="BX1834">
        <f t="shared" si="205"/>
        <v>208</v>
      </c>
      <c r="BY1834" s="5">
        <f t="shared" si="202"/>
        <v>-5.7692307692307696E-2</v>
      </c>
      <c r="BZ1834" s="6">
        <f t="shared" si="200"/>
        <v>-5.7692307692307696E-2</v>
      </c>
      <c r="CA1834" s="7">
        <v>44878</v>
      </c>
      <c r="CE1834">
        <v>73</v>
      </c>
      <c r="CF1834">
        <v>68</v>
      </c>
      <c r="CG1834">
        <v>55</v>
      </c>
      <c r="CI1834">
        <f t="shared" si="198"/>
        <v>2022</v>
      </c>
      <c r="CJ1834" t="str">
        <f t="shared" si="199"/>
        <v>6987_2022</v>
      </c>
    </row>
    <row r="1835" spans="1:88" x14ac:dyDescent="0.25">
      <c r="A1835" t="s">
        <v>79</v>
      </c>
      <c r="B1835" t="s">
        <v>98</v>
      </c>
      <c r="C1835">
        <v>6997</v>
      </c>
      <c r="D1835">
        <v>-33.787004000000003</v>
      </c>
      <c r="E1835">
        <v>151.270105</v>
      </c>
      <c r="F1835">
        <v>4</v>
      </c>
      <c r="G1835" t="s">
        <v>675</v>
      </c>
      <c r="H1835">
        <v>9</v>
      </c>
      <c r="I1835">
        <v>189</v>
      </c>
      <c r="J1835">
        <v>99</v>
      </c>
      <c r="K1835">
        <v>279</v>
      </c>
      <c r="L1835">
        <v>191</v>
      </c>
      <c r="M1835">
        <v>11</v>
      </c>
      <c r="N1835">
        <v>280</v>
      </c>
      <c r="O1835">
        <v>100</v>
      </c>
      <c r="T1835">
        <v>36</v>
      </c>
      <c r="U1835">
        <v>11</v>
      </c>
      <c r="V1835">
        <v>23</v>
      </c>
      <c r="Y1835">
        <v>26</v>
      </c>
      <c r="Z1835">
        <v>52</v>
      </c>
      <c r="AA1835">
        <v>58</v>
      </c>
      <c r="AD1835">
        <v>21</v>
      </c>
      <c r="AE1835">
        <v>22</v>
      </c>
      <c r="AF1835">
        <v>4</v>
      </c>
      <c r="AI1835">
        <v>20</v>
      </c>
      <c r="AJ1835">
        <v>49</v>
      </c>
      <c r="AK1835">
        <v>5</v>
      </c>
      <c r="AX1835">
        <v>70</v>
      </c>
      <c r="AY1835">
        <v>67</v>
      </c>
      <c r="AZ1835">
        <v>137</v>
      </c>
      <c r="BA1835">
        <v>136</v>
      </c>
      <c r="BB1835">
        <v>107</v>
      </c>
      <c r="BC1835">
        <v>243</v>
      </c>
      <c r="BD1835">
        <v>47</v>
      </c>
      <c r="BE1835">
        <v>68</v>
      </c>
      <c r="BF1835">
        <v>115</v>
      </c>
      <c r="BG1835">
        <v>74</v>
      </c>
      <c r="BH1835">
        <v>85</v>
      </c>
      <c r="BI1835">
        <v>159</v>
      </c>
      <c r="BP1835">
        <v>137</v>
      </c>
      <c r="BR1835">
        <v>148</v>
      </c>
      <c r="BS1835">
        <v>4</v>
      </c>
      <c r="BT1835">
        <v>26</v>
      </c>
      <c r="BV1835">
        <v>12</v>
      </c>
      <c r="BW1835">
        <v>327</v>
      </c>
      <c r="BX1835" t="s">
        <v>82</v>
      </c>
      <c r="BY1835" s="5"/>
      <c r="BZ1835" s="6"/>
      <c r="CA1835" s="7">
        <v>42715</v>
      </c>
      <c r="CE1835">
        <v>100</v>
      </c>
      <c r="CF1835">
        <v>80</v>
      </c>
      <c r="CG1835">
        <v>106</v>
      </c>
      <c r="CH1835">
        <v>41</v>
      </c>
      <c r="CI1835">
        <f t="shared" si="198"/>
        <v>2016</v>
      </c>
      <c r="CJ1835" t="str">
        <f t="shared" si="199"/>
        <v>6997_2016</v>
      </c>
    </row>
    <row r="1836" spans="1:88" x14ac:dyDescent="0.25">
      <c r="A1836" t="s">
        <v>79</v>
      </c>
      <c r="B1836" t="s">
        <v>98</v>
      </c>
      <c r="C1836">
        <v>6998</v>
      </c>
      <c r="D1836">
        <v>-33.790241000000002</v>
      </c>
      <c r="E1836">
        <v>151.26567</v>
      </c>
      <c r="F1836">
        <v>4</v>
      </c>
      <c r="G1836" t="s">
        <v>676</v>
      </c>
      <c r="H1836">
        <v>10</v>
      </c>
      <c r="I1836">
        <v>190</v>
      </c>
      <c r="J1836">
        <v>99</v>
      </c>
      <c r="K1836">
        <v>279</v>
      </c>
      <c r="L1836">
        <v>188</v>
      </c>
      <c r="M1836">
        <v>8</v>
      </c>
      <c r="N1836">
        <v>283</v>
      </c>
      <c r="O1836">
        <v>103</v>
      </c>
      <c r="T1836">
        <v>37</v>
      </c>
      <c r="U1836">
        <v>86</v>
      </c>
      <c r="V1836">
        <v>33</v>
      </c>
      <c r="Y1836">
        <v>30</v>
      </c>
      <c r="Z1836">
        <v>30</v>
      </c>
      <c r="AA1836">
        <v>167</v>
      </c>
      <c r="AD1836">
        <v>58</v>
      </c>
      <c r="AE1836">
        <v>23</v>
      </c>
      <c r="AF1836">
        <v>8</v>
      </c>
      <c r="AI1836">
        <v>28</v>
      </c>
      <c r="AJ1836">
        <v>129</v>
      </c>
      <c r="AK1836">
        <v>12</v>
      </c>
      <c r="AX1836">
        <v>156</v>
      </c>
      <c r="AY1836">
        <v>116</v>
      </c>
      <c r="AZ1836">
        <v>272</v>
      </c>
      <c r="BA1836">
        <v>227</v>
      </c>
      <c r="BB1836">
        <v>189</v>
      </c>
      <c r="BC1836">
        <v>416</v>
      </c>
      <c r="BD1836">
        <v>89</v>
      </c>
      <c r="BE1836">
        <v>128</v>
      </c>
      <c r="BF1836">
        <v>217</v>
      </c>
      <c r="BG1836">
        <v>169</v>
      </c>
      <c r="BH1836">
        <v>208</v>
      </c>
      <c r="BI1836">
        <v>377</v>
      </c>
      <c r="BP1836">
        <v>256</v>
      </c>
      <c r="BR1836">
        <v>317</v>
      </c>
      <c r="BS1836">
        <v>15</v>
      </c>
      <c r="BT1836">
        <v>27</v>
      </c>
      <c r="BV1836">
        <v>26</v>
      </c>
      <c r="BW1836">
        <v>641</v>
      </c>
      <c r="BX1836" t="s">
        <v>82</v>
      </c>
      <c r="BY1836" s="5"/>
      <c r="BZ1836" s="6"/>
      <c r="CA1836" s="7">
        <v>42715</v>
      </c>
      <c r="CE1836">
        <v>136</v>
      </c>
      <c r="CF1836">
        <v>167</v>
      </c>
      <c r="CG1836">
        <v>185</v>
      </c>
      <c r="CH1836">
        <v>153</v>
      </c>
      <c r="CI1836">
        <f t="shared" si="198"/>
        <v>2016</v>
      </c>
      <c r="CJ1836" t="str">
        <f t="shared" si="199"/>
        <v>6998_2016</v>
      </c>
    </row>
    <row r="1837" spans="1:88" x14ac:dyDescent="0.25">
      <c r="A1837" t="s">
        <v>79</v>
      </c>
      <c r="B1837" t="s">
        <v>98</v>
      </c>
      <c r="C1837">
        <v>6999</v>
      </c>
      <c r="D1837">
        <v>-33.795831</v>
      </c>
      <c r="E1837">
        <v>151.28756000000001</v>
      </c>
      <c r="F1837">
        <v>3</v>
      </c>
      <c r="G1837" t="s">
        <v>677</v>
      </c>
      <c r="H1837">
        <v>155</v>
      </c>
      <c r="I1837">
        <v>335</v>
      </c>
      <c r="J1837">
        <v>276</v>
      </c>
      <c r="K1837">
        <v>96</v>
      </c>
      <c r="L1837">
        <v>346</v>
      </c>
      <c r="M1837">
        <v>166</v>
      </c>
      <c r="T1837">
        <v>23</v>
      </c>
      <c r="U1837">
        <v>379</v>
      </c>
      <c r="Y1837">
        <v>24</v>
      </c>
      <c r="Z1837">
        <v>28</v>
      </c>
      <c r="AD1837">
        <v>577</v>
      </c>
      <c r="AE1837">
        <v>24</v>
      </c>
      <c r="AX1837">
        <v>402</v>
      </c>
      <c r="AY1837">
        <v>601</v>
      </c>
      <c r="AZ1837">
        <v>1003</v>
      </c>
      <c r="BA1837">
        <v>52</v>
      </c>
      <c r="BB1837">
        <v>47</v>
      </c>
      <c r="BC1837">
        <v>99</v>
      </c>
      <c r="BD1837">
        <v>601</v>
      </c>
      <c r="BE1837">
        <v>407</v>
      </c>
      <c r="BF1837">
        <v>1008</v>
      </c>
      <c r="BP1837">
        <v>659</v>
      </c>
      <c r="BR1837">
        <v>265</v>
      </c>
      <c r="BS1837">
        <v>51</v>
      </c>
      <c r="BT1837">
        <v>32</v>
      </c>
      <c r="BV1837">
        <v>48</v>
      </c>
      <c r="BW1837">
        <v>1055</v>
      </c>
      <c r="BX1837" t="s">
        <v>82</v>
      </c>
      <c r="BY1837" s="5"/>
      <c r="BZ1837" s="6"/>
      <c r="CA1837" s="7">
        <v>42715</v>
      </c>
      <c r="CE1837">
        <v>307</v>
      </c>
      <c r="CF1837">
        <v>399</v>
      </c>
      <c r="CG1837">
        <v>172</v>
      </c>
      <c r="CH1837">
        <v>177</v>
      </c>
      <c r="CI1837">
        <f t="shared" si="198"/>
        <v>2016</v>
      </c>
      <c r="CJ1837" t="str">
        <f t="shared" si="199"/>
        <v>6999_2016</v>
      </c>
    </row>
    <row r="1838" spans="1:88" x14ac:dyDescent="0.25">
      <c r="A1838" t="s">
        <v>79</v>
      </c>
      <c r="B1838" t="s">
        <v>98</v>
      </c>
      <c r="C1838">
        <v>7000</v>
      </c>
      <c r="D1838">
        <v>-33.800420000000003</v>
      </c>
      <c r="E1838">
        <v>151.24708899999999</v>
      </c>
      <c r="F1838">
        <v>5</v>
      </c>
      <c r="G1838" t="s">
        <v>678</v>
      </c>
      <c r="H1838">
        <v>66</v>
      </c>
      <c r="I1838">
        <v>246</v>
      </c>
      <c r="J1838">
        <v>151</v>
      </c>
      <c r="K1838">
        <v>331</v>
      </c>
      <c r="L1838">
        <v>203</v>
      </c>
      <c r="M1838">
        <v>23</v>
      </c>
      <c r="N1838">
        <v>231</v>
      </c>
      <c r="O1838">
        <v>51</v>
      </c>
      <c r="P1838">
        <v>328</v>
      </c>
      <c r="Q1838">
        <v>148</v>
      </c>
      <c r="T1838">
        <v>1</v>
      </c>
      <c r="U1838">
        <v>355</v>
      </c>
      <c r="V1838">
        <v>0</v>
      </c>
      <c r="W1838">
        <v>0</v>
      </c>
      <c r="Y1838">
        <v>0</v>
      </c>
      <c r="Z1838">
        <v>55</v>
      </c>
      <c r="AA1838">
        <v>2</v>
      </c>
      <c r="AB1838">
        <v>0</v>
      </c>
      <c r="AD1838">
        <v>6</v>
      </c>
      <c r="AE1838">
        <v>26</v>
      </c>
      <c r="AF1838">
        <v>0</v>
      </c>
      <c r="AG1838">
        <v>6</v>
      </c>
      <c r="AI1838">
        <v>0</v>
      </c>
      <c r="AJ1838">
        <v>0</v>
      </c>
      <c r="AK1838">
        <v>0</v>
      </c>
      <c r="AL1838">
        <v>140</v>
      </c>
      <c r="AN1838">
        <v>0</v>
      </c>
      <c r="AO1838">
        <v>2</v>
      </c>
      <c r="AP1838">
        <v>3</v>
      </c>
      <c r="AQ1838">
        <v>221</v>
      </c>
      <c r="AX1838">
        <v>356</v>
      </c>
      <c r="AY1838">
        <v>6</v>
      </c>
      <c r="AZ1838">
        <v>362</v>
      </c>
      <c r="BA1838">
        <v>57</v>
      </c>
      <c r="BB1838">
        <v>29</v>
      </c>
      <c r="BC1838">
        <v>86</v>
      </c>
      <c r="BD1838">
        <v>38</v>
      </c>
      <c r="BE1838">
        <v>413</v>
      </c>
      <c r="BF1838">
        <v>451</v>
      </c>
      <c r="BG1838">
        <v>140</v>
      </c>
      <c r="BH1838">
        <v>223</v>
      </c>
      <c r="BI1838">
        <v>363</v>
      </c>
      <c r="BJ1838">
        <v>226</v>
      </c>
      <c r="BK1838">
        <v>146</v>
      </c>
      <c r="BL1838">
        <v>372</v>
      </c>
      <c r="BP1838">
        <v>536</v>
      </c>
      <c r="BR1838">
        <v>228</v>
      </c>
      <c r="BS1838">
        <v>29</v>
      </c>
      <c r="BT1838">
        <v>24</v>
      </c>
      <c r="BV1838">
        <v>0</v>
      </c>
      <c r="BW1838">
        <v>817</v>
      </c>
      <c r="BX1838" t="s">
        <v>82</v>
      </c>
      <c r="BY1838" s="5"/>
      <c r="BZ1838" s="6"/>
      <c r="CA1838" s="7">
        <v>42687</v>
      </c>
      <c r="CE1838">
        <v>426</v>
      </c>
      <c r="CF1838">
        <v>245</v>
      </c>
      <c r="CG1838">
        <v>107</v>
      </c>
      <c r="CH1838">
        <v>39</v>
      </c>
      <c r="CI1838">
        <f t="shared" si="198"/>
        <v>2016</v>
      </c>
      <c r="CJ1838" t="str">
        <f t="shared" si="199"/>
        <v>7000_2016</v>
      </c>
    </row>
    <row r="1839" spans="1:88" x14ac:dyDescent="0.25">
      <c r="A1839" t="s">
        <v>79</v>
      </c>
      <c r="B1839" t="s">
        <v>98</v>
      </c>
      <c r="C1839">
        <v>7001</v>
      </c>
      <c r="D1839">
        <v>-33.797173000000001</v>
      </c>
      <c r="E1839">
        <v>151.26829000000001</v>
      </c>
      <c r="F1839">
        <v>3</v>
      </c>
      <c r="G1839" t="s">
        <v>679</v>
      </c>
      <c r="H1839">
        <v>99</v>
      </c>
      <c r="I1839">
        <v>279</v>
      </c>
      <c r="J1839">
        <v>127</v>
      </c>
      <c r="K1839">
        <v>307</v>
      </c>
      <c r="L1839">
        <v>279</v>
      </c>
      <c r="M1839">
        <v>99</v>
      </c>
      <c r="T1839">
        <v>60</v>
      </c>
      <c r="U1839">
        <v>16</v>
      </c>
      <c r="Y1839">
        <v>31</v>
      </c>
      <c r="Z1839">
        <v>383</v>
      </c>
      <c r="AD1839">
        <v>17</v>
      </c>
      <c r="AE1839">
        <v>699</v>
      </c>
      <c r="AX1839">
        <v>76</v>
      </c>
      <c r="AY1839">
        <v>48</v>
      </c>
      <c r="AZ1839">
        <v>124</v>
      </c>
      <c r="BA1839">
        <v>414</v>
      </c>
      <c r="BB1839">
        <v>759</v>
      </c>
      <c r="BC1839">
        <v>1173</v>
      </c>
      <c r="BD1839">
        <v>716</v>
      </c>
      <c r="BE1839">
        <v>399</v>
      </c>
      <c r="BF1839">
        <v>1115</v>
      </c>
      <c r="BP1839">
        <v>14</v>
      </c>
      <c r="BR1839">
        <v>993</v>
      </c>
      <c r="BS1839">
        <v>103</v>
      </c>
      <c r="BT1839">
        <v>96</v>
      </c>
      <c r="BV1839">
        <v>0</v>
      </c>
      <c r="BW1839">
        <v>1206</v>
      </c>
      <c r="BX1839" t="s">
        <v>82</v>
      </c>
      <c r="BY1839" s="5"/>
      <c r="BZ1839" s="6"/>
      <c r="CA1839" s="7">
        <v>42687</v>
      </c>
      <c r="CE1839">
        <v>290</v>
      </c>
      <c r="CF1839">
        <v>285</v>
      </c>
      <c r="CG1839">
        <v>346</v>
      </c>
      <c r="CH1839">
        <v>285</v>
      </c>
      <c r="CI1839">
        <f t="shared" si="198"/>
        <v>2016</v>
      </c>
      <c r="CJ1839" t="str">
        <f t="shared" si="199"/>
        <v>7001_2016</v>
      </c>
    </row>
    <row r="1840" spans="1:88" x14ac:dyDescent="0.25">
      <c r="A1840" t="s">
        <v>79</v>
      </c>
      <c r="B1840" t="s">
        <v>98</v>
      </c>
      <c r="C1840">
        <v>7002</v>
      </c>
      <c r="D1840">
        <v>-33.799697999999999</v>
      </c>
      <c r="E1840">
        <v>151.290018</v>
      </c>
      <c r="F1840">
        <v>4</v>
      </c>
      <c r="G1840" t="s">
        <v>680</v>
      </c>
      <c r="H1840">
        <v>73</v>
      </c>
      <c r="I1840">
        <v>253</v>
      </c>
      <c r="J1840">
        <v>226</v>
      </c>
      <c r="K1840">
        <v>46</v>
      </c>
      <c r="L1840">
        <v>321</v>
      </c>
      <c r="M1840">
        <v>141</v>
      </c>
      <c r="N1840">
        <v>340</v>
      </c>
      <c r="O1840">
        <v>160</v>
      </c>
      <c r="BX1840" t="s">
        <v>82</v>
      </c>
      <c r="BY1840" s="5"/>
      <c r="BZ1840" s="6"/>
      <c r="CA1840" s="7">
        <v>42715</v>
      </c>
      <c r="CI1840">
        <f t="shared" si="198"/>
        <v>2016</v>
      </c>
      <c r="CJ1840" t="str">
        <f t="shared" si="199"/>
        <v>7002_2016</v>
      </c>
    </row>
    <row r="1841" spans="1:88" x14ac:dyDescent="0.25">
      <c r="A1841" t="s">
        <v>79</v>
      </c>
      <c r="B1841" t="s">
        <v>98</v>
      </c>
      <c r="C1841">
        <v>7003</v>
      </c>
      <c r="D1841">
        <v>-33.805546</v>
      </c>
      <c r="E1841">
        <v>151.29532</v>
      </c>
      <c r="F1841">
        <v>3</v>
      </c>
      <c r="G1841" t="s">
        <v>681</v>
      </c>
      <c r="H1841">
        <v>102</v>
      </c>
      <c r="I1841">
        <v>282</v>
      </c>
      <c r="J1841">
        <v>153</v>
      </c>
      <c r="K1841">
        <v>333</v>
      </c>
      <c r="L1841">
        <v>284</v>
      </c>
      <c r="M1841">
        <v>104</v>
      </c>
      <c r="T1841">
        <v>6</v>
      </c>
      <c r="U1841">
        <v>27</v>
      </c>
      <c r="Y1841">
        <v>12</v>
      </c>
      <c r="Z1841">
        <v>109</v>
      </c>
      <c r="AD1841">
        <v>38</v>
      </c>
      <c r="AE1841">
        <v>107</v>
      </c>
      <c r="AX1841">
        <v>33</v>
      </c>
      <c r="AY1841">
        <v>50</v>
      </c>
      <c r="AZ1841">
        <v>83</v>
      </c>
      <c r="BA1841">
        <v>121</v>
      </c>
      <c r="BB1841">
        <v>113</v>
      </c>
      <c r="BC1841">
        <v>234</v>
      </c>
      <c r="BD1841">
        <v>145</v>
      </c>
      <c r="BE1841">
        <v>136</v>
      </c>
      <c r="BF1841">
        <v>281</v>
      </c>
      <c r="BP1841">
        <v>115</v>
      </c>
      <c r="BR1841">
        <v>162</v>
      </c>
      <c r="BS1841">
        <v>20</v>
      </c>
      <c r="BT1841">
        <v>0</v>
      </c>
      <c r="BV1841">
        <v>2</v>
      </c>
      <c r="BW1841">
        <v>299</v>
      </c>
      <c r="BX1841" t="s">
        <v>82</v>
      </c>
      <c r="BY1841" s="5"/>
      <c r="BZ1841" s="6"/>
      <c r="CA1841" s="7">
        <v>42687</v>
      </c>
      <c r="CE1841">
        <v>73</v>
      </c>
      <c r="CF1841">
        <v>70</v>
      </c>
      <c r="CG1841">
        <v>70</v>
      </c>
      <c r="CH1841">
        <v>86</v>
      </c>
      <c r="CI1841">
        <f t="shared" si="198"/>
        <v>2016</v>
      </c>
      <c r="CJ1841" t="str">
        <f t="shared" si="199"/>
        <v>7003_2016</v>
      </c>
    </row>
    <row r="1842" spans="1:88" x14ac:dyDescent="0.25">
      <c r="A1842" t="s">
        <v>79</v>
      </c>
      <c r="B1842" t="s">
        <v>98</v>
      </c>
      <c r="C1842">
        <v>7004</v>
      </c>
      <c r="D1842">
        <v>-33.795799000000002</v>
      </c>
      <c r="E1842">
        <v>151.25344000000001</v>
      </c>
      <c r="F1842">
        <v>3</v>
      </c>
      <c r="G1842" t="s">
        <v>682</v>
      </c>
      <c r="H1842">
        <v>9</v>
      </c>
      <c r="I1842">
        <v>189</v>
      </c>
      <c r="J1842">
        <v>77</v>
      </c>
      <c r="K1842">
        <v>257</v>
      </c>
      <c r="L1842">
        <v>240</v>
      </c>
      <c r="M1842">
        <v>60</v>
      </c>
      <c r="T1842">
        <v>7</v>
      </c>
      <c r="U1842">
        <v>2</v>
      </c>
      <c r="Y1842">
        <v>5</v>
      </c>
      <c r="Z1842">
        <v>42</v>
      </c>
      <c r="AD1842">
        <v>3</v>
      </c>
      <c r="AE1842">
        <v>36</v>
      </c>
      <c r="AX1842">
        <v>9</v>
      </c>
      <c r="AY1842">
        <v>8</v>
      </c>
      <c r="AZ1842">
        <v>17</v>
      </c>
      <c r="BA1842">
        <v>47</v>
      </c>
      <c r="BB1842">
        <v>43</v>
      </c>
      <c r="BC1842">
        <v>90</v>
      </c>
      <c r="BD1842">
        <v>39</v>
      </c>
      <c r="BE1842">
        <v>44</v>
      </c>
      <c r="BF1842">
        <v>83</v>
      </c>
      <c r="BP1842">
        <v>18</v>
      </c>
      <c r="BR1842">
        <v>70</v>
      </c>
      <c r="BS1842">
        <v>5</v>
      </c>
      <c r="BT1842">
        <v>2</v>
      </c>
      <c r="BV1842">
        <v>0</v>
      </c>
      <c r="BW1842">
        <v>95</v>
      </c>
      <c r="BX1842" t="s">
        <v>82</v>
      </c>
      <c r="BY1842" s="5"/>
      <c r="BZ1842" s="6"/>
      <c r="CA1842" s="7">
        <v>42715</v>
      </c>
      <c r="CE1842">
        <v>21</v>
      </c>
      <c r="CF1842">
        <v>29</v>
      </c>
      <c r="CG1842">
        <v>21</v>
      </c>
      <c r="CH1842">
        <v>24</v>
      </c>
      <c r="CI1842">
        <f t="shared" si="198"/>
        <v>2016</v>
      </c>
      <c r="CJ1842" t="str">
        <f t="shared" si="199"/>
        <v>7004_2016</v>
      </c>
    </row>
    <row r="1843" spans="1:88" x14ac:dyDescent="0.25">
      <c r="A1843" t="s">
        <v>79</v>
      </c>
      <c r="B1843" t="s">
        <v>98</v>
      </c>
      <c r="C1843">
        <v>7005</v>
      </c>
      <c r="D1843">
        <v>-33.666494999999998</v>
      </c>
      <c r="E1843">
        <v>151.30117000000001</v>
      </c>
      <c r="F1843">
        <v>3</v>
      </c>
      <c r="G1843" t="s">
        <v>683</v>
      </c>
      <c r="H1843">
        <v>15</v>
      </c>
      <c r="I1843">
        <v>195</v>
      </c>
      <c r="J1843">
        <v>185</v>
      </c>
      <c r="K1843">
        <v>5</v>
      </c>
      <c r="L1843">
        <v>260</v>
      </c>
      <c r="M1843">
        <v>80</v>
      </c>
      <c r="T1843">
        <v>269</v>
      </c>
      <c r="U1843">
        <v>114</v>
      </c>
      <c r="Y1843">
        <v>159</v>
      </c>
      <c r="Z1843">
        <v>14</v>
      </c>
      <c r="AD1843">
        <v>116</v>
      </c>
      <c r="AE1843">
        <v>10</v>
      </c>
      <c r="AX1843">
        <v>383</v>
      </c>
      <c r="AY1843">
        <v>275</v>
      </c>
      <c r="AZ1843">
        <v>658</v>
      </c>
      <c r="BA1843">
        <v>173</v>
      </c>
      <c r="BB1843">
        <v>279</v>
      </c>
      <c r="BC1843">
        <v>452</v>
      </c>
      <c r="BD1843">
        <v>126</v>
      </c>
      <c r="BE1843">
        <v>128</v>
      </c>
      <c r="BF1843">
        <v>254</v>
      </c>
      <c r="BP1843">
        <v>337</v>
      </c>
      <c r="BR1843">
        <v>244</v>
      </c>
      <c r="BS1843">
        <v>12</v>
      </c>
      <c r="BT1843">
        <v>84</v>
      </c>
      <c r="BV1843">
        <v>5</v>
      </c>
      <c r="BW1843">
        <v>682</v>
      </c>
      <c r="BX1843" t="s">
        <v>82</v>
      </c>
      <c r="BY1843" s="5"/>
      <c r="BZ1843" s="6"/>
      <c r="CA1843" s="7">
        <v>42687</v>
      </c>
      <c r="CE1843">
        <v>240</v>
      </c>
      <c r="CF1843">
        <v>199</v>
      </c>
      <c r="CG1843">
        <v>148</v>
      </c>
      <c r="CH1843">
        <v>95</v>
      </c>
      <c r="CI1843">
        <f t="shared" si="198"/>
        <v>2016</v>
      </c>
      <c r="CJ1843" t="str">
        <f t="shared" si="199"/>
        <v>7005_2016</v>
      </c>
    </row>
    <row r="1844" spans="1:88" x14ac:dyDescent="0.25">
      <c r="A1844" t="s">
        <v>79</v>
      </c>
      <c r="B1844" t="s">
        <v>98</v>
      </c>
      <c r="C1844">
        <v>7006</v>
      </c>
      <c r="D1844">
        <v>-33.636868</v>
      </c>
      <c r="E1844">
        <v>151.33035000000001</v>
      </c>
      <c r="F1844">
        <v>5</v>
      </c>
      <c r="G1844" t="s">
        <v>684</v>
      </c>
      <c r="H1844">
        <v>8</v>
      </c>
      <c r="I1844">
        <v>188</v>
      </c>
      <c r="J1844">
        <v>23</v>
      </c>
      <c r="K1844">
        <v>203</v>
      </c>
      <c r="L1844">
        <v>124</v>
      </c>
      <c r="M1844">
        <v>304</v>
      </c>
      <c r="N1844">
        <v>191</v>
      </c>
      <c r="O1844">
        <v>11</v>
      </c>
      <c r="P1844">
        <v>297</v>
      </c>
      <c r="Q1844">
        <v>117</v>
      </c>
      <c r="T1844">
        <v>17</v>
      </c>
      <c r="U1844">
        <v>14</v>
      </c>
      <c r="V1844">
        <v>45</v>
      </c>
      <c r="W1844">
        <v>7</v>
      </c>
      <c r="Y1844">
        <v>0</v>
      </c>
      <c r="Z1844">
        <v>87</v>
      </c>
      <c r="AA1844">
        <v>21</v>
      </c>
      <c r="AB1844">
        <v>64</v>
      </c>
      <c r="AD1844">
        <v>13</v>
      </c>
      <c r="AE1844">
        <v>98</v>
      </c>
      <c r="AF1844">
        <v>55</v>
      </c>
      <c r="AG1844">
        <v>503</v>
      </c>
      <c r="AI1844">
        <v>10</v>
      </c>
      <c r="AJ1844">
        <v>5</v>
      </c>
      <c r="AK1844">
        <v>58</v>
      </c>
      <c r="AL1844">
        <v>13</v>
      </c>
      <c r="AN1844">
        <v>0</v>
      </c>
      <c r="AO1844">
        <v>107</v>
      </c>
      <c r="AP1844">
        <v>470</v>
      </c>
      <c r="AQ1844">
        <v>6</v>
      </c>
      <c r="AX1844">
        <v>83</v>
      </c>
      <c r="AY1844">
        <v>23</v>
      </c>
      <c r="AZ1844">
        <v>106</v>
      </c>
      <c r="BA1844">
        <v>172</v>
      </c>
      <c r="BB1844">
        <v>227</v>
      </c>
      <c r="BC1844">
        <v>399</v>
      </c>
      <c r="BD1844">
        <v>669</v>
      </c>
      <c r="BE1844">
        <v>629</v>
      </c>
      <c r="BF1844">
        <v>1298</v>
      </c>
      <c r="BG1844">
        <v>86</v>
      </c>
      <c r="BH1844">
        <v>127</v>
      </c>
      <c r="BI1844">
        <v>213</v>
      </c>
      <c r="BJ1844">
        <v>583</v>
      </c>
      <c r="BK1844">
        <v>587</v>
      </c>
      <c r="BL1844">
        <v>1170</v>
      </c>
      <c r="BP1844">
        <v>360</v>
      </c>
      <c r="BR1844">
        <v>1030</v>
      </c>
      <c r="BS1844">
        <v>149</v>
      </c>
      <c r="BT1844">
        <v>17</v>
      </c>
      <c r="BV1844">
        <v>37</v>
      </c>
      <c r="BW1844">
        <v>1593</v>
      </c>
      <c r="BX1844" t="s">
        <v>82</v>
      </c>
      <c r="BY1844" s="5"/>
      <c r="BZ1844" s="6"/>
      <c r="CA1844" s="7">
        <v>42687</v>
      </c>
      <c r="CE1844">
        <v>516</v>
      </c>
      <c r="CF1844">
        <v>0</v>
      </c>
      <c r="CG1844">
        <v>1077</v>
      </c>
      <c r="CH1844">
        <v>0</v>
      </c>
      <c r="CI1844">
        <f t="shared" si="198"/>
        <v>2016</v>
      </c>
      <c r="CJ1844" t="str">
        <f t="shared" si="199"/>
        <v>7006_2016</v>
      </c>
    </row>
    <row r="1845" spans="1:88" x14ac:dyDescent="0.25">
      <c r="A1845" t="s">
        <v>79</v>
      </c>
      <c r="B1845" t="s">
        <v>98</v>
      </c>
      <c r="C1845">
        <v>7007</v>
      </c>
      <c r="D1845">
        <v>-33.702764000000002</v>
      </c>
      <c r="E1845">
        <v>151.30525</v>
      </c>
      <c r="F1845">
        <v>4</v>
      </c>
      <c r="G1845" t="s">
        <v>685</v>
      </c>
      <c r="H1845">
        <v>11</v>
      </c>
      <c r="I1845">
        <v>191</v>
      </c>
      <c r="J1845">
        <v>28</v>
      </c>
      <c r="K1845">
        <v>208</v>
      </c>
      <c r="L1845">
        <v>200</v>
      </c>
      <c r="M1845">
        <v>20</v>
      </c>
      <c r="N1845">
        <v>220</v>
      </c>
      <c r="O1845">
        <v>40</v>
      </c>
      <c r="T1845">
        <v>87</v>
      </c>
      <c r="U1845">
        <v>55</v>
      </c>
      <c r="V1845">
        <v>141</v>
      </c>
      <c r="Y1845">
        <v>20</v>
      </c>
      <c r="Z1845">
        <v>105</v>
      </c>
      <c r="AA1845">
        <v>24</v>
      </c>
      <c r="AD1845">
        <v>51</v>
      </c>
      <c r="AE1845">
        <v>121</v>
      </c>
      <c r="AF1845">
        <v>22</v>
      </c>
      <c r="AI1845">
        <v>110</v>
      </c>
      <c r="AJ1845">
        <v>42</v>
      </c>
      <c r="AK1845">
        <v>8</v>
      </c>
      <c r="AX1845">
        <v>283</v>
      </c>
      <c r="AY1845">
        <v>181</v>
      </c>
      <c r="AZ1845">
        <v>464</v>
      </c>
      <c r="BA1845">
        <v>149</v>
      </c>
      <c r="BB1845">
        <v>250</v>
      </c>
      <c r="BC1845">
        <v>399</v>
      </c>
      <c r="BD1845">
        <v>194</v>
      </c>
      <c r="BE1845">
        <v>168</v>
      </c>
      <c r="BF1845">
        <v>362</v>
      </c>
      <c r="BG1845">
        <v>160</v>
      </c>
      <c r="BH1845">
        <v>187</v>
      </c>
      <c r="BI1845">
        <v>347</v>
      </c>
      <c r="BP1845">
        <v>172</v>
      </c>
      <c r="BR1845">
        <v>573</v>
      </c>
      <c r="BS1845">
        <v>16</v>
      </c>
      <c r="BT1845">
        <v>19</v>
      </c>
      <c r="BV1845">
        <v>6</v>
      </c>
      <c r="BW1845">
        <v>786</v>
      </c>
      <c r="BX1845" t="s">
        <v>82</v>
      </c>
      <c r="BY1845" s="5"/>
      <c r="BZ1845" s="6"/>
      <c r="CA1845" s="7">
        <v>42687</v>
      </c>
      <c r="CE1845">
        <v>305</v>
      </c>
      <c r="CF1845">
        <v>247</v>
      </c>
      <c r="CG1845">
        <v>113</v>
      </c>
      <c r="CH1845">
        <v>121</v>
      </c>
      <c r="CI1845">
        <f t="shared" si="198"/>
        <v>2016</v>
      </c>
      <c r="CJ1845" t="str">
        <f t="shared" si="199"/>
        <v>7007_2016</v>
      </c>
    </row>
    <row r="1846" spans="1:88" x14ac:dyDescent="0.25">
      <c r="A1846" t="s">
        <v>79</v>
      </c>
      <c r="B1846" t="s">
        <v>98</v>
      </c>
      <c r="C1846">
        <v>7008</v>
      </c>
      <c r="D1846">
        <v>-33.677650999999997</v>
      </c>
      <c r="E1846">
        <v>151.30389</v>
      </c>
      <c r="F1846">
        <v>3</v>
      </c>
      <c r="G1846" t="s">
        <v>686</v>
      </c>
      <c r="H1846">
        <v>70</v>
      </c>
      <c r="I1846">
        <v>250</v>
      </c>
      <c r="J1846">
        <v>209</v>
      </c>
      <c r="K1846">
        <v>29</v>
      </c>
      <c r="L1846">
        <v>352</v>
      </c>
      <c r="M1846">
        <v>172</v>
      </c>
      <c r="T1846">
        <v>54</v>
      </c>
      <c r="U1846">
        <v>18</v>
      </c>
      <c r="Y1846">
        <v>59</v>
      </c>
      <c r="Z1846">
        <v>105</v>
      </c>
      <c r="AD1846">
        <v>43</v>
      </c>
      <c r="AE1846">
        <v>203</v>
      </c>
      <c r="AX1846">
        <v>72</v>
      </c>
      <c r="AY1846">
        <v>102</v>
      </c>
      <c r="AZ1846">
        <v>174</v>
      </c>
      <c r="BA1846">
        <v>164</v>
      </c>
      <c r="BB1846">
        <v>257</v>
      </c>
      <c r="BC1846">
        <v>421</v>
      </c>
      <c r="BD1846">
        <v>246</v>
      </c>
      <c r="BE1846">
        <v>123</v>
      </c>
      <c r="BF1846">
        <v>369</v>
      </c>
      <c r="BP1846">
        <v>303</v>
      </c>
      <c r="BR1846">
        <v>150</v>
      </c>
      <c r="BS1846">
        <v>7</v>
      </c>
      <c r="BT1846">
        <v>8</v>
      </c>
      <c r="BV1846">
        <v>14</v>
      </c>
      <c r="BW1846">
        <v>482</v>
      </c>
      <c r="BX1846" t="s">
        <v>82</v>
      </c>
      <c r="BY1846" s="5"/>
      <c r="BZ1846" s="6"/>
      <c r="CA1846" s="7">
        <v>42687</v>
      </c>
      <c r="CE1846">
        <v>219</v>
      </c>
      <c r="CF1846">
        <v>143</v>
      </c>
      <c r="CG1846">
        <v>74</v>
      </c>
      <c r="CH1846">
        <v>46</v>
      </c>
      <c r="CI1846">
        <f t="shared" si="198"/>
        <v>2016</v>
      </c>
      <c r="CJ1846" t="str">
        <f t="shared" si="199"/>
        <v>7008_2016</v>
      </c>
    </row>
    <row r="1847" spans="1:88" x14ac:dyDescent="0.25">
      <c r="A1847" t="s">
        <v>79</v>
      </c>
      <c r="B1847" t="s">
        <v>98</v>
      </c>
      <c r="C1847">
        <v>7009</v>
      </c>
      <c r="D1847">
        <v>-33.697329000000003</v>
      </c>
      <c r="E1847">
        <v>151.29268999999999</v>
      </c>
      <c r="F1847">
        <v>5</v>
      </c>
      <c r="G1847" t="s">
        <v>687</v>
      </c>
      <c r="H1847">
        <v>58</v>
      </c>
      <c r="I1847">
        <v>238</v>
      </c>
      <c r="J1847">
        <v>122</v>
      </c>
      <c r="K1847">
        <v>302</v>
      </c>
      <c r="L1847">
        <v>155</v>
      </c>
      <c r="M1847">
        <v>335</v>
      </c>
      <c r="N1847">
        <v>300</v>
      </c>
      <c r="O1847">
        <v>120</v>
      </c>
      <c r="P1847">
        <v>346</v>
      </c>
      <c r="Q1847">
        <v>166</v>
      </c>
      <c r="T1847">
        <v>0</v>
      </c>
      <c r="U1847">
        <v>0</v>
      </c>
      <c r="V1847">
        <v>0</v>
      </c>
      <c r="W1847">
        <v>0</v>
      </c>
      <c r="Y1847">
        <v>0</v>
      </c>
      <c r="Z1847">
        <v>0</v>
      </c>
      <c r="AA1847">
        <v>0</v>
      </c>
      <c r="AB1847">
        <v>0</v>
      </c>
      <c r="AD1847">
        <v>0</v>
      </c>
      <c r="AE1847">
        <v>0</v>
      </c>
      <c r="AF1847">
        <v>0</v>
      </c>
      <c r="AG1847">
        <v>0</v>
      </c>
      <c r="AI1847">
        <v>0</v>
      </c>
      <c r="AJ1847">
        <v>0</v>
      </c>
      <c r="AK1847">
        <v>0</v>
      </c>
      <c r="AL1847">
        <v>0</v>
      </c>
      <c r="AN1847">
        <v>0</v>
      </c>
      <c r="AO1847">
        <v>0</v>
      </c>
      <c r="AP1847">
        <v>0</v>
      </c>
      <c r="AQ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P1847">
        <v>0</v>
      </c>
      <c r="BR1847">
        <v>0</v>
      </c>
      <c r="BS1847">
        <v>0</v>
      </c>
      <c r="BT1847">
        <v>0</v>
      </c>
      <c r="BV1847">
        <v>0</v>
      </c>
      <c r="BW1847">
        <v>0</v>
      </c>
      <c r="BX1847" t="s">
        <v>82</v>
      </c>
      <c r="BY1847" s="5"/>
      <c r="BZ1847" s="6"/>
      <c r="CA1847" s="7">
        <v>42687</v>
      </c>
      <c r="CE1847">
        <v>0</v>
      </c>
      <c r="CF1847">
        <v>0</v>
      </c>
      <c r="CG1847">
        <v>0</v>
      </c>
      <c r="CH1847">
        <v>0</v>
      </c>
      <c r="CI1847">
        <f t="shared" si="198"/>
        <v>2016</v>
      </c>
      <c r="CJ1847" t="str">
        <f t="shared" si="199"/>
        <v>7009_2016</v>
      </c>
    </row>
    <row r="1848" spans="1:88" x14ac:dyDescent="0.25">
      <c r="A1848" t="s">
        <v>79</v>
      </c>
      <c r="B1848" t="s">
        <v>98</v>
      </c>
      <c r="C1848">
        <v>7010</v>
      </c>
      <c r="D1848">
        <v>-33.595910000000003</v>
      </c>
      <c r="E1848">
        <v>151.320336</v>
      </c>
      <c r="F1848">
        <v>3</v>
      </c>
      <c r="G1848" t="s">
        <v>688</v>
      </c>
      <c r="H1848">
        <v>186</v>
      </c>
      <c r="I1848">
        <v>6</v>
      </c>
      <c r="J1848">
        <v>280</v>
      </c>
      <c r="K1848">
        <v>100</v>
      </c>
      <c r="L1848">
        <v>349</v>
      </c>
      <c r="M1848">
        <v>169</v>
      </c>
      <c r="T1848">
        <v>260</v>
      </c>
      <c r="U1848">
        <v>171</v>
      </c>
      <c r="Y1848">
        <v>426</v>
      </c>
      <c r="Z1848">
        <v>9</v>
      </c>
      <c r="AD1848">
        <v>45</v>
      </c>
      <c r="AE1848">
        <v>56</v>
      </c>
      <c r="AX1848">
        <v>431</v>
      </c>
      <c r="AY1848">
        <v>471</v>
      </c>
      <c r="AZ1848">
        <v>902</v>
      </c>
      <c r="BA1848">
        <v>435</v>
      </c>
      <c r="BB1848">
        <v>316</v>
      </c>
      <c r="BC1848">
        <v>751</v>
      </c>
      <c r="BD1848">
        <v>101</v>
      </c>
      <c r="BE1848">
        <v>180</v>
      </c>
      <c r="BF1848">
        <v>281</v>
      </c>
      <c r="BP1848">
        <v>89</v>
      </c>
      <c r="BR1848">
        <v>852</v>
      </c>
      <c r="BS1848">
        <v>12</v>
      </c>
      <c r="BT1848">
        <v>13</v>
      </c>
      <c r="BV1848">
        <v>1</v>
      </c>
      <c r="BW1848">
        <v>967</v>
      </c>
      <c r="BX1848" t="s">
        <v>82</v>
      </c>
      <c r="BY1848" s="5"/>
      <c r="BZ1848" s="6"/>
      <c r="CA1848" s="7">
        <v>42715</v>
      </c>
      <c r="CE1848">
        <v>136</v>
      </c>
      <c r="CF1848">
        <v>369</v>
      </c>
      <c r="CG1848">
        <v>306</v>
      </c>
      <c r="CH1848">
        <v>156</v>
      </c>
      <c r="CI1848">
        <f t="shared" si="198"/>
        <v>2016</v>
      </c>
      <c r="CJ1848" t="str">
        <f t="shared" si="199"/>
        <v>7010_2016</v>
      </c>
    </row>
    <row r="1849" spans="1:88" x14ac:dyDescent="0.25">
      <c r="A1849" t="s">
        <v>140</v>
      </c>
      <c r="B1849" t="s">
        <v>380</v>
      </c>
      <c r="C1849">
        <v>7011</v>
      </c>
      <c r="D1849">
        <v>-31.989650000000001</v>
      </c>
      <c r="E1849">
        <v>115.752424</v>
      </c>
      <c r="F1849">
        <v>4</v>
      </c>
      <c r="G1849" t="s">
        <v>689</v>
      </c>
      <c r="H1849">
        <v>8</v>
      </c>
      <c r="I1849">
        <v>188</v>
      </c>
      <c r="J1849">
        <v>84</v>
      </c>
      <c r="K1849">
        <v>264</v>
      </c>
      <c r="L1849">
        <v>198</v>
      </c>
      <c r="M1849">
        <v>18</v>
      </c>
      <c r="N1849">
        <v>265</v>
      </c>
      <c r="O1849">
        <v>85</v>
      </c>
      <c r="T1849">
        <v>189</v>
      </c>
      <c r="U1849">
        <v>392</v>
      </c>
      <c r="V1849">
        <v>109</v>
      </c>
      <c r="Y1849">
        <v>117</v>
      </c>
      <c r="Z1849">
        <v>144</v>
      </c>
      <c r="AA1849">
        <v>194</v>
      </c>
      <c r="AD1849">
        <v>419</v>
      </c>
      <c r="AE1849">
        <v>77</v>
      </c>
      <c r="AF1849">
        <v>134</v>
      </c>
      <c r="AI1849">
        <v>60</v>
      </c>
      <c r="AJ1849">
        <v>392</v>
      </c>
      <c r="AK1849">
        <v>179</v>
      </c>
      <c r="AX1849">
        <v>690</v>
      </c>
      <c r="AY1849">
        <v>596</v>
      </c>
      <c r="AZ1849">
        <v>1286</v>
      </c>
      <c r="BA1849">
        <v>455</v>
      </c>
      <c r="BB1849">
        <v>658</v>
      </c>
      <c r="BC1849">
        <v>1113</v>
      </c>
      <c r="BD1849">
        <v>630</v>
      </c>
      <c r="BE1849">
        <v>715</v>
      </c>
      <c r="BF1849">
        <v>1345</v>
      </c>
      <c r="BG1849">
        <v>631</v>
      </c>
      <c r="BH1849">
        <v>437</v>
      </c>
      <c r="BI1849">
        <v>1068</v>
      </c>
      <c r="BP1849">
        <v>249</v>
      </c>
      <c r="BR1849">
        <v>1916</v>
      </c>
      <c r="BS1849">
        <v>87</v>
      </c>
      <c r="BT1849">
        <v>84</v>
      </c>
      <c r="BV1849">
        <v>70</v>
      </c>
      <c r="BW1849">
        <v>2406</v>
      </c>
      <c r="BX1849" t="s">
        <v>82</v>
      </c>
      <c r="BY1849" s="5"/>
      <c r="BZ1849" s="6"/>
      <c r="CA1849" s="7">
        <v>42687</v>
      </c>
      <c r="CE1849">
        <v>575</v>
      </c>
      <c r="CF1849">
        <v>749</v>
      </c>
      <c r="CG1849">
        <v>566</v>
      </c>
      <c r="CH1849">
        <v>516</v>
      </c>
      <c r="CI1849">
        <f t="shared" si="198"/>
        <v>2016</v>
      </c>
      <c r="CJ1849" t="str">
        <f t="shared" si="199"/>
        <v>7011_2016</v>
      </c>
    </row>
    <row r="1850" spans="1:88" x14ac:dyDescent="0.25">
      <c r="A1850" t="s">
        <v>140</v>
      </c>
      <c r="B1850" t="s">
        <v>380</v>
      </c>
      <c r="C1850">
        <v>7011</v>
      </c>
      <c r="D1850">
        <v>-31.989650000000001</v>
      </c>
      <c r="E1850">
        <v>115.752424</v>
      </c>
      <c r="F1850">
        <v>4</v>
      </c>
      <c r="G1850" t="s">
        <v>689</v>
      </c>
      <c r="H1850">
        <v>8</v>
      </c>
      <c r="I1850">
        <v>188</v>
      </c>
      <c r="J1850">
        <v>84</v>
      </c>
      <c r="K1850">
        <v>264</v>
      </c>
      <c r="L1850">
        <v>198</v>
      </c>
      <c r="M1850">
        <v>18</v>
      </c>
      <c r="N1850">
        <v>265</v>
      </c>
      <c r="O1850">
        <v>85</v>
      </c>
      <c r="T1850">
        <v>89</v>
      </c>
      <c r="U1850">
        <v>291</v>
      </c>
      <c r="V1850">
        <v>26</v>
      </c>
      <c r="Y1850">
        <v>161</v>
      </c>
      <c r="Z1850">
        <v>94</v>
      </c>
      <c r="AA1850">
        <v>78</v>
      </c>
      <c r="AD1850">
        <v>377</v>
      </c>
      <c r="AE1850">
        <v>102</v>
      </c>
      <c r="AF1850">
        <v>47</v>
      </c>
      <c r="AI1850">
        <v>29</v>
      </c>
      <c r="AJ1850">
        <v>226</v>
      </c>
      <c r="AK1850">
        <v>41</v>
      </c>
      <c r="AX1850">
        <v>406</v>
      </c>
      <c r="AY1850">
        <v>567</v>
      </c>
      <c r="AZ1850">
        <v>973</v>
      </c>
      <c r="BA1850">
        <v>333</v>
      </c>
      <c r="BB1850">
        <v>417</v>
      </c>
      <c r="BC1850">
        <v>750</v>
      </c>
      <c r="BD1850">
        <v>526</v>
      </c>
      <c r="BE1850">
        <v>426</v>
      </c>
      <c r="BF1850">
        <v>952</v>
      </c>
      <c r="BG1850">
        <v>296</v>
      </c>
      <c r="BH1850">
        <v>151</v>
      </c>
      <c r="BI1850">
        <v>447</v>
      </c>
      <c r="BP1850">
        <v>154</v>
      </c>
      <c r="BR1850">
        <v>1272</v>
      </c>
      <c r="BS1850">
        <v>37</v>
      </c>
      <c r="BT1850">
        <v>71</v>
      </c>
      <c r="BV1850">
        <v>27</v>
      </c>
      <c r="BW1850">
        <v>1561</v>
      </c>
      <c r="BX1850">
        <f>IF(C1850=C1849,IF((CI1850-1)=CI1849,BW1849,"no data"))</f>
        <v>2406</v>
      </c>
      <c r="BY1850" s="5">
        <f t="shared" si="202"/>
        <v>-0.35120532003325022</v>
      </c>
      <c r="BZ1850" s="6">
        <f t="shared" si="200"/>
        <v>-0.35120532003325022</v>
      </c>
      <c r="CA1850" s="7">
        <v>43051</v>
      </c>
      <c r="CE1850">
        <v>508</v>
      </c>
      <c r="CF1850">
        <v>411</v>
      </c>
      <c r="CG1850">
        <v>315</v>
      </c>
      <c r="CH1850">
        <v>327</v>
      </c>
      <c r="CI1850">
        <f t="shared" si="198"/>
        <v>2017</v>
      </c>
      <c r="CJ1850" t="str">
        <f t="shared" si="199"/>
        <v>7011_2017</v>
      </c>
    </row>
    <row r="1851" spans="1:88" x14ac:dyDescent="0.25">
      <c r="A1851" t="s">
        <v>140</v>
      </c>
      <c r="B1851" t="s">
        <v>380</v>
      </c>
      <c r="C1851">
        <v>7011</v>
      </c>
      <c r="D1851">
        <v>-31.989650000000001</v>
      </c>
      <c r="E1851">
        <v>115.752424</v>
      </c>
      <c r="F1851">
        <v>4</v>
      </c>
      <c r="G1851" t="s">
        <v>689</v>
      </c>
      <c r="H1851">
        <v>8</v>
      </c>
      <c r="I1851">
        <v>188</v>
      </c>
      <c r="J1851">
        <v>84</v>
      </c>
      <c r="K1851">
        <v>264</v>
      </c>
      <c r="L1851">
        <v>198</v>
      </c>
      <c r="M1851">
        <v>18</v>
      </c>
      <c r="N1851">
        <v>265</v>
      </c>
      <c r="O1851">
        <v>85</v>
      </c>
      <c r="T1851">
        <v>213</v>
      </c>
      <c r="U1851">
        <v>453</v>
      </c>
      <c r="V1851">
        <v>16</v>
      </c>
      <c r="Y1851">
        <v>139</v>
      </c>
      <c r="Z1851">
        <v>50</v>
      </c>
      <c r="AA1851">
        <v>12</v>
      </c>
      <c r="AD1851">
        <v>524</v>
      </c>
      <c r="AE1851">
        <v>75</v>
      </c>
      <c r="AF1851">
        <v>2</v>
      </c>
      <c r="AI1851">
        <v>63</v>
      </c>
      <c r="AJ1851">
        <v>82</v>
      </c>
      <c r="AK1851">
        <v>17</v>
      </c>
      <c r="AX1851">
        <v>682</v>
      </c>
      <c r="AY1851">
        <v>726</v>
      </c>
      <c r="AZ1851">
        <v>1408</v>
      </c>
      <c r="BA1851">
        <v>201</v>
      </c>
      <c r="BB1851">
        <v>370</v>
      </c>
      <c r="BC1851">
        <v>571</v>
      </c>
      <c r="BD1851">
        <v>601</v>
      </c>
      <c r="BE1851">
        <v>520</v>
      </c>
      <c r="BF1851">
        <v>1121</v>
      </c>
      <c r="BG1851">
        <v>162</v>
      </c>
      <c r="BH1851">
        <v>30</v>
      </c>
      <c r="BI1851">
        <v>192</v>
      </c>
      <c r="BP1851">
        <v>180</v>
      </c>
      <c r="BR1851">
        <v>1319</v>
      </c>
      <c r="BS1851">
        <v>40</v>
      </c>
      <c r="BT1851">
        <v>96</v>
      </c>
      <c r="BV1851">
        <v>11</v>
      </c>
      <c r="BW1851">
        <v>1646</v>
      </c>
      <c r="BX1851">
        <f>IF(C1851=C1850,IF((CI1851-1)=CI1850,BW1850,"no data"))</f>
        <v>1561</v>
      </c>
      <c r="BY1851" s="5">
        <f t="shared" si="202"/>
        <v>5.4452274183215889E-2</v>
      </c>
      <c r="BZ1851" s="6">
        <f t="shared" si="200"/>
        <v>5.4452274183215889E-2</v>
      </c>
      <c r="CA1851" s="7">
        <v>43415</v>
      </c>
      <c r="CE1851">
        <v>574</v>
      </c>
      <c r="CF1851">
        <v>445</v>
      </c>
      <c r="CG1851">
        <v>367</v>
      </c>
      <c r="CH1851">
        <v>260</v>
      </c>
      <c r="CI1851">
        <f t="shared" si="198"/>
        <v>2018</v>
      </c>
      <c r="CJ1851" t="str">
        <f t="shared" si="199"/>
        <v>7011_2018</v>
      </c>
    </row>
    <row r="1852" spans="1:88" x14ac:dyDescent="0.25">
      <c r="A1852" t="s">
        <v>140</v>
      </c>
      <c r="B1852" t="s">
        <v>380</v>
      </c>
      <c r="C1852">
        <v>7011</v>
      </c>
      <c r="D1852">
        <v>-31.989699999999999</v>
      </c>
      <c r="E1852">
        <v>115.75239999999999</v>
      </c>
      <c r="F1852">
        <v>4</v>
      </c>
      <c r="G1852" t="s">
        <v>689</v>
      </c>
      <c r="H1852">
        <v>8</v>
      </c>
      <c r="I1852">
        <v>188</v>
      </c>
      <c r="J1852">
        <v>84</v>
      </c>
      <c r="K1852">
        <v>264</v>
      </c>
      <c r="L1852">
        <v>198</v>
      </c>
      <c r="M1852">
        <v>18</v>
      </c>
      <c r="N1852">
        <v>265</v>
      </c>
      <c r="O1852">
        <v>85</v>
      </c>
      <c r="T1852">
        <v>127</v>
      </c>
      <c r="U1852">
        <v>327</v>
      </c>
      <c r="V1852">
        <v>25</v>
      </c>
      <c r="Y1852">
        <v>165</v>
      </c>
      <c r="Z1852">
        <v>65</v>
      </c>
      <c r="AA1852">
        <v>46</v>
      </c>
      <c r="AD1852">
        <v>383</v>
      </c>
      <c r="AE1852">
        <v>68</v>
      </c>
      <c r="AF1852">
        <v>4</v>
      </c>
      <c r="AI1852">
        <v>34</v>
      </c>
      <c r="AJ1852">
        <v>119</v>
      </c>
      <c r="AK1852">
        <v>58</v>
      </c>
      <c r="AX1852">
        <v>479</v>
      </c>
      <c r="AY1852">
        <v>582</v>
      </c>
      <c r="AZ1852">
        <v>1061</v>
      </c>
      <c r="BA1852">
        <v>276</v>
      </c>
      <c r="BB1852">
        <v>314</v>
      </c>
      <c r="BC1852">
        <v>590</v>
      </c>
      <c r="BD1852">
        <v>455</v>
      </c>
      <c r="BE1852">
        <v>450</v>
      </c>
      <c r="BF1852">
        <v>905</v>
      </c>
      <c r="BG1852">
        <v>211</v>
      </c>
      <c r="BH1852">
        <v>75</v>
      </c>
      <c r="BI1852">
        <v>286</v>
      </c>
      <c r="BP1852">
        <v>119</v>
      </c>
      <c r="BR1852">
        <v>1174</v>
      </c>
      <c r="BS1852">
        <v>45</v>
      </c>
      <c r="BT1852">
        <v>82</v>
      </c>
      <c r="BV1852">
        <v>1</v>
      </c>
      <c r="BW1852">
        <v>1421</v>
      </c>
      <c r="BX1852">
        <f>IF(C1852=C1851,IF((CI1852-1)=CI1851,BW1851,"no data"))</f>
        <v>1646</v>
      </c>
      <c r="BY1852" s="5">
        <f t="shared" si="202"/>
        <v>-0.13669501822600244</v>
      </c>
      <c r="BZ1852" s="6">
        <f t="shared" si="200"/>
        <v>-0.13669501822600244</v>
      </c>
      <c r="CA1852" s="7">
        <v>43779</v>
      </c>
      <c r="CE1852">
        <v>352</v>
      </c>
      <c r="CF1852">
        <v>395</v>
      </c>
      <c r="CG1852">
        <v>328</v>
      </c>
      <c r="CH1852">
        <v>346</v>
      </c>
      <c r="CI1852">
        <f t="shared" si="198"/>
        <v>2019</v>
      </c>
      <c r="CJ1852" t="str">
        <f t="shared" si="199"/>
        <v>7011_2019</v>
      </c>
    </row>
    <row r="1853" spans="1:88" x14ac:dyDescent="0.25">
      <c r="A1853" t="s">
        <v>140</v>
      </c>
      <c r="B1853" t="s">
        <v>380</v>
      </c>
      <c r="C1853">
        <v>7012</v>
      </c>
      <c r="D1853">
        <v>-31.986440999999999</v>
      </c>
      <c r="E1853">
        <v>115.753173</v>
      </c>
      <c r="F1853">
        <v>4</v>
      </c>
      <c r="G1853" t="s">
        <v>690</v>
      </c>
      <c r="H1853">
        <v>89</v>
      </c>
      <c r="I1853">
        <v>269</v>
      </c>
      <c r="J1853">
        <v>189</v>
      </c>
      <c r="K1853">
        <v>9</v>
      </c>
      <c r="L1853">
        <v>262</v>
      </c>
      <c r="M1853">
        <v>82</v>
      </c>
      <c r="N1853">
        <v>334</v>
      </c>
      <c r="O1853">
        <v>154</v>
      </c>
      <c r="T1853">
        <v>68</v>
      </c>
      <c r="U1853">
        <v>117</v>
      </c>
      <c r="V1853">
        <v>64</v>
      </c>
      <c r="Y1853">
        <v>251</v>
      </c>
      <c r="Z1853">
        <v>42</v>
      </c>
      <c r="AA1853">
        <v>426</v>
      </c>
      <c r="AD1853">
        <v>312</v>
      </c>
      <c r="AE1853">
        <v>42</v>
      </c>
      <c r="AF1853">
        <v>32</v>
      </c>
      <c r="AI1853">
        <v>97</v>
      </c>
      <c r="AJ1853">
        <v>464</v>
      </c>
      <c r="AK1853">
        <v>36</v>
      </c>
      <c r="AX1853">
        <v>249</v>
      </c>
      <c r="AY1853">
        <v>660</v>
      </c>
      <c r="AZ1853">
        <v>909</v>
      </c>
      <c r="BA1853">
        <v>719</v>
      </c>
      <c r="BB1853">
        <v>574</v>
      </c>
      <c r="BC1853">
        <v>1293</v>
      </c>
      <c r="BD1853">
        <v>386</v>
      </c>
      <c r="BE1853">
        <v>195</v>
      </c>
      <c r="BF1853">
        <v>581</v>
      </c>
      <c r="BG1853">
        <v>597</v>
      </c>
      <c r="BH1853">
        <v>522</v>
      </c>
      <c r="BI1853">
        <v>1119</v>
      </c>
      <c r="BP1853">
        <v>254</v>
      </c>
      <c r="BR1853">
        <v>1469</v>
      </c>
      <c r="BS1853">
        <v>80</v>
      </c>
      <c r="BT1853">
        <v>147</v>
      </c>
      <c r="BV1853">
        <v>1</v>
      </c>
      <c r="BW1853">
        <v>1951</v>
      </c>
      <c r="BX1853" t="s">
        <v>82</v>
      </c>
      <c r="BY1853" s="5"/>
      <c r="BZ1853" s="6"/>
      <c r="CA1853" s="7">
        <v>42687</v>
      </c>
      <c r="CE1853">
        <v>479</v>
      </c>
      <c r="CF1853">
        <v>587</v>
      </c>
      <c r="CG1853">
        <v>450</v>
      </c>
      <c r="CH1853">
        <v>435</v>
      </c>
      <c r="CI1853">
        <f t="shared" si="198"/>
        <v>2016</v>
      </c>
      <c r="CJ1853" t="str">
        <f t="shared" si="199"/>
        <v>7012_2016</v>
      </c>
    </row>
    <row r="1854" spans="1:88" x14ac:dyDescent="0.25">
      <c r="A1854" t="s">
        <v>140</v>
      </c>
      <c r="B1854" t="s">
        <v>380</v>
      </c>
      <c r="C1854">
        <v>7012</v>
      </c>
      <c r="D1854">
        <v>-31.986440999999999</v>
      </c>
      <c r="E1854">
        <v>115.75317</v>
      </c>
      <c r="F1854">
        <v>4</v>
      </c>
      <c r="G1854" t="s">
        <v>690</v>
      </c>
      <c r="H1854">
        <v>89</v>
      </c>
      <c r="I1854">
        <v>269</v>
      </c>
      <c r="J1854">
        <v>189</v>
      </c>
      <c r="K1854">
        <v>9</v>
      </c>
      <c r="L1854">
        <v>262</v>
      </c>
      <c r="M1854">
        <v>82</v>
      </c>
      <c r="N1854">
        <v>334</v>
      </c>
      <c r="O1854">
        <v>154</v>
      </c>
      <c r="T1854">
        <v>64</v>
      </c>
      <c r="U1854">
        <v>224</v>
      </c>
      <c r="V1854">
        <v>18</v>
      </c>
      <c r="Y1854">
        <v>159</v>
      </c>
      <c r="Z1854">
        <v>185</v>
      </c>
      <c r="AA1854">
        <v>442</v>
      </c>
      <c r="AD1854">
        <v>341</v>
      </c>
      <c r="AE1854">
        <v>215</v>
      </c>
      <c r="AF1854">
        <v>107</v>
      </c>
      <c r="AI1854">
        <v>38</v>
      </c>
      <c r="AJ1854">
        <v>398</v>
      </c>
      <c r="AK1854">
        <v>129</v>
      </c>
      <c r="AX1854">
        <v>306</v>
      </c>
      <c r="AY1854">
        <v>538</v>
      </c>
      <c r="AZ1854">
        <v>844</v>
      </c>
      <c r="BA1854">
        <v>786</v>
      </c>
      <c r="BB1854">
        <v>677</v>
      </c>
      <c r="BC1854">
        <v>1463</v>
      </c>
      <c r="BD1854">
        <v>663</v>
      </c>
      <c r="BE1854">
        <v>538</v>
      </c>
      <c r="BF1854">
        <v>1201</v>
      </c>
      <c r="BG1854">
        <v>565</v>
      </c>
      <c r="BH1854">
        <v>567</v>
      </c>
      <c r="BI1854">
        <v>1132</v>
      </c>
      <c r="BP1854">
        <v>266</v>
      </c>
      <c r="BR1854">
        <v>1753</v>
      </c>
      <c r="BS1854">
        <v>60</v>
      </c>
      <c r="BT1854">
        <v>201</v>
      </c>
      <c r="BV1854">
        <v>40</v>
      </c>
      <c r="BW1854">
        <v>2320</v>
      </c>
      <c r="BX1854">
        <f>IF(C1854=C1853,IF((CI1854-1)=CI1853,BW1853,"no data"))</f>
        <v>1951</v>
      </c>
      <c r="BY1854" s="5">
        <f t="shared" si="202"/>
        <v>0.18913377754997437</v>
      </c>
      <c r="BZ1854" s="6">
        <f t="shared" si="200"/>
        <v>0.18913377754997437</v>
      </c>
      <c r="CA1854" s="7">
        <v>43051</v>
      </c>
      <c r="CE1854">
        <v>821</v>
      </c>
      <c r="CF1854">
        <v>864</v>
      </c>
      <c r="CG1854">
        <v>433</v>
      </c>
      <c r="CH1854">
        <v>202</v>
      </c>
      <c r="CI1854">
        <f t="shared" si="198"/>
        <v>2017</v>
      </c>
      <c r="CJ1854" t="str">
        <f t="shared" si="199"/>
        <v>7012_2017</v>
      </c>
    </row>
    <row r="1855" spans="1:88" x14ac:dyDescent="0.25">
      <c r="A1855" t="s">
        <v>140</v>
      </c>
      <c r="B1855" t="s">
        <v>380</v>
      </c>
      <c r="C1855">
        <v>7012</v>
      </c>
      <c r="D1855">
        <v>-31.986440999999999</v>
      </c>
      <c r="E1855">
        <v>115.75317</v>
      </c>
      <c r="F1855">
        <v>4</v>
      </c>
      <c r="G1855" t="s">
        <v>690</v>
      </c>
      <c r="H1855">
        <v>89</v>
      </c>
      <c r="I1855">
        <v>269</v>
      </c>
      <c r="J1855">
        <v>189</v>
      </c>
      <c r="K1855">
        <v>9</v>
      </c>
      <c r="L1855">
        <v>262</v>
      </c>
      <c r="M1855">
        <v>82</v>
      </c>
      <c r="N1855">
        <v>334</v>
      </c>
      <c r="O1855">
        <v>154</v>
      </c>
      <c r="T1855">
        <v>52</v>
      </c>
      <c r="U1855">
        <v>21</v>
      </c>
      <c r="V1855">
        <v>51</v>
      </c>
      <c r="Y1855">
        <v>66</v>
      </c>
      <c r="Z1855">
        <v>16</v>
      </c>
      <c r="AA1855">
        <v>378</v>
      </c>
      <c r="AD1855">
        <v>60</v>
      </c>
      <c r="AE1855">
        <v>23</v>
      </c>
      <c r="AF1855">
        <v>2</v>
      </c>
      <c r="AI1855">
        <v>46</v>
      </c>
      <c r="AJ1855">
        <v>428</v>
      </c>
      <c r="AK1855">
        <v>24</v>
      </c>
      <c r="AX1855">
        <v>124</v>
      </c>
      <c r="AY1855">
        <v>172</v>
      </c>
      <c r="AZ1855">
        <v>296</v>
      </c>
      <c r="BA1855">
        <v>460</v>
      </c>
      <c r="BB1855">
        <v>503</v>
      </c>
      <c r="BC1855">
        <v>963</v>
      </c>
      <c r="BD1855">
        <v>85</v>
      </c>
      <c r="BE1855">
        <v>61</v>
      </c>
      <c r="BF1855">
        <v>146</v>
      </c>
      <c r="BG1855">
        <v>498</v>
      </c>
      <c r="BH1855">
        <v>431</v>
      </c>
      <c r="BI1855">
        <v>929</v>
      </c>
      <c r="BP1855">
        <v>156</v>
      </c>
      <c r="BR1855">
        <v>867</v>
      </c>
      <c r="BS1855">
        <v>44</v>
      </c>
      <c r="BT1855">
        <v>100</v>
      </c>
      <c r="BV1855">
        <v>0</v>
      </c>
      <c r="BW1855">
        <v>1167</v>
      </c>
      <c r="BX1855">
        <f>IF(C1855=C1854,IF((CI1855-1)=CI1854,BW1854,"no data"))</f>
        <v>2320</v>
      </c>
      <c r="BY1855" s="5">
        <f t="shared" si="202"/>
        <v>-0.49698275862068964</v>
      </c>
      <c r="BZ1855" s="6">
        <f t="shared" si="200"/>
        <v>-0.49698275862068964</v>
      </c>
      <c r="CA1855" s="7">
        <v>43415</v>
      </c>
      <c r="CE1855">
        <v>438</v>
      </c>
      <c r="CF1855">
        <v>359</v>
      </c>
      <c r="CG1855">
        <v>204</v>
      </c>
      <c r="CH1855">
        <v>166</v>
      </c>
      <c r="CI1855">
        <f t="shared" si="198"/>
        <v>2018</v>
      </c>
      <c r="CJ1855" t="str">
        <f t="shared" si="199"/>
        <v>7012_2018</v>
      </c>
    </row>
    <row r="1856" spans="1:88" x14ac:dyDescent="0.25">
      <c r="A1856" t="s">
        <v>140</v>
      </c>
      <c r="B1856" t="s">
        <v>380</v>
      </c>
      <c r="C1856">
        <v>7012</v>
      </c>
      <c r="D1856">
        <v>-31.9864</v>
      </c>
      <c r="E1856">
        <v>115.75320000000001</v>
      </c>
      <c r="F1856">
        <v>4</v>
      </c>
      <c r="G1856" t="s">
        <v>690</v>
      </c>
      <c r="H1856">
        <v>89</v>
      </c>
      <c r="I1856">
        <v>269</v>
      </c>
      <c r="J1856">
        <v>189</v>
      </c>
      <c r="K1856">
        <v>9</v>
      </c>
      <c r="L1856">
        <v>262</v>
      </c>
      <c r="M1856">
        <v>82</v>
      </c>
      <c r="N1856">
        <v>334</v>
      </c>
      <c r="O1856">
        <v>154</v>
      </c>
      <c r="T1856">
        <v>51</v>
      </c>
      <c r="U1856">
        <v>21</v>
      </c>
      <c r="V1856">
        <v>27</v>
      </c>
      <c r="Y1856">
        <v>66</v>
      </c>
      <c r="Z1856">
        <v>17</v>
      </c>
      <c r="AA1856">
        <v>378</v>
      </c>
      <c r="AD1856">
        <v>24</v>
      </c>
      <c r="AE1856">
        <v>1</v>
      </c>
      <c r="AF1856">
        <v>44</v>
      </c>
      <c r="AI1856">
        <v>35</v>
      </c>
      <c r="AJ1856">
        <v>344</v>
      </c>
      <c r="AK1856">
        <v>22</v>
      </c>
      <c r="AX1856">
        <v>99</v>
      </c>
      <c r="AY1856">
        <v>125</v>
      </c>
      <c r="AZ1856">
        <v>224</v>
      </c>
      <c r="BA1856">
        <v>461</v>
      </c>
      <c r="BB1856">
        <v>396</v>
      </c>
      <c r="BC1856">
        <v>857</v>
      </c>
      <c r="BD1856">
        <v>69</v>
      </c>
      <c r="BE1856">
        <v>60</v>
      </c>
      <c r="BF1856">
        <v>129</v>
      </c>
      <c r="BG1856">
        <v>401</v>
      </c>
      <c r="BH1856">
        <v>449</v>
      </c>
      <c r="BI1856">
        <v>850</v>
      </c>
      <c r="BP1856">
        <v>176</v>
      </c>
      <c r="BR1856">
        <v>698</v>
      </c>
      <c r="BS1856">
        <v>72</v>
      </c>
      <c r="BT1856">
        <v>84</v>
      </c>
      <c r="BV1856">
        <v>0</v>
      </c>
      <c r="BW1856">
        <v>1030</v>
      </c>
      <c r="BX1856">
        <f>IF(C1856=C1855,IF((CI1856-1)=CI1855,BW1855,"no data"))</f>
        <v>1167</v>
      </c>
      <c r="BY1856" s="5">
        <f t="shared" si="202"/>
        <v>-0.11739502999143102</v>
      </c>
      <c r="BZ1856" s="6">
        <f t="shared" si="200"/>
        <v>-0.11739502999143102</v>
      </c>
      <c r="CA1856" s="7">
        <v>43779</v>
      </c>
      <c r="CE1856">
        <v>266</v>
      </c>
      <c r="CF1856">
        <v>230</v>
      </c>
      <c r="CG1856">
        <v>261</v>
      </c>
      <c r="CH1856">
        <v>273</v>
      </c>
      <c r="CI1856">
        <f t="shared" si="198"/>
        <v>2019</v>
      </c>
      <c r="CJ1856" t="str">
        <f t="shared" si="199"/>
        <v>7012_2019</v>
      </c>
    </row>
    <row r="1857" spans="1:88" x14ac:dyDescent="0.25">
      <c r="A1857" t="s">
        <v>140</v>
      </c>
      <c r="B1857" t="s">
        <v>380</v>
      </c>
      <c r="C1857">
        <v>7013</v>
      </c>
      <c r="D1857">
        <v>-31.981930999999999</v>
      </c>
      <c r="E1857">
        <v>115.754177</v>
      </c>
      <c r="F1857">
        <v>4</v>
      </c>
      <c r="G1857" t="s">
        <v>691</v>
      </c>
      <c r="H1857">
        <v>4</v>
      </c>
      <c r="I1857">
        <v>184</v>
      </c>
      <c r="J1857">
        <v>92</v>
      </c>
      <c r="K1857">
        <v>272</v>
      </c>
      <c r="L1857">
        <v>211</v>
      </c>
      <c r="M1857">
        <v>31</v>
      </c>
      <c r="N1857">
        <v>269</v>
      </c>
      <c r="O1857">
        <v>89</v>
      </c>
      <c r="T1857">
        <v>19</v>
      </c>
      <c r="U1857">
        <v>242</v>
      </c>
      <c r="V1857">
        <v>25</v>
      </c>
      <c r="Y1857">
        <v>11</v>
      </c>
      <c r="Z1857">
        <v>51</v>
      </c>
      <c r="AA1857">
        <v>76</v>
      </c>
      <c r="AD1857">
        <v>392</v>
      </c>
      <c r="AE1857">
        <v>52</v>
      </c>
      <c r="AF1857">
        <v>23</v>
      </c>
      <c r="AI1857">
        <v>68</v>
      </c>
      <c r="AJ1857">
        <v>171</v>
      </c>
      <c r="AK1857">
        <v>22</v>
      </c>
      <c r="AX1857">
        <v>286</v>
      </c>
      <c r="AY1857">
        <v>471</v>
      </c>
      <c r="AZ1857">
        <v>757</v>
      </c>
      <c r="BA1857">
        <v>138</v>
      </c>
      <c r="BB1857">
        <v>242</v>
      </c>
      <c r="BC1857">
        <v>380</v>
      </c>
      <c r="BD1857">
        <v>467</v>
      </c>
      <c r="BE1857">
        <v>315</v>
      </c>
      <c r="BF1857">
        <v>782</v>
      </c>
      <c r="BG1857">
        <v>261</v>
      </c>
      <c r="BH1857">
        <v>124</v>
      </c>
      <c r="BI1857">
        <v>385</v>
      </c>
      <c r="BP1857">
        <v>252</v>
      </c>
      <c r="BR1857">
        <v>691</v>
      </c>
      <c r="BS1857">
        <v>70</v>
      </c>
      <c r="BT1857">
        <v>105</v>
      </c>
      <c r="BV1857">
        <v>34</v>
      </c>
      <c r="BW1857">
        <v>1152</v>
      </c>
      <c r="BX1857" t="s">
        <v>82</v>
      </c>
      <c r="BY1857" s="5"/>
      <c r="BZ1857" s="6"/>
      <c r="CA1857" s="7">
        <v>42687</v>
      </c>
      <c r="CE1857">
        <v>413</v>
      </c>
      <c r="CF1857">
        <v>322</v>
      </c>
      <c r="CG1857">
        <v>207</v>
      </c>
      <c r="CH1857">
        <v>210</v>
      </c>
      <c r="CI1857">
        <f t="shared" si="198"/>
        <v>2016</v>
      </c>
      <c r="CJ1857" t="str">
        <f t="shared" si="199"/>
        <v>7013_2016</v>
      </c>
    </row>
    <row r="1858" spans="1:88" x14ac:dyDescent="0.25">
      <c r="A1858" t="s">
        <v>140</v>
      </c>
      <c r="B1858" t="s">
        <v>380</v>
      </c>
      <c r="C1858">
        <v>7013</v>
      </c>
      <c r="D1858">
        <v>-31.981930999999999</v>
      </c>
      <c r="E1858">
        <v>115.75417</v>
      </c>
      <c r="F1858">
        <v>4</v>
      </c>
      <c r="G1858" t="s">
        <v>691</v>
      </c>
      <c r="H1858">
        <v>4</v>
      </c>
      <c r="I1858">
        <v>184</v>
      </c>
      <c r="J1858">
        <v>92</v>
      </c>
      <c r="K1858">
        <v>272</v>
      </c>
      <c r="L1858">
        <v>211</v>
      </c>
      <c r="M1858">
        <v>31</v>
      </c>
      <c r="N1858">
        <v>269</v>
      </c>
      <c r="O1858">
        <v>89</v>
      </c>
      <c r="T1858">
        <v>11</v>
      </c>
      <c r="U1858">
        <v>262</v>
      </c>
      <c r="V1858">
        <v>51</v>
      </c>
      <c r="Y1858">
        <v>11</v>
      </c>
      <c r="Z1858">
        <v>59</v>
      </c>
      <c r="AA1858">
        <v>28</v>
      </c>
      <c r="AD1858">
        <v>273</v>
      </c>
      <c r="AE1858">
        <v>57</v>
      </c>
      <c r="AF1858">
        <v>3</v>
      </c>
      <c r="AI1858">
        <v>71</v>
      </c>
      <c r="AJ1858">
        <v>40</v>
      </c>
      <c r="AK1858">
        <v>16</v>
      </c>
      <c r="AX1858">
        <v>324</v>
      </c>
      <c r="AY1858">
        <v>355</v>
      </c>
      <c r="AZ1858">
        <v>679</v>
      </c>
      <c r="BA1858">
        <v>98</v>
      </c>
      <c r="BB1858">
        <v>108</v>
      </c>
      <c r="BC1858">
        <v>206</v>
      </c>
      <c r="BD1858">
        <v>333</v>
      </c>
      <c r="BE1858">
        <v>337</v>
      </c>
      <c r="BF1858">
        <v>670</v>
      </c>
      <c r="BG1858">
        <v>127</v>
      </c>
      <c r="BH1858">
        <v>82</v>
      </c>
      <c r="BI1858">
        <v>209</v>
      </c>
      <c r="BP1858">
        <v>170</v>
      </c>
      <c r="BR1858">
        <v>563</v>
      </c>
      <c r="BS1858">
        <v>51</v>
      </c>
      <c r="BT1858">
        <v>79</v>
      </c>
      <c r="BV1858">
        <v>19</v>
      </c>
      <c r="BW1858">
        <v>882</v>
      </c>
      <c r="BX1858">
        <f>IF(C1858=C1857,IF((CI1858-1)=CI1857,BW1857,"no data"))</f>
        <v>1152</v>
      </c>
      <c r="BY1858" s="5">
        <f t="shared" si="202"/>
        <v>-0.234375</v>
      </c>
      <c r="BZ1858" s="6">
        <f t="shared" si="200"/>
        <v>-0.234375</v>
      </c>
      <c r="CA1858" s="7">
        <v>43051</v>
      </c>
      <c r="CE1858">
        <v>416</v>
      </c>
      <c r="CF1858">
        <v>202</v>
      </c>
      <c r="CG1858">
        <v>146</v>
      </c>
      <c r="CH1858">
        <v>118</v>
      </c>
      <c r="CI1858">
        <f t="shared" si="198"/>
        <v>2017</v>
      </c>
      <c r="CJ1858" t="str">
        <f t="shared" si="199"/>
        <v>7013_2017</v>
      </c>
    </row>
    <row r="1859" spans="1:88" x14ac:dyDescent="0.25">
      <c r="A1859" t="s">
        <v>140</v>
      </c>
      <c r="B1859" t="s">
        <v>380</v>
      </c>
      <c r="C1859">
        <v>7013</v>
      </c>
      <c r="D1859">
        <v>-31.981930999999999</v>
      </c>
      <c r="E1859">
        <v>115.75417</v>
      </c>
      <c r="F1859">
        <v>4</v>
      </c>
      <c r="G1859" t="s">
        <v>691</v>
      </c>
      <c r="H1859">
        <v>4</v>
      </c>
      <c r="I1859">
        <v>184</v>
      </c>
      <c r="J1859">
        <v>92</v>
      </c>
      <c r="K1859">
        <v>272</v>
      </c>
      <c r="L1859">
        <v>211</v>
      </c>
      <c r="M1859">
        <v>31</v>
      </c>
      <c r="N1859">
        <v>269</v>
      </c>
      <c r="O1859">
        <v>89</v>
      </c>
      <c r="T1859">
        <v>34</v>
      </c>
      <c r="U1859">
        <v>310</v>
      </c>
      <c r="V1859">
        <v>14</v>
      </c>
      <c r="Y1859">
        <v>13</v>
      </c>
      <c r="Z1859">
        <v>38</v>
      </c>
      <c r="AA1859">
        <v>30</v>
      </c>
      <c r="AD1859">
        <v>313</v>
      </c>
      <c r="AE1859">
        <v>68</v>
      </c>
      <c r="AF1859">
        <v>2</v>
      </c>
      <c r="AI1859">
        <v>11</v>
      </c>
      <c r="AJ1859">
        <v>12</v>
      </c>
      <c r="AK1859">
        <v>8</v>
      </c>
      <c r="AX1859">
        <v>358</v>
      </c>
      <c r="AY1859">
        <v>337</v>
      </c>
      <c r="AZ1859">
        <v>695</v>
      </c>
      <c r="BA1859">
        <v>81</v>
      </c>
      <c r="BB1859">
        <v>114</v>
      </c>
      <c r="BC1859">
        <v>195</v>
      </c>
      <c r="BD1859">
        <v>383</v>
      </c>
      <c r="BE1859">
        <v>356</v>
      </c>
      <c r="BF1859">
        <v>739</v>
      </c>
      <c r="BG1859">
        <v>31</v>
      </c>
      <c r="BH1859">
        <v>46</v>
      </c>
      <c r="BI1859">
        <v>77</v>
      </c>
      <c r="BP1859">
        <v>144</v>
      </c>
      <c r="BR1859">
        <v>601</v>
      </c>
      <c r="BS1859">
        <v>43</v>
      </c>
      <c r="BT1859">
        <v>65</v>
      </c>
      <c r="BV1859">
        <v>0</v>
      </c>
      <c r="BW1859">
        <v>853</v>
      </c>
      <c r="BX1859">
        <f>IF(C1859=C1858,IF((CI1859-1)=CI1858,BW1858,"no data"))</f>
        <v>882</v>
      </c>
      <c r="BY1859" s="5">
        <f t="shared" si="202"/>
        <v>-3.2879818594104306E-2</v>
      </c>
      <c r="BZ1859" s="6">
        <f t="shared" si="200"/>
        <v>-3.2879818594104306E-2</v>
      </c>
      <c r="CA1859" s="7">
        <v>43415</v>
      </c>
      <c r="CE1859">
        <v>346</v>
      </c>
      <c r="CF1859">
        <v>220</v>
      </c>
      <c r="CG1859">
        <v>165</v>
      </c>
      <c r="CH1859">
        <v>122</v>
      </c>
      <c r="CI1859">
        <f t="shared" ref="CI1859:CI1922" si="206">YEAR(CA1859)</f>
        <v>2018</v>
      </c>
      <c r="CJ1859" t="str">
        <f t="shared" ref="CJ1859:CJ1922" si="207">_xlfn.CONCAT(C1859,"_",CI1859)</f>
        <v>7013_2018</v>
      </c>
    </row>
    <row r="1860" spans="1:88" x14ac:dyDescent="0.25">
      <c r="A1860" t="s">
        <v>140</v>
      </c>
      <c r="B1860" t="s">
        <v>380</v>
      </c>
      <c r="C1860">
        <v>7013</v>
      </c>
      <c r="D1860">
        <v>-31.9819</v>
      </c>
      <c r="E1860">
        <v>115.7542</v>
      </c>
      <c r="F1860">
        <v>4</v>
      </c>
      <c r="G1860" t="s">
        <v>691</v>
      </c>
      <c r="H1860">
        <v>4</v>
      </c>
      <c r="I1860">
        <v>184</v>
      </c>
      <c r="J1860">
        <v>92</v>
      </c>
      <c r="K1860">
        <v>272</v>
      </c>
      <c r="L1860">
        <v>211</v>
      </c>
      <c r="M1860">
        <v>31</v>
      </c>
      <c r="N1860">
        <v>269</v>
      </c>
      <c r="O1860">
        <v>89</v>
      </c>
      <c r="T1860">
        <v>37</v>
      </c>
      <c r="U1860">
        <v>236</v>
      </c>
      <c r="V1860">
        <v>0</v>
      </c>
      <c r="Y1860">
        <v>32</v>
      </c>
      <c r="Z1860">
        <v>40</v>
      </c>
      <c r="AA1860">
        <v>3</v>
      </c>
      <c r="AD1860">
        <v>277</v>
      </c>
      <c r="AE1860">
        <v>54</v>
      </c>
      <c r="AF1860">
        <v>1</v>
      </c>
      <c r="AI1860">
        <v>4</v>
      </c>
      <c r="AJ1860">
        <v>6</v>
      </c>
      <c r="AK1860">
        <v>2</v>
      </c>
      <c r="AX1860">
        <v>273</v>
      </c>
      <c r="AY1860">
        <v>313</v>
      </c>
      <c r="AZ1860">
        <v>586</v>
      </c>
      <c r="BA1860">
        <v>75</v>
      </c>
      <c r="BB1860">
        <v>97</v>
      </c>
      <c r="BC1860">
        <v>172</v>
      </c>
      <c r="BD1860">
        <v>332</v>
      </c>
      <c r="BE1860">
        <v>278</v>
      </c>
      <c r="BF1860">
        <v>610</v>
      </c>
      <c r="BG1860">
        <v>12</v>
      </c>
      <c r="BH1860">
        <v>4</v>
      </c>
      <c r="BI1860">
        <v>16</v>
      </c>
      <c r="BP1860">
        <v>126</v>
      </c>
      <c r="BR1860">
        <v>441</v>
      </c>
      <c r="BS1860">
        <v>45</v>
      </c>
      <c r="BT1860">
        <v>80</v>
      </c>
      <c r="BV1860">
        <v>0</v>
      </c>
      <c r="BW1860">
        <v>692</v>
      </c>
      <c r="BX1860">
        <f>IF(C1860=C1859,IF((CI1860-1)=CI1859,BW1859,"no data"))</f>
        <v>853</v>
      </c>
      <c r="BY1860" s="5">
        <f t="shared" si="202"/>
        <v>-0.18874560375146543</v>
      </c>
      <c r="BZ1860" s="6">
        <f t="shared" si="200"/>
        <v>-0.18874560375146543</v>
      </c>
      <c r="CA1860" s="7">
        <v>43779</v>
      </c>
      <c r="CE1860">
        <v>166</v>
      </c>
      <c r="CF1860">
        <v>194</v>
      </c>
      <c r="CG1860">
        <v>189</v>
      </c>
      <c r="CH1860">
        <v>143</v>
      </c>
      <c r="CI1860">
        <f t="shared" si="206"/>
        <v>2019</v>
      </c>
      <c r="CJ1860" t="str">
        <f t="shared" si="207"/>
        <v>7013_2019</v>
      </c>
    </row>
    <row r="1861" spans="1:88" x14ac:dyDescent="0.25">
      <c r="A1861" t="s">
        <v>79</v>
      </c>
      <c r="B1861" t="s">
        <v>91</v>
      </c>
      <c r="C1861">
        <v>7014</v>
      </c>
      <c r="D1861">
        <v>-33.988649000000002</v>
      </c>
      <c r="E1861">
        <v>151.23333</v>
      </c>
      <c r="F1861">
        <v>3</v>
      </c>
      <c r="G1861" t="s">
        <v>692</v>
      </c>
      <c r="H1861">
        <v>21</v>
      </c>
      <c r="I1861">
        <v>201</v>
      </c>
      <c r="J1861">
        <v>202</v>
      </c>
      <c r="K1861">
        <v>22</v>
      </c>
      <c r="L1861">
        <v>307</v>
      </c>
      <c r="M1861">
        <v>127</v>
      </c>
      <c r="T1861">
        <v>436</v>
      </c>
      <c r="U1861">
        <v>167</v>
      </c>
      <c r="Y1861">
        <v>437</v>
      </c>
      <c r="Z1861">
        <v>39</v>
      </c>
      <c r="AD1861">
        <v>211</v>
      </c>
      <c r="AE1861">
        <v>100</v>
      </c>
      <c r="AX1861">
        <v>603</v>
      </c>
      <c r="AY1861">
        <v>648</v>
      </c>
      <c r="AZ1861">
        <v>1251</v>
      </c>
      <c r="BA1861">
        <v>476</v>
      </c>
      <c r="BB1861">
        <v>536</v>
      </c>
      <c r="BC1861">
        <v>1012</v>
      </c>
      <c r="BD1861">
        <v>311</v>
      </c>
      <c r="BE1861">
        <v>206</v>
      </c>
      <c r="BF1861">
        <v>517</v>
      </c>
      <c r="BP1861">
        <v>240</v>
      </c>
      <c r="BR1861">
        <v>1110</v>
      </c>
      <c r="BS1861">
        <v>7</v>
      </c>
      <c r="BT1861">
        <v>16</v>
      </c>
      <c r="BV1861">
        <v>17</v>
      </c>
      <c r="BW1861">
        <v>1390</v>
      </c>
      <c r="BX1861" t="s">
        <v>82</v>
      </c>
      <c r="BY1861" s="5"/>
      <c r="BZ1861" s="6"/>
      <c r="CA1861" s="7">
        <v>42687</v>
      </c>
      <c r="CE1861">
        <v>262</v>
      </c>
      <c r="CF1861">
        <v>249</v>
      </c>
      <c r="CG1861">
        <v>440</v>
      </c>
      <c r="CH1861">
        <v>439</v>
      </c>
      <c r="CI1861">
        <f t="shared" si="206"/>
        <v>2016</v>
      </c>
      <c r="CJ1861" t="str">
        <f t="shared" si="207"/>
        <v>7014_2016</v>
      </c>
    </row>
    <row r="1862" spans="1:88" x14ac:dyDescent="0.25">
      <c r="A1862" t="s">
        <v>79</v>
      </c>
      <c r="B1862" t="s">
        <v>91</v>
      </c>
      <c r="C1862">
        <v>7015</v>
      </c>
      <c r="D1862">
        <v>-33.912154000000001</v>
      </c>
      <c r="E1862">
        <v>151.25862000000001</v>
      </c>
      <c r="F1862">
        <v>4</v>
      </c>
      <c r="G1862" t="s">
        <v>693</v>
      </c>
      <c r="H1862">
        <v>11</v>
      </c>
      <c r="I1862">
        <v>191</v>
      </c>
      <c r="J1862">
        <v>98</v>
      </c>
      <c r="K1862">
        <v>278</v>
      </c>
      <c r="L1862">
        <v>190</v>
      </c>
      <c r="M1862">
        <v>10</v>
      </c>
      <c r="N1862">
        <v>281</v>
      </c>
      <c r="O1862">
        <v>101</v>
      </c>
      <c r="T1862">
        <v>71</v>
      </c>
      <c r="U1862">
        <v>24</v>
      </c>
      <c r="V1862">
        <v>49</v>
      </c>
      <c r="Y1862">
        <v>22</v>
      </c>
      <c r="Z1862">
        <v>15</v>
      </c>
      <c r="AA1862">
        <v>311</v>
      </c>
      <c r="AD1862">
        <v>19</v>
      </c>
      <c r="AE1862">
        <v>31</v>
      </c>
      <c r="AF1862">
        <v>35</v>
      </c>
      <c r="AI1862">
        <v>41</v>
      </c>
      <c r="AJ1862">
        <v>427</v>
      </c>
      <c r="AK1862">
        <v>37</v>
      </c>
      <c r="AX1862">
        <v>144</v>
      </c>
      <c r="AY1862">
        <v>82</v>
      </c>
      <c r="AZ1862">
        <v>226</v>
      </c>
      <c r="BA1862">
        <v>348</v>
      </c>
      <c r="BB1862">
        <v>529</v>
      </c>
      <c r="BC1862">
        <v>877</v>
      </c>
      <c r="BD1862">
        <v>85</v>
      </c>
      <c r="BE1862">
        <v>76</v>
      </c>
      <c r="BF1862">
        <v>161</v>
      </c>
      <c r="BG1862">
        <v>505</v>
      </c>
      <c r="BH1862">
        <v>395</v>
      </c>
      <c r="BI1862">
        <v>900</v>
      </c>
      <c r="BP1862">
        <v>97</v>
      </c>
      <c r="BR1862">
        <v>868</v>
      </c>
      <c r="BS1862">
        <v>32</v>
      </c>
      <c r="BT1862">
        <v>37</v>
      </c>
      <c r="BV1862">
        <v>48</v>
      </c>
      <c r="BW1862">
        <v>1082</v>
      </c>
      <c r="BX1862" t="s">
        <v>82</v>
      </c>
      <c r="BY1862" s="5"/>
      <c r="BZ1862" s="6"/>
      <c r="CA1862" s="7">
        <v>42687</v>
      </c>
      <c r="CE1862">
        <v>257</v>
      </c>
      <c r="CF1862">
        <v>220</v>
      </c>
      <c r="CG1862">
        <v>275</v>
      </c>
      <c r="CH1862">
        <v>330</v>
      </c>
      <c r="CI1862">
        <f t="shared" si="206"/>
        <v>2016</v>
      </c>
      <c r="CJ1862" t="str">
        <f t="shared" si="207"/>
        <v>7015_2016</v>
      </c>
    </row>
    <row r="1863" spans="1:88" x14ac:dyDescent="0.25">
      <c r="A1863" t="s">
        <v>79</v>
      </c>
      <c r="B1863" t="s">
        <v>91</v>
      </c>
      <c r="C1863">
        <v>7015</v>
      </c>
      <c r="D1863">
        <v>-33.912154000000001</v>
      </c>
      <c r="E1863">
        <v>151.25862000000001</v>
      </c>
      <c r="F1863">
        <v>4</v>
      </c>
      <c r="G1863" t="s">
        <v>693</v>
      </c>
      <c r="H1863">
        <v>11</v>
      </c>
      <c r="I1863">
        <v>191</v>
      </c>
      <c r="J1863">
        <v>98</v>
      </c>
      <c r="K1863">
        <v>278</v>
      </c>
      <c r="L1863">
        <v>190</v>
      </c>
      <c r="M1863">
        <v>10</v>
      </c>
      <c r="N1863">
        <v>281</v>
      </c>
      <c r="O1863">
        <v>101</v>
      </c>
      <c r="T1863">
        <v>42</v>
      </c>
      <c r="U1863">
        <v>25</v>
      </c>
      <c r="V1863">
        <v>22</v>
      </c>
      <c r="Y1863">
        <v>16</v>
      </c>
      <c r="Z1863">
        <v>4</v>
      </c>
      <c r="AA1863">
        <v>206</v>
      </c>
      <c r="AD1863">
        <v>14</v>
      </c>
      <c r="AE1863">
        <v>13</v>
      </c>
      <c r="AF1863">
        <v>31</v>
      </c>
      <c r="AI1863">
        <v>17</v>
      </c>
      <c r="AJ1863">
        <v>212</v>
      </c>
      <c r="AK1863">
        <v>18</v>
      </c>
      <c r="AX1863">
        <v>89</v>
      </c>
      <c r="AY1863">
        <v>47</v>
      </c>
      <c r="AZ1863">
        <v>136</v>
      </c>
      <c r="BA1863">
        <v>226</v>
      </c>
      <c r="BB1863">
        <v>267</v>
      </c>
      <c r="BC1863">
        <v>493</v>
      </c>
      <c r="BD1863">
        <v>58</v>
      </c>
      <c r="BE1863">
        <v>47</v>
      </c>
      <c r="BF1863">
        <v>105</v>
      </c>
      <c r="BG1863">
        <v>247</v>
      </c>
      <c r="BH1863">
        <v>259</v>
      </c>
      <c r="BI1863">
        <v>506</v>
      </c>
      <c r="BP1863">
        <v>58</v>
      </c>
      <c r="BR1863">
        <v>484</v>
      </c>
      <c r="BS1863">
        <v>36</v>
      </c>
      <c r="BT1863">
        <v>41</v>
      </c>
      <c r="BV1863">
        <v>1</v>
      </c>
      <c r="BW1863">
        <v>620</v>
      </c>
      <c r="BX1863" t="str">
        <f>IF(C1863=C1862,IF((CI1863-1)=CI1862,BW1862,"no data"))</f>
        <v>no data</v>
      </c>
      <c r="BY1863" s="5"/>
      <c r="BZ1863" s="6"/>
      <c r="CA1863" s="7">
        <v>43415</v>
      </c>
      <c r="CE1863">
        <v>119</v>
      </c>
      <c r="CF1863">
        <v>183</v>
      </c>
      <c r="CG1863">
        <v>190</v>
      </c>
      <c r="CH1863">
        <v>128</v>
      </c>
      <c r="CI1863">
        <f t="shared" si="206"/>
        <v>2018</v>
      </c>
      <c r="CJ1863" t="str">
        <f t="shared" si="207"/>
        <v>7015_2018</v>
      </c>
    </row>
    <row r="1864" spans="1:88" x14ac:dyDescent="0.25">
      <c r="A1864" t="s">
        <v>79</v>
      </c>
      <c r="B1864" t="s">
        <v>91</v>
      </c>
      <c r="C1864">
        <v>7015</v>
      </c>
      <c r="D1864">
        <v>-33.912199999999999</v>
      </c>
      <c r="E1864">
        <v>151.2586</v>
      </c>
      <c r="F1864">
        <v>4</v>
      </c>
      <c r="G1864" t="s">
        <v>693</v>
      </c>
      <c r="H1864">
        <v>11</v>
      </c>
      <c r="I1864">
        <v>191</v>
      </c>
      <c r="J1864">
        <v>98</v>
      </c>
      <c r="K1864">
        <v>278</v>
      </c>
      <c r="L1864">
        <v>190</v>
      </c>
      <c r="M1864">
        <v>10</v>
      </c>
      <c r="N1864">
        <v>281</v>
      </c>
      <c r="O1864">
        <v>101</v>
      </c>
      <c r="T1864">
        <v>8</v>
      </c>
      <c r="U1864">
        <v>1</v>
      </c>
      <c r="V1864">
        <v>74</v>
      </c>
      <c r="Y1864">
        <v>11</v>
      </c>
      <c r="Z1864">
        <v>1</v>
      </c>
      <c r="AA1864">
        <v>267</v>
      </c>
      <c r="AD1864">
        <v>5</v>
      </c>
      <c r="AE1864">
        <v>8</v>
      </c>
      <c r="AF1864">
        <v>2</v>
      </c>
      <c r="AI1864">
        <v>48</v>
      </c>
      <c r="AJ1864">
        <v>240</v>
      </c>
      <c r="AK1864">
        <v>4</v>
      </c>
      <c r="AX1864">
        <v>83</v>
      </c>
      <c r="AY1864">
        <v>64</v>
      </c>
      <c r="AZ1864">
        <v>147</v>
      </c>
      <c r="BA1864">
        <v>279</v>
      </c>
      <c r="BB1864">
        <v>256</v>
      </c>
      <c r="BC1864">
        <v>535</v>
      </c>
      <c r="BD1864">
        <v>15</v>
      </c>
      <c r="BE1864">
        <v>6</v>
      </c>
      <c r="BF1864">
        <v>21</v>
      </c>
      <c r="BG1864">
        <v>292</v>
      </c>
      <c r="BH1864">
        <v>343</v>
      </c>
      <c r="BI1864">
        <v>635</v>
      </c>
      <c r="BP1864">
        <v>65</v>
      </c>
      <c r="BR1864">
        <v>539</v>
      </c>
      <c r="BS1864">
        <v>9</v>
      </c>
      <c r="BT1864">
        <v>50</v>
      </c>
      <c r="BV1864">
        <v>6</v>
      </c>
      <c r="BW1864">
        <v>669</v>
      </c>
      <c r="BX1864" t="str">
        <f>IF(C1864=C1863,IF((CI1864-1)=CI1863,BW1863,"no data"))</f>
        <v>no data</v>
      </c>
      <c r="BY1864" s="5"/>
      <c r="BZ1864" s="6"/>
      <c r="CA1864" s="7">
        <v>44143</v>
      </c>
      <c r="CE1864">
        <v>108</v>
      </c>
      <c r="CF1864">
        <v>253</v>
      </c>
      <c r="CG1864">
        <v>163</v>
      </c>
      <c r="CH1864">
        <v>145</v>
      </c>
      <c r="CI1864">
        <f t="shared" si="206"/>
        <v>2020</v>
      </c>
      <c r="CJ1864" t="str">
        <f t="shared" si="207"/>
        <v>7015_2020</v>
      </c>
    </row>
    <row r="1865" spans="1:88" x14ac:dyDescent="0.25">
      <c r="A1865" t="s">
        <v>79</v>
      </c>
      <c r="B1865" t="s">
        <v>91</v>
      </c>
      <c r="C1865">
        <v>7016</v>
      </c>
      <c r="D1865">
        <v>-33.919829999999997</v>
      </c>
      <c r="E1865">
        <v>151.22403600000001</v>
      </c>
      <c r="F1865">
        <v>4</v>
      </c>
      <c r="G1865" t="s">
        <v>694</v>
      </c>
      <c r="H1865">
        <v>10</v>
      </c>
      <c r="I1865">
        <v>190</v>
      </c>
      <c r="J1865">
        <v>69</v>
      </c>
      <c r="K1865">
        <v>249</v>
      </c>
      <c r="L1865">
        <v>189</v>
      </c>
      <c r="M1865">
        <v>9</v>
      </c>
      <c r="N1865">
        <v>280</v>
      </c>
      <c r="O1865">
        <v>100</v>
      </c>
      <c r="T1865">
        <v>9</v>
      </c>
      <c r="U1865">
        <v>3</v>
      </c>
      <c r="V1865">
        <v>0</v>
      </c>
      <c r="Y1865">
        <v>5</v>
      </c>
      <c r="Z1865">
        <v>7</v>
      </c>
      <c r="AA1865">
        <v>26</v>
      </c>
      <c r="AD1865">
        <v>5</v>
      </c>
      <c r="AE1865">
        <v>13</v>
      </c>
      <c r="AF1865">
        <v>12</v>
      </c>
      <c r="AI1865">
        <v>1</v>
      </c>
      <c r="AJ1865">
        <v>61</v>
      </c>
      <c r="AK1865">
        <v>16</v>
      </c>
      <c r="AX1865">
        <v>12</v>
      </c>
      <c r="AY1865">
        <v>11</v>
      </c>
      <c r="AZ1865">
        <v>23</v>
      </c>
      <c r="BA1865">
        <v>38</v>
      </c>
      <c r="BB1865">
        <v>83</v>
      </c>
      <c r="BC1865">
        <v>121</v>
      </c>
      <c r="BD1865">
        <v>30</v>
      </c>
      <c r="BE1865">
        <v>26</v>
      </c>
      <c r="BF1865">
        <v>56</v>
      </c>
      <c r="BG1865">
        <v>78</v>
      </c>
      <c r="BH1865">
        <v>38</v>
      </c>
      <c r="BI1865">
        <v>116</v>
      </c>
      <c r="BP1865">
        <v>33</v>
      </c>
      <c r="BR1865">
        <v>115</v>
      </c>
      <c r="BS1865">
        <v>1</v>
      </c>
      <c r="BT1865">
        <v>8</v>
      </c>
      <c r="BV1865">
        <v>1</v>
      </c>
      <c r="BW1865">
        <v>158</v>
      </c>
      <c r="BX1865" t="s">
        <v>82</v>
      </c>
      <c r="BY1865" s="5"/>
      <c r="BZ1865" s="6"/>
      <c r="CA1865" s="7">
        <v>42687</v>
      </c>
      <c r="CE1865">
        <v>27</v>
      </c>
      <c r="CF1865">
        <v>54</v>
      </c>
      <c r="CG1865">
        <v>36</v>
      </c>
      <c r="CH1865">
        <v>41</v>
      </c>
      <c r="CI1865">
        <f t="shared" si="206"/>
        <v>2016</v>
      </c>
      <c r="CJ1865" t="str">
        <f t="shared" si="207"/>
        <v>7016_2016</v>
      </c>
    </row>
    <row r="1866" spans="1:88" x14ac:dyDescent="0.25">
      <c r="A1866" t="s">
        <v>79</v>
      </c>
      <c r="B1866" t="s">
        <v>91</v>
      </c>
      <c r="C1866">
        <v>7017</v>
      </c>
      <c r="D1866">
        <v>-33.928615999999998</v>
      </c>
      <c r="E1866">
        <v>151.25513000000001</v>
      </c>
      <c r="F1866">
        <v>3</v>
      </c>
      <c r="G1866" t="s">
        <v>695</v>
      </c>
      <c r="H1866">
        <v>9</v>
      </c>
      <c r="I1866">
        <v>189</v>
      </c>
      <c r="J1866">
        <v>153</v>
      </c>
      <c r="K1866">
        <v>333</v>
      </c>
      <c r="L1866">
        <v>265</v>
      </c>
      <c r="M1866">
        <v>85</v>
      </c>
      <c r="T1866">
        <v>56</v>
      </c>
      <c r="U1866">
        <v>74</v>
      </c>
      <c r="Y1866">
        <v>71</v>
      </c>
      <c r="Z1866">
        <v>53</v>
      </c>
      <c r="AD1866">
        <v>83</v>
      </c>
      <c r="AE1866">
        <v>21</v>
      </c>
      <c r="AX1866">
        <v>130</v>
      </c>
      <c r="AY1866">
        <v>154</v>
      </c>
      <c r="AZ1866">
        <v>284</v>
      </c>
      <c r="BA1866">
        <v>124</v>
      </c>
      <c r="BB1866">
        <v>77</v>
      </c>
      <c r="BC1866">
        <v>201</v>
      </c>
      <c r="BD1866">
        <v>104</v>
      </c>
      <c r="BE1866">
        <v>127</v>
      </c>
      <c r="BF1866">
        <v>231</v>
      </c>
      <c r="BP1866">
        <v>54</v>
      </c>
      <c r="BR1866">
        <v>260</v>
      </c>
      <c r="BS1866">
        <v>13</v>
      </c>
      <c r="BT1866">
        <v>19</v>
      </c>
      <c r="BV1866">
        <v>12</v>
      </c>
      <c r="BW1866">
        <v>358</v>
      </c>
      <c r="BX1866" t="s">
        <v>82</v>
      </c>
      <c r="BY1866" s="5"/>
      <c r="BZ1866" s="6"/>
      <c r="CA1866" s="7">
        <v>42687</v>
      </c>
      <c r="CE1866">
        <v>102</v>
      </c>
      <c r="CF1866">
        <v>102</v>
      </c>
      <c r="CG1866">
        <v>95</v>
      </c>
      <c r="CH1866">
        <v>59</v>
      </c>
      <c r="CI1866">
        <f t="shared" si="206"/>
        <v>2016</v>
      </c>
      <c r="CJ1866" t="str">
        <f t="shared" si="207"/>
        <v>7017_2016</v>
      </c>
    </row>
    <row r="1867" spans="1:88" x14ac:dyDescent="0.25">
      <c r="A1867" t="s">
        <v>79</v>
      </c>
      <c r="B1867" t="s">
        <v>91</v>
      </c>
      <c r="C1867">
        <v>7018</v>
      </c>
      <c r="D1867">
        <v>-33.894191999999997</v>
      </c>
      <c r="E1867">
        <v>151.23303999999999</v>
      </c>
      <c r="F1867">
        <v>4</v>
      </c>
      <c r="G1867" t="s">
        <v>696</v>
      </c>
      <c r="H1867">
        <v>19</v>
      </c>
      <c r="I1867">
        <v>199</v>
      </c>
      <c r="J1867">
        <v>82</v>
      </c>
      <c r="K1867">
        <v>262</v>
      </c>
      <c r="L1867">
        <v>192</v>
      </c>
      <c r="M1867">
        <v>12</v>
      </c>
      <c r="N1867">
        <v>237</v>
      </c>
      <c r="O1867">
        <v>57</v>
      </c>
      <c r="T1867">
        <v>28</v>
      </c>
      <c r="U1867">
        <v>150</v>
      </c>
      <c r="V1867">
        <v>45</v>
      </c>
      <c r="Y1867">
        <v>24</v>
      </c>
      <c r="Z1867">
        <v>56</v>
      </c>
      <c r="AA1867">
        <v>357</v>
      </c>
      <c r="AD1867">
        <v>178</v>
      </c>
      <c r="AE1867">
        <v>84</v>
      </c>
      <c r="AF1867">
        <v>57</v>
      </c>
      <c r="AI1867">
        <v>161</v>
      </c>
      <c r="AJ1867">
        <v>4326</v>
      </c>
      <c r="AK1867">
        <v>135</v>
      </c>
      <c r="AX1867">
        <v>223</v>
      </c>
      <c r="AY1867">
        <v>363</v>
      </c>
      <c r="AZ1867">
        <v>586</v>
      </c>
      <c r="BA1867">
        <v>437</v>
      </c>
      <c r="BB1867">
        <v>4438</v>
      </c>
      <c r="BC1867">
        <v>4875</v>
      </c>
      <c r="BD1867">
        <v>319</v>
      </c>
      <c r="BE1867">
        <v>341</v>
      </c>
      <c r="BF1867">
        <v>660</v>
      </c>
      <c r="BG1867">
        <v>4622</v>
      </c>
      <c r="BH1867">
        <v>459</v>
      </c>
      <c r="BI1867">
        <v>5081</v>
      </c>
      <c r="BP1867">
        <v>2762</v>
      </c>
      <c r="BR1867">
        <v>1871</v>
      </c>
      <c r="BS1867">
        <v>670</v>
      </c>
      <c r="BT1867">
        <v>136</v>
      </c>
      <c r="BV1867">
        <v>162</v>
      </c>
      <c r="BW1867">
        <v>5601</v>
      </c>
      <c r="BX1867" t="s">
        <v>82</v>
      </c>
      <c r="BY1867" s="5"/>
      <c r="BZ1867" s="6"/>
      <c r="CA1867" s="7">
        <v>42687</v>
      </c>
      <c r="CE1867">
        <v>2265</v>
      </c>
      <c r="CF1867">
        <v>1721</v>
      </c>
      <c r="CG1867">
        <v>926</v>
      </c>
      <c r="CH1867">
        <v>689</v>
      </c>
      <c r="CI1867">
        <f t="shared" si="206"/>
        <v>2016</v>
      </c>
      <c r="CJ1867" t="str">
        <f t="shared" si="207"/>
        <v>7018_2016</v>
      </c>
    </row>
    <row r="1868" spans="1:88" x14ac:dyDescent="0.25">
      <c r="A1868" t="s">
        <v>111</v>
      </c>
      <c r="B1868" t="s">
        <v>157</v>
      </c>
      <c r="C1868">
        <v>7020</v>
      </c>
      <c r="D1868">
        <v>-37.903032000000003</v>
      </c>
      <c r="E1868">
        <v>144.65101000000001</v>
      </c>
      <c r="F1868">
        <v>4</v>
      </c>
      <c r="G1868" t="s">
        <v>697</v>
      </c>
      <c r="H1868">
        <v>70</v>
      </c>
      <c r="I1868">
        <v>250</v>
      </c>
      <c r="J1868">
        <v>246</v>
      </c>
      <c r="K1868">
        <v>66</v>
      </c>
      <c r="L1868">
        <v>307</v>
      </c>
      <c r="M1868">
        <v>127</v>
      </c>
      <c r="N1868">
        <v>346</v>
      </c>
      <c r="O1868">
        <v>166</v>
      </c>
      <c r="T1868">
        <v>5</v>
      </c>
      <c r="U1868">
        <v>4</v>
      </c>
      <c r="V1868">
        <v>21</v>
      </c>
      <c r="Y1868">
        <v>4</v>
      </c>
      <c r="Z1868">
        <v>3</v>
      </c>
      <c r="AA1868">
        <v>1</v>
      </c>
      <c r="AD1868">
        <v>3</v>
      </c>
      <c r="AE1868">
        <v>3</v>
      </c>
      <c r="AF1868">
        <v>1</v>
      </c>
      <c r="AI1868">
        <v>8</v>
      </c>
      <c r="AJ1868">
        <v>0</v>
      </c>
      <c r="AK1868">
        <v>1</v>
      </c>
      <c r="AX1868">
        <v>30</v>
      </c>
      <c r="AY1868">
        <v>15</v>
      </c>
      <c r="AZ1868">
        <v>45</v>
      </c>
      <c r="BA1868">
        <v>8</v>
      </c>
      <c r="BB1868">
        <v>8</v>
      </c>
      <c r="BC1868">
        <v>16</v>
      </c>
      <c r="BD1868">
        <v>7</v>
      </c>
      <c r="BE1868">
        <v>8</v>
      </c>
      <c r="BF1868">
        <v>15</v>
      </c>
      <c r="BG1868">
        <v>9</v>
      </c>
      <c r="BH1868">
        <v>23</v>
      </c>
      <c r="BI1868">
        <v>32</v>
      </c>
      <c r="BP1868">
        <v>20</v>
      </c>
      <c r="BR1868">
        <v>27</v>
      </c>
      <c r="BS1868">
        <v>0</v>
      </c>
      <c r="BT1868">
        <v>5</v>
      </c>
      <c r="BV1868">
        <v>2</v>
      </c>
      <c r="BW1868">
        <v>54</v>
      </c>
      <c r="BX1868" t="s">
        <v>82</v>
      </c>
      <c r="BY1868" s="5"/>
      <c r="BZ1868" s="6"/>
      <c r="CA1868" s="7">
        <v>42687</v>
      </c>
      <c r="CE1868">
        <v>21</v>
      </c>
      <c r="CF1868">
        <v>10</v>
      </c>
      <c r="CG1868">
        <v>10</v>
      </c>
      <c r="CH1868">
        <v>13</v>
      </c>
      <c r="CI1868">
        <f t="shared" si="206"/>
        <v>2016</v>
      </c>
      <c r="CJ1868" t="str">
        <f t="shared" si="207"/>
        <v>7020_2016</v>
      </c>
    </row>
    <row r="1869" spans="1:88" x14ac:dyDescent="0.25">
      <c r="A1869" t="s">
        <v>111</v>
      </c>
      <c r="B1869" t="s">
        <v>157</v>
      </c>
      <c r="C1869">
        <v>7020</v>
      </c>
      <c r="D1869">
        <v>-37.903032000000003</v>
      </c>
      <c r="E1869">
        <v>144.65101000000001</v>
      </c>
      <c r="F1869">
        <v>4</v>
      </c>
      <c r="G1869" t="s">
        <v>697</v>
      </c>
      <c r="H1869">
        <v>70</v>
      </c>
      <c r="I1869">
        <v>250</v>
      </c>
      <c r="J1869">
        <v>246</v>
      </c>
      <c r="K1869">
        <v>66</v>
      </c>
      <c r="L1869">
        <v>307</v>
      </c>
      <c r="M1869">
        <v>127</v>
      </c>
      <c r="N1869">
        <v>346</v>
      </c>
      <c r="O1869">
        <v>166</v>
      </c>
      <c r="T1869">
        <v>54</v>
      </c>
      <c r="U1869">
        <v>9</v>
      </c>
      <c r="V1869">
        <v>7</v>
      </c>
      <c r="Y1869">
        <v>8</v>
      </c>
      <c r="Z1869">
        <v>6</v>
      </c>
      <c r="AA1869">
        <v>1</v>
      </c>
      <c r="AD1869">
        <v>6</v>
      </c>
      <c r="AE1869">
        <v>4</v>
      </c>
      <c r="AF1869">
        <v>1</v>
      </c>
      <c r="AI1869">
        <v>4</v>
      </c>
      <c r="AJ1869">
        <v>3</v>
      </c>
      <c r="AK1869">
        <v>0</v>
      </c>
      <c r="AX1869">
        <v>70</v>
      </c>
      <c r="AY1869">
        <v>18</v>
      </c>
      <c r="AZ1869">
        <v>88</v>
      </c>
      <c r="BA1869">
        <v>15</v>
      </c>
      <c r="BB1869">
        <v>61</v>
      </c>
      <c r="BC1869">
        <v>76</v>
      </c>
      <c r="BD1869">
        <v>11</v>
      </c>
      <c r="BE1869">
        <v>15</v>
      </c>
      <c r="BF1869">
        <v>26</v>
      </c>
      <c r="BG1869">
        <v>7</v>
      </c>
      <c r="BH1869">
        <v>9</v>
      </c>
      <c r="BI1869">
        <v>16</v>
      </c>
      <c r="BP1869">
        <v>24</v>
      </c>
      <c r="BR1869">
        <v>70</v>
      </c>
      <c r="BS1869">
        <v>3</v>
      </c>
      <c r="BT1869">
        <v>1</v>
      </c>
      <c r="BV1869">
        <v>5</v>
      </c>
      <c r="BW1869">
        <v>103</v>
      </c>
      <c r="BX1869">
        <f>IF(C1869=C1868,IF((CI1869-1)=CI1868,BW1868,"no data"))</f>
        <v>54</v>
      </c>
      <c r="BY1869" s="5">
        <f t="shared" ref="BY1869:BY1932" si="208">(BW1869-BX1869)/BX1869</f>
        <v>0.90740740740740744</v>
      </c>
      <c r="BZ1869" s="6">
        <f t="shared" ref="BZ1869:BZ1932" si="209">BY1869</f>
        <v>0.90740740740740744</v>
      </c>
      <c r="CA1869" s="7">
        <v>43051</v>
      </c>
      <c r="CE1869">
        <v>15</v>
      </c>
      <c r="CF1869">
        <v>13</v>
      </c>
      <c r="CG1869">
        <v>39</v>
      </c>
      <c r="CH1869">
        <v>36</v>
      </c>
      <c r="CI1869">
        <f t="shared" si="206"/>
        <v>2017</v>
      </c>
      <c r="CJ1869" t="str">
        <f t="shared" si="207"/>
        <v>7020_2017</v>
      </c>
    </row>
    <row r="1870" spans="1:88" x14ac:dyDescent="0.25">
      <c r="A1870" t="s">
        <v>111</v>
      </c>
      <c r="B1870" t="s">
        <v>157</v>
      </c>
      <c r="C1870">
        <v>7020</v>
      </c>
      <c r="D1870">
        <v>-37.903032000000003</v>
      </c>
      <c r="E1870">
        <v>144.65101000000001</v>
      </c>
      <c r="F1870">
        <v>4</v>
      </c>
      <c r="G1870" t="s">
        <v>697</v>
      </c>
      <c r="H1870">
        <v>70</v>
      </c>
      <c r="I1870">
        <v>250</v>
      </c>
      <c r="J1870">
        <v>246</v>
      </c>
      <c r="K1870">
        <v>66</v>
      </c>
      <c r="L1870">
        <v>307</v>
      </c>
      <c r="M1870">
        <v>127</v>
      </c>
      <c r="N1870">
        <v>346</v>
      </c>
      <c r="O1870">
        <v>166</v>
      </c>
      <c r="T1870">
        <v>49</v>
      </c>
      <c r="U1870">
        <v>11</v>
      </c>
      <c r="V1870">
        <v>12</v>
      </c>
      <c r="Y1870">
        <v>8</v>
      </c>
      <c r="Z1870">
        <v>5</v>
      </c>
      <c r="AA1870">
        <v>2</v>
      </c>
      <c r="AD1870">
        <v>7</v>
      </c>
      <c r="AE1870">
        <v>6</v>
      </c>
      <c r="AF1870">
        <v>1</v>
      </c>
      <c r="AI1870">
        <v>17</v>
      </c>
      <c r="AJ1870">
        <v>4</v>
      </c>
      <c r="AK1870">
        <v>3</v>
      </c>
      <c r="AX1870">
        <v>72</v>
      </c>
      <c r="AY1870">
        <v>32</v>
      </c>
      <c r="AZ1870">
        <v>104</v>
      </c>
      <c r="BA1870">
        <v>15</v>
      </c>
      <c r="BB1870">
        <v>59</v>
      </c>
      <c r="BC1870">
        <v>74</v>
      </c>
      <c r="BD1870">
        <v>14</v>
      </c>
      <c r="BE1870">
        <v>19</v>
      </c>
      <c r="BF1870">
        <v>33</v>
      </c>
      <c r="BG1870">
        <v>24</v>
      </c>
      <c r="BH1870">
        <v>15</v>
      </c>
      <c r="BI1870">
        <v>39</v>
      </c>
      <c r="BP1870">
        <v>19</v>
      </c>
      <c r="BR1870">
        <v>89</v>
      </c>
      <c r="BS1870">
        <v>6</v>
      </c>
      <c r="BT1870">
        <v>7</v>
      </c>
      <c r="BV1870">
        <v>4</v>
      </c>
      <c r="BW1870">
        <v>125</v>
      </c>
      <c r="BX1870">
        <f>IF(C1870=C1869,IF((CI1870-1)=CI1869,BW1869,"no data"))</f>
        <v>103</v>
      </c>
      <c r="BY1870" s="5">
        <f t="shared" si="208"/>
        <v>0.21359223300970873</v>
      </c>
      <c r="BZ1870" s="6">
        <f t="shared" si="209"/>
        <v>0.21359223300970873</v>
      </c>
      <c r="CA1870" s="7">
        <v>43443</v>
      </c>
      <c r="CE1870">
        <v>37</v>
      </c>
      <c r="CF1870">
        <v>21</v>
      </c>
      <c r="CG1870">
        <v>21</v>
      </c>
      <c r="CH1870">
        <v>46</v>
      </c>
      <c r="CI1870">
        <f t="shared" si="206"/>
        <v>2018</v>
      </c>
      <c r="CJ1870" t="str">
        <f t="shared" si="207"/>
        <v>7020_2018</v>
      </c>
    </row>
    <row r="1871" spans="1:88" x14ac:dyDescent="0.25">
      <c r="A1871" t="s">
        <v>111</v>
      </c>
      <c r="B1871" t="s">
        <v>157</v>
      </c>
      <c r="C1871">
        <v>7020</v>
      </c>
      <c r="D1871">
        <v>-37.902999999999999</v>
      </c>
      <c r="E1871">
        <v>144.65100000000001</v>
      </c>
      <c r="F1871">
        <v>4</v>
      </c>
      <c r="G1871" t="s">
        <v>697</v>
      </c>
      <c r="H1871">
        <v>70</v>
      </c>
      <c r="I1871">
        <v>250</v>
      </c>
      <c r="J1871">
        <v>246</v>
      </c>
      <c r="K1871">
        <v>66</v>
      </c>
      <c r="L1871">
        <v>307</v>
      </c>
      <c r="M1871">
        <v>127</v>
      </c>
      <c r="N1871">
        <v>346</v>
      </c>
      <c r="O1871">
        <v>166</v>
      </c>
      <c r="T1871">
        <v>3</v>
      </c>
      <c r="U1871">
        <v>3</v>
      </c>
      <c r="Y1871">
        <v>6</v>
      </c>
      <c r="Z1871">
        <v>0</v>
      </c>
      <c r="AD1871">
        <v>5</v>
      </c>
      <c r="AE1871">
        <v>1</v>
      </c>
      <c r="AX1871">
        <v>6</v>
      </c>
      <c r="AY1871">
        <v>11</v>
      </c>
      <c r="AZ1871">
        <v>17</v>
      </c>
      <c r="BA1871">
        <v>6</v>
      </c>
      <c r="BB1871">
        <v>4</v>
      </c>
      <c r="BC1871">
        <v>10</v>
      </c>
      <c r="BD1871">
        <v>6</v>
      </c>
      <c r="BE1871">
        <v>3</v>
      </c>
      <c r="BF1871">
        <v>9</v>
      </c>
      <c r="BP1871">
        <v>6</v>
      </c>
      <c r="BR1871">
        <v>10</v>
      </c>
      <c r="BS1871">
        <v>0</v>
      </c>
      <c r="BT1871">
        <v>1</v>
      </c>
      <c r="BV1871">
        <v>1</v>
      </c>
      <c r="BW1871">
        <v>18</v>
      </c>
      <c r="BX1871">
        <f>IF(C1871=C1870,IF((CI1871-1)=CI1870,BW1870,"no data"))</f>
        <v>125</v>
      </c>
      <c r="BY1871" s="5">
        <f t="shared" si="208"/>
        <v>-0.85599999999999998</v>
      </c>
      <c r="BZ1871" s="6">
        <f t="shared" si="209"/>
        <v>-0.85599999999999998</v>
      </c>
      <c r="CA1871" s="7">
        <v>43779</v>
      </c>
      <c r="CE1871">
        <v>5</v>
      </c>
      <c r="CF1871">
        <v>4</v>
      </c>
      <c r="CG1871">
        <v>6</v>
      </c>
      <c r="CH1871">
        <v>3</v>
      </c>
      <c r="CI1871">
        <f t="shared" si="206"/>
        <v>2019</v>
      </c>
      <c r="CJ1871" t="str">
        <f t="shared" si="207"/>
        <v>7020_2019</v>
      </c>
    </row>
    <row r="1872" spans="1:88" x14ac:dyDescent="0.25">
      <c r="A1872" t="s">
        <v>111</v>
      </c>
      <c r="B1872" t="s">
        <v>157</v>
      </c>
      <c r="C1872">
        <v>7020</v>
      </c>
      <c r="D1872">
        <v>-37.903032000000003</v>
      </c>
      <c r="E1872">
        <v>144.65101000000001</v>
      </c>
      <c r="F1872">
        <v>4</v>
      </c>
      <c r="G1872" t="s">
        <v>697</v>
      </c>
      <c r="H1872">
        <v>70</v>
      </c>
      <c r="I1872">
        <v>250</v>
      </c>
      <c r="J1872">
        <v>246</v>
      </c>
      <c r="K1872">
        <v>66</v>
      </c>
      <c r="L1872">
        <v>307</v>
      </c>
      <c r="M1872">
        <v>127</v>
      </c>
      <c r="N1872">
        <v>346</v>
      </c>
      <c r="O1872">
        <v>166</v>
      </c>
      <c r="T1872">
        <v>12</v>
      </c>
      <c r="U1872">
        <v>12</v>
      </c>
      <c r="V1872">
        <v>14</v>
      </c>
      <c r="Y1872">
        <v>47</v>
      </c>
      <c r="Z1872">
        <v>3</v>
      </c>
      <c r="AA1872">
        <v>1</v>
      </c>
      <c r="AD1872">
        <v>12</v>
      </c>
      <c r="AE1872">
        <v>7</v>
      </c>
      <c r="AF1872">
        <v>2</v>
      </c>
      <c r="AI1872">
        <v>21</v>
      </c>
      <c r="AJ1872">
        <v>11</v>
      </c>
      <c r="AK1872">
        <v>1</v>
      </c>
      <c r="AX1872">
        <v>38</v>
      </c>
      <c r="AY1872">
        <v>80</v>
      </c>
      <c r="AZ1872">
        <v>118</v>
      </c>
      <c r="BA1872">
        <v>51</v>
      </c>
      <c r="BB1872">
        <v>30</v>
      </c>
      <c r="BC1872">
        <v>81</v>
      </c>
      <c r="BD1872">
        <v>21</v>
      </c>
      <c r="BE1872">
        <v>16</v>
      </c>
      <c r="BF1872">
        <v>37</v>
      </c>
      <c r="BG1872">
        <v>33</v>
      </c>
      <c r="BH1872">
        <v>17</v>
      </c>
      <c r="BI1872">
        <v>50</v>
      </c>
      <c r="BP1872">
        <v>80</v>
      </c>
      <c r="BR1872">
        <v>49</v>
      </c>
      <c r="BS1872">
        <v>6</v>
      </c>
      <c r="BT1872">
        <v>4</v>
      </c>
      <c r="BV1872">
        <v>4</v>
      </c>
      <c r="BW1872">
        <v>143</v>
      </c>
      <c r="BX1872" t="str">
        <f>IF(C1872=C1871,IF((CI1872-1)=CI1871,BW1871,"no data"))</f>
        <v>no data</v>
      </c>
      <c r="BY1872" s="5"/>
      <c r="BZ1872" s="6"/>
      <c r="CA1872" s="7">
        <v>44528</v>
      </c>
      <c r="CE1872">
        <v>44</v>
      </c>
      <c r="CF1872">
        <v>72</v>
      </c>
      <c r="CG1872">
        <v>27</v>
      </c>
      <c r="CI1872">
        <f t="shared" si="206"/>
        <v>2021</v>
      </c>
      <c r="CJ1872" t="str">
        <f t="shared" si="207"/>
        <v>7020_2021</v>
      </c>
    </row>
    <row r="1873" spans="1:88" x14ac:dyDescent="0.25">
      <c r="A1873" t="s">
        <v>111</v>
      </c>
      <c r="B1873" t="s">
        <v>157</v>
      </c>
      <c r="C1873">
        <v>7020</v>
      </c>
      <c r="D1873">
        <v>-37.903032000000003</v>
      </c>
      <c r="E1873">
        <v>144.65101000000001</v>
      </c>
      <c r="F1873">
        <v>4</v>
      </c>
      <c r="G1873" t="s">
        <v>697</v>
      </c>
      <c r="H1873">
        <v>70</v>
      </c>
      <c r="I1873">
        <v>250</v>
      </c>
      <c r="J1873">
        <v>246</v>
      </c>
      <c r="K1873">
        <v>66</v>
      </c>
      <c r="L1873">
        <v>307</v>
      </c>
      <c r="M1873">
        <v>127</v>
      </c>
      <c r="N1873">
        <v>346</v>
      </c>
      <c r="O1873">
        <v>166</v>
      </c>
      <c r="T1873">
        <v>8</v>
      </c>
      <c r="U1873">
        <v>6</v>
      </c>
      <c r="V1873">
        <v>13</v>
      </c>
      <c r="Y1873">
        <v>10</v>
      </c>
      <c r="Z1873">
        <v>7</v>
      </c>
      <c r="AA1873">
        <v>2</v>
      </c>
      <c r="AD1873">
        <v>6</v>
      </c>
      <c r="AE1873">
        <v>4</v>
      </c>
      <c r="AF1873">
        <v>0</v>
      </c>
      <c r="AI1873">
        <v>32</v>
      </c>
      <c r="AJ1873">
        <v>2</v>
      </c>
      <c r="AK1873">
        <v>0</v>
      </c>
      <c r="AX1873">
        <v>27</v>
      </c>
      <c r="AY1873">
        <v>48</v>
      </c>
      <c r="AZ1873">
        <v>75</v>
      </c>
      <c r="BA1873">
        <v>19</v>
      </c>
      <c r="BB1873">
        <v>14</v>
      </c>
      <c r="BC1873">
        <v>33</v>
      </c>
      <c r="BD1873">
        <v>10</v>
      </c>
      <c r="BE1873">
        <v>13</v>
      </c>
      <c r="BF1873">
        <v>23</v>
      </c>
      <c r="BG1873">
        <v>34</v>
      </c>
      <c r="BH1873">
        <v>15</v>
      </c>
      <c r="BI1873">
        <v>49</v>
      </c>
      <c r="BP1873">
        <v>36</v>
      </c>
      <c r="BR1873">
        <v>36</v>
      </c>
      <c r="BS1873">
        <v>0</v>
      </c>
      <c r="BT1873">
        <v>11</v>
      </c>
      <c r="BU1873">
        <v>2</v>
      </c>
      <c r="BV1873">
        <v>5</v>
      </c>
      <c r="BW1873">
        <v>90</v>
      </c>
      <c r="BX1873">
        <f>IF(C1873=C1872,IF((CI1873-1)=CI1872,BW1872,"no data"))</f>
        <v>143</v>
      </c>
      <c r="BY1873" s="5">
        <f t="shared" si="208"/>
        <v>-0.37062937062937062</v>
      </c>
      <c r="BZ1873" s="6">
        <f t="shared" si="209"/>
        <v>-0.37062937062937062</v>
      </c>
      <c r="CA1873" s="7">
        <v>44878</v>
      </c>
      <c r="CE1873">
        <v>30</v>
      </c>
      <c r="CF1873">
        <v>30</v>
      </c>
      <c r="CG1873">
        <v>30</v>
      </c>
      <c r="CI1873">
        <f t="shared" si="206"/>
        <v>2022</v>
      </c>
      <c r="CJ1873" t="str">
        <f t="shared" si="207"/>
        <v>7020_2022</v>
      </c>
    </row>
    <row r="1874" spans="1:88" x14ac:dyDescent="0.25">
      <c r="A1874" t="s">
        <v>111</v>
      </c>
      <c r="B1874" t="s">
        <v>157</v>
      </c>
      <c r="C1874">
        <v>7021</v>
      </c>
      <c r="D1874">
        <v>-37.913029000000002</v>
      </c>
      <c r="E1874">
        <v>144.68338</v>
      </c>
      <c r="F1874">
        <v>4</v>
      </c>
      <c r="G1874" t="s">
        <v>698</v>
      </c>
      <c r="H1874">
        <v>123</v>
      </c>
      <c r="I1874">
        <v>303</v>
      </c>
      <c r="J1874">
        <v>186</v>
      </c>
      <c r="K1874">
        <v>6</v>
      </c>
      <c r="L1874">
        <v>307</v>
      </c>
      <c r="M1874">
        <v>127</v>
      </c>
      <c r="N1874">
        <v>351</v>
      </c>
      <c r="O1874">
        <v>171</v>
      </c>
      <c r="T1874">
        <v>1</v>
      </c>
      <c r="U1874">
        <v>3</v>
      </c>
      <c r="V1874">
        <v>0</v>
      </c>
      <c r="Y1874">
        <v>0</v>
      </c>
      <c r="Z1874">
        <v>0</v>
      </c>
      <c r="AA1874">
        <v>0</v>
      </c>
      <c r="AD1874">
        <v>1</v>
      </c>
      <c r="AE1874">
        <v>2</v>
      </c>
      <c r="AF1874">
        <v>0</v>
      </c>
      <c r="AI1874">
        <v>0</v>
      </c>
      <c r="AJ1874">
        <v>0</v>
      </c>
      <c r="AK1874">
        <v>0</v>
      </c>
      <c r="AX1874">
        <v>4</v>
      </c>
      <c r="AY1874">
        <v>1</v>
      </c>
      <c r="AZ1874">
        <v>5</v>
      </c>
      <c r="BA1874">
        <v>0</v>
      </c>
      <c r="BB1874">
        <v>3</v>
      </c>
      <c r="BC1874">
        <v>3</v>
      </c>
      <c r="BD1874">
        <v>3</v>
      </c>
      <c r="BE1874">
        <v>3</v>
      </c>
      <c r="BF1874">
        <v>6</v>
      </c>
      <c r="BG1874">
        <v>0</v>
      </c>
      <c r="BH1874">
        <v>0</v>
      </c>
      <c r="BI1874">
        <v>0</v>
      </c>
      <c r="BP1874">
        <v>5</v>
      </c>
      <c r="BR1874">
        <v>1</v>
      </c>
      <c r="BS1874">
        <v>1</v>
      </c>
      <c r="BT1874">
        <v>0</v>
      </c>
      <c r="BV1874">
        <v>0</v>
      </c>
      <c r="BW1874">
        <v>7</v>
      </c>
      <c r="BX1874" t="s">
        <v>82</v>
      </c>
      <c r="BY1874" s="5"/>
      <c r="BZ1874" s="6"/>
      <c r="CA1874" s="7">
        <v>42687</v>
      </c>
      <c r="CE1874">
        <v>4</v>
      </c>
      <c r="CF1874">
        <v>2</v>
      </c>
      <c r="CG1874">
        <v>0</v>
      </c>
      <c r="CH1874">
        <v>1</v>
      </c>
      <c r="CI1874">
        <f t="shared" si="206"/>
        <v>2016</v>
      </c>
      <c r="CJ1874" t="str">
        <f t="shared" si="207"/>
        <v>7021_2016</v>
      </c>
    </row>
    <row r="1875" spans="1:88" x14ac:dyDescent="0.25">
      <c r="A1875" t="s">
        <v>111</v>
      </c>
      <c r="B1875" t="s">
        <v>157</v>
      </c>
      <c r="C1875">
        <v>7021</v>
      </c>
      <c r="D1875">
        <v>-37.912908999999999</v>
      </c>
      <c r="E1875">
        <v>144.68338</v>
      </c>
      <c r="F1875">
        <v>4</v>
      </c>
      <c r="G1875" t="s">
        <v>698</v>
      </c>
      <c r="H1875">
        <v>123</v>
      </c>
      <c r="I1875">
        <v>303</v>
      </c>
      <c r="J1875">
        <v>186</v>
      </c>
      <c r="K1875">
        <v>6</v>
      </c>
      <c r="L1875">
        <v>307</v>
      </c>
      <c r="M1875">
        <v>127</v>
      </c>
      <c r="N1875">
        <v>351</v>
      </c>
      <c r="O1875">
        <v>171</v>
      </c>
      <c r="T1875">
        <v>0</v>
      </c>
      <c r="U1875">
        <v>3</v>
      </c>
      <c r="V1875">
        <v>0</v>
      </c>
      <c r="Y1875">
        <v>0</v>
      </c>
      <c r="Z1875">
        <v>2</v>
      </c>
      <c r="AA1875">
        <v>0</v>
      </c>
      <c r="AD1875">
        <v>1</v>
      </c>
      <c r="AE1875">
        <v>8</v>
      </c>
      <c r="AF1875">
        <v>0</v>
      </c>
      <c r="AI1875">
        <v>0</v>
      </c>
      <c r="AJ1875">
        <v>0</v>
      </c>
      <c r="AK1875">
        <v>0</v>
      </c>
      <c r="AX1875">
        <v>3</v>
      </c>
      <c r="AY1875">
        <v>1</v>
      </c>
      <c r="AZ1875">
        <v>4</v>
      </c>
      <c r="BA1875">
        <v>2</v>
      </c>
      <c r="BB1875">
        <v>8</v>
      </c>
      <c r="BC1875">
        <v>10</v>
      </c>
      <c r="BD1875">
        <v>9</v>
      </c>
      <c r="BE1875">
        <v>5</v>
      </c>
      <c r="BF1875">
        <v>14</v>
      </c>
      <c r="BG1875">
        <v>0</v>
      </c>
      <c r="BH1875">
        <v>0</v>
      </c>
      <c r="BI1875">
        <v>0</v>
      </c>
      <c r="BP1875">
        <v>13</v>
      </c>
      <c r="BR1875">
        <v>0</v>
      </c>
      <c r="BS1875">
        <v>1</v>
      </c>
      <c r="BT1875">
        <v>0</v>
      </c>
      <c r="BV1875">
        <v>0</v>
      </c>
      <c r="BW1875">
        <v>14</v>
      </c>
      <c r="BX1875">
        <f>IF(C1875=C1874,IF((CI1875-1)=CI1874,BW1874,"no data"))</f>
        <v>7</v>
      </c>
      <c r="BY1875" s="5">
        <f t="shared" si="208"/>
        <v>1</v>
      </c>
      <c r="BZ1875" s="6">
        <f t="shared" si="209"/>
        <v>1</v>
      </c>
      <c r="CA1875" s="7">
        <v>43051</v>
      </c>
      <c r="CE1875">
        <v>6</v>
      </c>
      <c r="CF1875">
        <v>4</v>
      </c>
      <c r="CG1875">
        <v>4</v>
      </c>
      <c r="CH1875">
        <v>0</v>
      </c>
      <c r="CI1875">
        <f t="shared" si="206"/>
        <v>2017</v>
      </c>
      <c r="CJ1875" t="str">
        <f t="shared" si="207"/>
        <v>7021_2017</v>
      </c>
    </row>
    <row r="1876" spans="1:88" x14ac:dyDescent="0.25">
      <c r="A1876" t="s">
        <v>111</v>
      </c>
      <c r="B1876" t="s">
        <v>157</v>
      </c>
      <c r="C1876">
        <v>7021</v>
      </c>
      <c r="D1876">
        <v>-37.912908999999999</v>
      </c>
      <c r="E1876">
        <v>144.68338</v>
      </c>
      <c r="F1876">
        <v>4</v>
      </c>
      <c r="G1876" t="s">
        <v>698</v>
      </c>
      <c r="H1876">
        <v>123</v>
      </c>
      <c r="I1876">
        <v>303</v>
      </c>
      <c r="J1876">
        <v>186</v>
      </c>
      <c r="K1876">
        <v>6</v>
      </c>
      <c r="L1876">
        <v>307</v>
      </c>
      <c r="M1876">
        <v>127</v>
      </c>
      <c r="N1876">
        <v>351</v>
      </c>
      <c r="O1876">
        <v>171</v>
      </c>
      <c r="T1876">
        <v>0</v>
      </c>
      <c r="U1876">
        <v>2</v>
      </c>
      <c r="V1876">
        <v>0</v>
      </c>
      <c r="Y1876">
        <v>0</v>
      </c>
      <c r="Z1876">
        <v>2</v>
      </c>
      <c r="AA1876">
        <v>1</v>
      </c>
      <c r="AD1876">
        <v>3</v>
      </c>
      <c r="AE1876">
        <v>0</v>
      </c>
      <c r="AF1876">
        <v>0</v>
      </c>
      <c r="AI1876">
        <v>0</v>
      </c>
      <c r="AJ1876">
        <v>0</v>
      </c>
      <c r="AK1876">
        <v>0</v>
      </c>
      <c r="AX1876">
        <v>2</v>
      </c>
      <c r="AY1876">
        <v>3</v>
      </c>
      <c r="AZ1876">
        <v>5</v>
      </c>
      <c r="BA1876">
        <v>3</v>
      </c>
      <c r="BB1876">
        <v>0</v>
      </c>
      <c r="BC1876">
        <v>3</v>
      </c>
      <c r="BD1876">
        <v>3</v>
      </c>
      <c r="BE1876">
        <v>4</v>
      </c>
      <c r="BF1876">
        <v>7</v>
      </c>
      <c r="BG1876">
        <v>0</v>
      </c>
      <c r="BH1876">
        <v>1</v>
      </c>
      <c r="BI1876">
        <v>1</v>
      </c>
      <c r="BP1876">
        <v>5</v>
      </c>
      <c r="BR1876">
        <v>2</v>
      </c>
      <c r="BS1876">
        <v>0</v>
      </c>
      <c r="BT1876">
        <v>0</v>
      </c>
      <c r="BV1876">
        <v>1</v>
      </c>
      <c r="BW1876">
        <v>8</v>
      </c>
      <c r="BX1876">
        <f>IF(C1876=C1875,IF((CI1876-1)=CI1875,BW1875,"no data"))</f>
        <v>14</v>
      </c>
      <c r="BY1876" s="5">
        <f t="shared" si="208"/>
        <v>-0.42857142857142855</v>
      </c>
      <c r="BZ1876" s="6">
        <f t="shared" si="209"/>
        <v>-0.42857142857142855</v>
      </c>
      <c r="CA1876" s="7">
        <v>43443</v>
      </c>
      <c r="CE1876">
        <v>4</v>
      </c>
      <c r="CF1876">
        <v>2</v>
      </c>
      <c r="CG1876">
        <v>1</v>
      </c>
      <c r="CH1876">
        <v>1</v>
      </c>
      <c r="CI1876">
        <f t="shared" si="206"/>
        <v>2018</v>
      </c>
      <c r="CJ1876" t="str">
        <f t="shared" si="207"/>
        <v>7021_2018</v>
      </c>
    </row>
    <row r="1877" spans="1:88" x14ac:dyDescent="0.25">
      <c r="A1877" t="s">
        <v>111</v>
      </c>
      <c r="B1877" t="s">
        <v>157</v>
      </c>
      <c r="C1877">
        <v>7021</v>
      </c>
      <c r="D1877">
        <v>-37.9129</v>
      </c>
      <c r="E1877">
        <v>144.68340000000001</v>
      </c>
      <c r="F1877">
        <v>4</v>
      </c>
      <c r="G1877" t="s">
        <v>698</v>
      </c>
      <c r="H1877">
        <v>123</v>
      </c>
      <c r="I1877">
        <v>303</v>
      </c>
      <c r="J1877">
        <v>186</v>
      </c>
      <c r="K1877">
        <v>6</v>
      </c>
      <c r="L1877">
        <v>307</v>
      </c>
      <c r="M1877">
        <v>127</v>
      </c>
      <c r="N1877">
        <v>351</v>
      </c>
      <c r="O1877">
        <v>171</v>
      </c>
      <c r="BP1877">
        <v>0</v>
      </c>
      <c r="BR1877">
        <v>0</v>
      </c>
      <c r="BS1877">
        <v>0</v>
      </c>
      <c r="BT1877">
        <v>0</v>
      </c>
      <c r="BV1877">
        <v>0</v>
      </c>
      <c r="BW1877">
        <v>0</v>
      </c>
      <c r="BX1877">
        <f>IF(C1877=C1876,IF((CI1877-1)=CI1876,BW1876,"no data"))</f>
        <v>8</v>
      </c>
      <c r="BY1877" s="5">
        <f t="shared" si="208"/>
        <v>-1</v>
      </c>
      <c r="BZ1877" s="6">
        <f t="shared" si="209"/>
        <v>-1</v>
      </c>
      <c r="CA1877" s="7">
        <v>43779</v>
      </c>
      <c r="CI1877">
        <f t="shared" si="206"/>
        <v>2019</v>
      </c>
      <c r="CJ1877" t="str">
        <f t="shared" si="207"/>
        <v>7021_2019</v>
      </c>
    </row>
    <row r="1878" spans="1:88" x14ac:dyDescent="0.25">
      <c r="A1878" t="s">
        <v>111</v>
      </c>
      <c r="B1878" t="s">
        <v>157</v>
      </c>
      <c r="C1878">
        <v>7021</v>
      </c>
      <c r="D1878">
        <v>-37.912908999999999</v>
      </c>
      <c r="E1878">
        <v>144.68338</v>
      </c>
      <c r="F1878">
        <v>4</v>
      </c>
      <c r="G1878" t="s">
        <v>698</v>
      </c>
      <c r="H1878">
        <v>123</v>
      </c>
      <c r="I1878">
        <v>303</v>
      </c>
      <c r="J1878">
        <v>186</v>
      </c>
      <c r="K1878">
        <v>6</v>
      </c>
      <c r="L1878">
        <v>307</v>
      </c>
      <c r="M1878">
        <v>127</v>
      </c>
      <c r="N1878">
        <v>351</v>
      </c>
      <c r="O1878">
        <v>171</v>
      </c>
      <c r="T1878">
        <v>0</v>
      </c>
      <c r="U1878">
        <v>3</v>
      </c>
      <c r="V1878">
        <v>0</v>
      </c>
      <c r="Y1878">
        <v>1</v>
      </c>
      <c r="Z1878">
        <v>8</v>
      </c>
      <c r="AA1878">
        <v>0</v>
      </c>
      <c r="AD1878">
        <v>4</v>
      </c>
      <c r="AE1878">
        <v>2</v>
      </c>
      <c r="AF1878">
        <v>1</v>
      </c>
      <c r="AI1878">
        <v>3</v>
      </c>
      <c r="AJ1878">
        <v>0</v>
      </c>
      <c r="AK1878">
        <v>0</v>
      </c>
      <c r="AX1878">
        <v>3</v>
      </c>
      <c r="AY1878">
        <v>8</v>
      </c>
      <c r="AZ1878">
        <v>11</v>
      </c>
      <c r="BA1878">
        <v>9</v>
      </c>
      <c r="BB1878">
        <v>2</v>
      </c>
      <c r="BC1878">
        <v>11</v>
      </c>
      <c r="BD1878">
        <v>7</v>
      </c>
      <c r="BE1878">
        <v>11</v>
      </c>
      <c r="BF1878">
        <v>18</v>
      </c>
      <c r="BG1878">
        <v>3</v>
      </c>
      <c r="BH1878">
        <v>1</v>
      </c>
      <c r="BI1878">
        <v>4</v>
      </c>
      <c r="BP1878">
        <v>19</v>
      </c>
      <c r="BR1878">
        <v>0</v>
      </c>
      <c r="BS1878">
        <v>3</v>
      </c>
      <c r="BT1878">
        <v>0</v>
      </c>
      <c r="BV1878">
        <v>0</v>
      </c>
      <c r="BW1878">
        <v>22</v>
      </c>
      <c r="BX1878" t="str">
        <f>IF(C1878=C1877,IF((CI1878-1)=CI1877,BW1877,"no data"))</f>
        <v>no data</v>
      </c>
      <c r="BY1878" s="5"/>
      <c r="BZ1878" s="6"/>
      <c r="CA1878" s="7">
        <v>44528</v>
      </c>
      <c r="CE1878">
        <v>11</v>
      </c>
      <c r="CF1878">
        <v>6</v>
      </c>
      <c r="CG1878">
        <v>5</v>
      </c>
      <c r="CI1878">
        <f t="shared" si="206"/>
        <v>2021</v>
      </c>
      <c r="CJ1878" t="str">
        <f t="shared" si="207"/>
        <v>7021_2021</v>
      </c>
    </row>
    <row r="1879" spans="1:88" x14ac:dyDescent="0.25">
      <c r="A1879" t="s">
        <v>111</v>
      </c>
      <c r="B1879" t="s">
        <v>157</v>
      </c>
      <c r="C1879">
        <v>7021</v>
      </c>
      <c r="D1879">
        <v>-37.912908999999999</v>
      </c>
      <c r="E1879">
        <v>144.68338</v>
      </c>
      <c r="F1879">
        <v>4</v>
      </c>
      <c r="G1879" t="s">
        <v>698</v>
      </c>
      <c r="H1879">
        <v>123</v>
      </c>
      <c r="I1879">
        <v>303</v>
      </c>
      <c r="J1879">
        <v>186</v>
      </c>
      <c r="K1879">
        <v>6</v>
      </c>
      <c r="L1879">
        <v>307</v>
      </c>
      <c r="M1879">
        <v>127</v>
      </c>
      <c r="N1879">
        <v>351</v>
      </c>
      <c r="O1879">
        <v>171</v>
      </c>
      <c r="T1879">
        <v>0</v>
      </c>
      <c r="U1879">
        <v>10</v>
      </c>
      <c r="V1879">
        <v>0</v>
      </c>
      <c r="Y1879">
        <v>1</v>
      </c>
      <c r="Z1879">
        <v>2</v>
      </c>
      <c r="AA1879">
        <v>0</v>
      </c>
      <c r="AD1879">
        <v>0</v>
      </c>
      <c r="AE1879">
        <v>3</v>
      </c>
      <c r="AF1879">
        <v>0</v>
      </c>
      <c r="AI1879">
        <v>0</v>
      </c>
      <c r="AJ1879">
        <v>0</v>
      </c>
      <c r="AK1879">
        <v>0</v>
      </c>
      <c r="AX1879">
        <v>10</v>
      </c>
      <c r="AY1879">
        <v>1</v>
      </c>
      <c r="AZ1879">
        <v>11</v>
      </c>
      <c r="BA1879">
        <v>3</v>
      </c>
      <c r="BB1879">
        <v>3</v>
      </c>
      <c r="BC1879">
        <v>6</v>
      </c>
      <c r="BD1879">
        <v>3</v>
      </c>
      <c r="BE1879">
        <v>12</v>
      </c>
      <c r="BF1879">
        <v>15</v>
      </c>
      <c r="BG1879">
        <v>0</v>
      </c>
      <c r="BH1879">
        <v>0</v>
      </c>
      <c r="BI1879">
        <v>0</v>
      </c>
      <c r="BP1879">
        <v>13</v>
      </c>
      <c r="BR1879">
        <v>3</v>
      </c>
      <c r="BS1879">
        <v>0</v>
      </c>
      <c r="BT1879">
        <v>0</v>
      </c>
      <c r="BU1879">
        <v>0</v>
      </c>
      <c r="BV1879">
        <v>0</v>
      </c>
      <c r="BW1879">
        <v>16</v>
      </c>
      <c r="BX1879">
        <f>IF(C1879=C1878,IF((CI1879-1)=CI1878,BW1878,"no data"))</f>
        <v>22</v>
      </c>
      <c r="BY1879" s="5">
        <f t="shared" si="208"/>
        <v>-0.27272727272727271</v>
      </c>
      <c r="BZ1879" s="6">
        <f t="shared" si="209"/>
        <v>-0.27272727272727271</v>
      </c>
      <c r="CA1879" s="7">
        <v>44878</v>
      </c>
      <c r="CE1879">
        <v>10</v>
      </c>
      <c r="CF1879">
        <v>3</v>
      </c>
      <c r="CG1879">
        <v>3</v>
      </c>
      <c r="CI1879">
        <f t="shared" si="206"/>
        <v>2022</v>
      </c>
      <c r="CJ1879" t="str">
        <f t="shared" si="207"/>
        <v>7021_2022</v>
      </c>
    </row>
    <row r="1880" spans="1:88" x14ac:dyDescent="0.25">
      <c r="A1880" t="s">
        <v>111</v>
      </c>
      <c r="B1880" t="s">
        <v>157</v>
      </c>
      <c r="C1880">
        <v>7022</v>
      </c>
      <c r="D1880">
        <v>-37.899588000000001</v>
      </c>
      <c r="E1880">
        <v>144.70159000000001</v>
      </c>
      <c r="F1880">
        <v>4</v>
      </c>
      <c r="G1880" t="s">
        <v>699</v>
      </c>
      <c r="H1880">
        <v>112</v>
      </c>
      <c r="I1880">
        <v>292</v>
      </c>
      <c r="J1880">
        <v>176</v>
      </c>
      <c r="K1880">
        <v>356</v>
      </c>
      <c r="L1880">
        <v>270</v>
      </c>
      <c r="M1880">
        <v>90</v>
      </c>
      <c r="N1880">
        <v>355</v>
      </c>
      <c r="O1880">
        <v>175</v>
      </c>
      <c r="T1880">
        <v>0</v>
      </c>
      <c r="U1880">
        <v>0</v>
      </c>
      <c r="V1880">
        <v>1</v>
      </c>
      <c r="Y1880">
        <v>1</v>
      </c>
      <c r="Z1880">
        <v>0</v>
      </c>
      <c r="AA1880">
        <v>1</v>
      </c>
      <c r="AD1880">
        <v>1</v>
      </c>
      <c r="AE1880">
        <v>0</v>
      </c>
      <c r="AF1880">
        <v>0</v>
      </c>
      <c r="AI1880">
        <v>4</v>
      </c>
      <c r="AJ1880">
        <v>3</v>
      </c>
      <c r="AK1880">
        <v>1</v>
      </c>
      <c r="AX1880">
        <v>1</v>
      </c>
      <c r="AY1880">
        <v>6</v>
      </c>
      <c r="AZ1880">
        <v>7</v>
      </c>
      <c r="BA1880">
        <v>2</v>
      </c>
      <c r="BB1880">
        <v>3</v>
      </c>
      <c r="BC1880">
        <v>5</v>
      </c>
      <c r="BD1880">
        <v>1</v>
      </c>
      <c r="BE1880">
        <v>1</v>
      </c>
      <c r="BF1880">
        <v>2</v>
      </c>
      <c r="BG1880">
        <v>8</v>
      </c>
      <c r="BH1880">
        <v>2</v>
      </c>
      <c r="BI1880">
        <v>10</v>
      </c>
      <c r="BP1880">
        <v>10</v>
      </c>
      <c r="BR1880">
        <v>2</v>
      </c>
      <c r="BS1880">
        <v>0</v>
      </c>
      <c r="BT1880">
        <v>0</v>
      </c>
      <c r="BV1880">
        <v>0</v>
      </c>
      <c r="BW1880">
        <v>12</v>
      </c>
      <c r="BX1880" t="s">
        <v>82</v>
      </c>
      <c r="BY1880" s="5"/>
      <c r="BZ1880" s="6"/>
      <c r="CA1880" s="7">
        <v>42687</v>
      </c>
      <c r="CE1880">
        <v>8</v>
      </c>
      <c r="CF1880">
        <v>4</v>
      </c>
      <c r="CG1880">
        <v>0</v>
      </c>
      <c r="CH1880">
        <v>0</v>
      </c>
      <c r="CI1880">
        <f t="shared" si="206"/>
        <v>2016</v>
      </c>
      <c r="CJ1880" t="str">
        <f t="shared" si="207"/>
        <v>7022_2016</v>
      </c>
    </row>
    <row r="1881" spans="1:88" x14ac:dyDescent="0.25">
      <c r="A1881" t="s">
        <v>111</v>
      </c>
      <c r="B1881" t="s">
        <v>157</v>
      </c>
      <c r="C1881">
        <v>7023</v>
      </c>
      <c r="D1881">
        <v>-37.875357000000001</v>
      </c>
      <c r="E1881">
        <v>144.74912</v>
      </c>
      <c r="F1881">
        <v>4</v>
      </c>
      <c r="G1881" t="s">
        <v>700</v>
      </c>
      <c r="H1881">
        <v>6</v>
      </c>
      <c r="I1881">
        <v>186</v>
      </c>
      <c r="J1881">
        <v>125</v>
      </c>
      <c r="K1881">
        <v>305</v>
      </c>
      <c r="L1881">
        <v>187</v>
      </c>
      <c r="M1881">
        <v>7</v>
      </c>
      <c r="N1881">
        <v>273</v>
      </c>
      <c r="O1881">
        <v>93</v>
      </c>
      <c r="T1881">
        <v>10</v>
      </c>
      <c r="U1881">
        <v>8</v>
      </c>
      <c r="V1881">
        <v>0</v>
      </c>
      <c r="Y1881">
        <v>11</v>
      </c>
      <c r="Z1881">
        <v>7</v>
      </c>
      <c r="AA1881">
        <v>4</v>
      </c>
      <c r="AD1881">
        <v>7</v>
      </c>
      <c r="AE1881">
        <v>9</v>
      </c>
      <c r="AF1881">
        <v>1</v>
      </c>
      <c r="AI1881">
        <v>1</v>
      </c>
      <c r="AJ1881">
        <v>5</v>
      </c>
      <c r="AK1881">
        <v>0</v>
      </c>
      <c r="AX1881">
        <v>18</v>
      </c>
      <c r="AY1881">
        <v>19</v>
      </c>
      <c r="AZ1881">
        <v>37</v>
      </c>
      <c r="BA1881">
        <v>22</v>
      </c>
      <c r="BB1881">
        <v>24</v>
      </c>
      <c r="BC1881">
        <v>46</v>
      </c>
      <c r="BD1881">
        <v>17</v>
      </c>
      <c r="BE1881">
        <v>15</v>
      </c>
      <c r="BF1881">
        <v>32</v>
      </c>
      <c r="BG1881">
        <v>6</v>
      </c>
      <c r="BH1881">
        <v>5</v>
      </c>
      <c r="BI1881">
        <v>11</v>
      </c>
      <c r="BP1881">
        <v>18</v>
      </c>
      <c r="BR1881">
        <v>25</v>
      </c>
      <c r="BS1881">
        <v>6</v>
      </c>
      <c r="BT1881">
        <v>11</v>
      </c>
      <c r="BV1881">
        <v>3</v>
      </c>
      <c r="BW1881">
        <v>63</v>
      </c>
      <c r="BX1881" t="s">
        <v>82</v>
      </c>
      <c r="BY1881" s="5"/>
      <c r="BZ1881" s="6"/>
      <c r="CA1881" s="7">
        <v>42687</v>
      </c>
      <c r="CE1881">
        <v>27</v>
      </c>
      <c r="CF1881">
        <v>18</v>
      </c>
      <c r="CG1881">
        <v>4</v>
      </c>
      <c r="CH1881">
        <v>14</v>
      </c>
      <c r="CI1881">
        <f t="shared" si="206"/>
        <v>2016</v>
      </c>
      <c r="CJ1881" t="str">
        <f t="shared" si="207"/>
        <v>7023_2016</v>
      </c>
    </row>
    <row r="1882" spans="1:88" x14ac:dyDescent="0.25">
      <c r="A1882" t="s">
        <v>111</v>
      </c>
      <c r="B1882" t="s">
        <v>157</v>
      </c>
      <c r="C1882">
        <v>7023</v>
      </c>
      <c r="D1882">
        <v>-37.875357000000001</v>
      </c>
      <c r="E1882">
        <v>144.74912</v>
      </c>
      <c r="F1882">
        <v>4</v>
      </c>
      <c r="G1882" t="s">
        <v>700</v>
      </c>
      <c r="H1882">
        <v>6</v>
      </c>
      <c r="I1882">
        <v>186</v>
      </c>
      <c r="J1882">
        <v>125</v>
      </c>
      <c r="K1882">
        <v>305</v>
      </c>
      <c r="L1882">
        <v>187</v>
      </c>
      <c r="M1882">
        <v>7</v>
      </c>
      <c r="N1882">
        <v>273</v>
      </c>
      <c r="O1882">
        <v>93</v>
      </c>
      <c r="T1882">
        <v>16</v>
      </c>
      <c r="U1882">
        <v>15</v>
      </c>
      <c r="V1882">
        <v>9</v>
      </c>
      <c r="Y1882">
        <v>12</v>
      </c>
      <c r="Z1882">
        <v>12</v>
      </c>
      <c r="AA1882">
        <v>63</v>
      </c>
      <c r="AD1882">
        <v>23</v>
      </c>
      <c r="AE1882">
        <v>13</v>
      </c>
      <c r="AF1882">
        <v>3</v>
      </c>
      <c r="AI1882">
        <v>8</v>
      </c>
      <c r="AJ1882">
        <v>52</v>
      </c>
      <c r="AK1882">
        <v>4</v>
      </c>
      <c r="AX1882">
        <v>40</v>
      </c>
      <c r="AY1882">
        <v>43</v>
      </c>
      <c r="AZ1882">
        <v>83</v>
      </c>
      <c r="BA1882">
        <v>87</v>
      </c>
      <c r="BB1882">
        <v>81</v>
      </c>
      <c r="BC1882">
        <v>168</v>
      </c>
      <c r="BD1882">
        <v>39</v>
      </c>
      <c r="BE1882">
        <v>31</v>
      </c>
      <c r="BF1882">
        <v>70</v>
      </c>
      <c r="BG1882">
        <v>64</v>
      </c>
      <c r="BH1882">
        <v>75</v>
      </c>
      <c r="BI1882">
        <v>139</v>
      </c>
      <c r="BP1882">
        <v>113</v>
      </c>
      <c r="BR1882">
        <v>68</v>
      </c>
      <c r="BS1882">
        <v>21</v>
      </c>
      <c r="BT1882">
        <v>28</v>
      </c>
      <c r="BV1882">
        <v>0</v>
      </c>
      <c r="BW1882">
        <v>230</v>
      </c>
      <c r="BX1882">
        <f>IF(C1882=C1881,IF((CI1882-1)=CI1881,BW1881,"no data"))</f>
        <v>63</v>
      </c>
      <c r="BY1882" s="5">
        <f t="shared" si="208"/>
        <v>2.6507936507936507</v>
      </c>
      <c r="BZ1882" s="6">
        <f t="shared" si="209"/>
        <v>2.6507936507936507</v>
      </c>
      <c r="CA1882" s="7">
        <v>43051</v>
      </c>
      <c r="CE1882">
        <v>62</v>
      </c>
      <c r="CF1882">
        <v>70</v>
      </c>
      <c r="CG1882">
        <v>54</v>
      </c>
      <c r="CH1882">
        <v>44</v>
      </c>
      <c r="CI1882">
        <f t="shared" si="206"/>
        <v>2017</v>
      </c>
      <c r="CJ1882" t="str">
        <f t="shared" si="207"/>
        <v>7023_2017</v>
      </c>
    </row>
    <row r="1883" spans="1:88" x14ac:dyDescent="0.25">
      <c r="A1883" t="s">
        <v>111</v>
      </c>
      <c r="B1883" t="s">
        <v>157</v>
      </c>
      <c r="C1883">
        <v>7023</v>
      </c>
      <c r="D1883">
        <v>-37.875357000000001</v>
      </c>
      <c r="E1883">
        <v>144.74912</v>
      </c>
      <c r="F1883">
        <v>4</v>
      </c>
      <c r="G1883" t="s">
        <v>700</v>
      </c>
      <c r="H1883">
        <v>6</v>
      </c>
      <c r="I1883">
        <v>186</v>
      </c>
      <c r="J1883">
        <v>125</v>
      </c>
      <c r="K1883">
        <v>305</v>
      </c>
      <c r="L1883">
        <v>187</v>
      </c>
      <c r="M1883">
        <v>7</v>
      </c>
      <c r="N1883">
        <v>273</v>
      </c>
      <c r="O1883">
        <v>93</v>
      </c>
      <c r="T1883">
        <v>3</v>
      </c>
      <c r="U1883">
        <v>17</v>
      </c>
      <c r="V1883">
        <v>1</v>
      </c>
      <c r="Y1883">
        <v>8</v>
      </c>
      <c r="Z1883">
        <v>14</v>
      </c>
      <c r="AA1883">
        <v>24</v>
      </c>
      <c r="AD1883">
        <v>16</v>
      </c>
      <c r="AE1883">
        <v>9</v>
      </c>
      <c r="AF1883">
        <v>25</v>
      </c>
      <c r="AI1883">
        <v>4</v>
      </c>
      <c r="AJ1883">
        <v>22</v>
      </c>
      <c r="AK1883">
        <v>13</v>
      </c>
      <c r="AX1883">
        <v>21</v>
      </c>
      <c r="AY1883">
        <v>28</v>
      </c>
      <c r="AZ1883">
        <v>49</v>
      </c>
      <c r="BA1883">
        <v>46</v>
      </c>
      <c r="BB1883">
        <v>34</v>
      </c>
      <c r="BC1883">
        <v>80</v>
      </c>
      <c r="BD1883">
        <v>50</v>
      </c>
      <c r="BE1883">
        <v>44</v>
      </c>
      <c r="BF1883">
        <v>94</v>
      </c>
      <c r="BG1883">
        <v>39</v>
      </c>
      <c r="BH1883">
        <v>50</v>
      </c>
      <c r="BI1883">
        <v>89</v>
      </c>
      <c r="BP1883">
        <v>83</v>
      </c>
      <c r="BR1883">
        <v>57</v>
      </c>
      <c r="BS1883">
        <v>7</v>
      </c>
      <c r="BT1883">
        <v>8</v>
      </c>
      <c r="BV1883">
        <v>1</v>
      </c>
      <c r="BW1883">
        <v>156</v>
      </c>
      <c r="BX1883">
        <f>IF(C1883=C1882,IF((CI1883-1)=CI1882,BW1882,"no data"))</f>
        <v>230</v>
      </c>
      <c r="BY1883" s="5">
        <f t="shared" si="208"/>
        <v>-0.32173913043478258</v>
      </c>
      <c r="BZ1883" s="6">
        <f t="shared" si="209"/>
        <v>-0.32173913043478258</v>
      </c>
      <c r="CA1883" s="7">
        <v>43415</v>
      </c>
      <c r="CE1883">
        <v>46</v>
      </c>
      <c r="CF1883">
        <v>45</v>
      </c>
      <c r="CG1883">
        <v>27</v>
      </c>
      <c r="CH1883">
        <v>38</v>
      </c>
      <c r="CI1883">
        <f t="shared" si="206"/>
        <v>2018</v>
      </c>
      <c r="CJ1883" t="str">
        <f t="shared" si="207"/>
        <v>7023_2018</v>
      </c>
    </row>
    <row r="1884" spans="1:88" x14ac:dyDescent="0.25">
      <c r="A1884" t="s">
        <v>79</v>
      </c>
      <c r="B1884" t="s">
        <v>98</v>
      </c>
      <c r="C1884">
        <v>7024</v>
      </c>
      <c r="D1884">
        <v>-33.799042999999998</v>
      </c>
      <c r="E1884">
        <v>151.28361000000001</v>
      </c>
      <c r="F1884">
        <v>5</v>
      </c>
      <c r="G1884" t="s">
        <v>701</v>
      </c>
      <c r="H1884">
        <v>12</v>
      </c>
      <c r="I1884">
        <v>192</v>
      </c>
      <c r="J1884">
        <v>52</v>
      </c>
      <c r="K1884">
        <v>232</v>
      </c>
      <c r="L1884">
        <v>133</v>
      </c>
      <c r="M1884">
        <v>313</v>
      </c>
      <c r="N1884">
        <v>205</v>
      </c>
      <c r="O1884">
        <v>25</v>
      </c>
      <c r="P1884">
        <v>297</v>
      </c>
      <c r="Q1884">
        <v>117</v>
      </c>
      <c r="T1884">
        <v>0</v>
      </c>
      <c r="U1884">
        <v>10</v>
      </c>
      <c r="V1884">
        <v>130</v>
      </c>
      <c r="W1884">
        <v>25</v>
      </c>
      <c r="Y1884">
        <v>2</v>
      </c>
      <c r="Z1884">
        <v>32</v>
      </c>
      <c r="AA1884">
        <v>1272</v>
      </c>
      <c r="AB1884">
        <v>116</v>
      </c>
      <c r="AD1884">
        <v>8</v>
      </c>
      <c r="AE1884">
        <v>33</v>
      </c>
      <c r="AF1884">
        <v>27</v>
      </c>
      <c r="AG1884">
        <v>94</v>
      </c>
      <c r="AI1884">
        <v>87</v>
      </c>
      <c r="AJ1884">
        <v>1449</v>
      </c>
      <c r="AK1884">
        <v>10</v>
      </c>
      <c r="AL1884">
        <v>277</v>
      </c>
      <c r="AN1884">
        <v>45</v>
      </c>
      <c r="AO1884">
        <v>210</v>
      </c>
      <c r="AP1884">
        <v>36</v>
      </c>
      <c r="AQ1884">
        <v>446</v>
      </c>
      <c r="AX1884">
        <v>165</v>
      </c>
      <c r="AY1884">
        <v>142</v>
      </c>
      <c r="AZ1884">
        <v>307</v>
      </c>
      <c r="BA1884">
        <v>1422</v>
      </c>
      <c r="BB1884">
        <v>1692</v>
      </c>
      <c r="BC1884">
        <v>3114</v>
      </c>
      <c r="BD1884">
        <v>162</v>
      </c>
      <c r="BE1884">
        <v>88</v>
      </c>
      <c r="BF1884">
        <v>250</v>
      </c>
      <c r="BG1884">
        <v>1823</v>
      </c>
      <c r="BH1884">
        <v>1875</v>
      </c>
      <c r="BI1884">
        <v>3698</v>
      </c>
      <c r="BJ1884">
        <v>737</v>
      </c>
      <c r="BK1884">
        <v>512</v>
      </c>
      <c r="BL1884">
        <v>1249</v>
      </c>
      <c r="BP1884">
        <v>1500</v>
      </c>
      <c r="BR1884">
        <v>2630</v>
      </c>
      <c r="BS1884">
        <v>20</v>
      </c>
      <c r="BT1884">
        <v>67</v>
      </c>
      <c r="BV1884">
        <v>92</v>
      </c>
      <c r="BW1884">
        <v>4309</v>
      </c>
      <c r="BX1884" t="s">
        <v>82</v>
      </c>
      <c r="BY1884" s="5"/>
      <c r="BZ1884" s="6"/>
      <c r="CA1884" s="7">
        <v>42687</v>
      </c>
      <c r="CE1884">
        <v>2044</v>
      </c>
      <c r="CF1884">
        <v>2265</v>
      </c>
      <c r="CG1884">
        <v>0</v>
      </c>
      <c r="CH1884">
        <v>0</v>
      </c>
      <c r="CI1884">
        <f t="shared" si="206"/>
        <v>2016</v>
      </c>
      <c r="CJ1884" t="str">
        <f t="shared" si="207"/>
        <v>7024_2016</v>
      </c>
    </row>
    <row r="1885" spans="1:88" x14ac:dyDescent="0.25">
      <c r="A1885" t="s">
        <v>140</v>
      </c>
      <c r="B1885" t="s">
        <v>143</v>
      </c>
      <c r="C1885">
        <v>7026</v>
      </c>
      <c r="D1885">
        <v>-32.098717000000001</v>
      </c>
      <c r="E1885">
        <v>115.766178</v>
      </c>
      <c r="F1885">
        <v>4</v>
      </c>
      <c r="G1885" t="s">
        <v>702</v>
      </c>
      <c r="H1885">
        <v>80</v>
      </c>
      <c r="I1885">
        <v>260</v>
      </c>
      <c r="J1885">
        <v>128</v>
      </c>
      <c r="K1885">
        <v>308</v>
      </c>
      <c r="L1885">
        <v>156</v>
      </c>
      <c r="M1885">
        <v>336</v>
      </c>
      <c r="N1885">
        <v>180</v>
      </c>
      <c r="O1885">
        <v>360</v>
      </c>
      <c r="P1885">
        <v>324</v>
      </c>
      <c r="Q1885">
        <v>144</v>
      </c>
      <c r="T1885">
        <v>0</v>
      </c>
      <c r="U1885">
        <v>3</v>
      </c>
      <c r="V1885">
        <v>2</v>
      </c>
      <c r="W1885">
        <v>5</v>
      </c>
      <c r="Y1885">
        <v>0</v>
      </c>
      <c r="Z1885">
        <v>0</v>
      </c>
      <c r="AA1885">
        <v>2</v>
      </c>
      <c r="AB1885">
        <v>0</v>
      </c>
      <c r="AD1885">
        <v>0</v>
      </c>
      <c r="AE1885">
        <v>0</v>
      </c>
      <c r="AF1885">
        <v>3</v>
      </c>
      <c r="AG1885">
        <v>8</v>
      </c>
      <c r="AI1885">
        <v>0</v>
      </c>
      <c r="AJ1885">
        <v>5</v>
      </c>
      <c r="AK1885">
        <v>1</v>
      </c>
      <c r="AL1885">
        <v>2</v>
      </c>
      <c r="AN1885">
        <v>5</v>
      </c>
      <c r="AO1885">
        <v>0</v>
      </c>
      <c r="AP1885">
        <v>1</v>
      </c>
      <c r="AQ1885">
        <v>7</v>
      </c>
      <c r="AX1885">
        <v>10</v>
      </c>
      <c r="AY1885">
        <v>5</v>
      </c>
      <c r="AZ1885">
        <v>15</v>
      </c>
      <c r="BA1885">
        <v>2</v>
      </c>
      <c r="BB1885">
        <v>5</v>
      </c>
      <c r="BC1885">
        <v>7</v>
      </c>
      <c r="BD1885">
        <v>11</v>
      </c>
      <c r="BE1885">
        <v>5</v>
      </c>
      <c r="BF1885">
        <v>16</v>
      </c>
      <c r="BG1885">
        <v>8</v>
      </c>
      <c r="BH1885">
        <v>14</v>
      </c>
      <c r="BI1885">
        <v>22</v>
      </c>
      <c r="BJ1885">
        <v>13</v>
      </c>
      <c r="BK1885">
        <v>15</v>
      </c>
      <c r="BL1885">
        <v>28</v>
      </c>
      <c r="BP1885">
        <v>36</v>
      </c>
      <c r="BR1885">
        <v>7</v>
      </c>
      <c r="BS1885">
        <v>1</v>
      </c>
      <c r="BT1885">
        <v>0</v>
      </c>
      <c r="BV1885">
        <v>0</v>
      </c>
      <c r="BW1885">
        <v>44</v>
      </c>
      <c r="BX1885" t="s">
        <v>82</v>
      </c>
      <c r="BY1885" s="5"/>
      <c r="BZ1885" s="6"/>
      <c r="CA1885" s="7">
        <v>42687</v>
      </c>
      <c r="CE1885">
        <v>18</v>
      </c>
      <c r="CF1885">
        <v>13</v>
      </c>
      <c r="CG1885">
        <v>11</v>
      </c>
      <c r="CH1885">
        <v>2</v>
      </c>
      <c r="CI1885">
        <f t="shared" si="206"/>
        <v>2016</v>
      </c>
      <c r="CJ1885" t="str">
        <f t="shared" si="207"/>
        <v>7026_2016</v>
      </c>
    </row>
    <row r="1886" spans="1:88" x14ac:dyDescent="0.25">
      <c r="A1886" t="s">
        <v>140</v>
      </c>
      <c r="B1886" t="s">
        <v>143</v>
      </c>
      <c r="C1886">
        <v>7026</v>
      </c>
      <c r="D1886">
        <v>-32.098500000000001</v>
      </c>
      <c r="E1886">
        <v>115.7663</v>
      </c>
      <c r="F1886">
        <v>5</v>
      </c>
      <c r="G1886" t="s">
        <v>702</v>
      </c>
      <c r="H1886">
        <v>80</v>
      </c>
      <c r="I1886">
        <v>260</v>
      </c>
      <c r="J1886">
        <v>128</v>
      </c>
      <c r="K1886">
        <v>308</v>
      </c>
      <c r="L1886">
        <v>156</v>
      </c>
      <c r="M1886">
        <v>336</v>
      </c>
      <c r="N1886">
        <v>180</v>
      </c>
      <c r="O1886">
        <v>360</v>
      </c>
      <c r="P1886">
        <v>324</v>
      </c>
      <c r="Q1886">
        <v>144</v>
      </c>
      <c r="T1886">
        <v>4</v>
      </c>
      <c r="U1886">
        <v>1</v>
      </c>
      <c r="V1886">
        <v>3</v>
      </c>
      <c r="W1886">
        <v>4</v>
      </c>
      <c r="Y1886">
        <v>5</v>
      </c>
      <c r="Z1886">
        <v>2</v>
      </c>
      <c r="AA1886">
        <v>1</v>
      </c>
      <c r="AB1886">
        <v>0</v>
      </c>
      <c r="AD1886">
        <v>2</v>
      </c>
      <c r="AE1886">
        <v>5</v>
      </c>
      <c r="AF1886">
        <v>9</v>
      </c>
      <c r="AG1886">
        <v>26</v>
      </c>
      <c r="AI1886">
        <v>2</v>
      </c>
      <c r="AJ1886">
        <v>4</v>
      </c>
      <c r="AK1886">
        <v>3</v>
      </c>
      <c r="AL1886">
        <v>2</v>
      </c>
      <c r="AN1886">
        <v>2</v>
      </c>
      <c r="AO1886">
        <v>17</v>
      </c>
      <c r="AP1886">
        <v>12</v>
      </c>
      <c r="AQ1886">
        <v>0</v>
      </c>
      <c r="AX1886">
        <v>12</v>
      </c>
      <c r="AY1886">
        <v>11</v>
      </c>
      <c r="AZ1886">
        <v>23</v>
      </c>
      <c r="BA1886">
        <v>8</v>
      </c>
      <c r="BB1886">
        <v>30</v>
      </c>
      <c r="BC1886">
        <v>38</v>
      </c>
      <c r="BD1886">
        <v>42</v>
      </c>
      <c r="BE1886">
        <v>18</v>
      </c>
      <c r="BF1886">
        <v>60</v>
      </c>
      <c r="BG1886">
        <v>11</v>
      </c>
      <c r="BH1886">
        <v>13</v>
      </c>
      <c r="BI1886">
        <v>24</v>
      </c>
      <c r="BJ1886">
        <v>31</v>
      </c>
      <c r="BK1886">
        <v>32</v>
      </c>
      <c r="BL1886">
        <v>63</v>
      </c>
      <c r="BP1886">
        <v>76</v>
      </c>
      <c r="BR1886">
        <v>15</v>
      </c>
      <c r="BS1886">
        <v>10</v>
      </c>
      <c r="BT1886">
        <v>3</v>
      </c>
      <c r="BV1886">
        <v>0</v>
      </c>
      <c r="BW1886">
        <v>104</v>
      </c>
      <c r="BX1886" t="str">
        <f>IF(C1886=C1885,IF((CI1886-1)=CI1885,BW1885,"no data"))</f>
        <v>no data</v>
      </c>
      <c r="BY1886" s="5"/>
      <c r="BZ1886" s="6"/>
      <c r="CA1886" s="7">
        <v>43779</v>
      </c>
      <c r="CC1886">
        <v>63</v>
      </c>
      <c r="CD1886">
        <v>17</v>
      </c>
      <c r="CE1886">
        <v>13</v>
      </c>
      <c r="CF1886">
        <v>11</v>
      </c>
      <c r="CI1886">
        <f t="shared" si="206"/>
        <v>2019</v>
      </c>
      <c r="CJ1886" t="str">
        <f t="shared" si="207"/>
        <v>7026_2019</v>
      </c>
    </row>
    <row r="1887" spans="1:88" x14ac:dyDescent="0.25">
      <c r="A1887" t="s">
        <v>140</v>
      </c>
      <c r="B1887" t="s">
        <v>143</v>
      </c>
      <c r="C1887">
        <v>7026</v>
      </c>
      <c r="D1887">
        <v>-32.098500000000001</v>
      </c>
      <c r="E1887">
        <v>115.7663</v>
      </c>
      <c r="F1887">
        <v>5</v>
      </c>
      <c r="G1887" t="s">
        <v>702</v>
      </c>
      <c r="H1887">
        <v>80</v>
      </c>
      <c r="I1887">
        <v>260</v>
      </c>
      <c r="J1887">
        <v>128</v>
      </c>
      <c r="K1887">
        <v>308</v>
      </c>
      <c r="L1887">
        <v>156</v>
      </c>
      <c r="M1887">
        <v>336</v>
      </c>
      <c r="N1887">
        <v>180</v>
      </c>
      <c r="O1887">
        <v>360</v>
      </c>
      <c r="P1887">
        <v>324</v>
      </c>
      <c r="Q1887">
        <v>144</v>
      </c>
      <c r="T1887">
        <v>5</v>
      </c>
      <c r="U1887">
        <v>1</v>
      </c>
      <c r="V1887">
        <v>9</v>
      </c>
      <c r="W1887">
        <v>5</v>
      </c>
      <c r="Y1887">
        <v>1</v>
      </c>
      <c r="Z1887">
        <v>3</v>
      </c>
      <c r="AA1887">
        <v>10</v>
      </c>
      <c r="AB1887">
        <v>0</v>
      </c>
      <c r="AD1887">
        <v>0</v>
      </c>
      <c r="AE1887">
        <v>3</v>
      </c>
      <c r="AF1887">
        <v>0</v>
      </c>
      <c r="AG1887">
        <v>29</v>
      </c>
      <c r="AI1887">
        <v>6</v>
      </c>
      <c r="AJ1887">
        <v>7</v>
      </c>
      <c r="AK1887">
        <v>0</v>
      </c>
      <c r="AL1887">
        <v>0</v>
      </c>
      <c r="AN1887">
        <v>5</v>
      </c>
      <c r="AO1887">
        <v>0</v>
      </c>
      <c r="AP1887">
        <v>16</v>
      </c>
      <c r="AQ1887">
        <v>0</v>
      </c>
      <c r="AX1887">
        <v>20</v>
      </c>
      <c r="AY1887">
        <v>12</v>
      </c>
      <c r="AZ1887">
        <v>32</v>
      </c>
      <c r="BA1887">
        <v>14</v>
      </c>
      <c r="BB1887">
        <v>15</v>
      </c>
      <c r="BC1887">
        <v>29</v>
      </c>
      <c r="BD1887">
        <v>32</v>
      </c>
      <c r="BE1887">
        <v>20</v>
      </c>
      <c r="BF1887">
        <v>52</v>
      </c>
      <c r="BG1887">
        <v>13</v>
      </c>
      <c r="BH1887">
        <v>19</v>
      </c>
      <c r="BI1887">
        <v>32</v>
      </c>
      <c r="BJ1887">
        <v>21</v>
      </c>
      <c r="BK1887">
        <v>34</v>
      </c>
      <c r="BL1887">
        <v>55</v>
      </c>
      <c r="BP1887">
        <v>76</v>
      </c>
      <c r="BR1887">
        <v>16</v>
      </c>
      <c r="BS1887">
        <v>3</v>
      </c>
      <c r="BT1887">
        <v>2</v>
      </c>
      <c r="BV1887">
        <v>3</v>
      </c>
      <c r="BW1887">
        <v>100</v>
      </c>
      <c r="BX1887">
        <f>IF(C1887=C1886,IF((CI1887-1)=CI1886,BW1886,"no data"))</f>
        <v>104</v>
      </c>
      <c r="BY1887" s="5">
        <f t="shared" si="208"/>
        <v>-3.8461538461538464E-2</v>
      </c>
      <c r="BZ1887" s="6">
        <f t="shared" si="209"/>
        <v>-3.8461538461538464E-2</v>
      </c>
      <c r="CA1887" s="7">
        <v>44143</v>
      </c>
      <c r="CC1887">
        <v>22</v>
      </c>
      <c r="CD1887">
        <v>31</v>
      </c>
      <c r="CE1887">
        <v>35</v>
      </c>
      <c r="CF1887">
        <v>12</v>
      </c>
      <c r="CI1887">
        <f t="shared" si="206"/>
        <v>2020</v>
      </c>
      <c r="CJ1887" t="str">
        <f t="shared" si="207"/>
        <v>7026_2020</v>
      </c>
    </row>
    <row r="1888" spans="1:88" x14ac:dyDescent="0.25">
      <c r="A1888" t="s">
        <v>140</v>
      </c>
      <c r="B1888" t="s">
        <v>143</v>
      </c>
      <c r="C1888">
        <v>7026</v>
      </c>
      <c r="D1888">
        <v>-32.098514999999999</v>
      </c>
      <c r="E1888">
        <v>115.76627000000001</v>
      </c>
      <c r="F1888">
        <v>5</v>
      </c>
      <c r="G1888" t="s">
        <v>702</v>
      </c>
      <c r="H1888">
        <v>80</v>
      </c>
      <c r="I1888">
        <v>260</v>
      </c>
      <c r="J1888">
        <v>128</v>
      </c>
      <c r="K1888">
        <v>308</v>
      </c>
      <c r="L1888">
        <v>156</v>
      </c>
      <c r="M1888">
        <v>336</v>
      </c>
      <c r="N1888">
        <v>180</v>
      </c>
      <c r="O1888">
        <v>360</v>
      </c>
      <c r="P1888">
        <v>324</v>
      </c>
      <c r="Q1888">
        <v>144</v>
      </c>
      <c r="T1888">
        <v>3</v>
      </c>
      <c r="U1888">
        <v>17</v>
      </c>
      <c r="V1888">
        <v>0</v>
      </c>
      <c r="W1888">
        <v>4</v>
      </c>
      <c r="Y1888">
        <v>0</v>
      </c>
      <c r="Z1888">
        <v>0</v>
      </c>
      <c r="AA1888">
        <v>3</v>
      </c>
      <c r="AB1888">
        <v>2</v>
      </c>
      <c r="AD1888">
        <v>2</v>
      </c>
      <c r="AE1888">
        <v>3</v>
      </c>
      <c r="AF1888">
        <v>5</v>
      </c>
      <c r="AG1888">
        <v>12</v>
      </c>
      <c r="AI1888">
        <v>0</v>
      </c>
      <c r="AJ1888">
        <v>10</v>
      </c>
      <c r="AK1888">
        <v>0</v>
      </c>
      <c r="AL1888">
        <v>1</v>
      </c>
      <c r="AN1888">
        <v>7</v>
      </c>
      <c r="AO1888">
        <v>1</v>
      </c>
      <c r="AP1888">
        <v>13</v>
      </c>
      <c r="AQ1888">
        <v>0</v>
      </c>
      <c r="AX1888">
        <v>24</v>
      </c>
      <c r="AY1888">
        <v>9</v>
      </c>
      <c r="AZ1888">
        <v>33</v>
      </c>
      <c r="BA1888">
        <v>5</v>
      </c>
      <c r="BB1888">
        <v>17</v>
      </c>
      <c r="BC1888">
        <v>22</v>
      </c>
      <c r="BD1888">
        <v>22</v>
      </c>
      <c r="BE1888">
        <v>30</v>
      </c>
      <c r="BF1888">
        <v>52</v>
      </c>
      <c r="BG1888">
        <v>11</v>
      </c>
      <c r="BH1888">
        <v>8</v>
      </c>
      <c r="BI1888">
        <v>19</v>
      </c>
      <c r="BJ1888">
        <v>21</v>
      </c>
      <c r="BK1888">
        <v>19</v>
      </c>
      <c r="BL1888">
        <v>40</v>
      </c>
      <c r="BP1888">
        <v>77</v>
      </c>
      <c r="BR1888">
        <v>6</v>
      </c>
      <c r="BS1888">
        <v>0</v>
      </c>
      <c r="BT1888">
        <v>0</v>
      </c>
      <c r="BV1888">
        <v>0</v>
      </c>
      <c r="BW1888">
        <v>83</v>
      </c>
      <c r="BX1888">
        <f>IF(C1888=C1887,IF((CI1888-1)=CI1887,BW1887,"no data"))</f>
        <v>100</v>
      </c>
      <c r="BY1888" s="5">
        <f t="shared" si="208"/>
        <v>-0.17</v>
      </c>
      <c r="BZ1888" s="6">
        <f t="shared" si="209"/>
        <v>-0.17</v>
      </c>
      <c r="CA1888" s="7">
        <v>44528</v>
      </c>
      <c r="CC1888">
        <v>36</v>
      </c>
      <c r="CD1888">
        <v>28</v>
      </c>
      <c r="CE1888">
        <v>19</v>
      </c>
      <c r="CI1888">
        <f t="shared" si="206"/>
        <v>2021</v>
      </c>
      <c r="CJ1888" t="str">
        <f t="shared" si="207"/>
        <v>7026_2021</v>
      </c>
    </row>
    <row r="1889" spans="1:88" x14ac:dyDescent="0.25">
      <c r="A1889" t="s">
        <v>140</v>
      </c>
      <c r="B1889" t="s">
        <v>143</v>
      </c>
      <c r="C1889">
        <v>7027</v>
      </c>
      <c r="D1889">
        <v>-32.095126999999998</v>
      </c>
      <c r="E1889">
        <v>115.769549</v>
      </c>
      <c r="F1889">
        <v>3</v>
      </c>
      <c r="G1889" t="s">
        <v>703</v>
      </c>
      <c r="H1889">
        <v>113</v>
      </c>
      <c r="I1889">
        <v>293</v>
      </c>
      <c r="J1889">
        <v>272</v>
      </c>
      <c r="K1889">
        <v>92</v>
      </c>
      <c r="L1889">
        <v>353</v>
      </c>
      <c r="M1889">
        <v>173</v>
      </c>
      <c r="T1889">
        <v>4</v>
      </c>
      <c r="U1889">
        <v>20</v>
      </c>
      <c r="Y1889">
        <v>18</v>
      </c>
      <c r="Z1889">
        <v>34</v>
      </c>
      <c r="AD1889">
        <v>6</v>
      </c>
      <c r="AE1889">
        <v>60</v>
      </c>
      <c r="AX1889">
        <v>24</v>
      </c>
      <c r="AY1889">
        <v>24</v>
      </c>
      <c r="AZ1889">
        <v>48</v>
      </c>
      <c r="BA1889">
        <v>52</v>
      </c>
      <c r="BB1889">
        <v>64</v>
      </c>
      <c r="BC1889">
        <v>116</v>
      </c>
      <c r="BD1889">
        <v>66</v>
      </c>
      <c r="BE1889">
        <v>54</v>
      </c>
      <c r="BF1889">
        <v>120</v>
      </c>
      <c r="BP1889">
        <v>6</v>
      </c>
      <c r="BR1889">
        <v>113</v>
      </c>
      <c r="BS1889">
        <v>11</v>
      </c>
      <c r="BT1889">
        <v>12</v>
      </c>
      <c r="BV1889">
        <v>0</v>
      </c>
      <c r="BW1889">
        <v>142</v>
      </c>
      <c r="BX1889" t="s">
        <v>82</v>
      </c>
      <c r="BY1889" s="5"/>
      <c r="BZ1889" s="6"/>
      <c r="CA1889" s="7">
        <v>42687</v>
      </c>
      <c r="CE1889">
        <v>62</v>
      </c>
      <c r="CF1889">
        <v>41</v>
      </c>
      <c r="CG1889">
        <v>22</v>
      </c>
      <c r="CH1889">
        <v>17</v>
      </c>
      <c r="CI1889">
        <f t="shared" si="206"/>
        <v>2016</v>
      </c>
      <c r="CJ1889" t="str">
        <f t="shared" si="207"/>
        <v>7027_2016</v>
      </c>
    </row>
    <row r="1890" spans="1:88" x14ac:dyDescent="0.25">
      <c r="A1890" t="s">
        <v>140</v>
      </c>
      <c r="B1890" t="s">
        <v>143</v>
      </c>
      <c r="C1890">
        <v>7027</v>
      </c>
      <c r="D1890">
        <v>-32.095100000000002</v>
      </c>
      <c r="E1890">
        <v>115.76949999999999</v>
      </c>
      <c r="F1890">
        <v>3</v>
      </c>
      <c r="G1890" t="s">
        <v>703</v>
      </c>
      <c r="H1890">
        <v>113</v>
      </c>
      <c r="I1890">
        <v>293</v>
      </c>
      <c r="J1890">
        <v>272</v>
      </c>
      <c r="K1890">
        <v>92</v>
      </c>
      <c r="L1890">
        <v>353</v>
      </c>
      <c r="M1890">
        <v>173</v>
      </c>
      <c r="T1890">
        <v>15</v>
      </c>
      <c r="U1890">
        <v>17</v>
      </c>
      <c r="Y1890">
        <v>12</v>
      </c>
      <c r="Z1890">
        <v>32</v>
      </c>
      <c r="AD1890">
        <v>22</v>
      </c>
      <c r="AE1890">
        <v>24</v>
      </c>
      <c r="AX1890">
        <v>32</v>
      </c>
      <c r="AY1890">
        <v>34</v>
      </c>
      <c r="AZ1890">
        <v>66</v>
      </c>
      <c r="BA1890">
        <v>44</v>
      </c>
      <c r="BB1890">
        <v>39</v>
      </c>
      <c r="BC1890">
        <v>83</v>
      </c>
      <c r="BD1890">
        <v>46</v>
      </c>
      <c r="BE1890">
        <v>49</v>
      </c>
      <c r="BF1890">
        <v>95</v>
      </c>
      <c r="BP1890">
        <v>20</v>
      </c>
      <c r="BR1890">
        <v>71</v>
      </c>
      <c r="BS1890">
        <v>16</v>
      </c>
      <c r="BT1890">
        <v>15</v>
      </c>
      <c r="BV1890">
        <v>0</v>
      </c>
      <c r="BW1890">
        <v>122</v>
      </c>
      <c r="BX1890" t="str">
        <f>IF(C1890=C1889,IF((CI1890-1)=CI1889,BW1889,"no data"))</f>
        <v>no data</v>
      </c>
      <c r="BY1890" s="5"/>
      <c r="BZ1890" s="6"/>
      <c r="CA1890" s="7">
        <v>43779</v>
      </c>
      <c r="CC1890">
        <v>33</v>
      </c>
      <c r="CD1890">
        <v>20</v>
      </c>
      <c r="CE1890">
        <v>27</v>
      </c>
      <c r="CF1890">
        <v>42</v>
      </c>
      <c r="CI1890">
        <f t="shared" si="206"/>
        <v>2019</v>
      </c>
      <c r="CJ1890" t="str">
        <f t="shared" si="207"/>
        <v>7027_2019</v>
      </c>
    </row>
    <row r="1891" spans="1:88" x14ac:dyDescent="0.25">
      <c r="A1891" t="s">
        <v>140</v>
      </c>
      <c r="B1891" t="s">
        <v>143</v>
      </c>
      <c r="C1891">
        <v>7027</v>
      </c>
      <c r="D1891">
        <v>-32.095100000000002</v>
      </c>
      <c r="E1891">
        <v>115.76949999999999</v>
      </c>
      <c r="F1891">
        <v>3</v>
      </c>
      <c r="G1891" t="s">
        <v>703</v>
      </c>
      <c r="H1891">
        <v>113</v>
      </c>
      <c r="I1891">
        <v>293</v>
      </c>
      <c r="J1891">
        <v>272</v>
      </c>
      <c r="K1891">
        <v>92</v>
      </c>
      <c r="L1891">
        <v>353</v>
      </c>
      <c r="M1891">
        <v>173</v>
      </c>
      <c r="T1891">
        <v>52</v>
      </c>
      <c r="U1891">
        <v>18</v>
      </c>
      <c r="Y1891">
        <v>52</v>
      </c>
      <c r="Z1891">
        <v>23</v>
      </c>
      <c r="AD1891">
        <v>26</v>
      </c>
      <c r="AE1891">
        <v>28</v>
      </c>
      <c r="AX1891">
        <v>70</v>
      </c>
      <c r="AY1891">
        <v>78</v>
      </c>
      <c r="AZ1891">
        <v>148</v>
      </c>
      <c r="BA1891">
        <v>75</v>
      </c>
      <c r="BB1891">
        <v>80</v>
      </c>
      <c r="BC1891">
        <v>155</v>
      </c>
      <c r="BD1891">
        <v>54</v>
      </c>
      <c r="BE1891">
        <v>41</v>
      </c>
      <c r="BF1891">
        <v>95</v>
      </c>
      <c r="BP1891">
        <v>23</v>
      </c>
      <c r="BR1891">
        <v>82</v>
      </c>
      <c r="BS1891">
        <v>87</v>
      </c>
      <c r="BT1891">
        <v>7</v>
      </c>
      <c r="BV1891">
        <v>0</v>
      </c>
      <c r="BW1891">
        <v>199</v>
      </c>
      <c r="BX1891">
        <f>IF(C1891=C1890,IF((CI1891-1)=CI1890,BW1890,"no data"))</f>
        <v>122</v>
      </c>
      <c r="BY1891" s="5">
        <f t="shared" si="208"/>
        <v>0.63114754098360659</v>
      </c>
      <c r="BZ1891" s="6">
        <f t="shared" si="209"/>
        <v>0.63114754098360659</v>
      </c>
      <c r="CA1891" s="7">
        <v>44143</v>
      </c>
      <c r="CC1891">
        <v>53</v>
      </c>
      <c r="CD1891">
        <v>48</v>
      </c>
      <c r="CE1891">
        <v>60</v>
      </c>
      <c r="CF1891">
        <v>38</v>
      </c>
      <c r="CI1891">
        <f t="shared" si="206"/>
        <v>2020</v>
      </c>
      <c r="CJ1891" t="str">
        <f t="shared" si="207"/>
        <v>7027_2020</v>
      </c>
    </row>
    <row r="1892" spans="1:88" x14ac:dyDescent="0.25">
      <c r="A1892" t="s">
        <v>140</v>
      </c>
      <c r="B1892" t="s">
        <v>143</v>
      </c>
      <c r="C1892">
        <v>7027</v>
      </c>
      <c r="D1892">
        <v>-32.095111000000003</v>
      </c>
      <c r="E1892">
        <v>115.76951</v>
      </c>
      <c r="F1892">
        <v>3</v>
      </c>
      <c r="G1892" t="s">
        <v>703</v>
      </c>
      <c r="H1892">
        <v>113</v>
      </c>
      <c r="I1892">
        <v>293</v>
      </c>
      <c r="J1892">
        <v>272</v>
      </c>
      <c r="K1892">
        <v>92</v>
      </c>
      <c r="L1892">
        <v>353</v>
      </c>
      <c r="M1892">
        <v>173</v>
      </c>
      <c r="T1892">
        <v>37</v>
      </c>
      <c r="U1892">
        <v>49</v>
      </c>
      <c r="Y1892">
        <v>1</v>
      </c>
      <c r="Z1892">
        <v>4</v>
      </c>
      <c r="AD1892">
        <v>24</v>
      </c>
      <c r="AE1892">
        <v>3</v>
      </c>
      <c r="AX1892">
        <v>86</v>
      </c>
      <c r="AY1892">
        <v>25</v>
      </c>
      <c r="AZ1892">
        <v>111</v>
      </c>
      <c r="BA1892">
        <v>5</v>
      </c>
      <c r="BB1892">
        <v>40</v>
      </c>
      <c r="BC1892">
        <v>45</v>
      </c>
      <c r="BD1892">
        <v>27</v>
      </c>
      <c r="BE1892">
        <v>53</v>
      </c>
      <c r="BF1892">
        <v>80</v>
      </c>
      <c r="BP1892">
        <v>8</v>
      </c>
      <c r="BR1892">
        <v>56</v>
      </c>
      <c r="BS1892">
        <v>9</v>
      </c>
      <c r="BT1892">
        <v>31</v>
      </c>
      <c r="BV1892">
        <v>14</v>
      </c>
      <c r="BW1892">
        <v>118</v>
      </c>
      <c r="BX1892">
        <f>IF(C1892=C1891,IF((CI1892-1)=CI1891,BW1891,"no data"))</f>
        <v>199</v>
      </c>
      <c r="BY1892" s="5">
        <f t="shared" si="208"/>
        <v>-0.40703517587939697</v>
      </c>
      <c r="BZ1892" s="6">
        <f t="shared" si="209"/>
        <v>-0.40703517587939697</v>
      </c>
      <c r="CA1892" s="7">
        <v>44528</v>
      </c>
      <c r="CC1892">
        <v>46</v>
      </c>
      <c r="CD1892">
        <v>47</v>
      </c>
      <c r="CE1892">
        <v>25</v>
      </c>
      <c r="CI1892">
        <f t="shared" si="206"/>
        <v>2021</v>
      </c>
      <c r="CJ1892" t="str">
        <f t="shared" si="207"/>
        <v>7027_2021</v>
      </c>
    </row>
    <row r="1893" spans="1:88" x14ac:dyDescent="0.25">
      <c r="A1893" t="s">
        <v>140</v>
      </c>
      <c r="B1893" t="s">
        <v>143</v>
      </c>
      <c r="C1893">
        <v>7028</v>
      </c>
      <c r="D1893">
        <v>-32.113461000000001</v>
      </c>
      <c r="E1893">
        <v>115.765011</v>
      </c>
      <c r="F1893">
        <v>2</v>
      </c>
      <c r="G1893" t="s">
        <v>704</v>
      </c>
      <c r="H1893">
        <v>183</v>
      </c>
      <c r="I1893">
        <v>3</v>
      </c>
      <c r="J1893">
        <v>352</v>
      </c>
      <c r="K1893">
        <v>172</v>
      </c>
      <c r="T1893">
        <v>212</v>
      </c>
      <c r="Y1893">
        <v>184</v>
      </c>
      <c r="AX1893">
        <v>212</v>
      </c>
      <c r="AY1893">
        <v>184</v>
      </c>
      <c r="AZ1893">
        <v>396</v>
      </c>
      <c r="BA1893">
        <v>184</v>
      </c>
      <c r="BB1893">
        <v>212</v>
      </c>
      <c r="BC1893">
        <v>396</v>
      </c>
      <c r="BP1893">
        <v>202</v>
      </c>
      <c r="BR1893">
        <v>144</v>
      </c>
      <c r="BS1893">
        <v>23</v>
      </c>
      <c r="BT1893">
        <v>17</v>
      </c>
      <c r="BV1893">
        <v>10</v>
      </c>
      <c r="BW1893">
        <v>396</v>
      </c>
      <c r="BX1893" t="s">
        <v>82</v>
      </c>
      <c r="BY1893" s="5"/>
      <c r="BZ1893" s="6"/>
      <c r="CA1893" s="7">
        <v>42687</v>
      </c>
      <c r="CE1893">
        <v>120</v>
      </c>
      <c r="CF1893">
        <v>104</v>
      </c>
      <c r="CG1893">
        <v>109</v>
      </c>
      <c r="CH1893">
        <v>63</v>
      </c>
      <c r="CI1893">
        <f t="shared" si="206"/>
        <v>2016</v>
      </c>
      <c r="CJ1893" t="str">
        <f t="shared" si="207"/>
        <v>7028_2016</v>
      </c>
    </row>
    <row r="1894" spans="1:88" x14ac:dyDescent="0.25">
      <c r="A1894" t="s">
        <v>140</v>
      </c>
      <c r="B1894" t="s">
        <v>143</v>
      </c>
      <c r="C1894">
        <v>7028</v>
      </c>
      <c r="D1894">
        <v>-32.113500000000002</v>
      </c>
      <c r="E1894">
        <v>115.765</v>
      </c>
      <c r="F1894">
        <v>2</v>
      </c>
      <c r="G1894" t="s">
        <v>704</v>
      </c>
      <c r="H1894">
        <v>183</v>
      </c>
      <c r="I1894">
        <v>3</v>
      </c>
      <c r="J1894">
        <v>352</v>
      </c>
      <c r="K1894">
        <v>172</v>
      </c>
      <c r="T1894">
        <v>214</v>
      </c>
      <c r="Y1894">
        <v>211</v>
      </c>
      <c r="AX1894">
        <v>214</v>
      </c>
      <c r="AY1894">
        <v>211</v>
      </c>
      <c r="AZ1894">
        <v>425</v>
      </c>
      <c r="BA1894">
        <v>211</v>
      </c>
      <c r="BB1894">
        <v>214</v>
      </c>
      <c r="BC1894">
        <v>425</v>
      </c>
      <c r="BP1894">
        <v>148</v>
      </c>
      <c r="BR1894">
        <v>179</v>
      </c>
      <c r="BS1894">
        <v>80</v>
      </c>
      <c r="BT1894">
        <v>12</v>
      </c>
      <c r="BV1894">
        <v>6</v>
      </c>
      <c r="BW1894">
        <v>425</v>
      </c>
      <c r="BX1894" t="str">
        <f>IF(C1894=C1893,IF((CI1894-1)=CI1893,BW1893,"no data"))</f>
        <v>no data</v>
      </c>
      <c r="BY1894" s="5"/>
      <c r="BZ1894" s="6"/>
      <c r="CA1894" s="7">
        <v>43779</v>
      </c>
      <c r="CC1894">
        <v>99</v>
      </c>
      <c r="CD1894">
        <v>130</v>
      </c>
      <c r="CE1894">
        <v>107</v>
      </c>
      <c r="CF1894">
        <v>89</v>
      </c>
      <c r="CI1894">
        <f t="shared" si="206"/>
        <v>2019</v>
      </c>
      <c r="CJ1894" t="str">
        <f t="shared" si="207"/>
        <v>7028_2019</v>
      </c>
    </row>
    <row r="1895" spans="1:88" x14ac:dyDescent="0.25">
      <c r="A1895" t="s">
        <v>140</v>
      </c>
      <c r="B1895" t="s">
        <v>143</v>
      </c>
      <c r="C1895">
        <v>7029</v>
      </c>
      <c r="D1895">
        <v>-32.085610000000003</v>
      </c>
      <c r="E1895">
        <v>115.822856</v>
      </c>
      <c r="F1895">
        <v>4</v>
      </c>
      <c r="G1895" t="s">
        <v>705</v>
      </c>
      <c r="H1895">
        <v>4</v>
      </c>
      <c r="I1895">
        <v>184</v>
      </c>
      <c r="J1895">
        <v>100</v>
      </c>
      <c r="K1895">
        <v>280</v>
      </c>
      <c r="L1895">
        <v>208</v>
      </c>
      <c r="M1895">
        <v>28</v>
      </c>
      <c r="N1895">
        <v>230</v>
      </c>
      <c r="O1895">
        <v>50</v>
      </c>
      <c r="T1895">
        <v>43</v>
      </c>
      <c r="U1895">
        <v>216</v>
      </c>
      <c r="V1895">
        <v>53</v>
      </c>
      <c r="Y1895">
        <v>39</v>
      </c>
      <c r="Z1895">
        <v>739</v>
      </c>
      <c r="AA1895">
        <v>306</v>
      </c>
      <c r="AD1895">
        <v>68</v>
      </c>
      <c r="AE1895">
        <v>1075</v>
      </c>
      <c r="AF1895">
        <v>17</v>
      </c>
      <c r="AI1895">
        <v>34</v>
      </c>
      <c r="AJ1895">
        <v>170</v>
      </c>
      <c r="AK1895">
        <v>32</v>
      </c>
      <c r="AX1895">
        <v>312</v>
      </c>
      <c r="AY1895">
        <v>141</v>
      </c>
      <c r="AZ1895">
        <v>453</v>
      </c>
      <c r="BA1895">
        <v>1084</v>
      </c>
      <c r="BB1895">
        <v>1288</v>
      </c>
      <c r="BC1895">
        <v>2372</v>
      </c>
      <c r="BD1895">
        <v>1160</v>
      </c>
      <c r="BE1895">
        <v>987</v>
      </c>
      <c r="BF1895">
        <v>2147</v>
      </c>
      <c r="BG1895">
        <v>236</v>
      </c>
      <c r="BH1895">
        <v>376</v>
      </c>
      <c r="BI1895">
        <v>612</v>
      </c>
      <c r="BP1895">
        <v>92</v>
      </c>
      <c r="BR1895">
        <v>2607</v>
      </c>
      <c r="BS1895">
        <v>8</v>
      </c>
      <c r="BT1895">
        <v>30</v>
      </c>
      <c r="BV1895">
        <v>55</v>
      </c>
      <c r="BW1895">
        <v>2792</v>
      </c>
      <c r="BX1895" t="s">
        <v>82</v>
      </c>
      <c r="BY1895" s="5"/>
      <c r="BZ1895" s="6"/>
      <c r="CA1895" s="7">
        <v>42687</v>
      </c>
      <c r="CE1895">
        <v>595</v>
      </c>
      <c r="CF1895">
        <v>750</v>
      </c>
      <c r="CG1895">
        <v>875</v>
      </c>
      <c r="CH1895">
        <v>572</v>
      </c>
      <c r="CI1895">
        <f t="shared" si="206"/>
        <v>2016</v>
      </c>
      <c r="CJ1895" t="str">
        <f t="shared" si="207"/>
        <v>7029_2016</v>
      </c>
    </row>
    <row r="1896" spans="1:88" x14ac:dyDescent="0.25">
      <c r="A1896" t="s">
        <v>140</v>
      </c>
      <c r="B1896" t="s">
        <v>143</v>
      </c>
      <c r="C1896">
        <v>7029</v>
      </c>
      <c r="D1896">
        <v>-32.087800000000001</v>
      </c>
      <c r="E1896">
        <v>115.822</v>
      </c>
      <c r="F1896">
        <v>4</v>
      </c>
      <c r="G1896" t="s">
        <v>705</v>
      </c>
      <c r="H1896">
        <v>4</v>
      </c>
      <c r="I1896">
        <v>184</v>
      </c>
      <c r="J1896">
        <v>100</v>
      </c>
      <c r="K1896">
        <v>280</v>
      </c>
      <c r="L1896">
        <v>208</v>
      </c>
      <c r="M1896">
        <v>28</v>
      </c>
      <c r="N1896">
        <v>230</v>
      </c>
      <c r="O1896">
        <v>50</v>
      </c>
      <c r="T1896">
        <v>12</v>
      </c>
      <c r="U1896">
        <v>105</v>
      </c>
      <c r="V1896">
        <v>14</v>
      </c>
      <c r="Y1896">
        <v>5</v>
      </c>
      <c r="Z1896">
        <v>123</v>
      </c>
      <c r="AA1896">
        <v>10</v>
      </c>
      <c r="AD1896">
        <v>76</v>
      </c>
      <c r="AE1896">
        <v>213</v>
      </c>
      <c r="AF1896">
        <v>0</v>
      </c>
      <c r="AI1896">
        <v>11</v>
      </c>
      <c r="AJ1896">
        <v>35</v>
      </c>
      <c r="AK1896">
        <v>0</v>
      </c>
      <c r="AX1896">
        <v>131</v>
      </c>
      <c r="AY1896">
        <v>92</v>
      </c>
      <c r="AZ1896">
        <v>223</v>
      </c>
      <c r="BA1896">
        <v>138</v>
      </c>
      <c r="BB1896">
        <v>260</v>
      </c>
      <c r="BC1896">
        <v>398</v>
      </c>
      <c r="BD1896">
        <v>289</v>
      </c>
      <c r="BE1896">
        <v>228</v>
      </c>
      <c r="BF1896">
        <v>517</v>
      </c>
      <c r="BG1896">
        <v>46</v>
      </c>
      <c r="BH1896">
        <v>24</v>
      </c>
      <c r="BI1896">
        <v>70</v>
      </c>
      <c r="BP1896">
        <v>47</v>
      </c>
      <c r="BR1896">
        <v>489</v>
      </c>
      <c r="BS1896">
        <v>28</v>
      </c>
      <c r="BT1896">
        <v>27</v>
      </c>
      <c r="BV1896">
        <v>13</v>
      </c>
      <c r="BW1896">
        <v>604</v>
      </c>
      <c r="BX1896" t="str">
        <f>IF(C1896=C1895,IF((CI1896-1)=CI1895,BW1895,"no data"))</f>
        <v>no data</v>
      </c>
      <c r="BY1896" s="5"/>
      <c r="BZ1896" s="6"/>
      <c r="CA1896" s="7">
        <v>43779</v>
      </c>
      <c r="CC1896">
        <v>39</v>
      </c>
      <c r="CD1896">
        <v>64</v>
      </c>
      <c r="CE1896">
        <v>181</v>
      </c>
      <c r="CF1896">
        <v>320</v>
      </c>
      <c r="CI1896">
        <f t="shared" si="206"/>
        <v>2019</v>
      </c>
      <c r="CJ1896" t="str">
        <f t="shared" si="207"/>
        <v>7029_2019</v>
      </c>
    </row>
    <row r="1897" spans="1:88" x14ac:dyDescent="0.25">
      <c r="A1897" t="s">
        <v>140</v>
      </c>
      <c r="B1897" t="s">
        <v>143</v>
      </c>
      <c r="C1897">
        <v>7029</v>
      </c>
      <c r="D1897">
        <v>-32.087800000000001</v>
      </c>
      <c r="E1897">
        <v>115.822</v>
      </c>
      <c r="F1897">
        <v>4</v>
      </c>
      <c r="G1897" t="s">
        <v>705</v>
      </c>
      <c r="H1897">
        <v>4</v>
      </c>
      <c r="I1897">
        <v>184</v>
      </c>
      <c r="J1897">
        <v>100</v>
      </c>
      <c r="K1897">
        <v>280</v>
      </c>
      <c r="L1897">
        <v>208</v>
      </c>
      <c r="M1897">
        <v>28</v>
      </c>
      <c r="N1897">
        <v>230</v>
      </c>
      <c r="O1897">
        <v>50</v>
      </c>
      <c r="T1897">
        <v>0</v>
      </c>
      <c r="U1897">
        <v>0</v>
      </c>
      <c r="V1897">
        <v>192</v>
      </c>
      <c r="Y1897">
        <v>0</v>
      </c>
      <c r="Z1897">
        <v>173</v>
      </c>
      <c r="AA1897">
        <v>0</v>
      </c>
      <c r="AD1897">
        <v>0</v>
      </c>
      <c r="AE1897">
        <v>135</v>
      </c>
      <c r="AF1897">
        <v>0</v>
      </c>
      <c r="AI1897">
        <v>107</v>
      </c>
      <c r="AJ1897">
        <v>150</v>
      </c>
      <c r="AK1897">
        <v>0</v>
      </c>
      <c r="AX1897">
        <v>192</v>
      </c>
      <c r="AY1897">
        <v>107</v>
      </c>
      <c r="AZ1897">
        <v>299</v>
      </c>
      <c r="BA1897">
        <v>173</v>
      </c>
      <c r="BB1897">
        <v>285</v>
      </c>
      <c r="BC1897">
        <v>458</v>
      </c>
      <c r="BD1897">
        <v>135</v>
      </c>
      <c r="BE1897">
        <v>173</v>
      </c>
      <c r="BF1897">
        <v>308</v>
      </c>
      <c r="BG1897">
        <v>257</v>
      </c>
      <c r="BH1897">
        <v>192</v>
      </c>
      <c r="BI1897">
        <v>449</v>
      </c>
      <c r="BP1897">
        <v>91</v>
      </c>
      <c r="BR1897">
        <v>474</v>
      </c>
      <c r="BS1897">
        <v>98</v>
      </c>
      <c r="BT1897">
        <v>94</v>
      </c>
      <c r="BV1897">
        <v>0</v>
      </c>
      <c r="BW1897">
        <v>757</v>
      </c>
      <c r="BX1897">
        <f>IF(C1897=C1896,IF((CI1897-1)=CI1896,BW1896,"no data"))</f>
        <v>604</v>
      </c>
      <c r="BY1897" s="5">
        <f t="shared" si="208"/>
        <v>0.25331125827814571</v>
      </c>
      <c r="BZ1897" s="6">
        <f t="shared" si="209"/>
        <v>0.25331125827814571</v>
      </c>
      <c r="CA1897" s="7">
        <v>44143</v>
      </c>
      <c r="CC1897">
        <v>91</v>
      </c>
      <c r="CD1897">
        <v>257</v>
      </c>
      <c r="CE1897">
        <v>206</v>
      </c>
      <c r="CF1897">
        <v>203</v>
      </c>
      <c r="CI1897">
        <f t="shared" si="206"/>
        <v>2020</v>
      </c>
      <c r="CJ1897" t="str">
        <f t="shared" si="207"/>
        <v>7029_2020</v>
      </c>
    </row>
    <row r="1898" spans="1:88" x14ac:dyDescent="0.25">
      <c r="A1898" t="s">
        <v>140</v>
      </c>
      <c r="B1898" t="s">
        <v>143</v>
      </c>
      <c r="C1898">
        <v>7029</v>
      </c>
      <c r="D1898">
        <v>-32.087828000000002</v>
      </c>
      <c r="E1898">
        <v>115.82204</v>
      </c>
      <c r="F1898">
        <v>4</v>
      </c>
      <c r="G1898" t="s">
        <v>705</v>
      </c>
      <c r="H1898">
        <v>4</v>
      </c>
      <c r="I1898">
        <v>184</v>
      </c>
      <c r="J1898">
        <v>100</v>
      </c>
      <c r="K1898">
        <v>280</v>
      </c>
      <c r="L1898">
        <v>208</v>
      </c>
      <c r="M1898">
        <v>28</v>
      </c>
      <c r="N1898">
        <v>230</v>
      </c>
      <c r="O1898">
        <v>50</v>
      </c>
      <c r="T1898">
        <v>1</v>
      </c>
      <c r="U1898">
        <v>102</v>
      </c>
      <c r="V1898">
        <v>6</v>
      </c>
      <c r="Y1898">
        <v>0</v>
      </c>
      <c r="Z1898">
        <v>39</v>
      </c>
      <c r="AA1898">
        <v>3</v>
      </c>
      <c r="AD1898">
        <v>63</v>
      </c>
      <c r="AE1898">
        <v>88</v>
      </c>
      <c r="AF1898">
        <v>0</v>
      </c>
      <c r="AI1898">
        <v>12</v>
      </c>
      <c r="AJ1898">
        <v>2</v>
      </c>
      <c r="AK1898">
        <v>0</v>
      </c>
      <c r="AX1898">
        <v>109</v>
      </c>
      <c r="AY1898">
        <v>75</v>
      </c>
      <c r="AZ1898">
        <v>184</v>
      </c>
      <c r="BA1898">
        <v>42</v>
      </c>
      <c r="BB1898">
        <v>91</v>
      </c>
      <c r="BC1898">
        <v>133</v>
      </c>
      <c r="BD1898">
        <v>151</v>
      </c>
      <c r="BE1898">
        <v>141</v>
      </c>
      <c r="BF1898">
        <v>292</v>
      </c>
      <c r="BG1898">
        <v>14</v>
      </c>
      <c r="BH1898">
        <v>9</v>
      </c>
      <c r="BI1898">
        <v>23</v>
      </c>
      <c r="BP1898">
        <v>51</v>
      </c>
      <c r="BR1898">
        <v>207</v>
      </c>
      <c r="BS1898">
        <v>29</v>
      </c>
      <c r="BT1898">
        <v>16</v>
      </c>
      <c r="BV1898">
        <v>13</v>
      </c>
      <c r="BW1898">
        <v>316</v>
      </c>
      <c r="BX1898">
        <f>IF(C1898=C1897,IF((CI1898-1)=CI1897,BW1897,"no data"))</f>
        <v>757</v>
      </c>
      <c r="BY1898" s="5">
        <f t="shared" si="208"/>
        <v>-0.58256274768824301</v>
      </c>
      <c r="BZ1898" s="6">
        <f t="shared" si="209"/>
        <v>-0.58256274768824301</v>
      </c>
      <c r="CA1898" s="7">
        <v>44528</v>
      </c>
      <c r="CC1898">
        <v>68</v>
      </c>
      <c r="CD1898">
        <v>82</v>
      </c>
      <c r="CE1898">
        <v>166</v>
      </c>
      <c r="CI1898">
        <f t="shared" si="206"/>
        <v>2021</v>
      </c>
      <c r="CJ1898" t="str">
        <f t="shared" si="207"/>
        <v>7029_2021</v>
      </c>
    </row>
    <row r="1899" spans="1:88" x14ac:dyDescent="0.25">
      <c r="A1899" t="s">
        <v>140</v>
      </c>
      <c r="B1899" t="s">
        <v>143</v>
      </c>
      <c r="C1899">
        <v>7030</v>
      </c>
      <c r="D1899">
        <v>-32.096758000000001</v>
      </c>
      <c r="E1899">
        <v>115.820015</v>
      </c>
      <c r="F1899">
        <v>3</v>
      </c>
      <c r="G1899" t="s">
        <v>706</v>
      </c>
      <c r="H1899">
        <v>5</v>
      </c>
      <c r="I1899">
        <v>185</v>
      </c>
      <c r="J1899">
        <v>19</v>
      </c>
      <c r="K1899">
        <v>199</v>
      </c>
      <c r="L1899">
        <v>164</v>
      </c>
      <c r="M1899">
        <v>344</v>
      </c>
      <c r="T1899">
        <v>0</v>
      </c>
      <c r="U1899">
        <v>96</v>
      </c>
      <c r="Y1899">
        <v>1</v>
      </c>
      <c r="Z1899">
        <v>135</v>
      </c>
      <c r="AD1899">
        <v>71</v>
      </c>
      <c r="AE1899">
        <v>91</v>
      </c>
      <c r="AX1899">
        <v>96</v>
      </c>
      <c r="AY1899">
        <v>72</v>
      </c>
      <c r="AZ1899">
        <v>168</v>
      </c>
      <c r="BA1899">
        <v>136</v>
      </c>
      <c r="BB1899">
        <v>91</v>
      </c>
      <c r="BC1899">
        <v>227</v>
      </c>
      <c r="BD1899">
        <v>162</v>
      </c>
      <c r="BE1899">
        <v>231</v>
      </c>
      <c r="BF1899">
        <v>393</v>
      </c>
      <c r="BP1899">
        <v>144</v>
      </c>
      <c r="BR1899">
        <v>175</v>
      </c>
      <c r="BS1899">
        <v>22</v>
      </c>
      <c r="BT1899">
        <v>26</v>
      </c>
      <c r="BV1899">
        <v>27</v>
      </c>
      <c r="BW1899">
        <v>394</v>
      </c>
      <c r="BX1899" t="s">
        <v>82</v>
      </c>
      <c r="BY1899" s="5"/>
      <c r="BZ1899" s="6"/>
      <c r="CA1899" s="7">
        <v>42687</v>
      </c>
      <c r="CE1899">
        <v>166</v>
      </c>
      <c r="CF1899">
        <v>127</v>
      </c>
      <c r="CG1899">
        <v>54</v>
      </c>
      <c r="CH1899">
        <v>47</v>
      </c>
      <c r="CI1899">
        <f t="shared" si="206"/>
        <v>2016</v>
      </c>
      <c r="CJ1899" t="str">
        <f t="shared" si="207"/>
        <v>7030_2016</v>
      </c>
    </row>
    <row r="1900" spans="1:88" x14ac:dyDescent="0.25">
      <c r="A1900" t="s">
        <v>140</v>
      </c>
      <c r="B1900" t="s">
        <v>143</v>
      </c>
      <c r="C1900">
        <v>7030</v>
      </c>
      <c r="D1900">
        <v>-32.096600000000002</v>
      </c>
      <c r="E1900">
        <v>115.82</v>
      </c>
      <c r="F1900">
        <v>3</v>
      </c>
      <c r="G1900" t="s">
        <v>706</v>
      </c>
      <c r="H1900">
        <v>5</v>
      </c>
      <c r="I1900">
        <v>185</v>
      </c>
      <c r="J1900">
        <v>19</v>
      </c>
      <c r="K1900">
        <v>199</v>
      </c>
      <c r="L1900">
        <v>164</v>
      </c>
      <c r="M1900">
        <v>344</v>
      </c>
      <c r="T1900">
        <v>0</v>
      </c>
      <c r="U1900">
        <v>100</v>
      </c>
      <c r="Y1900">
        <v>0</v>
      </c>
      <c r="Z1900">
        <v>120</v>
      </c>
      <c r="AD1900">
        <v>74</v>
      </c>
      <c r="AE1900">
        <v>110</v>
      </c>
      <c r="AX1900">
        <v>100</v>
      </c>
      <c r="AY1900">
        <v>74</v>
      </c>
      <c r="AZ1900">
        <v>174</v>
      </c>
      <c r="BA1900">
        <v>120</v>
      </c>
      <c r="BB1900">
        <v>110</v>
      </c>
      <c r="BC1900">
        <v>230</v>
      </c>
      <c r="BD1900">
        <v>184</v>
      </c>
      <c r="BE1900">
        <v>220</v>
      </c>
      <c r="BF1900">
        <v>404</v>
      </c>
      <c r="BP1900">
        <v>85</v>
      </c>
      <c r="BR1900">
        <v>202</v>
      </c>
      <c r="BS1900">
        <v>59</v>
      </c>
      <c r="BT1900">
        <v>47</v>
      </c>
      <c r="BV1900">
        <v>11</v>
      </c>
      <c r="BW1900">
        <v>404</v>
      </c>
      <c r="BX1900" t="str">
        <f>IF(C1900=C1899,IF((CI1900-1)=CI1899,BW1899,"no data"))</f>
        <v>no data</v>
      </c>
      <c r="BY1900" s="5"/>
      <c r="BZ1900" s="6"/>
      <c r="CA1900" s="7">
        <v>43779</v>
      </c>
      <c r="CC1900">
        <v>98</v>
      </c>
      <c r="CD1900">
        <v>99</v>
      </c>
      <c r="CE1900">
        <v>96</v>
      </c>
      <c r="CF1900">
        <v>111</v>
      </c>
      <c r="CI1900">
        <f t="shared" si="206"/>
        <v>2019</v>
      </c>
      <c r="CJ1900" t="str">
        <f t="shared" si="207"/>
        <v>7030_2019</v>
      </c>
    </row>
    <row r="1901" spans="1:88" x14ac:dyDescent="0.25">
      <c r="A1901" t="s">
        <v>140</v>
      </c>
      <c r="B1901" t="s">
        <v>143</v>
      </c>
      <c r="C1901">
        <v>7030</v>
      </c>
      <c r="D1901">
        <v>-32.096600000000002</v>
      </c>
      <c r="E1901">
        <v>115.82</v>
      </c>
      <c r="F1901">
        <v>3</v>
      </c>
      <c r="G1901" t="s">
        <v>706</v>
      </c>
      <c r="H1901">
        <v>5</v>
      </c>
      <c r="I1901">
        <v>185</v>
      </c>
      <c r="J1901">
        <v>19</v>
      </c>
      <c r="K1901">
        <v>199</v>
      </c>
      <c r="L1901">
        <v>164</v>
      </c>
      <c r="M1901">
        <v>344</v>
      </c>
      <c r="T1901">
        <v>0</v>
      </c>
      <c r="U1901">
        <v>93</v>
      </c>
      <c r="Y1901">
        <v>5</v>
      </c>
      <c r="Z1901">
        <v>218</v>
      </c>
      <c r="AD1901">
        <v>64</v>
      </c>
      <c r="AE1901">
        <v>94</v>
      </c>
      <c r="AX1901">
        <v>93</v>
      </c>
      <c r="AY1901">
        <v>69</v>
      </c>
      <c r="AZ1901">
        <v>162</v>
      </c>
      <c r="BA1901">
        <v>223</v>
      </c>
      <c r="BB1901">
        <v>94</v>
      </c>
      <c r="BC1901">
        <v>317</v>
      </c>
      <c r="BD1901">
        <v>158</v>
      </c>
      <c r="BE1901">
        <v>311</v>
      </c>
      <c r="BF1901">
        <v>469</v>
      </c>
      <c r="BP1901">
        <v>72</v>
      </c>
      <c r="BR1901">
        <v>237</v>
      </c>
      <c r="BS1901">
        <v>115</v>
      </c>
      <c r="BT1901">
        <v>31</v>
      </c>
      <c r="BV1901">
        <v>19</v>
      </c>
      <c r="BW1901">
        <v>474</v>
      </c>
      <c r="BX1901">
        <f>IF(C1901=C1900,IF((CI1901-1)=CI1900,BW1900,"no data"))</f>
        <v>404</v>
      </c>
      <c r="BY1901" s="5">
        <f t="shared" si="208"/>
        <v>0.17326732673267325</v>
      </c>
      <c r="BZ1901" s="6">
        <f t="shared" si="209"/>
        <v>0.17326732673267325</v>
      </c>
      <c r="CA1901" s="7">
        <v>44143</v>
      </c>
      <c r="CC1901">
        <v>146</v>
      </c>
      <c r="CD1901">
        <v>140</v>
      </c>
      <c r="CE1901">
        <v>131</v>
      </c>
      <c r="CF1901">
        <v>57</v>
      </c>
      <c r="CI1901">
        <f t="shared" si="206"/>
        <v>2020</v>
      </c>
      <c r="CJ1901" t="str">
        <f t="shared" si="207"/>
        <v>7030_2020</v>
      </c>
    </row>
    <row r="1902" spans="1:88" x14ac:dyDescent="0.25">
      <c r="A1902" t="s">
        <v>140</v>
      </c>
      <c r="B1902" t="s">
        <v>143</v>
      </c>
      <c r="C1902">
        <v>7030</v>
      </c>
      <c r="D1902">
        <v>-32.096628000000003</v>
      </c>
      <c r="E1902">
        <v>115.82</v>
      </c>
      <c r="F1902">
        <v>3</v>
      </c>
      <c r="G1902" t="s">
        <v>706</v>
      </c>
      <c r="H1902">
        <v>5</v>
      </c>
      <c r="I1902">
        <v>185</v>
      </c>
      <c r="J1902">
        <v>19</v>
      </c>
      <c r="K1902">
        <v>199</v>
      </c>
      <c r="L1902">
        <v>164</v>
      </c>
      <c r="M1902">
        <v>344</v>
      </c>
      <c r="T1902">
        <v>0</v>
      </c>
      <c r="U1902">
        <v>39</v>
      </c>
      <c r="Y1902">
        <v>3</v>
      </c>
      <c r="Z1902">
        <v>94</v>
      </c>
      <c r="AD1902">
        <v>34</v>
      </c>
      <c r="AE1902">
        <v>73</v>
      </c>
      <c r="AX1902">
        <v>39</v>
      </c>
      <c r="AY1902">
        <v>37</v>
      </c>
      <c r="AZ1902">
        <v>76</v>
      </c>
      <c r="BA1902">
        <v>97</v>
      </c>
      <c r="BB1902">
        <v>73</v>
      </c>
      <c r="BC1902">
        <v>170</v>
      </c>
      <c r="BD1902">
        <v>107</v>
      </c>
      <c r="BE1902">
        <v>133</v>
      </c>
      <c r="BF1902">
        <v>240</v>
      </c>
      <c r="BP1902">
        <v>46</v>
      </c>
      <c r="BR1902">
        <v>137</v>
      </c>
      <c r="BS1902">
        <v>40</v>
      </c>
      <c r="BT1902">
        <v>16</v>
      </c>
      <c r="BV1902">
        <v>4</v>
      </c>
      <c r="BW1902">
        <v>243</v>
      </c>
      <c r="BX1902">
        <f>IF(C1902=C1901,IF((CI1902-1)=CI1901,BW1901,"no data"))</f>
        <v>474</v>
      </c>
      <c r="BY1902" s="5">
        <f t="shared" si="208"/>
        <v>-0.48734177215189872</v>
      </c>
      <c r="BZ1902" s="6">
        <f t="shared" si="209"/>
        <v>-0.48734177215189872</v>
      </c>
      <c r="CA1902" s="7">
        <v>44528</v>
      </c>
      <c r="CC1902">
        <v>83</v>
      </c>
      <c r="CD1902">
        <v>78</v>
      </c>
      <c r="CE1902">
        <v>82</v>
      </c>
      <c r="CI1902">
        <f t="shared" si="206"/>
        <v>2021</v>
      </c>
      <c r="CJ1902" t="str">
        <f t="shared" si="207"/>
        <v>7030_2021</v>
      </c>
    </row>
    <row r="1903" spans="1:88" x14ac:dyDescent="0.25">
      <c r="A1903" t="s">
        <v>140</v>
      </c>
      <c r="B1903" t="s">
        <v>143</v>
      </c>
      <c r="C1903">
        <v>7031</v>
      </c>
      <c r="D1903">
        <v>-32.127040000000001</v>
      </c>
      <c r="E1903">
        <v>115.85816</v>
      </c>
      <c r="F1903">
        <v>4</v>
      </c>
      <c r="G1903" t="s">
        <v>707</v>
      </c>
      <c r="H1903">
        <v>170</v>
      </c>
      <c r="I1903">
        <v>350</v>
      </c>
      <c r="J1903">
        <v>186</v>
      </c>
      <c r="K1903">
        <v>6</v>
      </c>
      <c r="L1903">
        <v>225</v>
      </c>
      <c r="M1903">
        <v>45</v>
      </c>
      <c r="N1903">
        <v>355</v>
      </c>
      <c r="O1903">
        <v>175</v>
      </c>
      <c r="T1903">
        <v>1</v>
      </c>
      <c r="U1903">
        <v>1</v>
      </c>
      <c r="V1903">
        <v>4</v>
      </c>
      <c r="Y1903">
        <v>6</v>
      </c>
      <c r="Z1903">
        <v>24</v>
      </c>
      <c r="AA1903">
        <v>114</v>
      </c>
      <c r="AD1903">
        <v>1</v>
      </c>
      <c r="AE1903">
        <v>20</v>
      </c>
      <c r="AF1903">
        <v>15</v>
      </c>
      <c r="AI1903">
        <v>2</v>
      </c>
      <c r="AJ1903">
        <v>67</v>
      </c>
      <c r="AK1903">
        <v>11</v>
      </c>
      <c r="AX1903">
        <v>6</v>
      </c>
      <c r="AY1903">
        <v>9</v>
      </c>
      <c r="AZ1903">
        <v>15</v>
      </c>
      <c r="BA1903">
        <v>144</v>
      </c>
      <c r="BB1903">
        <v>88</v>
      </c>
      <c r="BC1903">
        <v>232</v>
      </c>
      <c r="BD1903">
        <v>36</v>
      </c>
      <c r="BE1903">
        <v>36</v>
      </c>
      <c r="BF1903">
        <v>72</v>
      </c>
      <c r="BG1903">
        <v>80</v>
      </c>
      <c r="BH1903">
        <v>133</v>
      </c>
      <c r="BI1903">
        <v>213</v>
      </c>
      <c r="BP1903">
        <v>234</v>
      </c>
      <c r="BR1903">
        <v>30</v>
      </c>
      <c r="BS1903">
        <v>0</v>
      </c>
      <c r="BT1903">
        <v>0</v>
      </c>
      <c r="BV1903">
        <v>2</v>
      </c>
      <c r="BW1903">
        <v>266</v>
      </c>
      <c r="BX1903" t="s">
        <v>82</v>
      </c>
      <c r="BY1903" s="5"/>
      <c r="BZ1903" s="6"/>
      <c r="CA1903" s="7">
        <v>42687</v>
      </c>
      <c r="CE1903">
        <v>102</v>
      </c>
      <c r="CF1903">
        <v>87</v>
      </c>
      <c r="CG1903">
        <v>53</v>
      </c>
      <c r="CH1903">
        <v>24</v>
      </c>
      <c r="CI1903">
        <f t="shared" si="206"/>
        <v>2016</v>
      </c>
      <c r="CJ1903" t="str">
        <f t="shared" si="207"/>
        <v>7031_2016</v>
      </c>
    </row>
    <row r="1904" spans="1:88" x14ac:dyDescent="0.25">
      <c r="A1904" t="s">
        <v>140</v>
      </c>
      <c r="B1904" t="s">
        <v>143</v>
      </c>
      <c r="C1904">
        <v>7031</v>
      </c>
      <c r="D1904">
        <v>-32.127000000000002</v>
      </c>
      <c r="E1904">
        <v>115.85809999999999</v>
      </c>
      <c r="F1904">
        <v>4</v>
      </c>
      <c r="G1904" t="s">
        <v>708</v>
      </c>
      <c r="H1904">
        <v>170</v>
      </c>
      <c r="I1904">
        <v>350</v>
      </c>
      <c r="J1904">
        <v>186</v>
      </c>
      <c r="K1904">
        <v>6</v>
      </c>
      <c r="L1904">
        <v>225</v>
      </c>
      <c r="M1904">
        <v>45</v>
      </c>
      <c r="N1904">
        <v>355</v>
      </c>
      <c r="O1904">
        <v>175</v>
      </c>
      <c r="T1904">
        <v>14</v>
      </c>
      <c r="U1904">
        <v>1</v>
      </c>
      <c r="V1904">
        <v>4</v>
      </c>
      <c r="Y1904">
        <v>8</v>
      </c>
      <c r="Z1904">
        <v>1</v>
      </c>
      <c r="AA1904">
        <v>42</v>
      </c>
      <c r="AD1904">
        <v>0</v>
      </c>
      <c r="AE1904">
        <v>0</v>
      </c>
      <c r="AF1904">
        <v>23</v>
      </c>
      <c r="AI1904">
        <v>2</v>
      </c>
      <c r="AJ1904">
        <v>37</v>
      </c>
      <c r="AK1904">
        <v>38</v>
      </c>
      <c r="AX1904">
        <v>19</v>
      </c>
      <c r="AY1904">
        <v>10</v>
      </c>
      <c r="AZ1904">
        <v>29</v>
      </c>
      <c r="BA1904">
        <v>51</v>
      </c>
      <c r="BB1904">
        <v>51</v>
      </c>
      <c r="BC1904">
        <v>102</v>
      </c>
      <c r="BD1904">
        <v>23</v>
      </c>
      <c r="BE1904">
        <v>40</v>
      </c>
      <c r="BF1904">
        <v>63</v>
      </c>
      <c r="BG1904">
        <v>77</v>
      </c>
      <c r="BH1904">
        <v>69</v>
      </c>
      <c r="BI1904">
        <v>146</v>
      </c>
      <c r="BP1904">
        <v>106</v>
      </c>
      <c r="BR1904">
        <v>61</v>
      </c>
      <c r="BS1904">
        <v>2</v>
      </c>
      <c r="BT1904">
        <v>0</v>
      </c>
      <c r="BV1904">
        <v>1</v>
      </c>
      <c r="BW1904">
        <v>170</v>
      </c>
      <c r="BX1904" t="str">
        <f>IF(C1904=C1903,IF((CI1904-1)=CI1903,BW1903,"no data"))</f>
        <v>no data</v>
      </c>
      <c r="BY1904" s="5"/>
      <c r="BZ1904" s="6"/>
      <c r="CA1904" s="7">
        <v>43779</v>
      </c>
      <c r="CC1904">
        <v>29</v>
      </c>
      <c r="CD1904">
        <v>34</v>
      </c>
      <c r="CE1904">
        <v>33</v>
      </c>
      <c r="CF1904">
        <v>74</v>
      </c>
      <c r="CI1904">
        <f t="shared" si="206"/>
        <v>2019</v>
      </c>
      <c r="CJ1904" t="str">
        <f t="shared" si="207"/>
        <v>7031_2019</v>
      </c>
    </row>
    <row r="1905" spans="1:88" x14ac:dyDescent="0.25">
      <c r="A1905" t="s">
        <v>140</v>
      </c>
      <c r="B1905" t="s">
        <v>143</v>
      </c>
      <c r="C1905">
        <v>7031</v>
      </c>
      <c r="D1905">
        <v>-32.127000000000002</v>
      </c>
      <c r="E1905">
        <v>115.85809999999999</v>
      </c>
      <c r="F1905">
        <v>4</v>
      </c>
      <c r="G1905" t="s">
        <v>708</v>
      </c>
      <c r="H1905">
        <v>170</v>
      </c>
      <c r="I1905">
        <v>350</v>
      </c>
      <c r="J1905">
        <v>186</v>
      </c>
      <c r="K1905">
        <v>6</v>
      </c>
      <c r="L1905">
        <v>225</v>
      </c>
      <c r="M1905">
        <v>45</v>
      </c>
      <c r="N1905">
        <v>355</v>
      </c>
      <c r="O1905">
        <v>175</v>
      </c>
      <c r="T1905">
        <v>47</v>
      </c>
      <c r="U1905">
        <v>0</v>
      </c>
      <c r="V1905">
        <v>14</v>
      </c>
      <c r="Y1905">
        <v>7</v>
      </c>
      <c r="Z1905">
        <v>14</v>
      </c>
      <c r="AA1905">
        <v>82</v>
      </c>
      <c r="AD1905">
        <v>0</v>
      </c>
      <c r="AE1905">
        <v>27</v>
      </c>
      <c r="AF1905">
        <v>1</v>
      </c>
      <c r="AI1905">
        <v>4</v>
      </c>
      <c r="AJ1905">
        <v>95</v>
      </c>
      <c r="AK1905">
        <v>4</v>
      </c>
      <c r="AX1905">
        <v>61</v>
      </c>
      <c r="AY1905">
        <v>11</v>
      </c>
      <c r="AZ1905">
        <v>72</v>
      </c>
      <c r="BA1905">
        <v>103</v>
      </c>
      <c r="BB1905">
        <v>169</v>
      </c>
      <c r="BC1905">
        <v>272</v>
      </c>
      <c r="BD1905">
        <v>28</v>
      </c>
      <c r="BE1905">
        <v>18</v>
      </c>
      <c r="BF1905">
        <v>46</v>
      </c>
      <c r="BG1905">
        <v>103</v>
      </c>
      <c r="BH1905">
        <v>97</v>
      </c>
      <c r="BI1905">
        <v>200</v>
      </c>
      <c r="BP1905">
        <v>229</v>
      </c>
      <c r="BR1905">
        <v>58</v>
      </c>
      <c r="BS1905">
        <v>2</v>
      </c>
      <c r="BT1905">
        <v>0</v>
      </c>
      <c r="BV1905">
        <v>6</v>
      </c>
      <c r="BW1905">
        <v>295</v>
      </c>
      <c r="BX1905">
        <f>IF(C1905=C1904,IF((CI1905-1)=CI1904,BW1904,"no data"))</f>
        <v>170</v>
      </c>
      <c r="BY1905" s="5">
        <f t="shared" si="208"/>
        <v>0.73529411764705888</v>
      </c>
      <c r="BZ1905" s="6">
        <f t="shared" si="209"/>
        <v>0.73529411764705888</v>
      </c>
      <c r="CA1905" s="7">
        <v>44143</v>
      </c>
      <c r="CC1905">
        <v>63</v>
      </c>
      <c r="CD1905">
        <v>95</v>
      </c>
      <c r="CE1905">
        <v>79</v>
      </c>
      <c r="CF1905">
        <v>58</v>
      </c>
      <c r="CI1905">
        <f t="shared" si="206"/>
        <v>2020</v>
      </c>
      <c r="CJ1905" t="str">
        <f t="shared" si="207"/>
        <v>7031_2020</v>
      </c>
    </row>
    <row r="1906" spans="1:88" x14ac:dyDescent="0.25">
      <c r="A1906" t="s">
        <v>140</v>
      </c>
      <c r="B1906" t="s">
        <v>143</v>
      </c>
      <c r="C1906">
        <v>7031</v>
      </c>
      <c r="D1906">
        <v>-32.127037999999999</v>
      </c>
      <c r="E1906">
        <v>115.85814000000001</v>
      </c>
      <c r="F1906">
        <v>4</v>
      </c>
      <c r="G1906" t="s">
        <v>708</v>
      </c>
      <c r="H1906">
        <v>170</v>
      </c>
      <c r="I1906">
        <v>350</v>
      </c>
      <c r="J1906">
        <v>186</v>
      </c>
      <c r="K1906">
        <v>6</v>
      </c>
      <c r="L1906">
        <v>225</v>
      </c>
      <c r="M1906">
        <v>45</v>
      </c>
      <c r="N1906">
        <v>355</v>
      </c>
      <c r="O1906">
        <v>175</v>
      </c>
      <c r="T1906">
        <v>10</v>
      </c>
      <c r="U1906">
        <v>0</v>
      </c>
      <c r="V1906">
        <v>2</v>
      </c>
      <c r="Y1906">
        <v>6</v>
      </c>
      <c r="Z1906">
        <v>8</v>
      </c>
      <c r="AA1906">
        <v>76</v>
      </c>
      <c r="AD1906">
        <v>2</v>
      </c>
      <c r="AE1906">
        <v>6</v>
      </c>
      <c r="AF1906">
        <v>7</v>
      </c>
      <c r="AI1906">
        <v>5</v>
      </c>
      <c r="AJ1906">
        <v>111</v>
      </c>
      <c r="AK1906">
        <v>4</v>
      </c>
      <c r="AX1906">
        <v>12</v>
      </c>
      <c r="AY1906">
        <v>13</v>
      </c>
      <c r="AZ1906">
        <v>25</v>
      </c>
      <c r="BA1906">
        <v>90</v>
      </c>
      <c r="BB1906">
        <v>127</v>
      </c>
      <c r="BC1906">
        <v>217</v>
      </c>
      <c r="BD1906">
        <v>15</v>
      </c>
      <c r="BE1906">
        <v>12</v>
      </c>
      <c r="BF1906">
        <v>27</v>
      </c>
      <c r="BG1906">
        <v>120</v>
      </c>
      <c r="BH1906">
        <v>85</v>
      </c>
      <c r="BI1906">
        <v>205</v>
      </c>
      <c r="BP1906">
        <v>228</v>
      </c>
      <c r="BR1906">
        <v>6</v>
      </c>
      <c r="BS1906">
        <v>1</v>
      </c>
      <c r="BT1906">
        <v>0</v>
      </c>
      <c r="BV1906">
        <v>2</v>
      </c>
      <c r="BW1906">
        <v>237</v>
      </c>
      <c r="BX1906">
        <f>IF(C1906=C1905,IF((CI1906-1)=CI1905,BW1905,"no data"))</f>
        <v>295</v>
      </c>
      <c r="BY1906" s="5">
        <f t="shared" si="208"/>
        <v>-0.19661016949152543</v>
      </c>
      <c r="BZ1906" s="6">
        <f t="shared" si="209"/>
        <v>-0.19661016949152543</v>
      </c>
      <c r="CA1906" s="7">
        <v>44528</v>
      </c>
      <c r="CC1906">
        <v>116</v>
      </c>
      <c r="CD1906">
        <v>72</v>
      </c>
      <c r="CE1906">
        <v>49</v>
      </c>
      <c r="CI1906">
        <f t="shared" si="206"/>
        <v>2021</v>
      </c>
      <c r="CJ1906" t="str">
        <f t="shared" si="207"/>
        <v>7031_2021</v>
      </c>
    </row>
    <row r="1907" spans="1:88" x14ac:dyDescent="0.25">
      <c r="A1907" t="s">
        <v>140</v>
      </c>
      <c r="B1907" t="s">
        <v>143</v>
      </c>
      <c r="C1907">
        <v>7032</v>
      </c>
      <c r="D1907">
        <v>-32.090899</v>
      </c>
      <c r="E1907">
        <v>115.75908800000001</v>
      </c>
      <c r="F1907">
        <v>4</v>
      </c>
      <c r="G1907" t="s">
        <v>709</v>
      </c>
      <c r="H1907">
        <v>72</v>
      </c>
      <c r="I1907">
        <v>252</v>
      </c>
      <c r="J1907">
        <v>155</v>
      </c>
      <c r="K1907">
        <v>335</v>
      </c>
      <c r="L1907">
        <v>248</v>
      </c>
      <c r="M1907">
        <v>68</v>
      </c>
      <c r="N1907">
        <v>320</v>
      </c>
      <c r="O1907">
        <v>140</v>
      </c>
      <c r="T1907">
        <v>0</v>
      </c>
      <c r="U1907">
        <v>10</v>
      </c>
      <c r="V1907">
        <v>0</v>
      </c>
      <c r="Y1907">
        <v>2</v>
      </c>
      <c r="Z1907">
        <v>60</v>
      </c>
      <c r="AA1907">
        <v>36</v>
      </c>
      <c r="AD1907">
        <v>12</v>
      </c>
      <c r="AE1907">
        <v>82</v>
      </c>
      <c r="AF1907">
        <v>3</v>
      </c>
      <c r="AI1907">
        <v>3</v>
      </c>
      <c r="AJ1907">
        <v>35</v>
      </c>
      <c r="AK1907">
        <v>1</v>
      </c>
      <c r="AX1907">
        <v>10</v>
      </c>
      <c r="AY1907">
        <v>17</v>
      </c>
      <c r="AZ1907">
        <v>27</v>
      </c>
      <c r="BA1907">
        <v>98</v>
      </c>
      <c r="BB1907">
        <v>117</v>
      </c>
      <c r="BC1907">
        <v>215</v>
      </c>
      <c r="BD1907">
        <v>97</v>
      </c>
      <c r="BE1907">
        <v>71</v>
      </c>
      <c r="BF1907">
        <v>168</v>
      </c>
      <c r="BG1907">
        <v>39</v>
      </c>
      <c r="BH1907">
        <v>39</v>
      </c>
      <c r="BI1907">
        <v>78</v>
      </c>
      <c r="BP1907">
        <v>189</v>
      </c>
      <c r="BR1907">
        <v>27</v>
      </c>
      <c r="BS1907">
        <v>18</v>
      </c>
      <c r="BT1907">
        <v>6</v>
      </c>
      <c r="BV1907">
        <v>4</v>
      </c>
      <c r="BW1907">
        <v>244</v>
      </c>
      <c r="BX1907" t="s">
        <v>82</v>
      </c>
      <c r="BY1907" s="5"/>
      <c r="BZ1907" s="6"/>
      <c r="CA1907" s="7">
        <v>42715</v>
      </c>
      <c r="CE1907">
        <v>92</v>
      </c>
      <c r="CF1907">
        <v>70</v>
      </c>
      <c r="CG1907">
        <v>61</v>
      </c>
      <c r="CH1907">
        <v>21</v>
      </c>
      <c r="CI1907">
        <f t="shared" si="206"/>
        <v>2016</v>
      </c>
      <c r="CJ1907" t="str">
        <f t="shared" si="207"/>
        <v>7032_2016</v>
      </c>
    </row>
    <row r="1908" spans="1:88" x14ac:dyDescent="0.25">
      <c r="A1908" t="s">
        <v>140</v>
      </c>
      <c r="B1908" t="s">
        <v>143</v>
      </c>
      <c r="C1908">
        <v>7032</v>
      </c>
      <c r="D1908">
        <v>-32.090800000000002</v>
      </c>
      <c r="E1908">
        <v>115.7593</v>
      </c>
      <c r="F1908">
        <v>4</v>
      </c>
      <c r="G1908" t="s">
        <v>709</v>
      </c>
      <c r="H1908">
        <v>72</v>
      </c>
      <c r="I1908">
        <v>252</v>
      </c>
      <c r="J1908">
        <v>155</v>
      </c>
      <c r="K1908">
        <v>335</v>
      </c>
      <c r="L1908">
        <v>248</v>
      </c>
      <c r="M1908">
        <v>68</v>
      </c>
      <c r="N1908">
        <v>320</v>
      </c>
      <c r="O1908">
        <v>140</v>
      </c>
      <c r="T1908">
        <v>6</v>
      </c>
      <c r="U1908">
        <v>21</v>
      </c>
      <c r="V1908">
        <v>0</v>
      </c>
      <c r="Y1908">
        <v>2</v>
      </c>
      <c r="Z1908">
        <v>88</v>
      </c>
      <c r="AD1908">
        <v>24</v>
      </c>
      <c r="AE1908">
        <v>82</v>
      </c>
      <c r="AI1908">
        <v>5</v>
      </c>
      <c r="AX1908">
        <v>27</v>
      </c>
      <c r="AY1908">
        <v>31</v>
      </c>
      <c r="AZ1908">
        <v>58</v>
      </c>
      <c r="BA1908">
        <v>90</v>
      </c>
      <c r="BB1908">
        <v>88</v>
      </c>
      <c r="BC1908">
        <v>178</v>
      </c>
      <c r="BD1908">
        <v>106</v>
      </c>
      <c r="BE1908">
        <v>109</v>
      </c>
      <c r="BF1908">
        <v>215</v>
      </c>
      <c r="BG1908">
        <v>5</v>
      </c>
      <c r="BH1908">
        <v>0</v>
      </c>
      <c r="BI1908">
        <v>5</v>
      </c>
      <c r="BP1908">
        <v>125</v>
      </c>
      <c r="BR1908">
        <v>31</v>
      </c>
      <c r="BS1908">
        <v>66</v>
      </c>
      <c r="BT1908">
        <v>6</v>
      </c>
      <c r="BV1908">
        <v>0</v>
      </c>
      <c r="BW1908">
        <v>228</v>
      </c>
      <c r="BX1908" t="str">
        <f>IF(C1908=C1907,IF((CI1908-1)=CI1907,BW1907,"no data"))</f>
        <v>no data</v>
      </c>
      <c r="BY1908" s="5"/>
      <c r="BZ1908" s="6"/>
      <c r="CA1908" s="7">
        <v>43779</v>
      </c>
      <c r="CC1908">
        <v>62</v>
      </c>
      <c r="CD1908">
        <v>62</v>
      </c>
      <c r="CE1908">
        <v>64</v>
      </c>
      <c r="CF1908">
        <v>40</v>
      </c>
      <c r="CI1908">
        <f t="shared" si="206"/>
        <v>2019</v>
      </c>
      <c r="CJ1908" t="str">
        <f t="shared" si="207"/>
        <v>7032_2019</v>
      </c>
    </row>
    <row r="1909" spans="1:88" x14ac:dyDescent="0.25">
      <c r="A1909" t="s">
        <v>140</v>
      </c>
      <c r="B1909" t="s">
        <v>143</v>
      </c>
      <c r="C1909">
        <v>7032</v>
      </c>
      <c r="D1909">
        <v>-32.090800000000002</v>
      </c>
      <c r="E1909">
        <v>115.7593</v>
      </c>
      <c r="F1909">
        <v>4</v>
      </c>
      <c r="G1909" t="s">
        <v>709</v>
      </c>
      <c r="H1909">
        <v>72</v>
      </c>
      <c r="I1909">
        <v>252</v>
      </c>
      <c r="J1909">
        <v>155</v>
      </c>
      <c r="K1909">
        <v>335</v>
      </c>
      <c r="L1909">
        <v>248</v>
      </c>
      <c r="M1909">
        <v>68</v>
      </c>
      <c r="N1909">
        <v>320</v>
      </c>
      <c r="O1909">
        <v>140</v>
      </c>
      <c r="T1909">
        <v>3</v>
      </c>
      <c r="U1909">
        <v>18</v>
      </c>
      <c r="V1909">
        <v>1</v>
      </c>
      <c r="Y1909">
        <v>7</v>
      </c>
      <c r="Z1909">
        <v>117</v>
      </c>
      <c r="AA1909">
        <v>114</v>
      </c>
      <c r="AD1909">
        <v>9</v>
      </c>
      <c r="AE1909">
        <v>138</v>
      </c>
      <c r="AF1909">
        <v>16</v>
      </c>
      <c r="AI1909">
        <v>4</v>
      </c>
      <c r="AJ1909">
        <v>104</v>
      </c>
      <c r="AK1909">
        <v>5</v>
      </c>
      <c r="AX1909">
        <v>22</v>
      </c>
      <c r="AY1909">
        <v>20</v>
      </c>
      <c r="AZ1909">
        <v>42</v>
      </c>
      <c r="BA1909">
        <v>238</v>
      </c>
      <c r="BB1909">
        <v>245</v>
      </c>
      <c r="BC1909">
        <v>483</v>
      </c>
      <c r="BD1909">
        <v>163</v>
      </c>
      <c r="BE1909">
        <v>140</v>
      </c>
      <c r="BF1909">
        <v>303</v>
      </c>
      <c r="BG1909">
        <v>113</v>
      </c>
      <c r="BH1909">
        <v>131</v>
      </c>
      <c r="BI1909">
        <v>244</v>
      </c>
      <c r="BP1909">
        <v>382</v>
      </c>
      <c r="BR1909">
        <v>87</v>
      </c>
      <c r="BS1909">
        <v>51</v>
      </c>
      <c r="BT1909">
        <v>13</v>
      </c>
      <c r="BV1909">
        <v>3</v>
      </c>
      <c r="BW1909">
        <v>536</v>
      </c>
      <c r="BX1909">
        <f>IF(C1909=C1908,IF((CI1909-1)=CI1908,BW1908,"no data"))</f>
        <v>228</v>
      </c>
      <c r="BY1909" s="5">
        <f t="shared" si="208"/>
        <v>1.3508771929824561</v>
      </c>
      <c r="BZ1909" s="6">
        <f t="shared" si="209"/>
        <v>1.3508771929824561</v>
      </c>
      <c r="CA1909" s="7">
        <v>44143</v>
      </c>
      <c r="CC1909">
        <v>148</v>
      </c>
      <c r="CD1909">
        <v>133</v>
      </c>
      <c r="CE1909">
        <v>137</v>
      </c>
      <c r="CF1909">
        <v>118</v>
      </c>
      <c r="CI1909">
        <f t="shared" si="206"/>
        <v>2020</v>
      </c>
      <c r="CJ1909" t="str">
        <f t="shared" si="207"/>
        <v>7032_2020</v>
      </c>
    </row>
    <row r="1910" spans="1:88" x14ac:dyDescent="0.25">
      <c r="A1910" t="s">
        <v>140</v>
      </c>
      <c r="B1910" t="s">
        <v>143</v>
      </c>
      <c r="C1910">
        <v>7032</v>
      </c>
      <c r="D1910">
        <v>-32.090843</v>
      </c>
      <c r="E1910">
        <v>115.75924999999999</v>
      </c>
      <c r="F1910">
        <v>4</v>
      </c>
      <c r="G1910" t="s">
        <v>709</v>
      </c>
      <c r="H1910">
        <v>72</v>
      </c>
      <c r="I1910">
        <v>252</v>
      </c>
      <c r="J1910">
        <v>155</v>
      </c>
      <c r="K1910">
        <v>335</v>
      </c>
      <c r="L1910">
        <v>248</v>
      </c>
      <c r="M1910">
        <v>68</v>
      </c>
      <c r="N1910">
        <v>320</v>
      </c>
      <c r="O1910">
        <v>140</v>
      </c>
      <c r="T1910">
        <v>0</v>
      </c>
      <c r="U1910">
        <v>12</v>
      </c>
      <c r="V1910">
        <v>5</v>
      </c>
      <c r="Y1910">
        <v>0</v>
      </c>
      <c r="Z1910">
        <v>79</v>
      </c>
      <c r="AA1910">
        <v>82</v>
      </c>
      <c r="AD1910">
        <v>16</v>
      </c>
      <c r="AE1910">
        <v>88</v>
      </c>
      <c r="AF1910">
        <v>8</v>
      </c>
      <c r="AI1910">
        <v>3</v>
      </c>
      <c r="AJ1910">
        <v>48</v>
      </c>
      <c r="AK1910">
        <v>10</v>
      </c>
      <c r="AX1910">
        <v>17</v>
      </c>
      <c r="AY1910">
        <v>19</v>
      </c>
      <c r="AZ1910">
        <v>36</v>
      </c>
      <c r="BA1910">
        <v>161</v>
      </c>
      <c r="BB1910">
        <v>136</v>
      </c>
      <c r="BC1910">
        <v>297</v>
      </c>
      <c r="BD1910">
        <v>112</v>
      </c>
      <c r="BE1910">
        <v>101</v>
      </c>
      <c r="BF1910">
        <v>213</v>
      </c>
      <c r="BG1910">
        <v>61</v>
      </c>
      <c r="BH1910">
        <v>95</v>
      </c>
      <c r="BI1910">
        <v>156</v>
      </c>
      <c r="BP1910">
        <v>214</v>
      </c>
      <c r="BR1910">
        <v>65</v>
      </c>
      <c r="BS1910">
        <v>55</v>
      </c>
      <c r="BT1910">
        <v>8</v>
      </c>
      <c r="BV1910">
        <v>9</v>
      </c>
      <c r="BW1910">
        <v>351</v>
      </c>
      <c r="BX1910">
        <f>IF(C1910=C1909,IF((CI1910-1)=CI1909,BW1909,"no data"))</f>
        <v>536</v>
      </c>
      <c r="BY1910" s="5">
        <f t="shared" si="208"/>
        <v>-0.34514925373134331</v>
      </c>
      <c r="BZ1910" s="6">
        <f t="shared" si="209"/>
        <v>-0.34514925373134331</v>
      </c>
      <c r="CA1910" s="7">
        <v>44528</v>
      </c>
      <c r="CC1910">
        <v>120</v>
      </c>
      <c r="CD1910">
        <v>138</v>
      </c>
      <c r="CE1910">
        <v>93</v>
      </c>
      <c r="CI1910">
        <f t="shared" si="206"/>
        <v>2021</v>
      </c>
      <c r="CJ1910" t="str">
        <f t="shared" si="207"/>
        <v>7032_2021</v>
      </c>
    </row>
    <row r="1911" spans="1:88" x14ac:dyDescent="0.25">
      <c r="A1911" t="s">
        <v>140</v>
      </c>
      <c r="B1911" t="s">
        <v>532</v>
      </c>
      <c r="C1911">
        <v>7035</v>
      </c>
      <c r="D1911">
        <v>-32.635311000000002</v>
      </c>
      <c r="E1911">
        <v>115.619641</v>
      </c>
      <c r="F1911">
        <v>3</v>
      </c>
      <c r="G1911" t="s">
        <v>710</v>
      </c>
      <c r="H1911">
        <v>101</v>
      </c>
      <c r="I1911">
        <v>281</v>
      </c>
      <c r="J1911">
        <v>190</v>
      </c>
      <c r="K1911">
        <v>10</v>
      </c>
      <c r="L1911">
        <v>347</v>
      </c>
      <c r="M1911">
        <v>167</v>
      </c>
      <c r="T1911">
        <v>48</v>
      </c>
      <c r="U1911">
        <v>13</v>
      </c>
      <c r="Y1911">
        <v>30</v>
      </c>
      <c r="Z1911">
        <v>4</v>
      </c>
      <c r="AD1911">
        <v>33</v>
      </c>
      <c r="AE1911">
        <v>2</v>
      </c>
      <c r="AX1911">
        <v>61</v>
      </c>
      <c r="AY1911">
        <v>63</v>
      </c>
      <c r="AZ1911">
        <v>124</v>
      </c>
      <c r="BA1911">
        <v>34</v>
      </c>
      <c r="BB1911">
        <v>50</v>
      </c>
      <c r="BC1911">
        <v>84</v>
      </c>
      <c r="BD1911">
        <v>35</v>
      </c>
      <c r="BE1911">
        <v>17</v>
      </c>
      <c r="BF1911">
        <v>52</v>
      </c>
      <c r="BP1911">
        <v>21</v>
      </c>
      <c r="BR1911">
        <v>85</v>
      </c>
      <c r="BS1911">
        <v>0</v>
      </c>
      <c r="BT1911">
        <v>23</v>
      </c>
      <c r="BV1911">
        <v>1</v>
      </c>
      <c r="BW1911">
        <v>130</v>
      </c>
      <c r="BX1911" t="s">
        <v>82</v>
      </c>
      <c r="BY1911" s="5"/>
      <c r="BZ1911" s="6"/>
      <c r="CA1911" s="7">
        <v>42687</v>
      </c>
      <c r="CE1911">
        <v>40</v>
      </c>
      <c r="CF1911">
        <v>48</v>
      </c>
      <c r="CG1911">
        <v>21</v>
      </c>
      <c r="CH1911">
        <v>21</v>
      </c>
      <c r="CI1911">
        <f t="shared" si="206"/>
        <v>2016</v>
      </c>
      <c r="CJ1911" t="str">
        <f t="shared" si="207"/>
        <v>7035_2016</v>
      </c>
    </row>
    <row r="1912" spans="1:88" x14ac:dyDescent="0.25">
      <c r="A1912" t="s">
        <v>140</v>
      </c>
      <c r="B1912" t="s">
        <v>532</v>
      </c>
      <c r="C1912">
        <v>7036</v>
      </c>
      <c r="D1912">
        <v>-32.648862000000001</v>
      </c>
      <c r="E1912">
        <v>115.64636</v>
      </c>
      <c r="F1912">
        <v>3</v>
      </c>
      <c r="G1912" t="s">
        <v>711</v>
      </c>
      <c r="H1912">
        <v>145</v>
      </c>
      <c r="I1912">
        <v>325</v>
      </c>
      <c r="J1912">
        <v>268</v>
      </c>
      <c r="K1912">
        <v>88</v>
      </c>
      <c r="L1912">
        <v>350</v>
      </c>
      <c r="M1912">
        <v>170</v>
      </c>
      <c r="T1912">
        <v>0</v>
      </c>
      <c r="U1912">
        <v>45</v>
      </c>
      <c r="Y1912">
        <v>0</v>
      </c>
      <c r="Z1912">
        <v>0</v>
      </c>
      <c r="AD1912">
        <v>16</v>
      </c>
      <c r="AE1912">
        <v>0</v>
      </c>
      <c r="AX1912">
        <v>45</v>
      </c>
      <c r="AY1912">
        <v>16</v>
      </c>
      <c r="AZ1912">
        <v>61</v>
      </c>
      <c r="BA1912">
        <v>0</v>
      </c>
      <c r="BB1912">
        <v>0</v>
      </c>
      <c r="BC1912">
        <v>0</v>
      </c>
      <c r="BD1912">
        <v>16</v>
      </c>
      <c r="BE1912">
        <v>45</v>
      </c>
      <c r="BF1912">
        <v>61</v>
      </c>
      <c r="BP1912">
        <v>21</v>
      </c>
      <c r="BR1912">
        <v>22</v>
      </c>
      <c r="BS1912">
        <v>5</v>
      </c>
      <c r="BT1912">
        <v>13</v>
      </c>
      <c r="BV1912">
        <v>0</v>
      </c>
      <c r="BW1912">
        <v>61</v>
      </c>
      <c r="BX1912" t="s">
        <v>82</v>
      </c>
      <c r="BY1912" s="5"/>
      <c r="BZ1912" s="6"/>
      <c r="CA1912" s="7">
        <v>42687</v>
      </c>
      <c r="CE1912">
        <v>10</v>
      </c>
      <c r="CF1912">
        <v>14</v>
      </c>
      <c r="CG1912">
        <v>22</v>
      </c>
      <c r="CH1912">
        <v>15</v>
      </c>
      <c r="CI1912">
        <f t="shared" si="206"/>
        <v>2016</v>
      </c>
      <c r="CJ1912" t="str">
        <f t="shared" si="207"/>
        <v>7036_2016</v>
      </c>
    </row>
    <row r="1913" spans="1:88" x14ac:dyDescent="0.25">
      <c r="A1913" t="s">
        <v>140</v>
      </c>
      <c r="B1913" t="s">
        <v>532</v>
      </c>
      <c r="C1913">
        <v>7037</v>
      </c>
      <c r="D1913">
        <v>-32.623083999999999</v>
      </c>
      <c r="E1913">
        <v>115.641385</v>
      </c>
      <c r="F1913">
        <v>3</v>
      </c>
      <c r="G1913" t="s">
        <v>712</v>
      </c>
      <c r="H1913">
        <v>185</v>
      </c>
      <c r="I1913">
        <v>5</v>
      </c>
      <c r="J1913">
        <v>272</v>
      </c>
      <c r="K1913">
        <v>92</v>
      </c>
      <c r="L1913">
        <v>359</v>
      </c>
      <c r="M1913">
        <v>179</v>
      </c>
      <c r="T1913">
        <v>13</v>
      </c>
      <c r="U1913">
        <v>38</v>
      </c>
      <c r="Y1913">
        <v>0</v>
      </c>
      <c r="Z1913">
        <v>0</v>
      </c>
      <c r="AD1913">
        <v>36</v>
      </c>
      <c r="AE1913">
        <v>0</v>
      </c>
      <c r="AX1913">
        <v>51</v>
      </c>
      <c r="AY1913">
        <v>36</v>
      </c>
      <c r="AZ1913">
        <v>87</v>
      </c>
      <c r="BA1913">
        <v>0</v>
      </c>
      <c r="BB1913">
        <v>13</v>
      </c>
      <c r="BC1913">
        <v>13</v>
      </c>
      <c r="BD1913">
        <v>36</v>
      </c>
      <c r="BE1913">
        <v>38</v>
      </c>
      <c r="BF1913">
        <v>74</v>
      </c>
      <c r="BP1913">
        <v>20</v>
      </c>
      <c r="BR1913">
        <v>49</v>
      </c>
      <c r="BS1913">
        <v>5</v>
      </c>
      <c r="BT1913">
        <v>10</v>
      </c>
      <c r="BV1913">
        <v>3</v>
      </c>
      <c r="BW1913">
        <v>87</v>
      </c>
      <c r="BX1913" t="s">
        <v>82</v>
      </c>
      <c r="BY1913" s="5"/>
      <c r="BZ1913" s="6"/>
      <c r="CA1913" s="7">
        <v>42687</v>
      </c>
      <c r="CE1913">
        <v>32</v>
      </c>
      <c r="CF1913">
        <v>41</v>
      </c>
      <c r="CG1913">
        <v>9</v>
      </c>
      <c r="CH1913">
        <v>5</v>
      </c>
      <c r="CI1913">
        <f t="shared" si="206"/>
        <v>2016</v>
      </c>
      <c r="CJ1913" t="str">
        <f t="shared" si="207"/>
        <v>7037_2016</v>
      </c>
    </row>
    <row r="1914" spans="1:88" x14ac:dyDescent="0.25">
      <c r="A1914" t="s">
        <v>140</v>
      </c>
      <c r="B1914" t="s">
        <v>532</v>
      </c>
      <c r="C1914">
        <v>7038</v>
      </c>
      <c r="D1914">
        <v>-32.496996000000003</v>
      </c>
      <c r="E1914">
        <v>115.740915</v>
      </c>
      <c r="F1914">
        <v>4</v>
      </c>
      <c r="G1914" t="s">
        <v>713</v>
      </c>
      <c r="H1914">
        <v>15</v>
      </c>
      <c r="I1914">
        <v>195</v>
      </c>
      <c r="J1914">
        <v>89</v>
      </c>
      <c r="K1914">
        <v>269</v>
      </c>
      <c r="L1914">
        <v>205</v>
      </c>
      <c r="M1914">
        <v>25</v>
      </c>
      <c r="N1914">
        <v>279</v>
      </c>
      <c r="O1914">
        <v>99</v>
      </c>
      <c r="T1914">
        <v>15</v>
      </c>
      <c r="U1914">
        <v>43</v>
      </c>
      <c r="V1914">
        <v>4</v>
      </c>
      <c r="Y1914">
        <v>7</v>
      </c>
      <c r="Z1914">
        <v>8</v>
      </c>
      <c r="AA1914">
        <v>63</v>
      </c>
      <c r="AD1914">
        <v>40</v>
      </c>
      <c r="AE1914">
        <v>15</v>
      </c>
      <c r="AF1914">
        <v>2</v>
      </c>
      <c r="AI1914">
        <v>6</v>
      </c>
      <c r="AJ1914">
        <v>45</v>
      </c>
      <c r="AK1914">
        <v>1</v>
      </c>
      <c r="AX1914">
        <v>62</v>
      </c>
      <c r="AY1914">
        <v>53</v>
      </c>
      <c r="AZ1914">
        <v>115</v>
      </c>
      <c r="BA1914">
        <v>78</v>
      </c>
      <c r="BB1914">
        <v>75</v>
      </c>
      <c r="BC1914">
        <v>153</v>
      </c>
      <c r="BD1914">
        <v>57</v>
      </c>
      <c r="BE1914">
        <v>52</v>
      </c>
      <c r="BF1914">
        <v>109</v>
      </c>
      <c r="BG1914">
        <v>52</v>
      </c>
      <c r="BH1914">
        <v>69</v>
      </c>
      <c r="BI1914">
        <v>121</v>
      </c>
      <c r="BP1914">
        <v>75</v>
      </c>
      <c r="BR1914">
        <v>129</v>
      </c>
      <c r="BS1914">
        <v>3</v>
      </c>
      <c r="BT1914">
        <v>38</v>
      </c>
      <c r="BV1914">
        <v>4</v>
      </c>
      <c r="BW1914">
        <v>249</v>
      </c>
      <c r="BX1914" t="s">
        <v>82</v>
      </c>
      <c r="BY1914" s="5"/>
      <c r="BZ1914" s="6"/>
      <c r="CA1914" s="7">
        <v>42687</v>
      </c>
      <c r="CE1914">
        <v>84</v>
      </c>
      <c r="CF1914">
        <v>67</v>
      </c>
      <c r="CG1914">
        <v>54</v>
      </c>
      <c r="CH1914">
        <v>44</v>
      </c>
      <c r="CI1914">
        <f t="shared" si="206"/>
        <v>2016</v>
      </c>
      <c r="CJ1914" t="str">
        <f t="shared" si="207"/>
        <v>7038_2016</v>
      </c>
    </row>
    <row r="1915" spans="1:88" x14ac:dyDescent="0.25">
      <c r="A1915" t="s">
        <v>140</v>
      </c>
      <c r="B1915" t="s">
        <v>532</v>
      </c>
      <c r="C1915">
        <v>7039</v>
      </c>
      <c r="D1915">
        <v>-32.469307999999998</v>
      </c>
      <c r="E1915">
        <v>115.747953</v>
      </c>
      <c r="F1915">
        <v>4</v>
      </c>
      <c r="G1915" t="s">
        <v>714</v>
      </c>
      <c r="H1915">
        <v>1</v>
      </c>
      <c r="I1915">
        <v>181</v>
      </c>
      <c r="J1915">
        <v>51</v>
      </c>
      <c r="K1915">
        <v>231</v>
      </c>
      <c r="L1915">
        <v>99</v>
      </c>
      <c r="M1915">
        <v>279</v>
      </c>
      <c r="N1915">
        <v>185</v>
      </c>
      <c r="O1915">
        <v>5</v>
      </c>
      <c r="T1915">
        <v>18</v>
      </c>
      <c r="U1915">
        <v>4</v>
      </c>
      <c r="V1915">
        <v>14</v>
      </c>
      <c r="Y1915">
        <v>12</v>
      </c>
      <c r="Z1915">
        <v>14</v>
      </c>
      <c r="AA1915">
        <v>6</v>
      </c>
      <c r="AD1915">
        <v>0</v>
      </c>
      <c r="AE1915">
        <v>14</v>
      </c>
      <c r="AF1915">
        <v>23</v>
      </c>
      <c r="AI1915">
        <v>19</v>
      </c>
      <c r="AJ1915">
        <v>9</v>
      </c>
      <c r="AK1915">
        <v>38</v>
      </c>
      <c r="AX1915">
        <v>36</v>
      </c>
      <c r="AY1915">
        <v>31</v>
      </c>
      <c r="AZ1915">
        <v>67</v>
      </c>
      <c r="BA1915">
        <v>32</v>
      </c>
      <c r="BB1915">
        <v>41</v>
      </c>
      <c r="BC1915">
        <v>73</v>
      </c>
      <c r="BD1915">
        <v>37</v>
      </c>
      <c r="BE1915">
        <v>56</v>
      </c>
      <c r="BF1915">
        <v>93</v>
      </c>
      <c r="BG1915">
        <v>66</v>
      </c>
      <c r="BH1915">
        <v>43</v>
      </c>
      <c r="BI1915">
        <v>109</v>
      </c>
      <c r="BP1915">
        <v>34</v>
      </c>
      <c r="BR1915">
        <v>87</v>
      </c>
      <c r="BS1915">
        <v>13</v>
      </c>
      <c r="BT1915">
        <v>25</v>
      </c>
      <c r="BV1915">
        <v>12</v>
      </c>
      <c r="BW1915">
        <v>171</v>
      </c>
      <c r="BX1915" t="s">
        <v>82</v>
      </c>
      <c r="BY1915" s="5"/>
      <c r="BZ1915" s="6"/>
      <c r="CA1915" s="7">
        <v>42687</v>
      </c>
      <c r="CE1915">
        <v>74</v>
      </c>
      <c r="CF1915">
        <v>31</v>
      </c>
      <c r="CG1915">
        <v>44</v>
      </c>
      <c r="CH1915">
        <v>22</v>
      </c>
      <c r="CI1915">
        <f t="shared" si="206"/>
        <v>2016</v>
      </c>
      <c r="CJ1915" t="str">
        <f t="shared" si="207"/>
        <v>7039_2016</v>
      </c>
    </row>
    <row r="1916" spans="1:88" x14ac:dyDescent="0.25">
      <c r="A1916" t="s">
        <v>140</v>
      </c>
      <c r="B1916" t="s">
        <v>532</v>
      </c>
      <c r="C1916">
        <v>7040</v>
      </c>
      <c r="D1916">
        <v>-32.468665000000001</v>
      </c>
      <c r="E1916">
        <v>115.758822</v>
      </c>
      <c r="F1916">
        <v>3</v>
      </c>
      <c r="G1916" t="s">
        <v>715</v>
      </c>
      <c r="H1916">
        <v>12</v>
      </c>
      <c r="I1916">
        <v>192</v>
      </c>
      <c r="J1916">
        <v>188</v>
      </c>
      <c r="K1916">
        <v>8</v>
      </c>
      <c r="L1916">
        <v>279</v>
      </c>
      <c r="M1916">
        <v>99</v>
      </c>
      <c r="T1916">
        <v>2</v>
      </c>
      <c r="U1916">
        <v>0</v>
      </c>
      <c r="Y1916">
        <v>3</v>
      </c>
      <c r="Z1916">
        <v>0</v>
      </c>
      <c r="AD1916">
        <v>7</v>
      </c>
      <c r="AE1916">
        <v>2</v>
      </c>
      <c r="AX1916">
        <v>2</v>
      </c>
      <c r="AY1916">
        <v>10</v>
      </c>
      <c r="AZ1916">
        <v>12</v>
      </c>
      <c r="BA1916">
        <v>3</v>
      </c>
      <c r="BB1916">
        <v>4</v>
      </c>
      <c r="BC1916">
        <v>7</v>
      </c>
      <c r="BD1916">
        <v>9</v>
      </c>
      <c r="BE1916">
        <v>0</v>
      </c>
      <c r="BF1916">
        <v>9</v>
      </c>
      <c r="BP1916">
        <v>10</v>
      </c>
      <c r="BR1916">
        <v>1</v>
      </c>
      <c r="BS1916">
        <v>2</v>
      </c>
      <c r="BT1916">
        <v>1</v>
      </c>
      <c r="BV1916">
        <v>0</v>
      </c>
      <c r="BW1916">
        <v>14</v>
      </c>
      <c r="BX1916" t="s">
        <v>82</v>
      </c>
      <c r="BY1916" s="5"/>
      <c r="BZ1916" s="6"/>
      <c r="CA1916" s="7">
        <v>42687</v>
      </c>
      <c r="CE1916">
        <v>13</v>
      </c>
      <c r="CF1916">
        <v>1</v>
      </c>
      <c r="CG1916">
        <v>0</v>
      </c>
      <c r="CH1916">
        <v>0</v>
      </c>
      <c r="CI1916">
        <f t="shared" si="206"/>
        <v>2016</v>
      </c>
      <c r="CJ1916" t="str">
        <f t="shared" si="207"/>
        <v>7040_2016</v>
      </c>
    </row>
    <row r="1917" spans="1:88" x14ac:dyDescent="0.25">
      <c r="A1917" t="s">
        <v>111</v>
      </c>
      <c r="B1917" t="s">
        <v>261</v>
      </c>
      <c r="C1917">
        <v>7041</v>
      </c>
      <c r="D1917">
        <v>-38.059562999999997</v>
      </c>
      <c r="E1917">
        <v>145.147099</v>
      </c>
      <c r="F1917">
        <v>4</v>
      </c>
      <c r="G1917" t="s">
        <v>716</v>
      </c>
      <c r="H1917">
        <v>47</v>
      </c>
      <c r="I1917">
        <v>227</v>
      </c>
      <c r="J1917">
        <v>171</v>
      </c>
      <c r="K1917">
        <v>351</v>
      </c>
      <c r="L1917">
        <v>215</v>
      </c>
      <c r="M1917">
        <v>35</v>
      </c>
      <c r="N1917">
        <v>336</v>
      </c>
      <c r="O1917">
        <v>156</v>
      </c>
      <c r="T1917">
        <v>4</v>
      </c>
      <c r="U1917">
        <v>11</v>
      </c>
      <c r="V1917">
        <v>3</v>
      </c>
      <c r="Y1917">
        <v>6</v>
      </c>
      <c r="Z1917">
        <v>6</v>
      </c>
      <c r="AA1917">
        <v>10</v>
      </c>
      <c r="AD1917">
        <v>4</v>
      </c>
      <c r="AE1917">
        <v>3</v>
      </c>
      <c r="AF1917">
        <v>27</v>
      </c>
      <c r="AI1917">
        <v>3</v>
      </c>
      <c r="AJ1917">
        <v>10</v>
      </c>
      <c r="AK1917">
        <v>38</v>
      </c>
      <c r="AX1917">
        <v>18</v>
      </c>
      <c r="AY1917">
        <v>13</v>
      </c>
      <c r="AZ1917">
        <v>31</v>
      </c>
      <c r="BA1917">
        <v>22</v>
      </c>
      <c r="BB1917">
        <v>17</v>
      </c>
      <c r="BC1917">
        <v>39</v>
      </c>
      <c r="BD1917">
        <v>34</v>
      </c>
      <c r="BE1917">
        <v>55</v>
      </c>
      <c r="BF1917">
        <v>89</v>
      </c>
      <c r="BG1917">
        <v>51</v>
      </c>
      <c r="BH1917">
        <v>40</v>
      </c>
      <c r="BI1917">
        <v>91</v>
      </c>
      <c r="BP1917">
        <v>26</v>
      </c>
      <c r="BR1917">
        <v>67</v>
      </c>
      <c r="BS1917">
        <v>20</v>
      </c>
      <c r="BT1917">
        <v>12</v>
      </c>
      <c r="BV1917">
        <v>0</v>
      </c>
      <c r="BW1917">
        <v>125</v>
      </c>
      <c r="BX1917" t="s">
        <v>82</v>
      </c>
      <c r="BY1917" s="5"/>
      <c r="BZ1917" s="6"/>
      <c r="CA1917" s="7">
        <v>42687</v>
      </c>
      <c r="CE1917">
        <v>35</v>
      </c>
      <c r="CF1917">
        <v>29</v>
      </c>
      <c r="CG1917">
        <v>39</v>
      </c>
      <c r="CH1917">
        <v>22</v>
      </c>
      <c r="CI1917">
        <f t="shared" si="206"/>
        <v>2016</v>
      </c>
      <c r="CJ1917" t="str">
        <f t="shared" si="207"/>
        <v>7041_2016</v>
      </c>
    </row>
    <row r="1918" spans="1:88" x14ac:dyDescent="0.25">
      <c r="A1918" t="s">
        <v>111</v>
      </c>
      <c r="B1918" t="s">
        <v>261</v>
      </c>
      <c r="C1918">
        <v>7041</v>
      </c>
      <c r="D1918">
        <v>-38.059562999999997</v>
      </c>
      <c r="E1918">
        <v>145.14708999999999</v>
      </c>
      <c r="F1918">
        <v>5</v>
      </c>
      <c r="G1918" t="s">
        <v>717</v>
      </c>
      <c r="H1918">
        <v>47</v>
      </c>
      <c r="I1918">
        <v>227</v>
      </c>
      <c r="J1918">
        <v>171</v>
      </c>
      <c r="K1918">
        <v>351</v>
      </c>
      <c r="L1918">
        <v>185</v>
      </c>
      <c r="M1918">
        <v>5</v>
      </c>
      <c r="N1918">
        <v>215</v>
      </c>
      <c r="O1918">
        <v>35</v>
      </c>
      <c r="P1918">
        <v>336</v>
      </c>
      <c r="Q1918">
        <v>156</v>
      </c>
      <c r="T1918">
        <v>7</v>
      </c>
      <c r="U1918">
        <v>1</v>
      </c>
      <c r="V1918">
        <v>16</v>
      </c>
      <c r="W1918">
        <v>34</v>
      </c>
      <c r="Y1918">
        <v>9</v>
      </c>
      <c r="Z1918">
        <v>0</v>
      </c>
      <c r="AA1918">
        <v>17</v>
      </c>
      <c r="AB1918">
        <v>14</v>
      </c>
      <c r="AD1918">
        <v>0</v>
      </c>
      <c r="AE1918">
        <v>0</v>
      </c>
      <c r="AF1918">
        <v>3</v>
      </c>
      <c r="AG1918">
        <v>6</v>
      </c>
      <c r="AI1918">
        <v>18</v>
      </c>
      <c r="AJ1918">
        <v>14</v>
      </c>
      <c r="AK1918">
        <v>1</v>
      </c>
      <c r="AL1918">
        <v>134</v>
      </c>
      <c r="AN1918">
        <v>20</v>
      </c>
      <c r="AO1918">
        <v>31</v>
      </c>
      <c r="AP1918">
        <v>4</v>
      </c>
      <c r="AQ1918">
        <v>107</v>
      </c>
      <c r="AX1918">
        <v>58</v>
      </c>
      <c r="AY1918">
        <v>47</v>
      </c>
      <c r="AZ1918">
        <v>105</v>
      </c>
      <c r="BA1918">
        <v>40</v>
      </c>
      <c r="BB1918">
        <v>52</v>
      </c>
      <c r="BC1918">
        <v>92</v>
      </c>
      <c r="BD1918">
        <v>9</v>
      </c>
      <c r="BE1918">
        <v>6</v>
      </c>
      <c r="BF1918">
        <v>15</v>
      </c>
      <c r="BG1918">
        <v>167</v>
      </c>
      <c r="BH1918">
        <v>143</v>
      </c>
      <c r="BI1918">
        <v>310</v>
      </c>
      <c r="BJ1918">
        <v>162</v>
      </c>
      <c r="BK1918">
        <v>188</v>
      </c>
      <c r="BL1918">
        <v>350</v>
      </c>
      <c r="BP1918">
        <v>206</v>
      </c>
      <c r="BR1918">
        <v>167</v>
      </c>
      <c r="BS1918">
        <v>31</v>
      </c>
      <c r="BT1918">
        <v>26</v>
      </c>
      <c r="BV1918">
        <v>6</v>
      </c>
      <c r="BW1918">
        <v>436</v>
      </c>
      <c r="BX1918">
        <f>IF(C1918=C1917,IF((CI1918-1)=CI1917,BW1917,"no data"))</f>
        <v>125</v>
      </c>
      <c r="BY1918" s="5">
        <f t="shared" si="208"/>
        <v>2.488</v>
      </c>
      <c r="BZ1918" s="6">
        <f t="shared" si="209"/>
        <v>2.488</v>
      </c>
      <c r="CA1918" s="7">
        <v>43051</v>
      </c>
      <c r="CE1918">
        <v>145</v>
      </c>
      <c r="CF1918">
        <v>94</v>
      </c>
      <c r="CG1918">
        <v>105</v>
      </c>
      <c r="CH1918">
        <v>92</v>
      </c>
      <c r="CI1918">
        <f t="shared" si="206"/>
        <v>2017</v>
      </c>
      <c r="CJ1918" t="str">
        <f t="shared" si="207"/>
        <v>7041_2017</v>
      </c>
    </row>
    <row r="1919" spans="1:88" x14ac:dyDescent="0.25">
      <c r="A1919" t="s">
        <v>111</v>
      </c>
      <c r="B1919" t="s">
        <v>261</v>
      </c>
      <c r="C1919">
        <v>7041</v>
      </c>
      <c r="D1919">
        <v>-38.059562999999997</v>
      </c>
      <c r="E1919">
        <v>145.14708999999999</v>
      </c>
      <c r="F1919">
        <v>5</v>
      </c>
      <c r="G1919" t="s">
        <v>717</v>
      </c>
      <c r="H1919">
        <v>47</v>
      </c>
      <c r="I1919">
        <v>227</v>
      </c>
      <c r="J1919">
        <v>171</v>
      </c>
      <c r="K1919">
        <v>351</v>
      </c>
      <c r="L1919">
        <v>185</v>
      </c>
      <c r="M1919">
        <v>5</v>
      </c>
      <c r="N1919">
        <v>215</v>
      </c>
      <c r="O1919">
        <v>35</v>
      </c>
      <c r="P1919">
        <v>336</v>
      </c>
      <c r="Q1919">
        <v>156</v>
      </c>
      <c r="T1919">
        <v>7</v>
      </c>
      <c r="U1919">
        <v>7</v>
      </c>
      <c r="V1919">
        <v>22</v>
      </c>
      <c r="W1919">
        <v>36</v>
      </c>
      <c r="Y1919">
        <v>9</v>
      </c>
      <c r="Z1919">
        <v>4</v>
      </c>
      <c r="AA1919">
        <v>4</v>
      </c>
      <c r="AB1919">
        <v>14</v>
      </c>
      <c r="AD1919">
        <v>0</v>
      </c>
      <c r="AE1919">
        <v>2</v>
      </c>
      <c r="AF1919">
        <v>5</v>
      </c>
      <c r="AG1919">
        <v>25</v>
      </c>
      <c r="AI1919">
        <v>25</v>
      </c>
      <c r="AJ1919">
        <v>17</v>
      </c>
      <c r="AK1919">
        <v>12</v>
      </c>
      <c r="AL1919">
        <v>89</v>
      </c>
      <c r="AN1919">
        <v>35</v>
      </c>
      <c r="AO1919">
        <v>31</v>
      </c>
      <c r="AP1919">
        <v>23</v>
      </c>
      <c r="AQ1919">
        <v>102</v>
      </c>
      <c r="AX1919">
        <v>72</v>
      </c>
      <c r="AY1919">
        <v>69</v>
      </c>
      <c r="AZ1919">
        <v>141</v>
      </c>
      <c r="BA1919">
        <v>31</v>
      </c>
      <c r="BB1919">
        <v>57</v>
      </c>
      <c r="BC1919">
        <v>88</v>
      </c>
      <c r="BD1919">
        <v>32</v>
      </c>
      <c r="BE1919">
        <v>46</v>
      </c>
      <c r="BF1919">
        <v>78</v>
      </c>
      <c r="BG1919">
        <v>143</v>
      </c>
      <c r="BH1919">
        <v>133</v>
      </c>
      <c r="BI1919">
        <v>276</v>
      </c>
      <c r="BJ1919">
        <v>191</v>
      </c>
      <c r="BK1919">
        <v>164</v>
      </c>
      <c r="BL1919">
        <v>355</v>
      </c>
      <c r="BP1919">
        <v>249</v>
      </c>
      <c r="BR1919">
        <v>119</v>
      </c>
      <c r="BS1919">
        <v>43</v>
      </c>
      <c r="BT1919">
        <v>39</v>
      </c>
      <c r="BV1919">
        <v>19</v>
      </c>
      <c r="BW1919">
        <v>469</v>
      </c>
      <c r="BX1919">
        <f>IF(C1919=C1918,IF((CI1919-1)=CI1918,BW1918,"no data"))</f>
        <v>436</v>
      </c>
      <c r="BY1919" s="5">
        <f t="shared" si="208"/>
        <v>7.5688073394495417E-2</v>
      </c>
      <c r="BZ1919" s="6">
        <f t="shared" si="209"/>
        <v>7.5688073394495417E-2</v>
      </c>
      <c r="CA1919" s="7">
        <v>43415</v>
      </c>
      <c r="CE1919">
        <v>139</v>
      </c>
      <c r="CF1919">
        <v>111</v>
      </c>
      <c r="CG1919">
        <v>127</v>
      </c>
      <c r="CH1919">
        <v>92</v>
      </c>
      <c r="CI1919">
        <f t="shared" si="206"/>
        <v>2018</v>
      </c>
      <c r="CJ1919" t="str">
        <f t="shared" si="207"/>
        <v>7041_2018</v>
      </c>
    </row>
    <row r="1920" spans="1:88" x14ac:dyDescent="0.25">
      <c r="A1920" t="s">
        <v>111</v>
      </c>
      <c r="B1920" t="s">
        <v>261</v>
      </c>
      <c r="C1920">
        <v>7041</v>
      </c>
      <c r="D1920">
        <v>-38.059600000000003</v>
      </c>
      <c r="E1920">
        <v>145.14709999999999</v>
      </c>
      <c r="F1920">
        <v>5</v>
      </c>
      <c r="G1920" t="s">
        <v>717</v>
      </c>
      <c r="H1920">
        <v>47</v>
      </c>
      <c r="I1920">
        <v>227</v>
      </c>
      <c r="J1920">
        <v>171</v>
      </c>
      <c r="K1920">
        <v>351</v>
      </c>
      <c r="L1920">
        <v>185</v>
      </c>
      <c r="M1920">
        <v>5</v>
      </c>
      <c r="N1920">
        <v>215</v>
      </c>
      <c r="O1920">
        <v>35</v>
      </c>
      <c r="P1920">
        <v>336</v>
      </c>
      <c r="Q1920">
        <v>156</v>
      </c>
      <c r="T1920">
        <v>3</v>
      </c>
      <c r="U1920">
        <v>4</v>
      </c>
      <c r="V1920">
        <v>17</v>
      </c>
      <c r="W1920">
        <v>16</v>
      </c>
      <c r="Y1920">
        <v>5</v>
      </c>
      <c r="Z1920">
        <v>0</v>
      </c>
      <c r="AA1920">
        <v>3</v>
      </c>
      <c r="AB1920">
        <v>7</v>
      </c>
      <c r="AD1920">
        <v>3</v>
      </c>
      <c r="AE1920">
        <v>2</v>
      </c>
      <c r="AF1920">
        <v>1</v>
      </c>
      <c r="AG1920">
        <v>31</v>
      </c>
      <c r="AI1920">
        <v>7</v>
      </c>
      <c r="AJ1920">
        <v>10</v>
      </c>
      <c r="AK1920">
        <v>3</v>
      </c>
      <c r="AL1920">
        <v>82</v>
      </c>
      <c r="AN1920">
        <v>11</v>
      </c>
      <c r="AO1920">
        <v>6</v>
      </c>
      <c r="AP1920">
        <v>28</v>
      </c>
      <c r="AQ1920">
        <v>51</v>
      </c>
      <c r="AX1920">
        <v>40</v>
      </c>
      <c r="AY1920">
        <v>26</v>
      </c>
      <c r="AZ1920">
        <v>66</v>
      </c>
      <c r="BA1920">
        <v>15</v>
      </c>
      <c r="BB1920">
        <v>21</v>
      </c>
      <c r="BC1920">
        <v>36</v>
      </c>
      <c r="BD1920">
        <v>37</v>
      </c>
      <c r="BE1920">
        <v>35</v>
      </c>
      <c r="BF1920">
        <v>72</v>
      </c>
      <c r="BG1920">
        <v>102</v>
      </c>
      <c r="BH1920">
        <v>72</v>
      </c>
      <c r="BI1920">
        <v>174</v>
      </c>
      <c r="BJ1920">
        <v>96</v>
      </c>
      <c r="BK1920">
        <v>136</v>
      </c>
      <c r="BL1920">
        <v>232</v>
      </c>
      <c r="BP1920">
        <v>119</v>
      </c>
      <c r="BR1920">
        <v>95</v>
      </c>
      <c r="BS1920">
        <v>33</v>
      </c>
      <c r="BT1920">
        <v>27</v>
      </c>
      <c r="BV1920">
        <v>16</v>
      </c>
      <c r="BW1920">
        <v>290</v>
      </c>
      <c r="BX1920">
        <f>IF(C1920=C1919,IF((CI1920-1)=CI1919,BW1919,"no data"))</f>
        <v>469</v>
      </c>
      <c r="BY1920" s="5">
        <f t="shared" si="208"/>
        <v>-0.3816631130063966</v>
      </c>
      <c r="BZ1920" s="6">
        <f t="shared" si="209"/>
        <v>-0.3816631130063966</v>
      </c>
      <c r="CA1920" s="7">
        <v>43779</v>
      </c>
      <c r="CE1920">
        <v>71</v>
      </c>
      <c r="CF1920">
        <v>72</v>
      </c>
      <c r="CG1920">
        <v>81</v>
      </c>
      <c r="CH1920">
        <v>66</v>
      </c>
      <c r="CI1920">
        <f t="shared" si="206"/>
        <v>2019</v>
      </c>
      <c r="CJ1920" t="str">
        <f t="shared" si="207"/>
        <v>7041_2019</v>
      </c>
    </row>
    <row r="1921" spans="1:88" x14ac:dyDescent="0.25">
      <c r="A1921" t="s">
        <v>111</v>
      </c>
      <c r="B1921" t="s">
        <v>261</v>
      </c>
      <c r="C1921">
        <v>7041</v>
      </c>
      <c r="D1921">
        <v>-38.059600000000003</v>
      </c>
      <c r="E1921">
        <v>145.14709999999999</v>
      </c>
      <c r="F1921">
        <v>5</v>
      </c>
      <c r="G1921" t="s">
        <v>717</v>
      </c>
      <c r="H1921">
        <v>47</v>
      </c>
      <c r="I1921">
        <v>227</v>
      </c>
      <c r="J1921">
        <v>171</v>
      </c>
      <c r="K1921">
        <v>351</v>
      </c>
      <c r="L1921">
        <v>185</v>
      </c>
      <c r="M1921">
        <v>5</v>
      </c>
      <c r="N1921">
        <v>215</v>
      </c>
      <c r="O1921">
        <v>35</v>
      </c>
      <c r="P1921">
        <v>336</v>
      </c>
      <c r="Q1921">
        <v>156</v>
      </c>
      <c r="T1921">
        <v>42</v>
      </c>
      <c r="U1921">
        <v>1</v>
      </c>
      <c r="V1921">
        <v>72</v>
      </c>
      <c r="W1921">
        <v>46</v>
      </c>
      <c r="Y1921">
        <v>18</v>
      </c>
      <c r="Z1921">
        <v>0</v>
      </c>
      <c r="AA1921">
        <v>26</v>
      </c>
      <c r="AB1921">
        <v>60</v>
      </c>
      <c r="AD1921">
        <v>1</v>
      </c>
      <c r="AE1921">
        <v>0</v>
      </c>
      <c r="AF1921">
        <v>12</v>
      </c>
      <c r="AG1921">
        <v>52</v>
      </c>
      <c r="AI1921">
        <v>67</v>
      </c>
      <c r="AJ1921">
        <v>44</v>
      </c>
      <c r="AK1921">
        <v>12</v>
      </c>
      <c r="AL1921">
        <v>215</v>
      </c>
      <c r="AN1921">
        <v>19</v>
      </c>
      <c r="AO1921">
        <v>47</v>
      </c>
      <c r="AP1921">
        <v>84</v>
      </c>
      <c r="AQ1921">
        <v>230</v>
      </c>
      <c r="AX1921">
        <v>161</v>
      </c>
      <c r="AY1921">
        <v>105</v>
      </c>
      <c r="AZ1921">
        <v>266</v>
      </c>
      <c r="BA1921">
        <v>104</v>
      </c>
      <c r="BB1921">
        <v>133</v>
      </c>
      <c r="BC1921">
        <v>237</v>
      </c>
      <c r="BD1921">
        <v>65</v>
      </c>
      <c r="BE1921">
        <v>97</v>
      </c>
      <c r="BF1921">
        <v>162</v>
      </c>
      <c r="BG1921">
        <v>338</v>
      </c>
      <c r="BH1921">
        <v>340</v>
      </c>
      <c r="BI1921">
        <v>678</v>
      </c>
      <c r="BJ1921">
        <v>380</v>
      </c>
      <c r="BK1921">
        <v>373</v>
      </c>
      <c r="BL1921">
        <v>753</v>
      </c>
      <c r="BP1921">
        <v>642</v>
      </c>
      <c r="BR1921">
        <v>270</v>
      </c>
      <c r="BS1921">
        <v>101</v>
      </c>
      <c r="BT1921">
        <v>31</v>
      </c>
      <c r="BV1921">
        <v>4</v>
      </c>
      <c r="BW1921">
        <v>1048</v>
      </c>
      <c r="BX1921">
        <f>IF(C1921=C1920,IF((CI1921-1)=CI1920,BW1920,"no data"))</f>
        <v>290</v>
      </c>
      <c r="BY1921" s="5">
        <f t="shared" si="208"/>
        <v>2.613793103448276</v>
      </c>
      <c r="BZ1921" s="6">
        <f t="shared" si="209"/>
        <v>2.613793103448276</v>
      </c>
      <c r="CA1921" s="7">
        <v>44143</v>
      </c>
      <c r="CE1921">
        <v>284</v>
      </c>
      <c r="CF1921">
        <v>256</v>
      </c>
      <c r="CG1921">
        <v>261</v>
      </c>
      <c r="CH1921">
        <v>247</v>
      </c>
      <c r="CI1921">
        <f t="shared" si="206"/>
        <v>2020</v>
      </c>
      <c r="CJ1921" t="str">
        <f t="shared" si="207"/>
        <v>7041_2020</v>
      </c>
    </row>
    <row r="1922" spans="1:88" x14ac:dyDescent="0.25">
      <c r="A1922" t="s">
        <v>140</v>
      </c>
      <c r="B1922" t="s">
        <v>141</v>
      </c>
      <c r="C1922">
        <v>7046</v>
      </c>
      <c r="D1922">
        <v>-31.957889000000002</v>
      </c>
      <c r="E1922">
        <v>115.88438600000001</v>
      </c>
      <c r="F1922">
        <v>2</v>
      </c>
      <c r="G1922" t="s">
        <v>704</v>
      </c>
      <c r="H1922">
        <v>176</v>
      </c>
      <c r="I1922">
        <v>356</v>
      </c>
      <c r="J1922">
        <v>339</v>
      </c>
      <c r="K1922">
        <v>159</v>
      </c>
      <c r="T1922">
        <v>1550</v>
      </c>
      <c r="Y1922">
        <v>298</v>
      </c>
      <c r="AX1922">
        <v>1550</v>
      </c>
      <c r="AY1922">
        <v>298</v>
      </c>
      <c r="AZ1922">
        <v>1848</v>
      </c>
      <c r="BA1922">
        <v>298</v>
      </c>
      <c r="BB1922">
        <v>1550</v>
      </c>
      <c r="BC1922">
        <v>1848</v>
      </c>
      <c r="BP1922">
        <v>292</v>
      </c>
      <c r="BR1922">
        <v>1358</v>
      </c>
      <c r="BS1922">
        <v>66</v>
      </c>
      <c r="BT1922">
        <v>11</v>
      </c>
      <c r="BV1922">
        <v>121</v>
      </c>
      <c r="BW1922">
        <v>1848</v>
      </c>
      <c r="BX1922" t="s">
        <v>82</v>
      </c>
      <c r="BY1922" s="5"/>
      <c r="BZ1922" s="6"/>
      <c r="CA1922" s="7">
        <v>42687</v>
      </c>
      <c r="CE1922">
        <v>1322</v>
      </c>
      <c r="CF1922">
        <v>305</v>
      </c>
      <c r="CG1922">
        <v>144</v>
      </c>
      <c r="CH1922">
        <v>77</v>
      </c>
      <c r="CI1922">
        <f t="shared" si="206"/>
        <v>2016</v>
      </c>
      <c r="CJ1922" t="str">
        <f t="shared" si="207"/>
        <v>7046_2016</v>
      </c>
    </row>
    <row r="1923" spans="1:88" x14ac:dyDescent="0.25">
      <c r="A1923" t="s">
        <v>140</v>
      </c>
      <c r="B1923" t="s">
        <v>141</v>
      </c>
      <c r="C1923">
        <v>7046</v>
      </c>
      <c r="D1923">
        <v>-31.957643999999998</v>
      </c>
      <c r="E1923">
        <v>115.88421</v>
      </c>
      <c r="F1923">
        <v>2</v>
      </c>
      <c r="G1923" t="s">
        <v>704</v>
      </c>
      <c r="H1923">
        <v>176</v>
      </c>
      <c r="I1923">
        <v>356</v>
      </c>
      <c r="J1923">
        <v>339</v>
      </c>
      <c r="K1923">
        <v>159</v>
      </c>
      <c r="T1923">
        <v>446</v>
      </c>
      <c r="Y1923">
        <v>491</v>
      </c>
      <c r="AX1923">
        <v>446</v>
      </c>
      <c r="AY1923">
        <v>491</v>
      </c>
      <c r="AZ1923">
        <v>937</v>
      </c>
      <c r="BA1923">
        <v>491</v>
      </c>
      <c r="BB1923">
        <v>446</v>
      </c>
      <c r="BC1923">
        <v>937</v>
      </c>
      <c r="BP1923">
        <v>482</v>
      </c>
      <c r="BR1923">
        <v>369</v>
      </c>
      <c r="BS1923">
        <v>63</v>
      </c>
      <c r="BT1923">
        <v>12</v>
      </c>
      <c r="BV1923">
        <v>11</v>
      </c>
      <c r="BW1923">
        <v>937</v>
      </c>
      <c r="BX1923" t="str">
        <f>IF(C1923=C1922,IF((CI1923-1)=CI1922,BW1922,"no data"))</f>
        <v>no data</v>
      </c>
      <c r="BY1923" s="5"/>
      <c r="BZ1923" s="6"/>
      <c r="CA1923" s="7">
        <v>43415</v>
      </c>
      <c r="CE1923">
        <v>264</v>
      </c>
      <c r="CF1923">
        <v>287</v>
      </c>
      <c r="CG1923">
        <v>211</v>
      </c>
      <c r="CH1923">
        <v>175</v>
      </c>
      <c r="CI1923">
        <f t="shared" ref="CI1923:CI1986" si="210">YEAR(CA1923)</f>
        <v>2018</v>
      </c>
      <c r="CJ1923" t="str">
        <f t="shared" ref="CJ1923:CJ1986" si="211">_xlfn.CONCAT(C1923,"_",CI1923)</f>
        <v>7046_2018</v>
      </c>
    </row>
    <row r="1924" spans="1:88" x14ac:dyDescent="0.25">
      <c r="A1924" t="s">
        <v>140</v>
      </c>
      <c r="B1924" t="s">
        <v>141</v>
      </c>
      <c r="C1924">
        <v>7046</v>
      </c>
      <c r="D1924">
        <v>-31.957599999999999</v>
      </c>
      <c r="E1924">
        <v>115.88420000000001</v>
      </c>
      <c r="F1924">
        <v>2</v>
      </c>
      <c r="G1924" t="s">
        <v>704</v>
      </c>
      <c r="H1924">
        <v>176</v>
      </c>
      <c r="I1924">
        <v>356</v>
      </c>
      <c r="J1924">
        <v>339</v>
      </c>
      <c r="K1924">
        <v>159</v>
      </c>
      <c r="T1924">
        <v>422</v>
      </c>
      <c r="Y1924">
        <v>433</v>
      </c>
      <c r="AX1924">
        <v>422</v>
      </c>
      <c r="AY1924">
        <v>433</v>
      </c>
      <c r="AZ1924">
        <v>855</v>
      </c>
      <c r="BA1924">
        <v>433</v>
      </c>
      <c r="BB1924">
        <v>422</v>
      </c>
      <c r="BC1924">
        <v>855</v>
      </c>
      <c r="BP1924">
        <v>425</v>
      </c>
      <c r="BR1924">
        <v>350</v>
      </c>
      <c r="BS1924">
        <v>60</v>
      </c>
      <c r="BT1924">
        <v>20</v>
      </c>
      <c r="BV1924">
        <v>0</v>
      </c>
      <c r="BW1924">
        <v>855</v>
      </c>
      <c r="BX1924">
        <f>IF(C1924=C1923,IF((CI1924-1)=CI1923,BW1923,"no data"))</f>
        <v>937</v>
      </c>
      <c r="BY1924" s="5">
        <f t="shared" si="208"/>
        <v>-8.7513340448239066E-2</v>
      </c>
      <c r="BZ1924" s="6">
        <f t="shared" si="209"/>
        <v>-8.7513340448239066E-2</v>
      </c>
      <c r="CA1924" s="7">
        <v>43779</v>
      </c>
      <c r="CE1924">
        <v>265</v>
      </c>
      <c r="CF1924">
        <v>196</v>
      </c>
      <c r="CG1924">
        <v>258</v>
      </c>
      <c r="CH1924">
        <v>136</v>
      </c>
      <c r="CI1924">
        <f t="shared" si="210"/>
        <v>2019</v>
      </c>
      <c r="CJ1924" t="str">
        <f t="shared" si="211"/>
        <v>7046_2019</v>
      </c>
    </row>
    <row r="1925" spans="1:88" x14ac:dyDescent="0.25">
      <c r="A1925" t="s">
        <v>140</v>
      </c>
      <c r="B1925" t="s">
        <v>141</v>
      </c>
      <c r="C1925">
        <v>7046</v>
      </c>
      <c r="D1925">
        <v>-31.957599999999999</v>
      </c>
      <c r="E1925">
        <v>115.88420000000001</v>
      </c>
      <c r="F1925">
        <v>2</v>
      </c>
      <c r="G1925" t="s">
        <v>704</v>
      </c>
      <c r="H1925">
        <v>176</v>
      </c>
      <c r="I1925">
        <v>356</v>
      </c>
      <c r="J1925">
        <v>339</v>
      </c>
      <c r="K1925">
        <v>159</v>
      </c>
      <c r="T1925">
        <v>449</v>
      </c>
      <c r="Y1925">
        <v>464</v>
      </c>
      <c r="AX1925">
        <v>449</v>
      </c>
      <c r="AY1925">
        <v>464</v>
      </c>
      <c r="AZ1925">
        <v>913</v>
      </c>
      <c r="BA1925">
        <v>464</v>
      </c>
      <c r="BB1925">
        <v>449</v>
      </c>
      <c r="BC1925">
        <v>913</v>
      </c>
      <c r="BP1925">
        <v>505</v>
      </c>
      <c r="BR1925">
        <v>322</v>
      </c>
      <c r="BS1925">
        <v>43</v>
      </c>
      <c r="BT1925">
        <v>23</v>
      </c>
      <c r="BV1925">
        <v>20</v>
      </c>
      <c r="BW1925">
        <v>913</v>
      </c>
      <c r="BX1925">
        <f>IF(C1925=C1924,IF((CI1925-1)=CI1924,BW1924,"no data"))</f>
        <v>855</v>
      </c>
      <c r="BY1925" s="5">
        <f t="shared" si="208"/>
        <v>6.7836257309941514E-2</v>
      </c>
      <c r="BZ1925" s="6">
        <f t="shared" si="209"/>
        <v>6.7836257309941514E-2</v>
      </c>
      <c r="CA1925" s="7">
        <v>44143</v>
      </c>
      <c r="CE1925">
        <v>326</v>
      </c>
      <c r="CF1925">
        <v>229</v>
      </c>
      <c r="CG1925">
        <v>185</v>
      </c>
      <c r="CH1925">
        <v>173</v>
      </c>
      <c r="CI1925">
        <f t="shared" si="210"/>
        <v>2020</v>
      </c>
      <c r="CJ1925" t="str">
        <f t="shared" si="211"/>
        <v>7046_2020</v>
      </c>
    </row>
    <row r="1926" spans="1:88" x14ac:dyDescent="0.25">
      <c r="A1926" t="s">
        <v>140</v>
      </c>
      <c r="B1926" t="s">
        <v>141</v>
      </c>
      <c r="C1926">
        <v>7046</v>
      </c>
      <c r="D1926">
        <v>-31.957643999999998</v>
      </c>
      <c r="E1926">
        <v>115.88421</v>
      </c>
      <c r="F1926">
        <v>2</v>
      </c>
      <c r="G1926" t="s">
        <v>704</v>
      </c>
      <c r="H1926">
        <v>176</v>
      </c>
      <c r="I1926">
        <v>356</v>
      </c>
      <c r="J1926">
        <v>339</v>
      </c>
      <c r="K1926">
        <v>159</v>
      </c>
      <c r="T1926">
        <v>143</v>
      </c>
      <c r="Y1926">
        <v>143</v>
      </c>
      <c r="AX1926">
        <v>143</v>
      </c>
      <c r="AY1926">
        <v>143</v>
      </c>
      <c r="AZ1926">
        <v>286</v>
      </c>
      <c r="BA1926">
        <v>143</v>
      </c>
      <c r="BB1926">
        <v>143</v>
      </c>
      <c r="BC1926">
        <v>286</v>
      </c>
      <c r="BP1926">
        <v>187</v>
      </c>
      <c r="BR1926">
        <v>68</v>
      </c>
      <c r="BS1926">
        <v>14</v>
      </c>
      <c r="BT1926">
        <v>2</v>
      </c>
      <c r="BV1926">
        <v>15</v>
      </c>
      <c r="BW1926">
        <v>286</v>
      </c>
      <c r="BX1926">
        <f>IF(C1926=C1925,IF((CI1926-1)=CI1925,BW1925,"no data"))</f>
        <v>913</v>
      </c>
      <c r="BY1926" s="5">
        <f t="shared" si="208"/>
        <v>-0.68674698795180722</v>
      </c>
      <c r="BZ1926" s="6">
        <f t="shared" si="209"/>
        <v>-0.68674698795180722</v>
      </c>
      <c r="CA1926" s="7">
        <v>44528</v>
      </c>
      <c r="CE1926">
        <v>147</v>
      </c>
      <c r="CF1926">
        <v>77</v>
      </c>
      <c r="CG1926">
        <v>62</v>
      </c>
      <c r="CI1926">
        <f t="shared" si="210"/>
        <v>2021</v>
      </c>
      <c r="CJ1926" t="str">
        <f t="shared" si="211"/>
        <v>7046_2021</v>
      </c>
    </row>
    <row r="1927" spans="1:88" x14ac:dyDescent="0.25">
      <c r="A1927" t="s">
        <v>140</v>
      </c>
      <c r="B1927" t="s">
        <v>141</v>
      </c>
      <c r="C1927">
        <v>7046</v>
      </c>
      <c r="D1927">
        <v>-31.957643999999998</v>
      </c>
      <c r="E1927">
        <v>115.88421</v>
      </c>
      <c r="F1927">
        <v>2</v>
      </c>
      <c r="G1927" t="s">
        <v>704</v>
      </c>
      <c r="H1927">
        <v>176</v>
      </c>
      <c r="I1927">
        <v>356</v>
      </c>
      <c r="J1927">
        <v>339</v>
      </c>
      <c r="K1927">
        <v>159</v>
      </c>
      <c r="T1927">
        <v>266</v>
      </c>
      <c r="Y1927">
        <v>300</v>
      </c>
      <c r="AX1927">
        <v>266</v>
      </c>
      <c r="AY1927">
        <v>300</v>
      </c>
      <c r="AZ1927">
        <v>566</v>
      </c>
      <c r="BA1927">
        <v>300</v>
      </c>
      <c r="BB1927">
        <v>266</v>
      </c>
      <c r="BC1927">
        <v>566</v>
      </c>
      <c r="BP1927">
        <v>240</v>
      </c>
      <c r="BR1927">
        <v>218</v>
      </c>
      <c r="BS1927">
        <v>53</v>
      </c>
      <c r="BT1927">
        <v>34</v>
      </c>
      <c r="BU1927">
        <v>12</v>
      </c>
      <c r="BV1927">
        <v>9</v>
      </c>
      <c r="BW1927">
        <v>566</v>
      </c>
      <c r="BX1927">
        <f>IF(C1927=C1926,IF((CI1927-1)=CI1926,BW1926,"no data"))</f>
        <v>286</v>
      </c>
      <c r="BY1927" s="5">
        <f t="shared" si="208"/>
        <v>0.97902097902097907</v>
      </c>
      <c r="BZ1927" s="6">
        <f t="shared" si="209"/>
        <v>0.97902097902097907</v>
      </c>
      <c r="CA1927" s="7">
        <v>44878</v>
      </c>
      <c r="CE1927">
        <v>181</v>
      </c>
      <c r="CF1927">
        <v>211</v>
      </c>
      <c r="CG1927">
        <v>174</v>
      </c>
      <c r="CI1927">
        <f t="shared" si="210"/>
        <v>2022</v>
      </c>
      <c r="CJ1927" t="str">
        <f t="shared" si="211"/>
        <v>7046_2022</v>
      </c>
    </row>
    <row r="1928" spans="1:88" x14ac:dyDescent="0.25">
      <c r="A1928" t="s">
        <v>140</v>
      </c>
      <c r="B1928" t="s">
        <v>141</v>
      </c>
      <c r="C1928">
        <v>7047</v>
      </c>
      <c r="D1928">
        <v>-31.964248000000001</v>
      </c>
      <c r="E1928">
        <v>115.874973</v>
      </c>
      <c r="F1928">
        <v>2</v>
      </c>
      <c r="G1928" t="s">
        <v>718</v>
      </c>
      <c r="H1928">
        <v>88</v>
      </c>
      <c r="I1928">
        <v>268</v>
      </c>
      <c r="J1928">
        <v>281</v>
      </c>
      <c r="K1928">
        <v>101</v>
      </c>
      <c r="T1928">
        <v>518</v>
      </c>
      <c r="Y1928">
        <v>1258</v>
      </c>
      <c r="AX1928">
        <v>518</v>
      </c>
      <c r="AY1928">
        <v>1258</v>
      </c>
      <c r="AZ1928">
        <v>1776</v>
      </c>
      <c r="BA1928">
        <v>1258</v>
      </c>
      <c r="BB1928">
        <v>518</v>
      </c>
      <c r="BC1928">
        <v>1776</v>
      </c>
      <c r="BP1928">
        <v>533</v>
      </c>
      <c r="BR1928">
        <v>1085</v>
      </c>
      <c r="BS1928">
        <v>86</v>
      </c>
      <c r="BT1928">
        <v>11</v>
      </c>
      <c r="BV1928">
        <v>61</v>
      </c>
      <c r="BW1928">
        <v>1776</v>
      </c>
      <c r="BX1928" t="s">
        <v>82</v>
      </c>
      <c r="BY1928" s="5"/>
      <c r="BZ1928" s="6"/>
      <c r="CA1928" s="7">
        <v>42687</v>
      </c>
      <c r="CE1928">
        <v>895</v>
      </c>
      <c r="CF1928">
        <v>489</v>
      </c>
      <c r="CG1928">
        <v>238</v>
      </c>
      <c r="CH1928">
        <v>154</v>
      </c>
      <c r="CI1928">
        <f t="shared" si="210"/>
        <v>2016</v>
      </c>
      <c r="CJ1928" t="str">
        <f t="shared" si="211"/>
        <v>7047_2016</v>
      </c>
    </row>
    <row r="1929" spans="1:88" x14ac:dyDescent="0.25">
      <c r="A1929" t="s">
        <v>140</v>
      </c>
      <c r="B1929" t="s">
        <v>141</v>
      </c>
      <c r="C1929">
        <v>7047</v>
      </c>
      <c r="D1929">
        <v>-31.964219</v>
      </c>
      <c r="E1929">
        <v>115.87494</v>
      </c>
      <c r="F1929">
        <v>2</v>
      </c>
      <c r="G1929" t="s">
        <v>718</v>
      </c>
      <c r="H1929">
        <v>88</v>
      </c>
      <c r="I1929">
        <v>268</v>
      </c>
      <c r="J1929">
        <v>281</v>
      </c>
      <c r="K1929">
        <v>101</v>
      </c>
      <c r="T1929">
        <v>500</v>
      </c>
      <c r="Y1929">
        <v>528</v>
      </c>
      <c r="AX1929">
        <v>500</v>
      </c>
      <c r="AY1929">
        <v>528</v>
      </c>
      <c r="AZ1929">
        <v>1028</v>
      </c>
      <c r="BA1929">
        <v>528</v>
      </c>
      <c r="BB1929">
        <v>500</v>
      </c>
      <c r="BC1929">
        <v>1028</v>
      </c>
      <c r="BP1929">
        <v>593</v>
      </c>
      <c r="BR1929">
        <v>306</v>
      </c>
      <c r="BS1929">
        <v>92</v>
      </c>
      <c r="BT1929">
        <v>10</v>
      </c>
      <c r="BV1929">
        <v>27</v>
      </c>
      <c r="BW1929">
        <v>1028</v>
      </c>
      <c r="BX1929" t="str">
        <f>IF(C1929=C1928,IF((CI1929-1)=CI1928,BW1928,"no data"))</f>
        <v>no data</v>
      </c>
      <c r="BY1929" s="5"/>
      <c r="BZ1929" s="6"/>
      <c r="CA1929" s="7">
        <v>43415</v>
      </c>
      <c r="CE1929">
        <v>332</v>
      </c>
      <c r="CF1929">
        <v>269</v>
      </c>
      <c r="CG1929">
        <v>273</v>
      </c>
      <c r="CH1929">
        <v>154</v>
      </c>
      <c r="CI1929">
        <f t="shared" si="210"/>
        <v>2018</v>
      </c>
      <c r="CJ1929" t="str">
        <f t="shared" si="211"/>
        <v>7047_2018</v>
      </c>
    </row>
    <row r="1930" spans="1:88" x14ac:dyDescent="0.25">
      <c r="A1930" t="s">
        <v>140</v>
      </c>
      <c r="B1930" t="s">
        <v>141</v>
      </c>
      <c r="C1930">
        <v>7047</v>
      </c>
      <c r="D1930">
        <v>-31.964200000000002</v>
      </c>
      <c r="E1930">
        <v>115.8749</v>
      </c>
      <c r="F1930">
        <v>2</v>
      </c>
      <c r="G1930" t="s">
        <v>718</v>
      </c>
      <c r="H1930">
        <v>88</v>
      </c>
      <c r="I1930">
        <v>268</v>
      </c>
      <c r="J1930">
        <v>281</v>
      </c>
      <c r="K1930">
        <v>101</v>
      </c>
      <c r="T1930">
        <v>547</v>
      </c>
      <c r="Y1930">
        <v>541</v>
      </c>
      <c r="AX1930">
        <v>547</v>
      </c>
      <c r="AY1930">
        <v>541</v>
      </c>
      <c r="AZ1930">
        <v>1088</v>
      </c>
      <c r="BA1930">
        <v>541</v>
      </c>
      <c r="BB1930">
        <v>547</v>
      </c>
      <c r="BC1930">
        <v>1088</v>
      </c>
      <c r="BP1930">
        <v>598</v>
      </c>
      <c r="BR1930">
        <v>364</v>
      </c>
      <c r="BS1930">
        <v>81</v>
      </c>
      <c r="BT1930">
        <v>10</v>
      </c>
      <c r="BV1930">
        <v>35</v>
      </c>
      <c r="BW1930">
        <v>1088</v>
      </c>
      <c r="BX1930">
        <f>IF(C1930=C1929,IF((CI1930-1)=CI1929,BW1929,"no data"))</f>
        <v>1028</v>
      </c>
      <c r="BY1930" s="5">
        <f t="shared" si="208"/>
        <v>5.8365758754863814E-2</v>
      </c>
      <c r="BZ1930" s="6">
        <f t="shared" si="209"/>
        <v>5.8365758754863814E-2</v>
      </c>
      <c r="CA1930" s="7">
        <v>43779</v>
      </c>
      <c r="CE1930">
        <v>331</v>
      </c>
      <c r="CF1930">
        <v>297</v>
      </c>
      <c r="CG1930">
        <v>246</v>
      </c>
      <c r="CH1930">
        <v>214</v>
      </c>
      <c r="CI1930">
        <f t="shared" si="210"/>
        <v>2019</v>
      </c>
      <c r="CJ1930" t="str">
        <f t="shared" si="211"/>
        <v>7047_2019</v>
      </c>
    </row>
    <row r="1931" spans="1:88" x14ac:dyDescent="0.25">
      <c r="A1931" t="s">
        <v>140</v>
      </c>
      <c r="B1931" t="s">
        <v>141</v>
      </c>
      <c r="C1931">
        <v>7047</v>
      </c>
      <c r="D1931">
        <v>-31.964200000000002</v>
      </c>
      <c r="E1931">
        <v>115.8749</v>
      </c>
      <c r="F1931">
        <v>2</v>
      </c>
      <c r="G1931" t="s">
        <v>718</v>
      </c>
      <c r="H1931">
        <v>88</v>
      </c>
      <c r="I1931">
        <v>268</v>
      </c>
      <c r="J1931">
        <v>281</v>
      </c>
      <c r="K1931">
        <v>101</v>
      </c>
      <c r="T1931">
        <v>417</v>
      </c>
      <c r="Y1931">
        <v>398</v>
      </c>
      <c r="AX1931">
        <v>417</v>
      </c>
      <c r="AY1931">
        <v>398</v>
      </c>
      <c r="AZ1931">
        <v>815</v>
      </c>
      <c r="BA1931">
        <v>398</v>
      </c>
      <c r="BB1931">
        <v>417</v>
      </c>
      <c r="BC1931">
        <v>815</v>
      </c>
      <c r="BP1931">
        <v>506</v>
      </c>
      <c r="BR1931">
        <v>225</v>
      </c>
      <c r="BS1931">
        <v>47</v>
      </c>
      <c r="BT1931">
        <v>19</v>
      </c>
      <c r="BV1931">
        <v>18</v>
      </c>
      <c r="BW1931">
        <v>815</v>
      </c>
      <c r="BX1931">
        <f>IF(C1931=C1930,IF((CI1931-1)=CI1930,BW1930,"no data"))</f>
        <v>1088</v>
      </c>
      <c r="BY1931" s="5">
        <f t="shared" si="208"/>
        <v>-0.25091911764705882</v>
      </c>
      <c r="BZ1931" s="6">
        <f t="shared" si="209"/>
        <v>-0.25091911764705882</v>
      </c>
      <c r="CA1931" s="7">
        <v>44143</v>
      </c>
      <c r="CE1931">
        <v>196</v>
      </c>
      <c r="CF1931">
        <v>126</v>
      </c>
      <c r="CG1931">
        <v>264</v>
      </c>
      <c r="CH1931">
        <v>229</v>
      </c>
      <c r="CI1931">
        <f t="shared" si="210"/>
        <v>2020</v>
      </c>
      <c r="CJ1931" t="str">
        <f t="shared" si="211"/>
        <v>7047_2020</v>
      </c>
    </row>
    <row r="1932" spans="1:88" x14ac:dyDescent="0.25">
      <c r="A1932" t="s">
        <v>140</v>
      </c>
      <c r="B1932" t="s">
        <v>141</v>
      </c>
      <c r="C1932">
        <v>7047</v>
      </c>
      <c r="D1932">
        <v>-31.964219</v>
      </c>
      <c r="E1932">
        <v>115.87494</v>
      </c>
      <c r="F1932">
        <v>2</v>
      </c>
      <c r="G1932" t="s">
        <v>718</v>
      </c>
      <c r="H1932">
        <v>88</v>
      </c>
      <c r="I1932">
        <v>268</v>
      </c>
      <c r="J1932">
        <v>281</v>
      </c>
      <c r="K1932">
        <v>101</v>
      </c>
      <c r="T1932">
        <v>161</v>
      </c>
      <c r="Y1932">
        <v>145</v>
      </c>
      <c r="AX1932">
        <v>161</v>
      </c>
      <c r="AY1932">
        <v>145</v>
      </c>
      <c r="AZ1932">
        <v>306</v>
      </c>
      <c r="BA1932">
        <v>145</v>
      </c>
      <c r="BB1932">
        <v>161</v>
      </c>
      <c r="BC1932">
        <v>306</v>
      </c>
      <c r="BP1932">
        <v>212</v>
      </c>
      <c r="BR1932">
        <v>47</v>
      </c>
      <c r="BS1932">
        <v>12</v>
      </c>
      <c r="BT1932">
        <v>0</v>
      </c>
      <c r="BV1932">
        <v>35</v>
      </c>
      <c r="BW1932">
        <v>306</v>
      </c>
      <c r="BX1932">
        <f>IF(C1932=C1931,IF((CI1932-1)=CI1931,BW1931,"no data"))</f>
        <v>815</v>
      </c>
      <c r="BY1932" s="5">
        <f t="shared" si="208"/>
        <v>-0.62453987730061344</v>
      </c>
      <c r="BZ1932" s="6">
        <f t="shared" si="209"/>
        <v>-0.62453987730061344</v>
      </c>
      <c r="CA1932" s="7">
        <v>44528</v>
      </c>
      <c r="CE1932">
        <v>117</v>
      </c>
      <c r="CF1932">
        <v>96</v>
      </c>
      <c r="CG1932">
        <v>93</v>
      </c>
      <c r="CI1932">
        <f t="shared" si="210"/>
        <v>2021</v>
      </c>
      <c r="CJ1932" t="str">
        <f t="shared" si="211"/>
        <v>7047_2021</v>
      </c>
    </row>
    <row r="1933" spans="1:88" x14ac:dyDescent="0.25">
      <c r="A1933" t="s">
        <v>140</v>
      </c>
      <c r="B1933" t="s">
        <v>141</v>
      </c>
      <c r="C1933">
        <v>7047</v>
      </c>
      <c r="D1933">
        <v>-31.964219</v>
      </c>
      <c r="E1933">
        <v>115.87494</v>
      </c>
      <c r="F1933">
        <v>2</v>
      </c>
      <c r="G1933" t="s">
        <v>718</v>
      </c>
      <c r="H1933">
        <v>88</v>
      </c>
      <c r="I1933">
        <v>268</v>
      </c>
      <c r="J1933">
        <v>281</v>
      </c>
      <c r="K1933">
        <v>101</v>
      </c>
      <c r="T1933">
        <v>367</v>
      </c>
      <c r="Y1933">
        <v>374</v>
      </c>
      <c r="AX1933">
        <v>367</v>
      </c>
      <c r="AY1933">
        <v>374</v>
      </c>
      <c r="AZ1933">
        <v>741</v>
      </c>
      <c r="BA1933">
        <v>374</v>
      </c>
      <c r="BB1933">
        <v>367</v>
      </c>
      <c r="BC1933">
        <v>741</v>
      </c>
      <c r="BP1933">
        <v>372</v>
      </c>
      <c r="BR1933">
        <v>220</v>
      </c>
      <c r="BS1933">
        <v>88</v>
      </c>
      <c r="BT1933">
        <v>13</v>
      </c>
      <c r="BU1933">
        <v>29</v>
      </c>
      <c r="BV1933">
        <v>19</v>
      </c>
      <c r="BW1933">
        <v>741</v>
      </c>
      <c r="BX1933">
        <f>IF(C1933=C1932,IF((CI1933-1)=CI1932,BW1932,"no data"))</f>
        <v>306</v>
      </c>
      <c r="BY1933" s="5">
        <f t="shared" ref="BY1933:BY1996" si="212">(BW1933-BX1933)/BX1933</f>
        <v>1.4215686274509804</v>
      </c>
      <c r="BZ1933" s="6">
        <f t="shared" ref="BZ1933:BZ1984" si="213">BY1933</f>
        <v>1.4215686274509804</v>
      </c>
      <c r="CA1933" s="7">
        <v>44878</v>
      </c>
      <c r="CE1933">
        <v>256</v>
      </c>
      <c r="CF1933">
        <v>270</v>
      </c>
      <c r="CG1933">
        <v>215</v>
      </c>
      <c r="CI1933">
        <f t="shared" si="210"/>
        <v>2022</v>
      </c>
      <c r="CJ1933" t="str">
        <f t="shared" si="211"/>
        <v>7047_2022</v>
      </c>
    </row>
    <row r="1934" spans="1:88" x14ac:dyDescent="0.25">
      <c r="A1934" t="s">
        <v>140</v>
      </c>
      <c r="B1934" t="s">
        <v>141</v>
      </c>
      <c r="C1934">
        <v>7048</v>
      </c>
      <c r="D1934">
        <v>-31.980188999999999</v>
      </c>
      <c r="E1934">
        <v>115.820853</v>
      </c>
      <c r="F1934">
        <v>2</v>
      </c>
      <c r="G1934" t="s">
        <v>704</v>
      </c>
      <c r="H1934">
        <v>179</v>
      </c>
      <c r="I1934">
        <v>359</v>
      </c>
      <c r="J1934">
        <v>355</v>
      </c>
      <c r="K1934">
        <v>175</v>
      </c>
      <c r="T1934">
        <v>170</v>
      </c>
      <c r="Y1934">
        <v>178</v>
      </c>
      <c r="AX1934">
        <v>170</v>
      </c>
      <c r="AY1934">
        <v>178</v>
      </c>
      <c r="AZ1934">
        <v>348</v>
      </c>
      <c r="BA1934">
        <v>178</v>
      </c>
      <c r="BB1934">
        <v>170</v>
      </c>
      <c r="BC1934">
        <v>348</v>
      </c>
      <c r="BP1934">
        <v>156</v>
      </c>
      <c r="BR1934">
        <v>148</v>
      </c>
      <c r="BS1934">
        <v>33</v>
      </c>
      <c r="BT1934">
        <v>5</v>
      </c>
      <c r="BV1934">
        <v>6</v>
      </c>
      <c r="BW1934">
        <v>348</v>
      </c>
      <c r="BX1934" t="s">
        <v>82</v>
      </c>
      <c r="BY1934" s="5"/>
      <c r="BZ1934" s="6"/>
      <c r="CA1934" s="7">
        <v>42687</v>
      </c>
      <c r="CE1934">
        <v>93</v>
      </c>
      <c r="CF1934">
        <v>87</v>
      </c>
      <c r="CG1934">
        <v>105</v>
      </c>
      <c r="CH1934">
        <v>63</v>
      </c>
      <c r="CI1934">
        <f t="shared" si="210"/>
        <v>2016</v>
      </c>
      <c r="CJ1934" t="str">
        <f t="shared" si="211"/>
        <v>7048_2016</v>
      </c>
    </row>
    <row r="1935" spans="1:88" x14ac:dyDescent="0.25">
      <c r="A1935" t="s">
        <v>140</v>
      </c>
      <c r="B1935" t="s">
        <v>141</v>
      </c>
      <c r="C1935">
        <v>7048</v>
      </c>
      <c r="D1935">
        <v>-31.980248</v>
      </c>
      <c r="E1935">
        <v>115.82082</v>
      </c>
      <c r="F1935">
        <v>2</v>
      </c>
      <c r="G1935" t="s">
        <v>704</v>
      </c>
      <c r="H1935">
        <v>179</v>
      </c>
      <c r="I1935">
        <v>359</v>
      </c>
      <c r="J1935">
        <v>355</v>
      </c>
      <c r="K1935">
        <v>175</v>
      </c>
      <c r="T1935">
        <v>364</v>
      </c>
      <c r="Y1935">
        <v>532</v>
      </c>
      <c r="AX1935">
        <v>364</v>
      </c>
      <c r="AY1935">
        <v>532</v>
      </c>
      <c r="AZ1935">
        <v>896</v>
      </c>
      <c r="BA1935">
        <v>532</v>
      </c>
      <c r="BB1935">
        <v>364</v>
      </c>
      <c r="BC1935">
        <v>896</v>
      </c>
      <c r="BP1935">
        <v>94</v>
      </c>
      <c r="BR1935">
        <v>697</v>
      </c>
      <c r="BS1935">
        <v>33</v>
      </c>
      <c r="BT1935">
        <v>53</v>
      </c>
      <c r="BV1935">
        <v>19</v>
      </c>
      <c r="BW1935">
        <v>896</v>
      </c>
      <c r="BX1935" t="str">
        <f>IF(C1935=C1934,IF((CI1935-1)=CI1934,BW1934,"no data"))</f>
        <v>no data</v>
      </c>
      <c r="BY1935" s="5"/>
      <c r="BZ1935" s="6"/>
      <c r="CA1935" s="7">
        <v>43415</v>
      </c>
      <c r="CE1935">
        <v>204</v>
      </c>
      <c r="CF1935">
        <v>202</v>
      </c>
      <c r="CG1935">
        <v>254</v>
      </c>
      <c r="CH1935">
        <v>236</v>
      </c>
      <c r="CI1935">
        <f t="shared" si="210"/>
        <v>2018</v>
      </c>
      <c r="CJ1935" t="str">
        <f t="shared" si="211"/>
        <v>7048_2018</v>
      </c>
    </row>
    <row r="1936" spans="1:88" x14ac:dyDescent="0.25">
      <c r="A1936" t="s">
        <v>140</v>
      </c>
      <c r="B1936" t="s">
        <v>141</v>
      </c>
      <c r="C1936">
        <v>7048</v>
      </c>
      <c r="D1936">
        <v>-31.9802</v>
      </c>
      <c r="E1936">
        <v>115.82080000000001</v>
      </c>
      <c r="F1936">
        <v>2</v>
      </c>
      <c r="G1936" t="s">
        <v>704</v>
      </c>
      <c r="H1936">
        <v>179</v>
      </c>
      <c r="I1936">
        <v>359</v>
      </c>
      <c r="J1936">
        <v>355</v>
      </c>
      <c r="K1936">
        <v>175</v>
      </c>
      <c r="T1936">
        <v>359</v>
      </c>
      <c r="Y1936">
        <v>311</v>
      </c>
      <c r="AX1936">
        <v>359</v>
      </c>
      <c r="AY1936">
        <v>311</v>
      </c>
      <c r="AZ1936">
        <v>670</v>
      </c>
      <c r="BA1936">
        <v>311</v>
      </c>
      <c r="BB1936">
        <v>359</v>
      </c>
      <c r="BC1936">
        <v>670</v>
      </c>
      <c r="BP1936">
        <v>307</v>
      </c>
      <c r="BR1936">
        <v>275</v>
      </c>
      <c r="BS1936">
        <v>29</v>
      </c>
      <c r="BT1936">
        <v>38</v>
      </c>
      <c r="BV1936">
        <v>21</v>
      </c>
      <c r="BW1936">
        <v>670</v>
      </c>
      <c r="BX1936">
        <f>IF(C1936=C1935,IF((CI1936-1)=CI1935,BW1935,"no data"))</f>
        <v>896</v>
      </c>
      <c r="BY1936" s="5">
        <f t="shared" si="212"/>
        <v>-0.25223214285714285</v>
      </c>
      <c r="BZ1936" s="6">
        <f t="shared" si="213"/>
        <v>-0.25223214285714285</v>
      </c>
      <c r="CA1936" s="7">
        <v>43779</v>
      </c>
      <c r="CE1936">
        <v>234</v>
      </c>
      <c r="CF1936">
        <v>154</v>
      </c>
      <c r="CG1936">
        <v>171</v>
      </c>
      <c r="CH1936">
        <v>111</v>
      </c>
      <c r="CI1936">
        <f t="shared" si="210"/>
        <v>2019</v>
      </c>
      <c r="CJ1936" t="str">
        <f t="shared" si="211"/>
        <v>7048_2019</v>
      </c>
    </row>
    <row r="1937" spans="1:88" x14ac:dyDescent="0.25">
      <c r="A1937" t="s">
        <v>140</v>
      </c>
      <c r="B1937" t="s">
        <v>141</v>
      </c>
      <c r="C1937">
        <v>7048</v>
      </c>
      <c r="D1937">
        <v>-31.9802</v>
      </c>
      <c r="E1937">
        <v>115.82080000000001</v>
      </c>
      <c r="F1937">
        <v>2</v>
      </c>
      <c r="G1937" t="s">
        <v>704</v>
      </c>
      <c r="H1937">
        <v>179</v>
      </c>
      <c r="I1937">
        <v>359</v>
      </c>
      <c r="J1937">
        <v>355</v>
      </c>
      <c r="K1937">
        <v>175</v>
      </c>
      <c r="T1937">
        <v>451</v>
      </c>
      <c r="Y1937">
        <v>505</v>
      </c>
      <c r="AX1937">
        <v>451</v>
      </c>
      <c r="AY1937">
        <v>505</v>
      </c>
      <c r="AZ1937">
        <v>956</v>
      </c>
      <c r="BA1937">
        <v>505</v>
      </c>
      <c r="BB1937">
        <v>451</v>
      </c>
      <c r="BC1937">
        <v>956</v>
      </c>
      <c r="BP1937">
        <v>148</v>
      </c>
      <c r="BR1937">
        <v>691</v>
      </c>
      <c r="BS1937">
        <v>24</v>
      </c>
      <c r="BT1937">
        <v>41</v>
      </c>
      <c r="BV1937">
        <v>52</v>
      </c>
      <c r="BW1937">
        <v>956</v>
      </c>
      <c r="BX1937">
        <f>IF(C1937=C1936,IF((CI1937-1)=CI1936,BW1936,"no data"))</f>
        <v>670</v>
      </c>
      <c r="BY1937" s="5">
        <f t="shared" si="212"/>
        <v>0.42686567164179107</v>
      </c>
      <c r="BZ1937" s="6">
        <f t="shared" si="213"/>
        <v>0.42686567164179107</v>
      </c>
      <c r="CA1937" s="7">
        <v>44143</v>
      </c>
      <c r="CE1937">
        <v>181</v>
      </c>
      <c r="CF1937">
        <v>213</v>
      </c>
      <c r="CG1937">
        <v>308</v>
      </c>
      <c r="CH1937">
        <v>254</v>
      </c>
      <c r="CI1937">
        <f t="shared" si="210"/>
        <v>2020</v>
      </c>
      <c r="CJ1937" t="str">
        <f t="shared" si="211"/>
        <v>7048_2020</v>
      </c>
    </row>
    <row r="1938" spans="1:88" x14ac:dyDescent="0.25">
      <c r="A1938" t="s">
        <v>140</v>
      </c>
      <c r="B1938" t="s">
        <v>141</v>
      </c>
      <c r="C1938">
        <v>7048</v>
      </c>
      <c r="D1938">
        <v>-31.980248</v>
      </c>
      <c r="E1938">
        <v>115.82082</v>
      </c>
      <c r="F1938">
        <v>2</v>
      </c>
      <c r="G1938" t="s">
        <v>704</v>
      </c>
      <c r="H1938">
        <v>179</v>
      </c>
      <c r="I1938">
        <v>359</v>
      </c>
      <c r="J1938">
        <v>355</v>
      </c>
      <c r="K1938">
        <v>175</v>
      </c>
      <c r="T1938">
        <v>364</v>
      </c>
      <c r="Y1938">
        <v>333</v>
      </c>
      <c r="AX1938">
        <v>364</v>
      </c>
      <c r="AY1938">
        <v>333</v>
      </c>
      <c r="AZ1938">
        <v>697</v>
      </c>
      <c r="BA1938">
        <v>333</v>
      </c>
      <c r="BB1938">
        <v>364</v>
      </c>
      <c r="BC1938">
        <v>697</v>
      </c>
      <c r="BP1938">
        <v>115</v>
      </c>
      <c r="BR1938">
        <v>531</v>
      </c>
      <c r="BS1938">
        <v>13</v>
      </c>
      <c r="BT1938">
        <v>20</v>
      </c>
      <c r="BV1938">
        <v>18</v>
      </c>
      <c r="BW1938">
        <v>697</v>
      </c>
      <c r="BX1938">
        <f>IF(C1938=C1937,IF((CI1938-1)=CI1937,BW1937,"no data"))</f>
        <v>956</v>
      </c>
      <c r="BY1938" s="5">
        <f t="shared" si="212"/>
        <v>-0.27092050209205021</v>
      </c>
      <c r="BZ1938" s="6">
        <f t="shared" si="213"/>
        <v>-0.27092050209205021</v>
      </c>
      <c r="CA1938" s="7">
        <v>44528</v>
      </c>
      <c r="CE1938">
        <v>252</v>
      </c>
      <c r="CF1938">
        <v>206</v>
      </c>
      <c r="CG1938">
        <v>239</v>
      </c>
      <c r="CI1938">
        <f t="shared" si="210"/>
        <v>2021</v>
      </c>
      <c r="CJ1938" t="str">
        <f t="shared" si="211"/>
        <v>7048_2021</v>
      </c>
    </row>
    <row r="1939" spans="1:88" x14ac:dyDescent="0.25">
      <c r="A1939" t="s">
        <v>140</v>
      </c>
      <c r="B1939" t="s">
        <v>141</v>
      </c>
      <c r="C1939">
        <v>7048</v>
      </c>
      <c r="D1939">
        <v>-31.980248</v>
      </c>
      <c r="E1939">
        <v>115.82082</v>
      </c>
      <c r="F1939">
        <v>2</v>
      </c>
      <c r="G1939" t="s">
        <v>704</v>
      </c>
      <c r="H1939">
        <v>179</v>
      </c>
      <c r="I1939">
        <v>359</v>
      </c>
      <c r="J1939">
        <v>355</v>
      </c>
      <c r="K1939">
        <v>175</v>
      </c>
      <c r="T1939">
        <v>180</v>
      </c>
      <c r="Y1939">
        <v>227</v>
      </c>
      <c r="AX1939">
        <v>180</v>
      </c>
      <c r="AY1939">
        <v>227</v>
      </c>
      <c r="AZ1939">
        <v>407</v>
      </c>
      <c r="BA1939">
        <v>227</v>
      </c>
      <c r="BB1939">
        <v>180</v>
      </c>
      <c r="BC1939">
        <v>407</v>
      </c>
      <c r="BP1939">
        <v>71</v>
      </c>
      <c r="BR1939">
        <v>257</v>
      </c>
      <c r="BS1939">
        <v>58</v>
      </c>
      <c r="BT1939">
        <v>16</v>
      </c>
      <c r="BU1939">
        <v>4</v>
      </c>
      <c r="BV1939">
        <v>1</v>
      </c>
      <c r="BW1939">
        <v>407</v>
      </c>
      <c r="BX1939">
        <f>IF(C1939=C1938,IF((CI1939-1)=CI1938,BW1938,"no data"))</f>
        <v>697</v>
      </c>
      <c r="BY1939" s="5">
        <f t="shared" si="212"/>
        <v>-0.41606886657101866</v>
      </c>
      <c r="BZ1939" s="6">
        <f t="shared" si="213"/>
        <v>-0.41606886657101866</v>
      </c>
      <c r="CA1939" s="7">
        <v>44878</v>
      </c>
      <c r="CE1939">
        <v>160</v>
      </c>
      <c r="CF1939">
        <v>122</v>
      </c>
      <c r="CG1939">
        <v>125</v>
      </c>
      <c r="CI1939">
        <f t="shared" si="210"/>
        <v>2022</v>
      </c>
      <c r="CJ1939" t="str">
        <f t="shared" si="211"/>
        <v>7048_2022</v>
      </c>
    </row>
    <row r="1940" spans="1:88" x14ac:dyDescent="0.25">
      <c r="A1940" t="s">
        <v>140</v>
      </c>
      <c r="B1940" t="s">
        <v>141</v>
      </c>
      <c r="C1940">
        <v>7049</v>
      </c>
      <c r="D1940">
        <v>-31.966080000000002</v>
      </c>
      <c r="E1940">
        <v>115.839788</v>
      </c>
      <c r="F1940">
        <v>2</v>
      </c>
      <c r="G1940" t="s">
        <v>719</v>
      </c>
      <c r="H1940">
        <v>50</v>
      </c>
      <c r="I1940">
        <v>230</v>
      </c>
      <c r="J1940">
        <v>215</v>
      </c>
      <c r="K1940">
        <v>35</v>
      </c>
      <c r="T1940">
        <v>381</v>
      </c>
      <c r="Y1940">
        <v>268</v>
      </c>
      <c r="AX1940">
        <v>381</v>
      </c>
      <c r="AY1940">
        <v>268</v>
      </c>
      <c r="AZ1940">
        <v>649</v>
      </c>
      <c r="BA1940">
        <v>268</v>
      </c>
      <c r="BB1940">
        <v>381</v>
      </c>
      <c r="BC1940">
        <v>649</v>
      </c>
      <c r="BP1940">
        <v>564</v>
      </c>
      <c r="BR1940">
        <v>49</v>
      </c>
      <c r="BS1940">
        <v>34</v>
      </c>
      <c r="BT1940">
        <v>0</v>
      </c>
      <c r="BV1940">
        <v>2</v>
      </c>
      <c r="BW1940">
        <v>649</v>
      </c>
      <c r="BX1940" t="s">
        <v>82</v>
      </c>
      <c r="BY1940" s="5"/>
      <c r="BZ1940" s="6"/>
      <c r="CA1940" s="7">
        <v>42687</v>
      </c>
      <c r="CE1940">
        <v>225</v>
      </c>
      <c r="CF1940">
        <v>201</v>
      </c>
      <c r="CG1940">
        <v>133</v>
      </c>
      <c r="CH1940">
        <v>90</v>
      </c>
      <c r="CI1940">
        <f t="shared" si="210"/>
        <v>2016</v>
      </c>
      <c r="CJ1940" t="str">
        <f t="shared" si="211"/>
        <v>7049_2016</v>
      </c>
    </row>
    <row r="1941" spans="1:88" x14ac:dyDescent="0.25">
      <c r="A1941" t="s">
        <v>140</v>
      </c>
      <c r="B1941" t="s">
        <v>141</v>
      </c>
      <c r="C1941">
        <v>7049</v>
      </c>
      <c r="D1941">
        <v>-31.966073000000002</v>
      </c>
      <c r="E1941">
        <v>115.83986</v>
      </c>
      <c r="F1941">
        <v>2</v>
      </c>
      <c r="G1941" t="s">
        <v>719</v>
      </c>
      <c r="H1941">
        <v>50</v>
      </c>
      <c r="I1941">
        <v>230</v>
      </c>
      <c r="J1941">
        <v>215</v>
      </c>
      <c r="K1941">
        <v>35</v>
      </c>
      <c r="T1941">
        <v>277</v>
      </c>
      <c r="Y1941">
        <v>252</v>
      </c>
      <c r="AX1941">
        <v>277</v>
      </c>
      <c r="AY1941">
        <v>252</v>
      </c>
      <c r="AZ1941">
        <v>529</v>
      </c>
      <c r="BA1941">
        <v>252</v>
      </c>
      <c r="BB1941">
        <v>277</v>
      </c>
      <c r="BC1941">
        <v>529</v>
      </c>
      <c r="BP1941">
        <v>403</v>
      </c>
      <c r="BR1941">
        <v>96</v>
      </c>
      <c r="BS1941">
        <v>19</v>
      </c>
      <c r="BT1941">
        <v>1</v>
      </c>
      <c r="BV1941">
        <v>10</v>
      </c>
      <c r="BW1941">
        <v>529</v>
      </c>
      <c r="BX1941" t="str">
        <f>IF(C1941=C1940,IF((CI1941-1)=CI1940,BW1940,"no data"))</f>
        <v>no data</v>
      </c>
      <c r="BY1941" s="5"/>
      <c r="BZ1941" s="6"/>
      <c r="CA1941" s="7">
        <v>43415</v>
      </c>
      <c r="CE1941">
        <v>201</v>
      </c>
      <c r="CF1941">
        <v>148</v>
      </c>
      <c r="CG1941">
        <v>94</v>
      </c>
      <c r="CH1941">
        <v>86</v>
      </c>
      <c r="CI1941">
        <f t="shared" si="210"/>
        <v>2018</v>
      </c>
      <c r="CJ1941" t="str">
        <f t="shared" si="211"/>
        <v>7049_2018</v>
      </c>
    </row>
    <row r="1942" spans="1:88" x14ac:dyDescent="0.25">
      <c r="A1942" t="s">
        <v>140</v>
      </c>
      <c r="B1942" t="s">
        <v>141</v>
      </c>
      <c r="C1942">
        <v>7049</v>
      </c>
      <c r="D1942">
        <v>-31.966100000000001</v>
      </c>
      <c r="E1942">
        <v>115.8399</v>
      </c>
      <c r="F1942">
        <v>2</v>
      </c>
      <c r="G1942" t="s">
        <v>719</v>
      </c>
      <c r="H1942">
        <v>50</v>
      </c>
      <c r="I1942">
        <v>230</v>
      </c>
      <c r="J1942">
        <v>215</v>
      </c>
      <c r="K1942">
        <v>35</v>
      </c>
      <c r="T1942">
        <v>287</v>
      </c>
      <c r="Y1942">
        <v>208</v>
      </c>
      <c r="AX1942">
        <v>287</v>
      </c>
      <c r="AY1942">
        <v>208</v>
      </c>
      <c r="AZ1942">
        <v>495</v>
      </c>
      <c r="BA1942">
        <v>208</v>
      </c>
      <c r="BB1942">
        <v>287</v>
      </c>
      <c r="BC1942">
        <v>495</v>
      </c>
      <c r="BP1942">
        <v>410</v>
      </c>
      <c r="BR1942">
        <v>50</v>
      </c>
      <c r="BS1942">
        <v>31</v>
      </c>
      <c r="BT1942">
        <v>4</v>
      </c>
      <c r="BV1942">
        <v>0</v>
      </c>
      <c r="BW1942">
        <v>495</v>
      </c>
      <c r="BX1942">
        <f>IF(C1942=C1941,IF((CI1942-1)=CI1941,BW1941,"no data"))</f>
        <v>529</v>
      </c>
      <c r="BY1942" s="5">
        <f t="shared" si="212"/>
        <v>-6.4272211720226846E-2</v>
      </c>
      <c r="BZ1942" s="6">
        <f t="shared" si="213"/>
        <v>-6.4272211720226846E-2</v>
      </c>
      <c r="CA1942" s="7">
        <v>43779</v>
      </c>
      <c r="CE1942">
        <v>177</v>
      </c>
      <c r="CF1942">
        <v>146</v>
      </c>
      <c r="CG1942">
        <v>98</v>
      </c>
      <c r="CH1942">
        <v>74</v>
      </c>
      <c r="CI1942">
        <f t="shared" si="210"/>
        <v>2019</v>
      </c>
      <c r="CJ1942" t="str">
        <f t="shared" si="211"/>
        <v>7049_2019</v>
      </c>
    </row>
    <row r="1943" spans="1:88" x14ac:dyDescent="0.25">
      <c r="A1943" t="s">
        <v>140</v>
      </c>
      <c r="B1943" t="s">
        <v>141</v>
      </c>
      <c r="C1943">
        <v>7049</v>
      </c>
      <c r="D1943">
        <v>-31.966100000000001</v>
      </c>
      <c r="E1943">
        <v>115.8399</v>
      </c>
      <c r="F1943">
        <v>2</v>
      </c>
      <c r="G1943" t="s">
        <v>719</v>
      </c>
      <c r="H1943">
        <v>50</v>
      </c>
      <c r="I1943">
        <v>230</v>
      </c>
      <c r="J1943">
        <v>215</v>
      </c>
      <c r="K1943">
        <v>35</v>
      </c>
      <c r="T1943">
        <v>367</v>
      </c>
      <c r="Y1943">
        <v>312</v>
      </c>
      <c r="AX1943">
        <v>367</v>
      </c>
      <c r="AY1943">
        <v>312</v>
      </c>
      <c r="AZ1943">
        <v>679</v>
      </c>
      <c r="BA1943">
        <v>312</v>
      </c>
      <c r="BB1943">
        <v>367</v>
      </c>
      <c r="BC1943">
        <v>679</v>
      </c>
      <c r="BP1943">
        <v>545</v>
      </c>
      <c r="BR1943">
        <v>84</v>
      </c>
      <c r="BS1943">
        <v>21</v>
      </c>
      <c r="BT1943">
        <v>6</v>
      </c>
      <c r="BV1943">
        <v>23</v>
      </c>
      <c r="BW1943">
        <v>679</v>
      </c>
      <c r="BX1943">
        <f>IF(C1943=C1942,IF((CI1943-1)=CI1942,BW1942,"no data"))</f>
        <v>495</v>
      </c>
      <c r="BY1943" s="5">
        <f t="shared" si="212"/>
        <v>0.37171717171717172</v>
      </c>
      <c r="BZ1943" s="6">
        <f t="shared" si="213"/>
        <v>0.37171717171717172</v>
      </c>
      <c r="CA1943" s="7">
        <v>44143</v>
      </c>
      <c r="CE1943">
        <v>173</v>
      </c>
      <c r="CF1943">
        <v>222</v>
      </c>
      <c r="CG1943">
        <v>159</v>
      </c>
      <c r="CH1943">
        <v>125</v>
      </c>
      <c r="CI1943">
        <f t="shared" si="210"/>
        <v>2020</v>
      </c>
      <c r="CJ1943" t="str">
        <f t="shared" si="211"/>
        <v>7049_2020</v>
      </c>
    </row>
    <row r="1944" spans="1:88" x14ac:dyDescent="0.25">
      <c r="A1944" t="s">
        <v>140</v>
      </c>
      <c r="B1944" t="s">
        <v>141</v>
      </c>
      <c r="C1944">
        <v>7049</v>
      </c>
      <c r="D1944">
        <v>-31.966073000000002</v>
      </c>
      <c r="E1944">
        <v>115.83986</v>
      </c>
      <c r="F1944">
        <v>2</v>
      </c>
      <c r="G1944" t="s">
        <v>719</v>
      </c>
      <c r="H1944">
        <v>50</v>
      </c>
      <c r="I1944">
        <v>230</v>
      </c>
      <c r="J1944">
        <v>215</v>
      </c>
      <c r="K1944">
        <v>35</v>
      </c>
      <c r="T1944">
        <v>209</v>
      </c>
      <c r="Y1944">
        <v>168</v>
      </c>
      <c r="AX1944">
        <v>209</v>
      </c>
      <c r="AY1944">
        <v>168</v>
      </c>
      <c r="AZ1944">
        <v>377</v>
      </c>
      <c r="BA1944">
        <v>168</v>
      </c>
      <c r="BB1944">
        <v>209</v>
      </c>
      <c r="BC1944">
        <v>377</v>
      </c>
      <c r="BP1944">
        <v>301</v>
      </c>
      <c r="BR1944">
        <v>46</v>
      </c>
      <c r="BS1944">
        <v>9</v>
      </c>
      <c r="BT1944">
        <v>2</v>
      </c>
      <c r="BV1944">
        <v>19</v>
      </c>
      <c r="BW1944">
        <v>377</v>
      </c>
      <c r="BX1944">
        <f>IF(C1944=C1943,IF((CI1944-1)=CI1943,BW1943,"no data"))</f>
        <v>679</v>
      </c>
      <c r="BY1944" s="5">
        <f t="shared" si="212"/>
        <v>-0.44477172312223856</v>
      </c>
      <c r="BZ1944" s="6">
        <f t="shared" si="213"/>
        <v>-0.44477172312223856</v>
      </c>
      <c r="CA1944" s="7">
        <v>44528</v>
      </c>
      <c r="CE1944">
        <v>206</v>
      </c>
      <c r="CF1944">
        <v>96</v>
      </c>
      <c r="CG1944">
        <v>75</v>
      </c>
      <c r="CI1944">
        <f t="shared" si="210"/>
        <v>2021</v>
      </c>
      <c r="CJ1944" t="str">
        <f t="shared" si="211"/>
        <v>7049_2021</v>
      </c>
    </row>
    <row r="1945" spans="1:88" x14ac:dyDescent="0.25">
      <c r="A1945" t="s">
        <v>140</v>
      </c>
      <c r="B1945" t="s">
        <v>141</v>
      </c>
      <c r="C1945">
        <v>7049</v>
      </c>
      <c r="D1945">
        <v>-31.966073000000002</v>
      </c>
      <c r="E1945">
        <v>115.83986</v>
      </c>
      <c r="F1945">
        <v>2</v>
      </c>
      <c r="G1945" t="s">
        <v>719</v>
      </c>
      <c r="H1945">
        <v>50</v>
      </c>
      <c r="I1945">
        <v>230</v>
      </c>
      <c r="J1945">
        <v>215</v>
      </c>
      <c r="K1945">
        <v>35</v>
      </c>
      <c r="T1945">
        <v>419</v>
      </c>
      <c r="Y1945">
        <v>195</v>
      </c>
      <c r="AX1945">
        <v>419</v>
      </c>
      <c r="AY1945">
        <v>195</v>
      </c>
      <c r="AZ1945">
        <v>614</v>
      </c>
      <c r="BA1945">
        <v>195</v>
      </c>
      <c r="BB1945">
        <v>419</v>
      </c>
      <c r="BC1945">
        <v>614</v>
      </c>
      <c r="BP1945">
        <v>364</v>
      </c>
      <c r="BR1945">
        <v>56</v>
      </c>
      <c r="BS1945">
        <v>181</v>
      </c>
      <c r="BT1945">
        <v>0</v>
      </c>
      <c r="BU1945">
        <v>12</v>
      </c>
      <c r="BV1945">
        <v>1</v>
      </c>
      <c r="BW1945">
        <v>614</v>
      </c>
      <c r="BX1945">
        <f>IF(C1945=C1944,IF((CI1945-1)=CI1944,BW1944,"no data"))</f>
        <v>377</v>
      </c>
      <c r="BY1945" s="5">
        <f t="shared" si="212"/>
        <v>0.62864721485411146</v>
      </c>
      <c r="BZ1945" s="6">
        <f t="shared" si="213"/>
        <v>0.62864721485411146</v>
      </c>
      <c r="CA1945" s="7">
        <v>44878</v>
      </c>
      <c r="CE1945">
        <v>216</v>
      </c>
      <c r="CF1945">
        <v>297</v>
      </c>
      <c r="CG1945">
        <v>101</v>
      </c>
      <c r="CI1945">
        <f t="shared" si="210"/>
        <v>2022</v>
      </c>
      <c r="CJ1945" t="str">
        <f t="shared" si="211"/>
        <v>7049_2022</v>
      </c>
    </row>
    <row r="1946" spans="1:88" x14ac:dyDescent="0.25">
      <c r="A1946" t="s">
        <v>140</v>
      </c>
      <c r="B1946" t="s">
        <v>141</v>
      </c>
      <c r="C1946">
        <v>7050</v>
      </c>
      <c r="D1946">
        <v>-31.954905</v>
      </c>
      <c r="E1946">
        <v>115.845547</v>
      </c>
      <c r="F1946">
        <v>4</v>
      </c>
      <c r="G1946" t="s">
        <v>720</v>
      </c>
      <c r="H1946">
        <v>68</v>
      </c>
      <c r="I1946">
        <v>248</v>
      </c>
      <c r="J1946">
        <v>158</v>
      </c>
      <c r="K1946">
        <v>338</v>
      </c>
      <c r="L1946">
        <v>213</v>
      </c>
      <c r="M1946">
        <v>33</v>
      </c>
      <c r="N1946">
        <v>334</v>
      </c>
      <c r="O1946">
        <v>154</v>
      </c>
      <c r="T1946">
        <v>29</v>
      </c>
      <c r="U1946">
        <v>62</v>
      </c>
      <c r="V1946">
        <v>10</v>
      </c>
      <c r="Y1946">
        <v>27</v>
      </c>
      <c r="Z1946">
        <v>105</v>
      </c>
      <c r="AA1946">
        <v>77</v>
      </c>
      <c r="AD1946">
        <v>74</v>
      </c>
      <c r="AE1946">
        <v>110</v>
      </c>
      <c r="AF1946">
        <v>138</v>
      </c>
      <c r="AI1946">
        <v>19</v>
      </c>
      <c r="AJ1946">
        <v>129</v>
      </c>
      <c r="AK1946">
        <v>152</v>
      </c>
      <c r="AX1946">
        <v>101</v>
      </c>
      <c r="AY1946">
        <v>120</v>
      </c>
      <c r="AZ1946">
        <v>221</v>
      </c>
      <c r="BA1946">
        <v>209</v>
      </c>
      <c r="BB1946">
        <v>268</v>
      </c>
      <c r="BC1946">
        <v>477</v>
      </c>
      <c r="BD1946">
        <v>322</v>
      </c>
      <c r="BE1946">
        <v>319</v>
      </c>
      <c r="BF1946">
        <v>641</v>
      </c>
      <c r="BG1946">
        <v>300</v>
      </c>
      <c r="BH1946">
        <v>225</v>
      </c>
      <c r="BI1946">
        <v>525</v>
      </c>
      <c r="BP1946">
        <v>76</v>
      </c>
      <c r="BR1946">
        <v>773</v>
      </c>
      <c r="BS1946">
        <v>75</v>
      </c>
      <c r="BT1946">
        <v>8</v>
      </c>
      <c r="BV1946">
        <v>0</v>
      </c>
      <c r="BW1946">
        <v>932</v>
      </c>
      <c r="BX1946" t="s">
        <v>82</v>
      </c>
      <c r="BY1946" s="5"/>
      <c r="BZ1946" s="6"/>
      <c r="CA1946" s="7">
        <v>42687</v>
      </c>
      <c r="CE1946">
        <v>340</v>
      </c>
      <c r="CF1946">
        <v>270</v>
      </c>
      <c r="CG1946">
        <v>199</v>
      </c>
      <c r="CH1946">
        <v>123</v>
      </c>
      <c r="CI1946">
        <f t="shared" si="210"/>
        <v>2016</v>
      </c>
      <c r="CJ1946" t="str">
        <f t="shared" si="211"/>
        <v>7050_2016</v>
      </c>
    </row>
    <row r="1947" spans="1:88" x14ac:dyDescent="0.25">
      <c r="A1947" t="s">
        <v>140</v>
      </c>
      <c r="B1947" t="s">
        <v>141</v>
      </c>
      <c r="C1947">
        <v>7050</v>
      </c>
      <c r="D1947">
        <v>-31.954967</v>
      </c>
      <c r="E1947">
        <v>115.84549</v>
      </c>
      <c r="F1947">
        <v>4</v>
      </c>
      <c r="G1947" t="s">
        <v>720</v>
      </c>
      <c r="H1947">
        <v>68</v>
      </c>
      <c r="I1947">
        <v>248</v>
      </c>
      <c r="J1947">
        <v>158</v>
      </c>
      <c r="K1947">
        <v>338</v>
      </c>
      <c r="L1947">
        <v>213</v>
      </c>
      <c r="M1947">
        <v>33</v>
      </c>
      <c r="N1947">
        <v>334</v>
      </c>
      <c r="O1947">
        <v>154</v>
      </c>
      <c r="T1947">
        <v>23</v>
      </c>
      <c r="U1947">
        <v>87</v>
      </c>
      <c r="V1947">
        <v>60</v>
      </c>
      <c r="Y1947">
        <v>31</v>
      </c>
      <c r="Z1947">
        <v>51</v>
      </c>
      <c r="AA1947">
        <v>394</v>
      </c>
      <c r="AD1947">
        <v>86</v>
      </c>
      <c r="AE1947">
        <v>105</v>
      </c>
      <c r="AF1947">
        <v>117</v>
      </c>
      <c r="AI1947">
        <v>134</v>
      </c>
      <c r="AJ1947">
        <v>622</v>
      </c>
      <c r="AK1947">
        <v>193</v>
      </c>
      <c r="AX1947">
        <v>170</v>
      </c>
      <c r="AY1947">
        <v>251</v>
      </c>
      <c r="AZ1947">
        <v>421</v>
      </c>
      <c r="BA1947">
        <v>476</v>
      </c>
      <c r="BB1947">
        <v>750</v>
      </c>
      <c r="BC1947">
        <v>1226</v>
      </c>
      <c r="BD1947">
        <v>308</v>
      </c>
      <c r="BE1947">
        <v>331</v>
      </c>
      <c r="BF1947">
        <v>639</v>
      </c>
      <c r="BG1947">
        <v>949</v>
      </c>
      <c r="BH1947">
        <v>571</v>
      </c>
      <c r="BI1947">
        <v>1520</v>
      </c>
      <c r="BP1947">
        <v>139</v>
      </c>
      <c r="BR1947">
        <v>1680</v>
      </c>
      <c r="BS1947">
        <v>43</v>
      </c>
      <c r="BT1947">
        <v>20</v>
      </c>
      <c r="BV1947">
        <v>21</v>
      </c>
      <c r="BW1947">
        <v>1903</v>
      </c>
      <c r="BX1947" t="str">
        <f>IF(C1947=C1946,IF((CI1947-1)=CI1946,BW1946,"no data"))</f>
        <v>no data</v>
      </c>
      <c r="BY1947" s="5"/>
      <c r="BZ1947" s="6"/>
      <c r="CA1947" s="7">
        <v>43415</v>
      </c>
      <c r="CE1947">
        <v>392</v>
      </c>
      <c r="CF1947">
        <v>468</v>
      </c>
      <c r="CG1947">
        <v>632</v>
      </c>
      <c r="CH1947">
        <v>411</v>
      </c>
      <c r="CI1947">
        <f t="shared" si="210"/>
        <v>2018</v>
      </c>
      <c r="CJ1947" t="str">
        <f t="shared" si="211"/>
        <v>7050_2018</v>
      </c>
    </row>
    <row r="1948" spans="1:88" x14ac:dyDescent="0.25">
      <c r="A1948" t="s">
        <v>140</v>
      </c>
      <c r="B1948" t="s">
        <v>141</v>
      </c>
      <c r="C1948">
        <v>7050</v>
      </c>
      <c r="D1948">
        <v>-31.954999999999998</v>
      </c>
      <c r="E1948">
        <v>115.8455</v>
      </c>
      <c r="F1948">
        <v>4</v>
      </c>
      <c r="G1948" t="s">
        <v>721</v>
      </c>
      <c r="H1948">
        <v>68</v>
      </c>
      <c r="I1948">
        <v>248</v>
      </c>
      <c r="J1948">
        <v>158</v>
      </c>
      <c r="K1948">
        <v>338</v>
      </c>
      <c r="L1948">
        <v>213</v>
      </c>
      <c r="M1948">
        <v>33</v>
      </c>
      <c r="N1948">
        <v>334</v>
      </c>
      <c r="O1948">
        <v>154</v>
      </c>
      <c r="T1948">
        <v>90</v>
      </c>
      <c r="U1948">
        <v>171</v>
      </c>
      <c r="V1948">
        <v>35</v>
      </c>
      <c r="Y1948">
        <v>104</v>
      </c>
      <c r="Z1948">
        <v>130</v>
      </c>
      <c r="AA1948">
        <v>73</v>
      </c>
      <c r="AD1948">
        <v>181</v>
      </c>
      <c r="AE1948">
        <v>141</v>
      </c>
      <c r="AF1948">
        <v>28</v>
      </c>
      <c r="AI1948">
        <v>36</v>
      </c>
      <c r="AJ1948">
        <v>68</v>
      </c>
      <c r="AK1948">
        <v>57</v>
      </c>
      <c r="AX1948">
        <v>296</v>
      </c>
      <c r="AY1948">
        <v>321</v>
      </c>
      <c r="AZ1948">
        <v>617</v>
      </c>
      <c r="BA1948">
        <v>307</v>
      </c>
      <c r="BB1948">
        <v>299</v>
      </c>
      <c r="BC1948">
        <v>606</v>
      </c>
      <c r="BD1948">
        <v>350</v>
      </c>
      <c r="BE1948">
        <v>358</v>
      </c>
      <c r="BF1948">
        <v>708</v>
      </c>
      <c r="BG1948">
        <v>161</v>
      </c>
      <c r="BH1948">
        <v>136</v>
      </c>
      <c r="BI1948">
        <v>297</v>
      </c>
      <c r="BP1948">
        <v>127</v>
      </c>
      <c r="BR1948">
        <v>881</v>
      </c>
      <c r="BS1948">
        <v>71</v>
      </c>
      <c r="BT1948">
        <v>35</v>
      </c>
      <c r="BV1948">
        <v>0</v>
      </c>
      <c r="BW1948">
        <v>1114</v>
      </c>
      <c r="BX1948">
        <f>IF(C1948=C1947,IF((CI1948-1)=CI1947,BW1947,"no data"))</f>
        <v>1903</v>
      </c>
      <c r="BY1948" s="5">
        <f t="shared" si="212"/>
        <v>-0.41460851287440881</v>
      </c>
      <c r="BZ1948" s="6">
        <f t="shared" si="213"/>
        <v>-0.41460851287440881</v>
      </c>
      <c r="CA1948" s="7">
        <v>43779</v>
      </c>
      <c r="CE1948">
        <v>400</v>
      </c>
      <c r="CF1948">
        <v>304</v>
      </c>
      <c r="CG1948">
        <v>189</v>
      </c>
      <c r="CH1948">
        <v>221</v>
      </c>
      <c r="CI1948">
        <f t="shared" si="210"/>
        <v>2019</v>
      </c>
      <c r="CJ1948" t="str">
        <f t="shared" si="211"/>
        <v>7050_2019</v>
      </c>
    </row>
    <row r="1949" spans="1:88" x14ac:dyDescent="0.25">
      <c r="A1949" t="s">
        <v>140</v>
      </c>
      <c r="B1949" t="s">
        <v>141</v>
      </c>
      <c r="C1949">
        <v>7050</v>
      </c>
      <c r="D1949">
        <v>-31.954999999999998</v>
      </c>
      <c r="E1949">
        <v>115.8455</v>
      </c>
      <c r="F1949">
        <v>4</v>
      </c>
      <c r="G1949" t="s">
        <v>721</v>
      </c>
      <c r="H1949">
        <v>68</v>
      </c>
      <c r="I1949">
        <v>248</v>
      </c>
      <c r="J1949">
        <v>158</v>
      </c>
      <c r="K1949">
        <v>338</v>
      </c>
      <c r="L1949">
        <v>213</v>
      </c>
      <c r="M1949">
        <v>33</v>
      </c>
      <c r="N1949">
        <v>334</v>
      </c>
      <c r="O1949">
        <v>154</v>
      </c>
      <c r="T1949">
        <v>66</v>
      </c>
      <c r="U1949">
        <v>110</v>
      </c>
      <c r="V1949">
        <v>42</v>
      </c>
      <c r="Y1949">
        <v>109</v>
      </c>
      <c r="Z1949">
        <v>77</v>
      </c>
      <c r="AA1949">
        <v>61</v>
      </c>
      <c r="AD1949">
        <v>133</v>
      </c>
      <c r="AE1949">
        <v>72</v>
      </c>
      <c r="AF1949">
        <v>29</v>
      </c>
      <c r="AI1949">
        <v>51</v>
      </c>
      <c r="AJ1949">
        <v>57</v>
      </c>
      <c r="AK1949">
        <v>35</v>
      </c>
      <c r="AX1949">
        <v>218</v>
      </c>
      <c r="AY1949">
        <v>293</v>
      </c>
      <c r="AZ1949">
        <v>511</v>
      </c>
      <c r="BA1949">
        <v>247</v>
      </c>
      <c r="BB1949">
        <v>195</v>
      </c>
      <c r="BC1949">
        <v>442</v>
      </c>
      <c r="BD1949">
        <v>234</v>
      </c>
      <c r="BE1949">
        <v>222</v>
      </c>
      <c r="BF1949">
        <v>456</v>
      </c>
      <c r="BG1949">
        <v>143</v>
      </c>
      <c r="BH1949">
        <v>132</v>
      </c>
      <c r="BI1949">
        <v>275</v>
      </c>
      <c r="BP1949">
        <v>86</v>
      </c>
      <c r="BR1949">
        <v>707</v>
      </c>
      <c r="BS1949">
        <v>39</v>
      </c>
      <c r="BT1949">
        <v>10</v>
      </c>
      <c r="BV1949">
        <v>0</v>
      </c>
      <c r="BW1949">
        <v>842</v>
      </c>
      <c r="BX1949">
        <f>IF(C1949=C1948,IF((CI1949-1)=CI1948,BW1948,"no data"))</f>
        <v>1114</v>
      </c>
      <c r="BY1949" s="5">
        <f t="shared" si="212"/>
        <v>-0.24416517055655296</v>
      </c>
      <c r="BZ1949" s="6">
        <f t="shared" si="213"/>
        <v>-0.24416517055655296</v>
      </c>
      <c r="CA1949" s="7">
        <v>44143</v>
      </c>
      <c r="CE1949">
        <v>306</v>
      </c>
      <c r="CF1949">
        <v>269</v>
      </c>
      <c r="CG1949">
        <v>160</v>
      </c>
      <c r="CH1949">
        <v>107</v>
      </c>
      <c r="CI1949">
        <f t="shared" si="210"/>
        <v>2020</v>
      </c>
      <c r="CJ1949" t="str">
        <f t="shared" si="211"/>
        <v>7050_2020</v>
      </c>
    </row>
    <row r="1950" spans="1:88" x14ac:dyDescent="0.25">
      <c r="A1950" t="s">
        <v>140</v>
      </c>
      <c r="B1950" t="s">
        <v>141</v>
      </c>
      <c r="C1950">
        <v>7050</v>
      </c>
      <c r="D1950">
        <v>-31.954967</v>
      </c>
      <c r="E1950">
        <v>115.84549</v>
      </c>
      <c r="F1950">
        <v>4</v>
      </c>
      <c r="G1950" t="s">
        <v>721</v>
      </c>
      <c r="H1950">
        <v>68</v>
      </c>
      <c r="I1950">
        <v>248</v>
      </c>
      <c r="J1950">
        <v>158</v>
      </c>
      <c r="K1950">
        <v>338</v>
      </c>
      <c r="L1950">
        <v>213</v>
      </c>
      <c r="M1950">
        <v>33</v>
      </c>
      <c r="N1950">
        <v>334</v>
      </c>
      <c r="O1950">
        <v>154</v>
      </c>
      <c r="T1950">
        <v>41</v>
      </c>
      <c r="U1950">
        <v>95</v>
      </c>
      <c r="V1950">
        <v>16</v>
      </c>
      <c r="Y1950">
        <v>27</v>
      </c>
      <c r="Z1950">
        <v>72</v>
      </c>
      <c r="AA1950">
        <v>28</v>
      </c>
      <c r="AD1950">
        <v>71</v>
      </c>
      <c r="AE1950">
        <v>60</v>
      </c>
      <c r="AF1950">
        <v>22</v>
      </c>
      <c r="AI1950">
        <v>27</v>
      </c>
      <c r="AJ1950">
        <v>46</v>
      </c>
      <c r="AK1950">
        <v>7</v>
      </c>
      <c r="AX1950">
        <v>152</v>
      </c>
      <c r="AY1950">
        <v>125</v>
      </c>
      <c r="AZ1950">
        <v>277</v>
      </c>
      <c r="BA1950">
        <v>127</v>
      </c>
      <c r="BB1950">
        <v>147</v>
      </c>
      <c r="BC1950">
        <v>274</v>
      </c>
      <c r="BD1950">
        <v>153</v>
      </c>
      <c r="BE1950">
        <v>174</v>
      </c>
      <c r="BF1950">
        <v>327</v>
      </c>
      <c r="BG1950">
        <v>80</v>
      </c>
      <c r="BH1950">
        <v>66</v>
      </c>
      <c r="BI1950">
        <v>146</v>
      </c>
      <c r="BP1950">
        <v>11</v>
      </c>
      <c r="BR1950">
        <v>459</v>
      </c>
      <c r="BS1950">
        <v>21</v>
      </c>
      <c r="BT1950">
        <v>19</v>
      </c>
      <c r="BU1950">
        <v>1</v>
      </c>
      <c r="BV1950">
        <v>1</v>
      </c>
      <c r="BW1950">
        <v>512</v>
      </c>
      <c r="BX1950" t="str">
        <f>IF(C1950=C1949,IF((CI1950-1)=CI1949,BW1949,"no data"))</f>
        <v>no data</v>
      </c>
      <c r="BY1950" s="5"/>
      <c r="BZ1950" s="6"/>
      <c r="CA1950" s="7">
        <v>44878</v>
      </c>
      <c r="CE1950">
        <v>166</v>
      </c>
      <c r="CF1950">
        <v>177</v>
      </c>
      <c r="CG1950">
        <v>169</v>
      </c>
      <c r="CI1950">
        <f t="shared" si="210"/>
        <v>2022</v>
      </c>
      <c r="CJ1950" t="str">
        <f t="shared" si="211"/>
        <v>7050_2022</v>
      </c>
    </row>
    <row r="1951" spans="1:88" x14ac:dyDescent="0.25">
      <c r="A1951" t="s">
        <v>140</v>
      </c>
      <c r="B1951" t="s">
        <v>141</v>
      </c>
      <c r="C1951">
        <v>7051</v>
      </c>
      <c r="D1951">
        <v>-31.962392999999999</v>
      </c>
      <c r="E1951">
        <v>115.87375</v>
      </c>
      <c r="F1951">
        <v>3</v>
      </c>
      <c r="G1951" t="s">
        <v>722</v>
      </c>
      <c r="H1951">
        <v>22</v>
      </c>
      <c r="I1951">
        <v>202</v>
      </c>
      <c r="J1951">
        <v>169</v>
      </c>
      <c r="K1951">
        <v>349</v>
      </c>
      <c r="L1951">
        <v>200</v>
      </c>
      <c r="M1951">
        <v>20</v>
      </c>
      <c r="N1951">
        <v>293</v>
      </c>
      <c r="O1951">
        <v>113</v>
      </c>
      <c r="T1951">
        <v>10</v>
      </c>
      <c r="U1951">
        <v>52</v>
      </c>
      <c r="V1951">
        <v>18</v>
      </c>
      <c r="Y1951">
        <v>8</v>
      </c>
      <c r="Z1951">
        <v>15</v>
      </c>
      <c r="AA1951">
        <v>6</v>
      </c>
      <c r="AD1951">
        <v>31</v>
      </c>
      <c r="AE1951">
        <v>10</v>
      </c>
      <c r="AF1951">
        <v>23</v>
      </c>
      <c r="AI1951">
        <v>24</v>
      </c>
      <c r="AJ1951">
        <v>4</v>
      </c>
      <c r="AK1951">
        <v>22</v>
      </c>
      <c r="AX1951">
        <v>80</v>
      </c>
      <c r="AY1951">
        <v>63</v>
      </c>
      <c r="AZ1951">
        <v>143</v>
      </c>
      <c r="BA1951">
        <v>29</v>
      </c>
      <c r="BB1951">
        <v>24</v>
      </c>
      <c r="BC1951">
        <v>53</v>
      </c>
      <c r="BD1951">
        <v>64</v>
      </c>
      <c r="BE1951">
        <v>89</v>
      </c>
      <c r="BF1951">
        <v>153</v>
      </c>
      <c r="BG1951">
        <v>50</v>
      </c>
      <c r="BH1951">
        <v>47</v>
      </c>
      <c r="BI1951">
        <v>97</v>
      </c>
      <c r="BP1951">
        <v>58</v>
      </c>
      <c r="BR1951">
        <v>157</v>
      </c>
      <c r="BS1951">
        <v>4</v>
      </c>
      <c r="BT1951">
        <v>2</v>
      </c>
      <c r="BV1951">
        <v>2</v>
      </c>
      <c r="BW1951">
        <v>223</v>
      </c>
      <c r="BX1951" t="s">
        <v>82</v>
      </c>
      <c r="BY1951" s="5"/>
      <c r="BZ1951" s="6"/>
      <c r="CA1951" s="7">
        <v>42687</v>
      </c>
      <c r="CE1951">
        <v>81</v>
      </c>
      <c r="CF1951">
        <v>85</v>
      </c>
      <c r="CG1951">
        <v>22</v>
      </c>
      <c r="CH1951">
        <v>35</v>
      </c>
      <c r="CI1951">
        <f t="shared" si="210"/>
        <v>2016</v>
      </c>
      <c r="CJ1951" t="str">
        <f t="shared" si="211"/>
        <v>7051_2016</v>
      </c>
    </row>
    <row r="1952" spans="1:88" x14ac:dyDescent="0.25">
      <c r="A1952" t="s">
        <v>140</v>
      </c>
      <c r="B1952" t="s">
        <v>141</v>
      </c>
      <c r="C1952">
        <v>7051</v>
      </c>
      <c r="D1952">
        <v>-31.962365999999999</v>
      </c>
      <c r="E1952">
        <v>115.87385</v>
      </c>
      <c r="F1952">
        <v>4</v>
      </c>
      <c r="G1952" t="s">
        <v>722</v>
      </c>
      <c r="H1952">
        <v>22</v>
      </c>
      <c r="I1952">
        <v>202</v>
      </c>
      <c r="J1952">
        <v>169</v>
      </c>
      <c r="K1952">
        <v>349</v>
      </c>
      <c r="L1952">
        <v>200</v>
      </c>
      <c r="M1952">
        <v>20</v>
      </c>
      <c r="N1952">
        <v>293</v>
      </c>
      <c r="O1952">
        <v>113</v>
      </c>
      <c r="T1952">
        <v>21</v>
      </c>
      <c r="U1952">
        <v>24</v>
      </c>
      <c r="V1952">
        <v>43</v>
      </c>
      <c r="Y1952">
        <v>23</v>
      </c>
      <c r="Z1952">
        <v>0</v>
      </c>
      <c r="AA1952">
        <v>22</v>
      </c>
      <c r="AD1952">
        <v>35</v>
      </c>
      <c r="AE1952">
        <v>1</v>
      </c>
      <c r="AF1952">
        <v>27</v>
      </c>
      <c r="AI1952">
        <v>47</v>
      </c>
      <c r="AJ1952">
        <v>61</v>
      </c>
      <c r="AK1952">
        <v>22</v>
      </c>
      <c r="AX1952">
        <v>88</v>
      </c>
      <c r="AY1952">
        <v>105</v>
      </c>
      <c r="AZ1952">
        <v>193</v>
      </c>
      <c r="BA1952">
        <v>45</v>
      </c>
      <c r="BB1952">
        <v>83</v>
      </c>
      <c r="BC1952">
        <v>128</v>
      </c>
      <c r="BD1952">
        <v>63</v>
      </c>
      <c r="BE1952">
        <v>46</v>
      </c>
      <c r="BF1952">
        <v>109</v>
      </c>
      <c r="BG1952">
        <v>130</v>
      </c>
      <c r="BH1952">
        <v>92</v>
      </c>
      <c r="BI1952">
        <v>222</v>
      </c>
      <c r="BP1952">
        <v>71</v>
      </c>
      <c r="BR1952">
        <v>221</v>
      </c>
      <c r="BS1952">
        <v>15</v>
      </c>
      <c r="BT1952">
        <v>8</v>
      </c>
      <c r="BV1952">
        <v>11</v>
      </c>
      <c r="BW1952">
        <v>326</v>
      </c>
      <c r="BX1952" t="str">
        <f>IF(C1952=C1951,IF((CI1952-1)=CI1951,BW1951,"no data"))</f>
        <v>no data</v>
      </c>
      <c r="BY1952" s="5"/>
      <c r="BZ1952" s="6"/>
      <c r="CA1952" s="7">
        <v>43415</v>
      </c>
      <c r="CE1952">
        <v>90</v>
      </c>
      <c r="CF1952">
        <v>96</v>
      </c>
      <c r="CG1952">
        <v>60</v>
      </c>
      <c r="CH1952">
        <v>80</v>
      </c>
      <c r="CI1952">
        <f t="shared" si="210"/>
        <v>2018</v>
      </c>
      <c r="CJ1952" t="str">
        <f t="shared" si="211"/>
        <v>7051_2018</v>
      </c>
    </row>
    <row r="1953" spans="1:88" x14ac:dyDescent="0.25">
      <c r="A1953" t="s">
        <v>140</v>
      </c>
      <c r="B1953" t="s">
        <v>141</v>
      </c>
      <c r="C1953">
        <v>7051</v>
      </c>
      <c r="D1953">
        <v>-31.962399999999999</v>
      </c>
      <c r="E1953">
        <v>115.87390000000001</v>
      </c>
      <c r="F1953">
        <v>4</v>
      </c>
      <c r="G1953" t="s">
        <v>722</v>
      </c>
      <c r="H1953">
        <v>22</v>
      </c>
      <c r="I1953">
        <v>202</v>
      </c>
      <c r="J1953">
        <v>169</v>
      </c>
      <c r="K1953">
        <v>349</v>
      </c>
      <c r="L1953">
        <v>200</v>
      </c>
      <c r="M1953">
        <v>20</v>
      </c>
      <c r="N1953">
        <v>293</v>
      </c>
      <c r="O1953">
        <v>113</v>
      </c>
      <c r="T1953">
        <v>21</v>
      </c>
      <c r="U1953">
        <v>37</v>
      </c>
      <c r="V1953">
        <v>83</v>
      </c>
      <c r="Y1953">
        <v>15</v>
      </c>
      <c r="Z1953">
        <v>3</v>
      </c>
      <c r="AA1953">
        <v>12</v>
      </c>
      <c r="AD1953">
        <v>36</v>
      </c>
      <c r="AE1953">
        <v>3</v>
      </c>
      <c r="AF1953">
        <v>16</v>
      </c>
      <c r="AI1953">
        <v>41</v>
      </c>
      <c r="AJ1953">
        <v>10</v>
      </c>
      <c r="AK1953">
        <v>14</v>
      </c>
      <c r="AX1953">
        <v>141</v>
      </c>
      <c r="AY1953">
        <v>92</v>
      </c>
      <c r="AZ1953">
        <v>233</v>
      </c>
      <c r="BA1953">
        <v>30</v>
      </c>
      <c r="BB1953">
        <v>34</v>
      </c>
      <c r="BC1953">
        <v>64</v>
      </c>
      <c r="BD1953">
        <v>55</v>
      </c>
      <c r="BE1953">
        <v>54</v>
      </c>
      <c r="BF1953">
        <v>109</v>
      </c>
      <c r="BG1953">
        <v>65</v>
      </c>
      <c r="BH1953">
        <v>111</v>
      </c>
      <c r="BI1953">
        <v>176</v>
      </c>
      <c r="BP1953">
        <v>49</v>
      </c>
      <c r="BR1953">
        <v>212</v>
      </c>
      <c r="BS1953">
        <v>19</v>
      </c>
      <c r="BT1953">
        <v>10</v>
      </c>
      <c r="BV1953">
        <v>1</v>
      </c>
      <c r="BW1953">
        <v>291</v>
      </c>
      <c r="BX1953">
        <f>IF(C1953=C1952,IF((CI1953-1)=CI1952,BW1952,"no data"))</f>
        <v>326</v>
      </c>
      <c r="BY1953" s="5">
        <f t="shared" si="212"/>
        <v>-0.10736196319018405</v>
      </c>
      <c r="BZ1953" s="6">
        <f t="shared" si="213"/>
        <v>-0.10736196319018405</v>
      </c>
      <c r="CA1953" s="7">
        <v>43779</v>
      </c>
      <c r="CE1953">
        <v>90</v>
      </c>
      <c r="CF1953">
        <v>86</v>
      </c>
      <c r="CG1953">
        <v>72</v>
      </c>
      <c r="CH1953">
        <v>43</v>
      </c>
      <c r="CI1953">
        <f t="shared" si="210"/>
        <v>2019</v>
      </c>
      <c r="CJ1953" t="str">
        <f t="shared" si="211"/>
        <v>7051_2019</v>
      </c>
    </row>
    <row r="1954" spans="1:88" x14ac:dyDescent="0.25">
      <c r="A1954" t="s">
        <v>140</v>
      </c>
      <c r="B1954" t="s">
        <v>141</v>
      </c>
      <c r="C1954">
        <v>7051</v>
      </c>
      <c r="D1954">
        <v>-31.962399999999999</v>
      </c>
      <c r="E1954">
        <v>115.87390000000001</v>
      </c>
      <c r="F1954">
        <v>4</v>
      </c>
      <c r="G1954" t="s">
        <v>722</v>
      </c>
      <c r="H1954">
        <v>22</v>
      </c>
      <c r="I1954">
        <v>202</v>
      </c>
      <c r="J1954">
        <v>169</v>
      </c>
      <c r="K1954">
        <v>349</v>
      </c>
      <c r="L1954">
        <v>200</v>
      </c>
      <c r="M1954">
        <v>20</v>
      </c>
      <c r="N1954">
        <v>293</v>
      </c>
      <c r="O1954">
        <v>113</v>
      </c>
      <c r="T1954">
        <v>29</v>
      </c>
      <c r="U1954">
        <v>38</v>
      </c>
      <c r="V1954">
        <v>40</v>
      </c>
      <c r="Y1954">
        <v>23</v>
      </c>
      <c r="Z1954">
        <v>0</v>
      </c>
      <c r="AA1954">
        <v>14</v>
      </c>
      <c r="AD1954">
        <v>23</v>
      </c>
      <c r="AE1954">
        <v>0</v>
      </c>
      <c r="AF1954">
        <v>21</v>
      </c>
      <c r="AI1954">
        <v>49</v>
      </c>
      <c r="AJ1954">
        <v>35</v>
      </c>
      <c r="AK1954">
        <v>13</v>
      </c>
      <c r="AX1954">
        <v>107</v>
      </c>
      <c r="AY1954">
        <v>95</v>
      </c>
      <c r="AZ1954">
        <v>202</v>
      </c>
      <c r="BA1954">
        <v>37</v>
      </c>
      <c r="BB1954">
        <v>64</v>
      </c>
      <c r="BC1954">
        <v>101</v>
      </c>
      <c r="BD1954">
        <v>44</v>
      </c>
      <c r="BE1954">
        <v>51</v>
      </c>
      <c r="BF1954">
        <v>95</v>
      </c>
      <c r="BG1954">
        <v>97</v>
      </c>
      <c r="BH1954">
        <v>75</v>
      </c>
      <c r="BI1954">
        <v>172</v>
      </c>
      <c r="BP1954">
        <v>74</v>
      </c>
      <c r="BR1954">
        <v>190</v>
      </c>
      <c r="BS1954">
        <v>7</v>
      </c>
      <c r="BT1954">
        <v>10</v>
      </c>
      <c r="BV1954">
        <v>4</v>
      </c>
      <c r="BW1954">
        <v>285</v>
      </c>
      <c r="BX1954">
        <f>IF(C1954=C1953,IF((CI1954-1)=CI1953,BW1953,"no data"))</f>
        <v>291</v>
      </c>
      <c r="BY1954" s="5">
        <f t="shared" si="212"/>
        <v>-2.0618556701030927E-2</v>
      </c>
      <c r="BZ1954" s="6">
        <f t="shared" si="213"/>
        <v>-2.0618556701030927E-2</v>
      </c>
      <c r="CA1954" s="7">
        <v>44143</v>
      </c>
      <c r="CE1954">
        <v>76</v>
      </c>
      <c r="CF1954">
        <v>73</v>
      </c>
      <c r="CG1954">
        <v>72</v>
      </c>
      <c r="CH1954">
        <v>64</v>
      </c>
      <c r="CI1954">
        <f t="shared" si="210"/>
        <v>2020</v>
      </c>
      <c r="CJ1954" t="str">
        <f t="shared" si="211"/>
        <v>7051_2020</v>
      </c>
    </row>
    <row r="1955" spans="1:88" x14ac:dyDescent="0.25">
      <c r="A1955" t="s">
        <v>140</v>
      </c>
      <c r="B1955" t="s">
        <v>141</v>
      </c>
      <c r="C1955">
        <v>7051</v>
      </c>
      <c r="D1955">
        <v>-31.962365999999999</v>
      </c>
      <c r="E1955">
        <v>115.87385</v>
      </c>
      <c r="F1955">
        <v>4</v>
      </c>
      <c r="G1955" t="s">
        <v>722</v>
      </c>
      <c r="H1955">
        <v>22</v>
      </c>
      <c r="I1955">
        <v>202</v>
      </c>
      <c r="J1955">
        <v>169</v>
      </c>
      <c r="K1955">
        <v>349</v>
      </c>
      <c r="L1955">
        <v>200</v>
      </c>
      <c r="M1955">
        <v>20</v>
      </c>
      <c r="N1955">
        <v>293</v>
      </c>
      <c r="O1955">
        <v>113</v>
      </c>
      <c r="T1955">
        <v>34</v>
      </c>
      <c r="U1955">
        <v>141</v>
      </c>
      <c r="V1955">
        <v>21</v>
      </c>
      <c r="Y1955">
        <v>21</v>
      </c>
      <c r="Z1955">
        <v>3</v>
      </c>
      <c r="AA1955">
        <v>4</v>
      </c>
      <c r="AD1955">
        <v>75</v>
      </c>
      <c r="AE1955">
        <v>6</v>
      </c>
      <c r="AF1955">
        <v>106</v>
      </c>
      <c r="AI1955">
        <v>113</v>
      </c>
      <c r="AJ1955">
        <v>5</v>
      </c>
      <c r="AK1955">
        <v>139</v>
      </c>
      <c r="AX1955">
        <v>196</v>
      </c>
      <c r="AY1955">
        <v>209</v>
      </c>
      <c r="AZ1955">
        <v>405</v>
      </c>
      <c r="BA1955">
        <v>28</v>
      </c>
      <c r="BB1955">
        <v>45</v>
      </c>
      <c r="BC1955">
        <v>73</v>
      </c>
      <c r="BD1955">
        <v>187</v>
      </c>
      <c r="BE1955">
        <v>283</v>
      </c>
      <c r="BF1955">
        <v>470</v>
      </c>
      <c r="BG1955">
        <v>257</v>
      </c>
      <c r="BH1955">
        <v>131</v>
      </c>
      <c r="BI1955">
        <v>388</v>
      </c>
      <c r="BP1955">
        <v>45</v>
      </c>
      <c r="BR1955">
        <v>570</v>
      </c>
      <c r="BS1955">
        <v>1</v>
      </c>
      <c r="BT1955">
        <v>48</v>
      </c>
      <c r="BV1955">
        <v>4</v>
      </c>
      <c r="BW1955">
        <v>668</v>
      </c>
      <c r="BX1955">
        <f>IF(C1955=C1954,IF((CI1955-1)=CI1954,BW1954,"no data"))</f>
        <v>285</v>
      </c>
      <c r="BY1955" s="5">
        <f t="shared" si="212"/>
        <v>1.343859649122807</v>
      </c>
      <c r="BZ1955" s="6">
        <f t="shared" si="213"/>
        <v>1.343859649122807</v>
      </c>
      <c r="CA1955" s="7">
        <v>44528</v>
      </c>
      <c r="CE1955">
        <v>178</v>
      </c>
      <c r="CF1955">
        <v>243</v>
      </c>
      <c r="CG1955">
        <v>247</v>
      </c>
      <c r="CI1955">
        <f t="shared" si="210"/>
        <v>2021</v>
      </c>
      <c r="CJ1955" t="str">
        <f t="shared" si="211"/>
        <v>7051_2021</v>
      </c>
    </row>
    <row r="1956" spans="1:88" x14ac:dyDescent="0.25">
      <c r="A1956" t="s">
        <v>140</v>
      </c>
      <c r="B1956" t="s">
        <v>141</v>
      </c>
      <c r="C1956">
        <v>7051</v>
      </c>
      <c r="D1956">
        <v>-31.962365999999999</v>
      </c>
      <c r="E1956">
        <v>115.87385</v>
      </c>
      <c r="F1956">
        <v>4</v>
      </c>
      <c r="G1956" t="s">
        <v>722</v>
      </c>
      <c r="H1956">
        <v>22</v>
      </c>
      <c r="I1956">
        <v>202</v>
      </c>
      <c r="J1956">
        <v>169</v>
      </c>
      <c r="K1956">
        <v>349</v>
      </c>
      <c r="L1956">
        <v>200</v>
      </c>
      <c r="M1956">
        <v>20</v>
      </c>
      <c r="N1956">
        <v>293</v>
      </c>
      <c r="O1956">
        <v>113</v>
      </c>
      <c r="T1956">
        <v>57</v>
      </c>
      <c r="U1956">
        <v>36</v>
      </c>
      <c r="V1956">
        <v>36</v>
      </c>
      <c r="Y1956">
        <v>38</v>
      </c>
      <c r="Z1956">
        <v>0</v>
      </c>
      <c r="AA1956">
        <v>7</v>
      </c>
      <c r="AD1956">
        <v>11</v>
      </c>
      <c r="AE1956">
        <v>0</v>
      </c>
      <c r="AF1956">
        <v>10</v>
      </c>
      <c r="AI1956">
        <v>42</v>
      </c>
      <c r="AJ1956">
        <v>22</v>
      </c>
      <c r="AK1956">
        <v>20</v>
      </c>
      <c r="AX1956">
        <v>129</v>
      </c>
      <c r="AY1956">
        <v>91</v>
      </c>
      <c r="AZ1956">
        <v>220</v>
      </c>
      <c r="BA1956">
        <v>45</v>
      </c>
      <c r="BB1956">
        <v>79</v>
      </c>
      <c r="BC1956">
        <v>124</v>
      </c>
      <c r="BD1956">
        <v>21</v>
      </c>
      <c r="BE1956">
        <v>56</v>
      </c>
      <c r="BF1956">
        <v>77</v>
      </c>
      <c r="BG1956">
        <v>84</v>
      </c>
      <c r="BH1956">
        <v>53</v>
      </c>
      <c r="BI1956">
        <v>137</v>
      </c>
      <c r="BP1956">
        <v>32</v>
      </c>
      <c r="BR1956">
        <v>206</v>
      </c>
      <c r="BS1956">
        <v>11</v>
      </c>
      <c r="BT1956">
        <v>15</v>
      </c>
      <c r="BU1956">
        <v>15</v>
      </c>
      <c r="BV1956">
        <v>0</v>
      </c>
      <c r="BW1956">
        <v>279</v>
      </c>
      <c r="BX1956">
        <f>IF(C1956=C1955,IF((CI1956-1)=CI1955,BW1955,"no data"))</f>
        <v>668</v>
      </c>
      <c r="BY1956" s="5">
        <f t="shared" si="212"/>
        <v>-0.58233532934131738</v>
      </c>
      <c r="BZ1956" s="6">
        <f t="shared" si="213"/>
        <v>-0.58233532934131738</v>
      </c>
      <c r="CA1956" s="7">
        <v>44878</v>
      </c>
      <c r="CE1956">
        <v>98</v>
      </c>
      <c r="CF1956">
        <v>107</v>
      </c>
      <c r="CG1956">
        <v>74</v>
      </c>
      <c r="CI1956">
        <f t="shared" si="210"/>
        <v>2022</v>
      </c>
      <c r="CJ1956" t="str">
        <f t="shared" si="211"/>
        <v>7051_2022</v>
      </c>
    </row>
    <row r="1957" spans="1:88" x14ac:dyDescent="0.25">
      <c r="A1957" t="s">
        <v>140</v>
      </c>
      <c r="B1957" t="s">
        <v>141</v>
      </c>
      <c r="C1957">
        <v>7052</v>
      </c>
      <c r="D1957">
        <v>-31.965599000000001</v>
      </c>
      <c r="E1957">
        <v>115.88345200000001</v>
      </c>
      <c r="F1957">
        <v>3</v>
      </c>
      <c r="G1957" t="s">
        <v>723</v>
      </c>
      <c r="H1957">
        <v>34</v>
      </c>
      <c r="I1957">
        <v>214</v>
      </c>
      <c r="J1957">
        <v>151</v>
      </c>
      <c r="K1957">
        <v>331</v>
      </c>
      <c r="L1957">
        <v>305</v>
      </c>
      <c r="M1957">
        <v>125</v>
      </c>
      <c r="T1957">
        <v>1</v>
      </c>
      <c r="U1957">
        <v>0</v>
      </c>
      <c r="Y1957">
        <v>0</v>
      </c>
      <c r="Z1957">
        <v>311</v>
      </c>
      <c r="AD1957">
        <v>1</v>
      </c>
      <c r="AE1957">
        <v>322</v>
      </c>
      <c r="AX1957">
        <v>1</v>
      </c>
      <c r="AY1957">
        <v>1</v>
      </c>
      <c r="AZ1957">
        <v>2</v>
      </c>
      <c r="BA1957">
        <v>311</v>
      </c>
      <c r="BB1957">
        <v>323</v>
      </c>
      <c r="BC1957">
        <v>634</v>
      </c>
      <c r="BD1957">
        <v>323</v>
      </c>
      <c r="BE1957">
        <v>311</v>
      </c>
      <c r="BF1957">
        <v>634</v>
      </c>
      <c r="BP1957">
        <v>231</v>
      </c>
      <c r="BR1957">
        <v>298</v>
      </c>
      <c r="BS1957">
        <v>63</v>
      </c>
      <c r="BT1957">
        <v>24</v>
      </c>
      <c r="BV1957">
        <v>19</v>
      </c>
      <c r="BW1957">
        <v>635</v>
      </c>
      <c r="BX1957" t="s">
        <v>82</v>
      </c>
      <c r="BY1957" s="5"/>
      <c r="BZ1957" s="6"/>
      <c r="CA1957" s="7">
        <v>42715</v>
      </c>
      <c r="CE1957">
        <v>221</v>
      </c>
      <c r="CF1957">
        <v>183</v>
      </c>
      <c r="CG1957">
        <v>140</v>
      </c>
      <c r="CH1957">
        <v>91</v>
      </c>
      <c r="CI1957">
        <f t="shared" si="210"/>
        <v>2016</v>
      </c>
      <c r="CJ1957" t="str">
        <f t="shared" si="211"/>
        <v>7052_2016</v>
      </c>
    </row>
    <row r="1958" spans="1:88" x14ac:dyDescent="0.25">
      <c r="A1958" t="s">
        <v>140</v>
      </c>
      <c r="B1958" t="s">
        <v>141</v>
      </c>
      <c r="C1958">
        <v>7052</v>
      </c>
      <c r="D1958">
        <v>-31.965591</v>
      </c>
      <c r="E1958">
        <v>115.88346</v>
      </c>
      <c r="F1958">
        <v>3</v>
      </c>
      <c r="G1958" t="s">
        <v>723</v>
      </c>
      <c r="H1958">
        <v>34</v>
      </c>
      <c r="I1958">
        <v>214</v>
      </c>
      <c r="J1958">
        <v>151</v>
      </c>
      <c r="K1958">
        <v>331</v>
      </c>
      <c r="L1958">
        <v>305</v>
      </c>
      <c r="M1958">
        <v>125</v>
      </c>
      <c r="T1958">
        <v>16</v>
      </c>
      <c r="U1958">
        <v>3</v>
      </c>
      <c r="Y1958">
        <v>5</v>
      </c>
      <c r="Z1958">
        <v>461</v>
      </c>
      <c r="AD1958">
        <v>0</v>
      </c>
      <c r="AE1958">
        <v>436</v>
      </c>
      <c r="AX1958">
        <v>19</v>
      </c>
      <c r="AY1958">
        <v>5</v>
      </c>
      <c r="AZ1958">
        <v>24</v>
      </c>
      <c r="BA1958">
        <v>466</v>
      </c>
      <c r="BB1958">
        <v>452</v>
      </c>
      <c r="BC1958">
        <v>918</v>
      </c>
      <c r="BD1958">
        <v>436</v>
      </c>
      <c r="BE1958">
        <v>464</v>
      </c>
      <c r="BF1958">
        <v>900</v>
      </c>
      <c r="BP1958">
        <v>386</v>
      </c>
      <c r="BR1958">
        <v>409</v>
      </c>
      <c r="BS1958">
        <v>91</v>
      </c>
      <c r="BT1958">
        <v>19</v>
      </c>
      <c r="BV1958">
        <v>16</v>
      </c>
      <c r="BW1958">
        <v>921</v>
      </c>
      <c r="BX1958" t="str">
        <f>IF(C1958=C1957,IF((CI1958-1)=CI1957,BW1957,"no data"))</f>
        <v>no data</v>
      </c>
      <c r="BY1958" s="5"/>
      <c r="BZ1958" s="6"/>
      <c r="CA1958" s="7">
        <v>43415</v>
      </c>
      <c r="CE1958">
        <v>283</v>
      </c>
      <c r="CF1958">
        <v>273</v>
      </c>
      <c r="CG1958">
        <v>203</v>
      </c>
      <c r="CH1958">
        <v>162</v>
      </c>
      <c r="CI1958">
        <f t="shared" si="210"/>
        <v>2018</v>
      </c>
      <c r="CJ1958" t="str">
        <f t="shared" si="211"/>
        <v>7052_2018</v>
      </c>
    </row>
    <row r="1959" spans="1:88" x14ac:dyDescent="0.25">
      <c r="A1959" t="s">
        <v>140</v>
      </c>
      <c r="B1959" t="s">
        <v>141</v>
      </c>
      <c r="C1959">
        <v>7052</v>
      </c>
      <c r="D1959">
        <v>-31.965599999999998</v>
      </c>
      <c r="E1959">
        <v>115.8835</v>
      </c>
      <c r="F1959">
        <v>3</v>
      </c>
      <c r="G1959" t="s">
        <v>723</v>
      </c>
      <c r="H1959">
        <v>34</v>
      </c>
      <c r="I1959">
        <v>214</v>
      </c>
      <c r="J1959">
        <v>151</v>
      </c>
      <c r="K1959">
        <v>331</v>
      </c>
      <c r="L1959">
        <v>305</v>
      </c>
      <c r="M1959">
        <v>125</v>
      </c>
      <c r="T1959">
        <v>23</v>
      </c>
      <c r="U1959">
        <v>6</v>
      </c>
      <c r="Y1959">
        <v>7</v>
      </c>
      <c r="Z1959">
        <v>421</v>
      </c>
      <c r="AD1959">
        <v>10</v>
      </c>
      <c r="AE1959">
        <v>450</v>
      </c>
      <c r="AX1959">
        <v>29</v>
      </c>
      <c r="AY1959">
        <v>17</v>
      </c>
      <c r="AZ1959">
        <v>46</v>
      </c>
      <c r="BA1959">
        <v>428</v>
      </c>
      <c r="BB1959">
        <v>473</v>
      </c>
      <c r="BC1959">
        <v>901</v>
      </c>
      <c r="BD1959">
        <v>460</v>
      </c>
      <c r="BE1959">
        <v>427</v>
      </c>
      <c r="BF1959">
        <v>887</v>
      </c>
      <c r="BP1959">
        <v>306</v>
      </c>
      <c r="BR1959">
        <v>488</v>
      </c>
      <c r="BS1959">
        <v>78</v>
      </c>
      <c r="BT1959">
        <v>27</v>
      </c>
      <c r="BV1959">
        <v>18</v>
      </c>
      <c r="BW1959">
        <v>917</v>
      </c>
      <c r="BX1959">
        <f>IF(C1959=C1958,IF((CI1959-1)=CI1958,BW1958,"no data"))</f>
        <v>921</v>
      </c>
      <c r="BY1959" s="5">
        <f t="shared" si="212"/>
        <v>-4.3431053203040176E-3</v>
      </c>
      <c r="BZ1959" s="6">
        <f t="shared" si="213"/>
        <v>-4.3431053203040176E-3</v>
      </c>
      <c r="CA1959" s="7">
        <v>43779</v>
      </c>
      <c r="CE1959">
        <v>233</v>
      </c>
      <c r="CF1959">
        <v>228</v>
      </c>
      <c r="CG1959">
        <v>276</v>
      </c>
      <c r="CH1959">
        <v>180</v>
      </c>
      <c r="CI1959">
        <f t="shared" si="210"/>
        <v>2019</v>
      </c>
      <c r="CJ1959" t="str">
        <f t="shared" si="211"/>
        <v>7052_2019</v>
      </c>
    </row>
    <row r="1960" spans="1:88" x14ac:dyDescent="0.25">
      <c r="A1960" t="s">
        <v>140</v>
      </c>
      <c r="B1960" t="s">
        <v>141</v>
      </c>
      <c r="C1960">
        <v>7052</v>
      </c>
      <c r="D1960">
        <v>-31.965599999999998</v>
      </c>
      <c r="E1960">
        <v>115.8835</v>
      </c>
      <c r="F1960">
        <v>3</v>
      </c>
      <c r="G1960" t="s">
        <v>723</v>
      </c>
      <c r="H1960">
        <v>34</v>
      </c>
      <c r="I1960">
        <v>214</v>
      </c>
      <c r="J1960">
        <v>151</v>
      </c>
      <c r="K1960">
        <v>331</v>
      </c>
      <c r="L1960">
        <v>305</v>
      </c>
      <c r="M1960">
        <v>125</v>
      </c>
      <c r="T1960">
        <v>4</v>
      </c>
      <c r="U1960">
        <v>1</v>
      </c>
      <c r="Y1960">
        <v>1</v>
      </c>
      <c r="Z1960">
        <v>384</v>
      </c>
      <c r="AD1960">
        <v>0</v>
      </c>
      <c r="AE1960">
        <v>469</v>
      </c>
      <c r="AX1960">
        <v>5</v>
      </c>
      <c r="AY1960">
        <v>1</v>
      </c>
      <c r="AZ1960">
        <v>6</v>
      </c>
      <c r="BA1960">
        <v>385</v>
      </c>
      <c r="BB1960">
        <v>473</v>
      </c>
      <c r="BC1960">
        <v>858</v>
      </c>
      <c r="BD1960">
        <v>469</v>
      </c>
      <c r="BE1960">
        <v>385</v>
      </c>
      <c r="BF1960">
        <v>854</v>
      </c>
      <c r="BP1960">
        <v>322</v>
      </c>
      <c r="BR1960">
        <v>440</v>
      </c>
      <c r="BS1960">
        <v>60</v>
      </c>
      <c r="BT1960">
        <v>26</v>
      </c>
      <c r="BV1960">
        <v>11</v>
      </c>
      <c r="BW1960">
        <v>859</v>
      </c>
      <c r="BX1960">
        <f>IF(C1960=C1959,IF((CI1960-1)=CI1959,BW1959,"no data"))</f>
        <v>917</v>
      </c>
      <c r="BY1960" s="5">
        <f t="shared" si="212"/>
        <v>-6.3249727371864781E-2</v>
      </c>
      <c r="BZ1960" s="6">
        <f t="shared" si="213"/>
        <v>-6.3249727371864781E-2</v>
      </c>
      <c r="CA1960" s="7">
        <v>44143</v>
      </c>
      <c r="CE1960">
        <v>284</v>
      </c>
      <c r="CF1960">
        <v>201</v>
      </c>
      <c r="CG1960">
        <v>220</v>
      </c>
      <c r="CH1960">
        <v>154</v>
      </c>
      <c r="CI1960">
        <f t="shared" si="210"/>
        <v>2020</v>
      </c>
      <c r="CJ1960" t="str">
        <f t="shared" si="211"/>
        <v>7052_2020</v>
      </c>
    </row>
    <row r="1961" spans="1:88" x14ac:dyDescent="0.25">
      <c r="A1961" t="s">
        <v>140</v>
      </c>
      <c r="B1961" t="s">
        <v>141</v>
      </c>
      <c r="C1961">
        <v>7052</v>
      </c>
      <c r="D1961">
        <v>-31.965591</v>
      </c>
      <c r="E1961">
        <v>115.88346</v>
      </c>
      <c r="F1961">
        <v>3</v>
      </c>
      <c r="G1961" t="s">
        <v>723</v>
      </c>
      <c r="H1961">
        <v>34</v>
      </c>
      <c r="I1961">
        <v>214</v>
      </c>
      <c r="J1961">
        <v>151</v>
      </c>
      <c r="K1961">
        <v>331</v>
      </c>
      <c r="L1961">
        <v>305</v>
      </c>
      <c r="M1961">
        <v>125</v>
      </c>
      <c r="T1961">
        <v>0</v>
      </c>
      <c r="U1961">
        <v>0</v>
      </c>
      <c r="Y1961">
        <v>0</v>
      </c>
      <c r="Z1961">
        <v>117</v>
      </c>
      <c r="AD1961">
        <v>0</v>
      </c>
      <c r="AE1961">
        <v>119</v>
      </c>
      <c r="AX1961">
        <v>0</v>
      </c>
      <c r="AY1961">
        <v>0</v>
      </c>
      <c r="AZ1961">
        <v>0</v>
      </c>
      <c r="BA1961">
        <v>117</v>
      </c>
      <c r="BB1961">
        <v>119</v>
      </c>
      <c r="BC1961">
        <v>236</v>
      </c>
      <c r="BD1961">
        <v>119</v>
      </c>
      <c r="BE1961">
        <v>117</v>
      </c>
      <c r="BF1961">
        <v>236</v>
      </c>
      <c r="BP1961">
        <v>115</v>
      </c>
      <c r="BR1961">
        <v>89</v>
      </c>
      <c r="BS1961">
        <v>17</v>
      </c>
      <c r="BT1961">
        <v>5</v>
      </c>
      <c r="BV1961">
        <v>10</v>
      </c>
      <c r="BW1961">
        <v>236</v>
      </c>
      <c r="BX1961">
        <f>IF(C1961=C1960,IF((CI1961-1)=CI1960,BW1960,"no data"))</f>
        <v>859</v>
      </c>
      <c r="BY1961" s="5">
        <f t="shared" si="212"/>
        <v>-0.72526193247962745</v>
      </c>
      <c r="BZ1961" s="6">
        <f t="shared" si="213"/>
        <v>-0.72526193247962745</v>
      </c>
      <c r="CA1961" s="7">
        <v>44528</v>
      </c>
      <c r="CE1961">
        <v>118</v>
      </c>
      <c r="CF1961">
        <v>65</v>
      </c>
      <c r="CG1961">
        <v>53</v>
      </c>
      <c r="CI1961">
        <f t="shared" si="210"/>
        <v>2021</v>
      </c>
      <c r="CJ1961" t="str">
        <f t="shared" si="211"/>
        <v>7052_2021</v>
      </c>
    </row>
    <row r="1962" spans="1:88" x14ac:dyDescent="0.25">
      <c r="A1962" t="s">
        <v>140</v>
      </c>
      <c r="B1962" t="s">
        <v>141</v>
      </c>
      <c r="C1962">
        <v>7052</v>
      </c>
      <c r="D1962">
        <v>-31.965591</v>
      </c>
      <c r="E1962">
        <v>115.88346</v>
      </c>
      <c r="F1962">
        <v>3</v>
      </c>
      <c r="G1962" t="s">
        <v>723</v>
      </c>
      <c r="H1962">
        <v>34</v>
      </c>
      <c r="I1962">
        <v>214</v>
      </c>
      <c r="J1962">
        <v>151</v>
      </c>
      <c r="K1962">
        <v>331</v>
      </c>
      <c r="L1962">
        <v>305</v>
      </c>
      <c r="M1962">
        <v>125</v>
      </c>
      <c r="T1962">
        <v>0</v>
      </c>
      <c r="U1962">
        <v>2</v>
      </c>
      <c r="Y1962">
        <v>1</v>
      </c>
      <c r="Z1962">
        <v>224</v>
      </c>
      <c r="AD1962">
        <v>3</v>
      </c>
      <c r="AE1962">
        <v>380</v>
      </c>
      <c r="AX1962">
        <v>2</v>
      </c>
      <c r="AY1962">
        <v>4</v>
      </c>
      <c r="AZ1962">
        <v>6</v>
      </c>
      <c r="BA1962">
        <v>225</v>
      </c>
      <c r="BB1962">
        <v>380</v>
      </c>
      <c r="BC1962">
        <v>605</v>
      </c>
      <c r="BD1962">
        <v>383</v>
      </c>
      <c r="BE1962">
        <v>226</v>
      </c>
      <c r="BF1962">
        <v>609</v>
      </c>
      <c r="BP1962">
        <v>248</v>
      </c>
      <c r="BR1962">
        <v>246</v>
      </c>
      <c r="BS1962">
        <v>78</v>
      </c>
      <c r="BT1962">
        <v>22</v>
      </c>
      <c r="BU1962">
        <v>14</v>
      </c>
      <c r="BV1962">
        <v>2</v>
      </c>
      <c r="BW1962">
        <v>610</v>
      </c>
      <c r="BX1962">
        <f>IF(C1962=C1961,IF((CI1962-1)=CI1961,BW1961,"no data"))</f>
        <v>236</v>
      </c>
      <c r="BY1962" s="5">
        <f t="shared" si="212"/>
        <v>1.5847457627118644</v>
      </c>
      <c r="BZ1962" s="6">
        <f t="shared" si="213"/>
        <v>1.5847457627118644</v>
      </c>
      <c r="CA1962" s="7">
        <v>44878</v>
      </c>
      <c r="CE1962">
        <v>247</v>
      </c>
      <c r="CF1962">
        <v>212</v>
      </c>
      <c r="CG1962">
        <v>151</v>
      </c>
      <c r="CI1962">
        <f t="shared" si="210"/>
        <v>2022</v>
      </c>
      <c r="CJ1962" t="str">
        <f t="shared" si="211"/>
        <v>7052_2022</v>
      </c>
    </row>
    <row r="1963" spans="1:88" x14ac:dyDescent="0.25">
      <c r="A1963" t="s">
        <v>140</v>
      </c>
      <c r="B1963" t="s">
        <v>141</v>
      </c>
      <c r="C1963">
        <v>7053</v>
      </c>
      <c r="D1963">
        <v>-31.957874</v>
      </c>
      <c r="E1963">
        <v>115.884399</v>
      </c>
      <c r="F1963">
        <v>3</v>
      </c>
      <c r="G1963" t="s">
        <v>724</v>
      </c>
      <c r="H1963">
        <v>179</v>
      </c>
      <c r="I1963">
        <v>359</v>
      </c>
      <c r="J1963">
        <v>272</v>
      </c>
      <c r="K1963">
        <v>92</v>
      </c>
      <c r="L1963">
        <v>344</v>
      </c>
      <c r="M1963">
        <v>164</v>
      </c>
      <c r="T1963">
        <v>3</v>
      </c>
      <c r="U1963">
        <v>1622</v>
      </c>
      <c r="Y1963">
        <v>3</v>
      </c>
      <c r="Z1963">
        <v>12</v>
      </c>
      <c r="AD1963">
        <v>336</v>
      </c>
      <c r="AE1963">
        <v>2</v>
      </c>
      <c r="AX1963">
        <v>1625</v>
      </c>
      <c r="AY1963">
        <v>339</v>
      </c>
      <c r="AZ1963">
        <v>1964</v>
      </c>
      <c r="BA1963">
        <v>15</v>
      </c>
      <c r="BB1963">
        <v>5</v>
      </c>
      <c r="BC1963">
        <v>20</v>
      </c>
      <c r="BD1963">
        <v>338</v>
      </c>
      <c r="BE1963">
        <v>1634</v>
      </c>
      <c r="BF1963">
        <v>1972</v>
      </c>
      <c r="BP1963">
        <v>313</v>
      </c>
      <c r="BR1963">
        <v>1539</v>
      </c>
      <c r="BS1963">
        <v>88</v>
      </c>
      <c r="BT1963">
        <v>33</v>
      </c>
      <c r="BV1963">
        <v>5</v>
      </c>
      <c r="BW1963">
        <v>1978</v>
      </c>
      <c r="BX1963" t="s">
        <v>82</v>
      </c>
      <c r="BY1963" s="5"/>
      <c r="BZ1963" s="6"/>
      <c r="CA1963" s="7">
        <v>42687</v>
      </c>
      <c r="CE1963">
        <v>954</v>
      </c>
      <c r="CF1963">
        <v>772</v>
      </c>
      <c r="CG1963">
        <v>152</v>
      </c>
      <c r="CH1963">
        <v>100</v>
      </c>
      <c r="CI1963">
        <f t="shared" si="210"/>
        <v>2016</v>
      </c>
      <c r="CJ1963" t="str">
        <f t="shared" si="211"/>
        <v>7053_2016</v>
      </c>
    </row>
    <row r="1964" spans="1:88" x14ac:dyDescent="0.25">
      <c r="A1964" t="s">
        <v>140</v>
      </c>
      <c r="B1964" t="s">
        <v>141</v>
      </c>
      <c r="C1964">
        <v>7053</v>
      </c>
      <c r="D1964">
        <v>-31.950009999999999</v>
      </c>
      <c r="E1964">
        <v>115.881766</v>
      </c>
      <c r="F1964">
        <v>3</v>
      </c>
      <c r="G1964" t="s">
        <v>724</v>
      </c>
      <c r="H1964">
        <v>179</v>
      </c>
      <c r="I1964">
        <v>359</v>
      </c>
      <c r="J1964">
        <v>272</v>
      </c>
      <c r="K1964">
        <v>92</v>
      </c>
      <c r="L1964">
        <v>344</v>
      </c>
      <c r="M1964">
        <v>164</v>
      </c>
      <c r="T1964">
        <v>0</v>
      </c>
      <c r="U1964">
        <v>351</v>
      </c>
      <c r="Y1964">
        <v>5</v>
      </c>
      <c r="Z1964">
        <v>4</v>
      </c>
      <c r="AD1964">
        <v>401</v>
      </c>
      <c r="AE1964">
        <v>1</v>
      </c>
      <c r="AX1964">
        <v>351</v>
      </c>
      <c r="AY1964">
        <v>406</v>
      </c>
      <c r="AZ1964">
        <v>757</v>
      </c>
      <c r="BA1964">
        <v>9</v>
      </c>
      <c r="BB1964">
        <v>1</v>
      </c>
      <c r="BC1964">
        <v>10</v>
      </c>
      <c r="BD1964">
        <v>402</v>
      </c>
      <c r="BE1964">
        <v>355</v>
      </c>
      <c r="BF1964">
        <v>757</v>
      </c>
      <c r="BP1964">
        <v>367</v>
      </c>
      <c r="BR1964">
        <v>283</v>
      </c>
      <c r="BS1964">
        <v>54</v>
      </c>
      <c r="BT1964">
        <v>45</v>
      </c>
      <c r="BV1964">
        <v>13</v>
      </c>
      <c r="BW1964">
        <v>762</v>
      </c>
      <c r="BX1964" t="str">
        <f>IF(C1964=C1963,IF((CI1964-1)=CI1963,BW1963,"no data"))</f>
        <v>no data</v>
      </c>
      <c r="BY1964" s="5"/>
      <c r="BZ1964" s="6"/>
      <c r="CA1964" s="7">
        <v>43415</v>
      </c>
      <c r="CE1964">
        <v>214</v>
      </c>
      <c r="CF1964">
        <v>260</v>
      </c>
      <c r="CG1964">
        <v>154</v>
      </c>
      <c r="CH1964">
        <v>134</v>
      </c>
      <c r="CI1964">
        <f t="shared" si="210"/>
        <v>2018</v>
      </c>
      <c r="CJ1964" t="str">
        <f t="shared" si="211"/>
        <v>7053_2018</v>
      </c>
    </row>
    <row r="1965" spans="1:88" x14ac:dyDescent="0.25">
      <c r="A1965" t="s">
        <v>140</v>
      </c>
      <c r="B1965" t="s">
        <v>141</v>
      </c>
      <c r="C1965">
        <v>7053</v>
      </c>
      <c r="D1965">
        <v>-31.95</v>
      </c>
      <c r="E1965">
        <v>115.8818</v>
      </c>
      <c r="F1965">
        <v>3</v>
      </c>
      <c r="G1965" t="s">
        <v>724</v>
      </c>
      <c r="H1965">
        <v>179</v>
      </c>
      <c r="I1965">
        <v>359</v>
      </c>
      <c r="J1965">
        <v>272</v>
      </c>
      <c r="K1965">
        <v>92</v>
      </c>
      <c r="L1965">
        <v>344</v>
      </c>
      <c r="M1965">
        <v>164</v>
      </c>
      <c r="T1965">
        <v>2</v>
      </c>
      <c r="U1965">
        <v>306</v>
      </c>
      <c r="Y1965">
        <v>3</v>
      </c>
      <c r="Z1965">
        <v>1</v>
      </c>
      <c r="AD1965">
        <v>382</v>
      </c>
      <c r="AE1965">
        <v>4</v>
      </c>
      <c r="AX1965">
        <v>308</v>
      </c>
      <c r="AY1965">
        <v>385</v>
      </c>
      <c r="AZ1965">
        <v>693</v>
      </c>
      <c r="BA1965">
        <v>4</v>
      </c>
      <c r="BB1965">
        <v>6</v>
      </c>
      <c r="BC1965">
        <v>10</v>
      </c>
      <c r="BD1965">
        <v>386</v>
      </c>
      <c r="BE1965">
        <v>307</v>
      </c>
      <c r="BF1965">
        <v>693</v>
      </c>
      <c r="BP1965">
        <v>210</v>
      </c>
      <c r="BR1965">
        <v>360</v>
      </c>
      <c r="BS1965">
        <v>49</v>
      </c>
      <c r="BT1965">
        <v>59</v>
      </c>
      <c r="BV1965">
        <v>20</v>
      </c>
      <c r="BW1965">
        <v>698</v>
      </c>
      <c r="BX1965">
        <f>IF(C1965=C1964,IF((CI1965-1)=CI1964,BW1964,"no data"))</f>
        <v>762</v>
      </c>
      <c r="BY1965" s="5">
        <f t="shared" si="212"/>
        <v>-8.3989501312335957E-2</v>
      </c>
      <c r="BZ1965" s="6">
        <f t="shared" si="213"/>
        <v>-8.3989501312335957E-2</v>
      </c>
      <c r="CA1965" s="7">
        <v>43779</v>
      </c>
      <c r="CE1965">
        <v>215</v>
      </c>
      <c r="CF1965">
        <v>181</v>
      </c>
      <c r="CG1965">
        <v>148</v>
      </c>
      <c r="CH1965">
        <v>154</v>
      </c>
      <c r="CI1965">
        <f t="shared" si="210"/>
        <v>2019</v>
      </c>
      <c r="CJ1965" t="str">
        <f t="shared" si="211"/>
        <v>7053_2019</v>
      </c>
    </row>
    <row r="1966" spans="1:88" x14ac:dyDescent="0.25">
      <c r="A1966" t="s">
        <v>140</v>
      </c>
      <c r="B1966" t="s">
        <v>141</v>
      </c>
      <c r="C1966">
        <v>7053</v>
      </c>
      <c r="D1966">
        <v>-31.95</v>
      </c>
      <c r="E1966">
        <v>115.8818</v>
      </c>
      <c r="F1966">
        <v>3</v>
      </c>
      <c r="G1966" t="s">
        <v>724</v>
      </c>
      <c r="H1966">
        <v>179</v>
      </c>
      <c r="I1966">
        <v>359</v>
      </c>
      <c r="J1966">
        <v>272</v>
      </c>
      <c r="K1966">
        <v>92</v>
      </c>
      <c r="L1966">
        <v>344</v>
      </c>
      <c r="M1966">
        <v>164</v>
      </c>
      <c r="T1966">
        <v>6</v>
      </c>
      <c r="U1966">
        <v>387</v>
      </c>
      <c r="Y1966">
        <v>2</v>
      </c>
      <c r="Z1966">
        <v>11</v>
      </c>
      <c r="AD1966">
        <v>447</v>
      </c>
      <c r="AE1966">
        <v>2</v>
      </c>
      <c r="AX1966">
        <v>393</v>
      </c>
      <c r="AY1966">
        <v>449</v>
      </c>
      <c r="AZ1966">
        <v>842</v>
      </c>
      <c r="BA1966">
        <v>13</v>
      </c>
      <c r="BB1966">
        <v>8</v>
      </c>
      <c r="BC1966">
        <v>21</v>
      </c>
      <c r="BD1966">
        <v>449</v>
      </c>
      <c r="BE1966">
        <v>398</v>
      </c>
      <c r="BF1966">
        <v>847</v>
      </c>
      <c r="BP1966">
        <v>280</v>
      </c>
      <c r="BR1966">
        <v>458</v>
      </c>
      <c r="BS1966">
        <v>52</v>
      </c>
      <c r="BT1966">
        <v>34</v>
      </c>
      <c r="BV1966">
        <v>31</v>
      </c>
      <c r="BW1966">
        <v>855</v>
      </c>
      <c r="BX1966">
        <f>IF(C1966=C1965,IF((CI1966-1)=CI1965,BW1965,"no data"))</f>
        <v>698</v>
      </c>
      <c r="BY1966" s="5">
        <f t="shared" si="212"/>
        <v>0.22492836676217765</v>
      </c>
      <c r="BZ1966" s="6">
        <f t="shared" si="213"/>
        <v>0.22492836676217765</v>
      </c>
      <c r="CA1966" s="7">
        <v>44143</v>
      </c>
      <c r="CE1966">
        <v>315</v>
      </c>
      <c r="CF1966">
        <v>218</v>
      </c>
      <c r="CG1966">
        <v>196</v>
      </c>
      <c r="CH1966">
        <v>126</v>
      </c>
      <c r="CI1966">
        <f t="shared" si="210"/>
        <v>2020</v>
      </c>
      <c r="CJ1966" t="str">
        <f t="shared" si="211"/>
        <v>7053_2020</v>
      </c>
    </row>
    <row r="1967" spans="1:88" x14ac:dyDescent="0.25">
      <c r="A1967" t="s">
        <v>140</v>
      </c>
      <c r="B1967" t="s">
        <v>141</v>
      </c>
      <c r="C1967">
        <v>7053</v>
      </c>
      <c r="D1967">
        <v>-31.950009999999999</v>
      </c>
      <c r="E1967">
        <v>115.881766</v>
      </c>
      <c r="F1967">
        <v>3</v>
      </c>
      <c r="G1967" t="s">
        <v>724</v>
      </c>
      <c r="H1967">
        <v>179</v>
      </c>
      <c r="I1967">
        <v>359</v>
      </c>
      <c r="J1967">
        <v>272</v>
      </c>
      <c r="K1967">
        <v>92</v>
      </c>
      <c r="L1967">
        <v>344</v>
      </c>
      <c r="M1967">
        <v>164</v>
      </c>
      <c r="T1967">
        <v>0</v>
      </c>
      <c r="U1967">
        <v>207</v>
      </c>
      <c r="Y1967">
        <v>1</v>
      </c>
      <c r="Z1967">
        <v>4</v>
      </c>
      <c r="AD1967">
        <v>203</v>
      </c>
      <c r="AE1967">
        <v>0</v>
      </c>
      <c r="AX1967">
        <v>207</v>
      </c>
      <c r="AY1967">
        <v>204</v>
      </c>
      <c r="AZ1967">
        <v>411</v>
      </c>
      <c r="BA1967">
        <v>5</v>
      </c>
      <c r="BB1967">
        <v>0</v>
      </c>
      <c r="BC1967">
        <v>5</v>
      </c>
      <c r="BD1967">
        <v>203</v>
      </c>
      <c r="BE1967">
        <v>211</v>
      </c>
      <c r="BF1967">
        <v>414</v>
      </c>
      <c r="BP1967">
        <v>160</v>
      </c>
      <c r="BR1967">
        <v>188</v>
      </c>
      <c r="BS1967">
        <v>34</v>
      </c>
      <c r="BT1967">
        <v>26</v>
      </c>
      <c r="BV1967">
        <v>7</v>
      </c>
      <c r="BW1967">
        <v>415</v>
      </c>
      <c r="BX1967">
        <f>IF(C1967=C1966,IF((CI1967-1)=CI1966,BW1966,"no data"))</f>
        <v>855</v>
      </c>
      <c r="BY1967" s="5">
        <f t="shared" si="212"/>
        <v>-0.51461988304093564</v>
      </c>
      <c r="BZ1967" s="6">
        <f t="shared" si="213"/>
        <v>-0.51461988304093564</v>
      </c>
      <c r="CA1967" s="7">
        <v>44528</v>
      </c>
      <c r="CE1967">
        <v>184</v>
      </c>
      <c r="CF1967">
        <v>131</v>
      </c>
      <c r="CG1967">
        <v>100</v>
      </c>
      <c r="CI1967">
        <f t="shared" si="210"/>
        <v>2021</v>
      </c>
      <c r="CJ1967" t="str">
        <f t="shared" si="211"/>
        <v>7053_2021</v>
      </c>
    </row>
    <row r="1968" spans="1:88" x14ac:dyDescent="0.25">
      <c r="A1968" t="s">
        <v>140</v>
      </c>
      <c r="B1968" t="s">
        <v>141</v>
      </c>
      <c r="C1968">
        <v>7053</v>
      </c>
      <c r="D1968">
        <v>-31.950009999999999</v>
      </c>
      <c r="E1968">
        <v>115.881766</v>
      </c>
      <c r="F1968">
        <v>3</v>
      </c>
      <c r="G1968" t="s">
        <v>724</v>
      </c>
      <c r="H1968">
        <v>179</v>
      </c>
      <c r="I1968">
        <v>359</v>
      </c>
      <c r="J1968">
        <v>272</v>
      </c>
      <c r="K1968">
        <v>92</v>
      </c>
      <c r="L1968">
        <v>344</v>
      </c>
      <c r="M1968">
        <v>164</v>
      </c>
      <c r="T1968">
        <v>3</v>
      </c>
      <c r="U1968">
        <v>292</v>
      </c>
      <c r="Y1968">
        <v>5</v>
      </c>
      <c r="Z1968">
        <v>1</v>
      </c>
      <c r="AD1968">
        <v>312</v>
      </c>
      <c r="AE1968">
        <v>0</v>
      </c>
      <c r="AX1968">
        <v>295</v>
      </c>
      <c r="AY1968">
        <v>317</v>
      </c>
      <c r="AZ1968">
        <v>612</v>
      </c>
      <c r="BA1968">
        <v>6</v>
      </c>
      <c r="BB1968">
        <v>3</v>
      </c>
      <c r="BC1968">
        <v>9</v>
      </c>
      <c r="BD1968">
        <v>312</v>
      </c>
      <c r="BE1968">
        <v>293</v>
      </c>
      <c r="BF1968">
        <v>605</v>
      </c>
      <c r="BP1968">
        <v>163</v>
      </c>
      <c r="BR1968">
        <v>296</v>
      </c>
      <c r="BS1968">
        <v>68</v>
      </c>
      <c r="BT1968">
        <v>72</v>
      </c>
      <c r="BU1968">
        <v>7</v>
      </c>
      <c r="BV1968">
        <v>7</v>
      </c>
      <c r="BW1968">
        <v>613</v>
      </c>
      <c r="BX1968">
        <f>IF(C1968=C1967,IF((CI1968-1)=CI1967,BW1967,"no data"))</f>
        <v>415</v>
      </c>
      <c r="BY1968" s="5">
        <f t="shared" si="212"/>
        <v>0.47710843373493977</v>
      </c>
      <c r="BZ1968" s="6">
        <f t="shared" si="213"/>
        <v>0.47710843373493977</v>
      </c>
      <c r="CA1968" s="7">
        <v>44878</v>
      </c>
      <c r="CE1968">
        <v>232</v>
      </c>
      <c r="CF1968">
        <v>222</v>
      </c>
      <c r="CG1968">
        <v>159</v>
      </c>
      <c r="CI1968">
        <f t="shared" si="210"/>
        <v>2022</v>
      </c>
      <c r="CJ1968" t="str">
        <f t="shared" si="211"/>
        <v>7053_2022</v>
      </c>
    </row>
    <row r="1969" spans="1:88" x14ac:dyDescent="0.25">
      <c r="A1969" t="s">
        <v>140</v>
      </c>
      <c r="B1969" t="s">
        <v>143</v>
      </c>
      <c r="C1969">
        <v>7054</v>
      </c>
      <c r="D1969">
        <v>-32.0822</v>
      </c>
      <c r="E1969">
        <v>115.752</v>
      </c>
      <c r="F1969">
        <v>3</v>
      </c>
      <c r="G1969" t="s">
        <v>725</v>
      </c>
      <c r="H1969">
        <v>17</v>
      </c>
      <c r="I1969">
        <v>197</v>
      </c>
      <c r="J1969">
        <v>159</v>
      </c>
      <c r="K1969">
        <v>339</v>
      </c>
      <c r="L1969">
        <v>353</v>
      </c>
      <c r="M1969">
        <v>173</v>
      </c>
      <c r="BP1969">
        <v>0</v>
      </c>
      <c r="BR1969">
        <v>0</v>
      </c>
      <c r="BS1969">
        <v>0</v>
      </c>
      <c r="BT1969">
        <v>0</v>
      </c>
      <c r="BV1969">
        <v>0</v>
      </c>
      <c r="BW1969">
        <v>0</v>
      </c>
      <c r="BX1969" t="s">
        <v>82</v>
      </c>
      <c r="BY1969" s="5"/>
      <c r="BZ1969" s="6"/>
      <c r="CA1969" s="7">
        <v>43779</v>
      </c>
      <c r="CI1969">
        <f t="shared" si="210"/>
        <v>2019</v>
      </c>
      <c r="CJ1969" t="str">
        <f t="shared" si="211"/>
        <v>7054_2019</v>
      </c>
    </row>
    <row r="1970" spans="1:88" x14ac:dyDescent="0.25">
      <c r="A1970" t="s">
        <v>140</v>
      </c>
      <c r="B1970" t="s">
        <v>143</v>
      </c>
      <c r="C1970">
        <v>7054</v>
      </c>
      <c r="D1970">
        <v>-32.0822</v>
      </c>
      <c r="E1970">
        <v>115.752</v>
      </c>
      <c r="F1970">
        <v>3</v>
      </c>
      <c r="G1970" t="s">
        <v>725</v>
      </c>
      <c r="H1970">
        <v>17</v>
      </c>
      <c r="I1970">
        <v>197</v>
      </c>
      <c r="J1970">
        <v>159</v>
      </c>
      <c r="K1970">
        <v>339</v>
      </c>
      <c r="L1970">
        <v>353</v>
      </c>
      <c r="M1970">
        <v>173</v>
      </c>
      <c r="T1970">
        <v>43</v>
      </c>
      <c r="U1970">
        <v>0</v>
      </c>
      <c r="Y1970">
        <v>22</v>
      </c>
      <c r="Z1970">
        <v>238</v>
      </c>
      <c r="AD1970">
        <v>1</v>
      </c>
      <c r="AE1970">
        <v>272</v>
      </c>
      <c r="AX1970">
        <v>43</v>
      </c>
      <c r="AY1970">
        <v>23</v>
      </c>
      <c r="AZ1970">
        <v>66</v>
      </c>
      <c r="BA1970">
        <v>260</v>
      </c>
      <c r="BB1970">
        <v>315</v>
      </c>
      <c r="BC1970">
        <v>575</v>
      </c>
      <c r="BD1970">
        <v>273</v>
      </c>
      <c r="BE1970">
        <v>238</v>
      </c>
      <c r="BF1970">
        <v>511</v>
      </c>
      <c r="BP1970">
        <v>193</v>
      </c>
      <c r="BR1970">
        <v>255</v>
      </c>
      <c r="BS1970">
        <v>66</v>
      </c>
      <c r="BT1970">
        <v>55</v>
      </c>
      <c r="BV1970">
        <v>7</v>
      </c>
      <c r="BW1970">
        <v>576</v>
      </c>
      <c r="BX1970">
        <f>IF(C1970=C1969,IF((CI1970-1)=CI1969,BW1969,"no data"))</f>
        <v>0</v>
      </c>
      <c r="BY1970" s="5"/>
      <c r="BZ1970" s="6"/>
      <c r="CA1970" s="7">
        <v>44143</v>
      </c>
      <c r="CC1970">
        <v>95</v>
      </c>
      <c r="CD1970">
        <v>148</v>
      </c>
      <c r="CE1970">
        <v>160</v>
      </c>
      <c r="CF1970">
        <v>173</v>
      </c>
      <c r="CI1970">
        <f t="shared" si="210"/>
        <v>2020</v>
      </c>
      <c r="CJ1970" t="str">
        <f t="shared" si="211"/>
        <v>7054_2020</v>
      </c>
    </row>
    <row r="1971" spans="1:88" x14ac:dyDescent="0.25">
      <c r="A1971" t="s">
        <v>140</v>
      </c>
      <c r="B1971" t="s">
        <v>143</v>
      </c>
      <c r="C1971">
        <v>7054</v>
      </c>
      <c r="D1971">
        <v>-32.082217999999997</v>
      </c>
      <c r="E1971">
        <v>115.752047</v>
      </c>
      <c r="F1971">
        <v>3</v>
      </c>
      <c r="G1971" t="s">
        <v>725</v>
      </c>
      <c r="H1971">
        <v>17</v>
      </c>
      <c r="I1971">
        <v>197</v>
      </c>
      <c r="J1971">
        <v>159</v>
      </c>
      <c r="K1971">
        <v>339</v>
      </c>
      <c r="L1971">
        <v>353</v>
      </c>
      <c r="M1971">
        <v>173</v>
      </c>
      <c r="T1971">
        <v>15</v>
      </c>
      <c r="U1971">
        <v>120</v>
      </c>
      <c r="Y1971">
        <v>6</v>
      </c>
      <c r="Z1971">
        <v>176</v>
      </c>
      <c r="AD1971">
        <v>31</v>
      </c>
      <c r="AE1971">
        <v>179</v>
      </c>
      <c r="AX1971">
        <v>135</v>
      </c>
      <c r="AY1971">
        <v>37</v>
      </c>
      <c r="AZ1971">
        <v>172</v>
      </c>
      <c r="BA1971">
        <v>182</v>
      </c>
      <c r="BB1971">
        <v>194</v>
      </c>
      <c r="BC1971">
        <v>376</v>
      </c>
      <c r="BD1971">
        <v>210</v>
      </c>
      <c r="BE1971">
        <v>296</v>
      </c>
      <c r="BF1971">
        <v>506</v>
      </c>
      <c r="BP1971">
        <v>156</v>
      </c>
      <c r="BR1971">
        <v>243</v>
      </c>
      <c r="BS1971">
        <v>59</v>
      </c>
      <c r="BT1971">
        <v>63</v>
      </c>
      <c r="BV1971">
        <v>6</v>
      </c>
      <c r="BW1971">
        <v>527</v>
      </c>
      <c r="BX1971">
        <f>IF(C1971=C1970,IF((CI1971-1)=CI1970,BW1970,"no data"))</f>
        <v>576</v>
      </c>
      <c r="BY1971" s="5">
        <f t="shared" si="212"/>
        <v>-8.5069444444444448E-2</v>
      </c>
      <c r="BZ1971" s="6">
        <f t="shared" si="213"/>
        <v>-8.5069444444444448E-2</v>
      </c>
      <c r="CA1971" s="7">
        <v>44528</v>
      </c>
      <c r="CC1971">
        <v>143</v>
      </c>
      <c r="CD1971">
        <v>188</v>
      </c>
      <c r="CE1971">
        <v>196</v>
      </c>
      <c r="CI1971">
        <f t="shared" si="210"/>
        <v>2021</v>
      </c>
      <c r="CJ1971" t="str">
        <f t="shared" si="211"/>
        <v>7054_2021</v>
      </c>
    </row>
    <row r="1972" spans="1:88" x14ac:dyDescent="0.25">
      <c r="A1972" t="s">
        <v>79</v>
      </c>
      <c r="B1972" t="s">
        <v>439</v>
      </c>
      <c r="C1972">
        <v>7055</v>
      </c>
      <c r="D1972">
        <v>-33.895055999999997</v>
      </c>
      <c r="E1972">
        <v>151.17807400000001</v>
      </c>
      <c r="F1972">
        <v>3</v>
      </c>
      <c r="G1972" t="s">
        <v>726</v>
      </c>
      <c r="H1972">
        <v>18</v>
      </c>
      <c r="I1972">
        <v>198</v>
      </c>
      <c r="J1972">
        <v>114</v>
      </c>
      <c r="K1972">
        <v>294</v>
      </c>
      <c r="L1972">
        <v>253</v>
      </c>
      <c r="M1972">
        <v>73</v>
      </c>
      <c r="T1972">
        <v>64</v>
      </c>
      <c r="U1972">
        <v>46</v>
      </c>
      <c r="Y1972">
        <v>46</v>
      </c>
      <c r="Z1972">
        <v>42</v>
      </c>
      <c r="AD1972">
        <v>171</v>
      </c>
      <c r="AE1972">
        <v>73</v>
      </c>
      <c r="AX1972">
        <v>110</v>
      </c>
      <c r="AY1972">
        <v>217</v>
      </c>
      <c r="AZ1972">
        <v>327</v>
      </c>
      <c r="BA1972">
        <v>88</v>
      </c>
      <c r="BB1972">
        <v>137</v>
      </c>
      <c r="BC1972">
        <v>225</v>
      </c>
      <c r="BD1972">
        <v>244</v>
      </c>
      <c r="BE1972">
        <v>88</v>
      </c>
      <c r="BF1972">
        <v>332</v>
      </c>
      <c r="BP1972">
        <v>16</v>
      </c>
      <c r="BR1972">
        <v>214</v>
      </c>
      <c r="BS1972">
        <v>0</v>
      </c>
      <c r="BT1972">
        <v>166</v>
      </c>
      <c r="BV1972">
        <v>46</v>
      </c>
      <c r="BW1972">
        <v>442</v>
      </c>
      <c r="BX1972" t="s">
        <v>82</v>
      </c>
      <c r="BY1972" s="5"/>
      <c r="BZ1972" s="6"/>
      <c r="CA1972" s="7">
        <v>42715</v>
      </c>
      <c r="CE1972">
        <v>250</v>
      </c>
      <c r="CF1972">
        <v>192</v>
      </c>
      <c r="CG1972">
        <v>0</v>
      </c>
      <c r="CH1972">
        <v>0</v>
      </c>
      <c r="CI1972">
        <f t="shared" si="210"/>
        <v>2016</v>
      </c>
      <c r="CJ1972" t="str">
        <f t="shared" si="211"/>
        <v>7055_2016</v>
      </c>
    </row>
    <row r="1973" spans="1:88" x14ac:dyDescent="0.25">
      <c r="A1973" t="s">
        <v>79</v>
      </c>
      <c r="B1973" t="s">
        <v>84</v>
      </c>
      <c r="C1973">
        <v>7076</v>
      </c>
      <c r="D1973">
        <v>-33.793511000000002</v>
      </c>
      <c r="E1973">
        <v>151.00001800000001</v>
      </c>
      <c r="F1973">
        <v>3</v>
      </c>
      <c r="G1973" t="s">
        <v>727</v>
      </c>
      <c r="H1973">
        <v>31</v>
      </c>
      <c r="I1973">
        <v>211</v>
      </c>
      <c r="J1973">
        <v>154</v>
      </c>
      <c r="K1973">
        <v>334</v>
      </c>
      <c r="L1973">
        <v>317</v>
      </c>
      <c r="M1973">
        <v>137</v>
      </c>
      <c r="T1973">
        <v>10</v>
      </c>
      <c r="U1973">
        <v>5</v>
      </c>
      <c r="Y1973">
        <v>12</v>
      </c>
      <c r="Z1973">
        <v>70</v>
      </c>
      <c r="AD1973">
        <v>7</v>
      </c>
      <c r="AE1973">
        <v>70</v>
      </c>
      <c r="AX1973">
        <v>15</v>
      </c>
      <c r="AY1973">
        <v>19</v>
      </c>
      <c r="AZ1973">
        <v>34</v>
      </c>
      <c r="BA1973">
        <v>82</v>
      </c>
      <c r="BB1973">
        <v>80</v>
      </c>
      <c r="BC1973">
        <v>162</v>
      </c>
      <c r="BD1973">
        <v>77</v>
      </c>
      <c r="BE1973">
        <v>75</v>
      </c>
      <c r="BF1973">
        <v>152</v>
      </c>
      <c r="BP1973">
        <v>53</v>
      </c>
      <c r="BR1973">
        <v>113</v>
      </c>
      <c r="BS1973">
        <v>3</v>
      </c>
      <c r="BT1973">
        <v>5</v>
      </c>
      <c r="BV1973">
        <v>0</v>
      </c>
      <c r="BW1973">
        <v>174</v>
      </c>
      <c r="BX1973" t="s">
        <v>82</v>
      </c>
      <c r="BY1973" s="5"/>
      <c r="BZ1973" s="6"/>
      <c r="CA1973" s="7">
        <v>43051</v>
      </c>
      <c r="CE1973">
        <v>61</v>
      </c>
      <c r="CF1973">
        <v>41</v>
      </c>
      <c r="CG1973">
        <v>34</v>
      </c>
      <c r="CH1973">
        <v>38</v>
      </c>
      <c r="CI1973">
        <f t="shared" si="210"/>
        <v>2017</v>
      </c>
      <c r="CJ1973" t="str">
        <f t="shared" si="211"/>
        <v>7076_2017</v>
      </c>
    </row>
    <row r="1974" spans="1:88" x14ac:dyDescent="0.25">
      <c r="A1974" t="s">
        <v>79</v>
      </c>
      <c r="B1974" t="s">
        <v>84</v>
      </c>
      <c r="C1974">
        <v>7076</v>
      </c>
      <c r="D1974">
        <v>-33.793511000000002</v>
      </c>
      <c r="E1974">
        <v>151.00001800000001</v>
      </c>
      <c r="F1974">
        <v>3</v>
      </c>
      <c r="G1974" t="s">
        <v>727</v>
      </c>
      <c r="H1974">
        <v>31</v>
      </c>
      <c r="I1974">
        <v>211</v>
      </c>
      <c r="J1974">
        <v>154</v>
      </c>
      <c r="K1974">
        <v>334</v>
      </c>
      <c r="L1974">
        <v>317</v>
      </c>
      <c r="M1974">
        <v>137</v>
      </c>
      <c r="T1974">
        <v>9</v>
      </c>
      <c r="U1974">
        <v>16</v>
      </c>
      <c r="Y1974">
        <v>19</v>
      </c>
      <c r="Z1974">
        <v>32</v>
      </c>
      <c r="AD1974">
        <v>7</v>
      </c>
      <c r="AE1974">
        <v>46</v>
      </c>
      <c r="AX1974">
        <v>25</v>
      </c>
      <c r="AY1974">
        <v>26</v>
      </c>
      <c r="AZ1974">
        <v>51</v>
      </c>
      <c r="BA1974">
        <v>51</v>
      </c>
      <c r="BB1974">
        <v>55</v>
      </c>
      <c r="BC1974">
        <v>106</v>
      </c>
      <c r="BD1974">
        <v>53</v>
      </c>
      <c r="BE1974">
        <v>48</v>
      </c>
      <c r="BF1974">
        <v>101</v>
      </c>
      <c r="BP1974">
        <v>37</v>
      </c>
      <c r="BR1974">
        <v>84</v>
      </c>
      <c r="BS1974">
        <v>4</v>
      </c>
      <c r="BT1974">
        <v>4</v>
      </c>
      <c r="BV1974">
        <v>0</v>
      </c>
      <c r="BW1974">
        <v>129</v>
      </c>
      <c r="BX1974">
        <f>IF(C1974=C1973,IF((CI1974-1)=CI1973,BW1973,"no data"))</f>
        <v>174</v>
      </c>
      <c r="BY1974" s="5">
        <f t="shared" si="212"/>
        <v>-0.25862068965517243</v>
      </c>
      <c r="BZ1974" s="6">
        <f t="shared" si="213"/>
        <v>-0.25862068965517243</v>
      </c>
      <c r="CA1974" s="7">
        <v>43415</v>
      </c>
      <c r="CE1974">
        <v>27</v>
      </c>
      <c r="CF1974">
        <v>53</v>
      </c>
      <c r="CG1974">
        <v>28</v>
      </c>
      <c r="CH1974">
        <v>21</v>
      </c>
      <c r="CI1974">
        <f t="shared" si="210"/>
        <v>2018</v>
      </c>
      <c r="CJ1974" t="str">
        <f t="shared" si="211"/>
        <v>7076_2018</v>
      </c>
    </row>
    <row r="1975" spans="1:88" x14ac:dyDescent="0.25">
      <c r="A1975" t="s">
        <v>79</v>
      </c>
      <c r="B1975" t="s">
        <v>84</v>
      </c>
      <c r="C1975">
        <v>7076</v>
      </c>
      <c r="D1975">
        <v>-33.793500000000002</v>
      </c>
      <c r="E1975">
        <v>151</v>
      </c>
      <c r="F1975">
        <v>4</v>
      </c>
      <c r="G1975" t="s">
        <v>728</v>
      </c>
      <c r="H1975">
        <v>31</v>
      </c>
      <c r="I1975">
        <v>211</v>
      </c>
      <c r="J1975">
        <v>154</v>
      </c>
      <c r="K1975">
        <v>334</v>
      </c>
      <c r="L1975">
        <v>198</v>
      </c>
      <c r="M1975">
        <v>18</v>
      </c>
      <c r="N1975">
        <v>317</v>
      </c>
      <c r="O1975">
        <v>137</v>
      </c>
      <c r="T1975">
        <v>7</v>
      </c>
      <c r="U1975">
        <v>0</v>
      </c>
      <c r="V1975">
        <v>3</v>
      </c>
      <c r="Y1975">
        <v>9</v>
      </c>
      <c r="Z1975">
        <v>13</v>
      </c>
      <c r="AA1975">
        <v>34</v>
      </c>
      <c r="AD1975">
        <v>0</v>
      </c>
      <c r="AE1975">
        <v>13</v>
      </c>
      <c r="AF1975">
        <v>5</v>
      </c>
      <c r="AI1975">
        <v>0</v>
      </c>
      <c r="AJ1975">
        <v>18</v>
      </c>
      <c r="AK1975">
        <v>0</v>
      </c>
      <c r="AX1975">
        <v>10</v>
      </c>
      <c r="AY1975">
        <v>9</v>
      </c>
      <c r="AZ1975">
        <v>19</v>
      </c>
      <c r="BA1975">
        <v>56</v>
      </c>
      <c r="BB1975">
        <v>38</v>
      </c>
      <c r="BC1975">
        <v>94</v>
      </c>
      <c r="BD1975">
        <v>18</v>
      </c>
      <c r="BE1975">
        <v>13</v>
      </c>
      <c r="BF1975">
        <v>31</v>
      </c>
      <c r="BG1975">
        <v>18</v>
      </c>
      <c r="BH1975">
        <v>42</v>
      </c>
      <c r="BI1975">
        <v>60</v>
      </c>
      <c r="BP1975">
        <v>26</v>
      </c>
      <c r="BR1975">
        <v>72</v>
      </c>
      <c r="BS1975">
        <v>1</v>
      </c>
      <c r="BT1975">
        <v>3</v>
      </c>
      <c r="BV1975">
        <v>0</v>
      </c>
      <c r="BW1975">
        <v>102</v>
      </c>
      <c r="BX1975">
        <f>IF(C1975=C1974,IF((CI1975-1)=CI1974,BW1974,"no data"))</f>
        <v>129</v>
      </c>
      <c r="BY1975" s="5">
        <f t="shared" si="212"/>
        <v>-0.20930232558139536</v>
      </c>
      <c r="BZ1975" s="6">
        <f t="shared" si="213"/>
        <v>-0.20930232558139536</v>
      </c>
      <c r="CA1975" s="7">
        <v>43779</v>
      </c>
      <c r="CE1975">
        <v>13</v>
      </c>
      <c r="CF1975">
        <v>36</v>
      </c>
      <c r="CG1975">
        <v>26</v>
      </c>
      <c r="CH1975">
        <v>27</v>
      </c>
      <c r="CI1975">
        <f t="shared" si="210"/>
        <v>2019</v>
      </c>
      <c r="CJ1975" t="str">
        <f t="shared" si="211"/>
        <v>7076_2019</v>
      </c>
    </row>
    <row r="1976" spans="1:88" x14ac:dyDescent="0.25">
      <c r="A1976" t="s">
        <v>79</v>
      </c>
      <c r="B1976" t="s">
        <v>84</v>
      </c>
      <c r="C1976">
        <v>7076</v>
      </c>
      <c r="D1976">
        <v>-33.793500000000002</v>
      </c>
      <c r="E1976">
        <v>151</v>
      </c>
      <c r="F1976">
        <v>4</v>
      </c>
      <c r="G1976" t="s">
        <v>728</v>
      </c>
      <c r="H1976">
        <v>31</v>
      </c>
      <c r="I1976">
        <v>211</v>
      </c>
      <c r="J1976">
        <v>154</v>
      </c>
      <c r="K1976">
        <v>334</v>
      </c>
      <c r="L1976">
        <v>198</v>
      </c>
      <c r="M1976">
        <v>18</v>
      </c>
      <c r="N1976">
        <v>317</v>
      </c>
      <c r="O1976">
        <v>137</v>
      </c>
      <c r="T1976">
        <v>14</v>
      </c>
      <c r="U1976">
        <v>9</v>
      </c>
      <c r="V1976">
        <v>11</v>
      </c>
      <c r="Y1976">
        <v>9</v>
      </c>
      <c r="Z1976">
        <v>15</v>
      </c>
      <c r="AA1976">
        <v>43</v>
      </c>
      <c r="AD1976">
        <v>1</v>
      </c>
      <c r="AE1976">
        <v>23</v>
      </c>
      <c r="AF1976">
        <v>1</v>
      </c>
      <c r="AI1976">
        <v>8</v>
      </c>
      <c r="AJ1976">
        <v>30</v>
      </c>
      <c r="AK1976">
        <v>0</v>
      </c>
      <c r="AX1976">
        <v>34</v>
      </c>
      <c r="AY1976">
        <v>18</v>
      </c>
      <c r="AZ1976">
        <v>52</v>
      </c>
      <c r="BA1976">
        <v>67</v>
      </c>
      <c r="BB1976">
        <v>67</v>
      </c>
      <c r="BC1976">
        <v>134</v>
      </c>
      <c r="BD1976">
        <v>25</v>
      </c>
      <c r="BE1976">
        <v>24</v>
      </c>
      <c r="BF1976">
        <v>49</v>
      </c>
      <c r="BG1976">
        <v>38</v>
      </c>
      <c r="BH1976">
        <v>55</v>
      </c>
      <c r="BI1976">
        <v>93</v>
      </c>
      <c r="BP1976">
        <v>64</v>
      </c>
      <c r="BR1976">
        <v>91</v>
      </c>
      <c r="BS1976">
        <v>5</v>
      </c>
      <c r="BT1976">
        <v>2</v>
      </c>
      <c r="BV1976">
        <v>2</v>
      </c>
      <c r="BW1976">
        <v>164</v>
      </c>
      <c r="BX1976">
        <f>IF(C1976=C1975,IF((CI1976-1)=CI1975,BW1975,"no data"))</f>
        <v>102</v>
      </c>
      <c r="BY1976" s="5">
        <f t="shared" si="212"/>
        <v>0.60784313725490191</v>
      </c>
      <c r="BZ1976" s="6">
        <f t="shared" si="213"/>
        <v>0.60784313725490191</v>
      </c>
      <c r="CA1976" s="7">
        <v>44143</v>
      </c>
      <c r="CE1976">
        <v>34</v>
      </c>
      <c r="CF1976">
        <v>44</v>
      </c>
      <c r="CG1976">
        <v>34</v>
      </c>
      <c r="CH1976">
        <v>52</v>
      </c>
      <c r="CI1976">
        <f t="shared" si="210"/>
        <v>2020</v>
      </c>
      <c r="CJ1976" t="str">
        <f t="shared" si="211"/>
        <v>7076_2020</v>
      </c>
    </row>
    <row r="1977" spans="1:88" x14ac:dyDescent="0.25">
      <c r="A1977" t="s">
        <v>79</v>
      </c>
      <c r="B1977" t="s">
        <v>84</v>
      </c>
      <c r="C1977">
        <v>7078</v>
      </c>
      <c r="D1977">
        <v>-33.827722999999999</v>
      </c>
      <c r="E1977">
        <v>151.002926</v>
      </c>
      <c r="F1977">
        <v>3</v>
      </c>
      <c r="G1977" t="s">
        <v>729</v>
      </c>
      <c r="H1977">
        <v>45</v>
      </c>
      <c r="I1977">
        <v>225</v>
      </c>
      <c r="J1977">
        <v>80</v>
      </c>
      <c r="K1977">
        <v>260</v>
      </c>
      <c r="L1977">
        <v>260</v>
      </c>
      <c r="M1977">
        <v>80</v>
      </c>
      <c r="T1977">
        <v>0</v>
      </c>
      <c r="U1977">
        <v>0</v>
      </c>
      <c r="Y1977">
        <v>0</v>
      </c>
      <c r="Z1977">
        <v>15</v>
      </c>
      <c r="AD1977">
        <v>0</v>
      </c>
      <c r="AE1977">
        <v>9</v>
      </c>
      <c r="AX1977">
        <v>0</v>
      </c>
      <c r="AY1977">
        <v>0</v>
      </c>
      <c r="AZ1977">
        <v>0</v>
      </c>
      <c r="BA1977">
        <v>15</v>
      </c>
      <c r="BB1977">
        <v>9</v>
      </c>
      <c r="BC1977">
        <v>24</v>
      </c>
      <c r="BD1977">
        <v>9</v>
      </c>
      <c r="BE1977">
        <v>15</v>
      </c>
      <c r="BF1977">
        <v>24</v>
      </c>
      <c r="BP1977">
        <v>20</v>
      </c>
      <c r="BR1977">
        <v>2</v>
      </c>
      <c r="BS1977">
        <v>1</v>
      </c>
      <c r="BT1977">
        <v>1</v>
      </c>
      <c r="BV1977">
        <v>0</v>
      </c>
      <c r="BW1977">
        <v>24</v>
      </c>
      <c r="BX1977" t="s">
        <v>82</v>
      </c>
      <c r="BY1977" s="5"/>
      <c r="BZ1977" s="6"/>
      <c r="CA1977" s="7">
        <v>43051</v>
      </c>
      <c r="CE1977">
        <v>9</v>
      </c>
      <c r="CF1977">
        <v>11</v>
      </c>
      <c r="CG1977">
        <v>1</v>
      </c>
      <c r="CH1977">
        <v>3</v>
      </c>
      <c r="CI1977">
        <f t="shared" si="210"/>
        <v>2017</v>
      </c>
      <c r="CJ1977" t="str">
        <f t="shared" si="211"/>
        <v>7078_2017</v>
      </c>
    </row>
    <row r="1978" spans="1:88" x14ac:dyDescent="0.25">
      <c r="A1978" t="s">
        <v>79</v>
      </c>
      <c r="B1978" t="s">
        <v>84</v>
      </c>
      <c r="C1978">
        <v>7078</v>
      </c>
      <c r="D1978">
        <v>-33.827722999999999</v>
      </c>
      <c r="E1978">
        <v>151.002926</v>
      </c>
      <c r="F1978">
        <v>3</v>
      </c>
      <c r="G1978" t="s">
        <v>729</v>
      </c>
      <c r="H1978">
        <v>45</v>
      </c>
      <c r="I1978">
        <v>225</v>
      </c>
      <c r="J1978">
        <v>80</v>
      </c>
      <c r="K1978">
        <v>260</v>
      </c>
      <c r="L1978">
        <v>260</v>
      </c>
      <c r="M1978">
        <v>80</v>
      </c>
      <c r="T1978">
        <v>21</v>
      </c>
      <c r="U1978">
        <v>4</v>
      </c>
      <c r="Y1978">
        <v>4</v>
      </c>
      <c r="Z1978">
        <v>16</v>
      </c>
      <c r="AD1978">
        <v>6</v>
      </c>
      <c r="AE1978">
        <v>18</v>
      </c>
      <c r="AX1978">
        <v>25</v>
      </c>
      <c r="AY1978">
        <v>10</v>
      </c>
      <c r="AZ1978">
        <v>35</v>
      </c>
      <c r="BA1978">
        <v>20</v>
      </c>
      <c r="BB1978">
        <v>39</v>
      </c>
      <c r="BC1978">
        <v>59</v>
      </c>
      <c r="BD1978">
        <v>24</v>
      </c>
      <c r="BE1978">
        <v>20</v>
      </c>
      <c r="BF1978">
        <v>44</v>
      </c>
      <c r="BP1978">
        <v>54</v>
      </c>
      <c r="BR1978">
        <v>11</v>
      </c>
      <c r="BS1978">
        <v>0</v>
      </c>
      <c r="BT1978">
        <v>2</v>
      </c>
      <c r="BV1978">
        <v>2</v>
      </c>
      <c r="BW1978">
        <v>69</v>
      </c>
      <c r="BX1978">
        <f>IF(C1978=C1977,IF((CI1978-1)=CI1977,BW1977,"no data"))</f>
        <v>24</v>
      </c>
      <c r="BY1978" s="5">
        <f t="shared" si="212"/>
        <v>1.875</v>
      </c>
      <c r="BZ1978" s="6">
        <f t="shared" si="213"/>
        <v>1.875</v>
      </c>
      <c r="CA1978" s="7">
        <v>43415</v>
      </c>
      <c r="CE1978">
        <v>22</v>
      </c>
      <c r="CF1978">
        <v>22</v>
      </c>
      <c r="CG1978">
        <v>7</v>
      </c>
      <c r="CH1978">
        <v>18</v>
      </c>
      <c r="CI1978">
        <f t="shared" si="210"/>
        <v>2018</v>
      </c>
      <c r="CJ1978" t="str">
        <f t="shared" si="211"/>
        <v>7078_2018</v>
      </c>
    </row>
    <row r="1979" spans="1:88" x14ac:dyDescent="0.25">
      <c r="A1979" t="s">
        <v>79</v>
      </c>
      <c r="B1979" t="s">
        <v>84</v>
      </c>
      <c r="C1979">
        <v>7078</v>
      </c>
      <c r="D1979">
        <v>-33.8277</v>
      </c>
      <c r="E1979">
        <v>151.00290000000001</v>
      </c>
      <c r="F1979">
        <v>3</v>
      </c>
      <c r="G1979" t="s">
        <v>729</v>
      </c>
      <c r="H1979">
        <v>45</v>
      </c>
      <c r="I1979">
        <v>225</v>
      </c>
      <c r="J1979">
        <v>80</v>
      </c>
      <c r="K1979">
        <v>260</v>
      </c>
      <c r="L1979">
        <v>260</v>
      </c>
      <c r="M1979">
        <v>80</v>
      </c>
      <c r="T1979">
        <v>6</v>
      </c>
      <c r="U1979">
        <v>18</v>
      </c>
      <c r="Y1979">
        <v>21</v>
      </c>
      <c r="Z1979">
        <v>10</v>
      </c>
      <c r="AD1979">
        <v>25</v>
      </c>
      <c r="AE1979">
        <v>2</v>
      </c>
      <c r="AX1979">
        <v>24</v>
      </c>
      <c r="AY1979">
        <v>46</v>
      </c>
      <c r="AZ1979">
        <v>70</v>
      </c>
      <c r="BA1979">
        <v>31</v>
      </c>
      <c r="BB1979">
        <v>8</v>
      </c>
      <c r="BC1979">
        <v>39</v>
      </c>
      <c r="BD1979">
        <v>27</v>
      </c>
      <c r="BE1979">
        <v>28</v>
      </c>
      <c r="BF1979">
        <v>55</v>
      </c>
      <c r="BP1979">
        <v>75</v>
      </c>
      <c r="BR1979">
        <v>4</v>
      </c>
      <c r="BS1979">
        <v>2</v>
      </c>
      <c r="BT1979">
        <v>0</v>
      </c>
      <c r="BV1979">
        <v>1</v>
      </c>
      <c r="BW1979">
        <v>82</v>
      </c>
      <c r="BX1979">
        <f>IF(C1979=C1978,IF((CI1979-1)=CI1978,BW1978,"no data"))</f>
        <v>69</v>
      </c>
      <c r="BY1979" s="5">
        <f t="shared" si="212"/>
        <v>0.18840579710144928</v>
      </c>
      <c r="BZ1979" s="6">
        <f t="shared" si="213"/>
        <v>0.18840579710144928</v>
      </c>
      <c r="CA1979" s="7">
        <v>43779</v>
      </c>
      <c r="CE1979">
        <v>25</v>
      </c>
      <c r="CF1979">
        <v>19</v>
      </c>
      <c r="CG1979">
        <v>15</v>
      </c>
      <c r="CH1979">
        <v>23</v>
      </c>
      <c r="CI1979">
        <f t="shared" si="210"/>
        <v>2019</v>
      </c>
      <c r="CJ1979" t="str">
        <f t="shared" si="211"/>
        <v>7078_2019</v>
      </c>
    </row>
    <row r="1980" spans="1:88" x14ac:dyDescent="0.25">
      <c r="A1980" t="s">
        <v>79</v>
      </c>
      <c r="B1980" t="s">
        <v>84</v>
      </c>
      <c r="C1980">
        <v>7078</v>
      </c>
      <c r="D1980">
        <v>-33.8277</v>
      </c>
      <c r="E1980">
        <v>151.00290000000001</v>
      </c>
      <c r="F1980">
        <v>3</v>
      </c>
      <c r="G1980" t="s">
        <v>729</v>
      </c>
      <c r="H1980">
        <v>45</v>
      </c>
      <c r="I1980">
        <v>225</v>
      </c>
      <c r="J1980">
        <v>80</v>
      </c>
      <c r="K1980">
        <v>260</v>
      </c>
      <c r="L1980">
        <v>260</v>
      </c>
      <c r="M1980">
        <v>80</v>
      </c>
      <c r="T1980">
        <v>0</v>
      </c>
      <c r="U1980">
        <v>11</v>
      </c>
      <c r="Y1980">
        <v>4</v>
      </c>
      <c r="Z1980">
        <v>24</v>
      </c>
      <c r="AD1980">
        <v>2</v>
      </c>
      <c r="AE1980">
        <v>26</v>
      </c>
      <c r="AX1980">
        <v>11</v>
      </c>
      <c r="AY1980">
        <v>6</v>
      </c>
      <c r="AZ1980">
        <v>17</v>
      </c>
      <c r="BA1980">
        <v>28</v>
      </c>
      <c r="BB1980">
        <v>26</v>
      </c>
      <c r="BC1980">
        <v>54</v>
      </c>
      <c r="BD1980">
        <v>28</v>
      </c>
      <c r="BE1980">
        <v>35</v>
      </c>
      <c r="BF1980">
        <v>63</v>
      </c>
      <c r="BP1980">
        <v>40</v>
      </c>
      <c r="BR1980">
        <v>20</v>
      </c>
      <c r="BS1980">
        <v>7</v>
      </c>
      <c r="BT1980">
        <v>0</v>
      </c>
      <c r="BV1980">
        <v>0</v>
      </c>
      <c r="BW1980">
        <v>67</v>
      </c>
      <c r="BX1980">
        <f>IF(C1980=C1979,IF((CI1980-1)=CI1979,BW1979,"no data"))</f>
        <v>82</v>
      </c>
      <c r="BY1980" s="5">
        <f t="shared" si="212"/>
        <v>-0.18292682926829268</v>
      </c>
      <c r="BZ1980" s="6">
        <f t="shared" si="213"/>
        <v>-0.18292682926829268</v>
      </c>
      <c r="CA1980" s="7">
        <v>44143</v>
      </c>
      <c r="CE1980">
        <v>10</v>
      </c>
      <c r="CF1980">
        <v>12</v>
      </c>
      <c r="CG1980">
        <v>30</v>
      </c>
      <c r="CH1980">
        <v>15</v>
      </c>
      <c r="CI1980">
        <f t="shared" si="210"/>
        <v>2020</v>
      </c>
      <c r="CJ1980" t="str">
        <f t="shared" si="211"/>
        <v>7078_2020</v>
      </c>
    </row>
    <row r="1981" spans="1:88" x14ac:dyDescent="0.25">
      <c r="A1981" t="s">
        <v>79</v>
      </c>
      <c r="B1981" t="s">
        <v>84</v>
      </c>
      <c r="C1981">
        <v>7079</v>
      </c>
      <c r="D1981">
        <v>-33.844427000000003</v>
      </c>
      <c r="E1981">
        <v>151.05408800000001</v>
      </c>
      <c r="F1981">
        <v>4</v>
      </c>
      <c r="G1981" t="s">
        <v>730</v>
      </c>
      <c r="H1981">
        <v>48</v>
      </c>
      <c r="I1981">
        <v>228</v>
      </c>
      <c r="J1981">
        <v>150</v>
      </c>
      <c r="K1981">
        <v>330</v>
      </c>
      <c r="L1981">
        <v>228</v>
      </c>
      <c r="M1981">
        <v>48</v>
      </c>
      <c r="N1981">
        <v>319</v>
      </c>
      <c r="O1981">
        <v>139</v>
      </c>
      <c r="T1981">
        <v>82</v>
      </c>
      <c r="U1981">
        <v>101</v>
      </c>
      <c r="V1981">
        <v>8</v>
      </c>
      <c r="Y1981">
        <v>21</v>
      </c>
      <c r="Z1981">
        <v>18</v>
      </c>
      <c r="AA1981">
        <v>12</v>
      </c>
      <c r="AD1981">
        <v>80</v>
      </c>
      <c r="AE1981">
        <v>26</v>
      </c>
      <c r="AF1981">
        <v>4</v>
      </c>
      <c r="AI1981">
        <v>3</v>
      </c>
      <c r="AJ1981">
        <v>34</v>
      </c>
      <c r="AK1981">
        <v>4</v>
      </c>
      <c r="AX1981">
        <v>191</v>
      </c>
      <c r="AY1981">
        <v>104</v>
      </c>
      <c r="AZ1981">
        <v>295</v>
      </c>
      <c r="BA1981">
        <v>51</v>
      </c>
      <c r="BB1981">
        <v>142</v>
      </c>
      <c r="BC1981">
        <v>193</v>
      </c>
      <c r="BD1981">
        <v>110</v>
      </c>
      <c r="BE1981">
        <v>123</v>
      </c>
      <c r="BF1981">
        <v>233</v>
      </c>
      <c r="BG1981">
        <v>41</v>
      </c>
      <c r="BH1981">
        <v>24</v>
      </c>
      <c r="BI1981">
        <v>65</v>
      </c>
      <c r="BP1981">
        <v>274</v>
      </c>
      <c r="BR1981">
        <v>101</v>
      </c>
      <c r="BS1981">
        <v>8</v>
      </c>
      <c r="BT1981">
        <v>10</v>
      </c>
      <c r="BV1981">
        <v>0</v>
      </c>
      <c r="BW1981">
        <v>393</v>
      </c>
      <c r="BX1981" t="s">
        <v>82</v>
      </c>
      <c r="BY1981" s="5"/>
      <c r="BZ1981" s="6"/>
      <c r="CA1981" s="7">
        <v>43051</v>
      </c>
      <c r="CE1981">
        <v>121</v>
      </c>
      <c r="CF1981">
        <v>118</v>
      </c>
      <c r="CG1981">
        <v>92</v>
      </c>
      <c r="CH1981">
        <v>62</v>
      </c>
      <c r="CI1981">
        <f t="shared" si="210"/>
        <v>2017</v>
      </c>
      <c r="CJ1981" t="str">
        <f t="shared" si="211"/>
        <v>7079_2017</v>
      </c>
    </row>
    <row r="1982" spans="1:88" x14ac:dyDescent="0.25">
      <c r="A1982" t="s">
        <v>79</v>
      </c>
      <c r="B1982" t="s">
        <v>84</v>
      </c>
      <c r="C1982">
        <v>7079</v>
      </c>
      <c r="D1982">
        <v>-33.844427000000003</v>
      </c>
      <c r="E1982">
        <v>151.05408800000001</v>
      </c>
      <c r="F1982">
        <v>4</v>
      </c>
      <c r="G1982" t="s">
        <v>730</v>
      </c>
      <c r="H1982">
        <v>48</v>
      </c>
      <c r="I1982">
        <v>228</v>
      </c>
      <c r="J1982">
        <v>150</v>
      </c>
      <c r="K1982">
        <v>330</v>
      </c>
      <c r="L1982">
        <v>228</v>
      </c>
      <c r="M1982">
        <v>48</v>
      </c>
      <c r="N1982">
        <v>319</v>
      </c>
      <c r="O1982">
        <v>139</v>
      </c>
      <c r="T1982">
        <v>47</v>
      </c>
      <c r="U1982">
        <v>74</v>
      </c>
      <c r="V1982">
        <v>9</v>
      </c>
      <c r="Y1982">
        <v>32</v>
      </c>
      <c r="Z1982">
        <v>19</v>
      </c>
      <c r="AA1982">
        <v>7</v>
      </c>
      <c r="AD1982">
        <v>55</v>
      </c>
      <c r="AE1982">
        <v>36</v>
      </c>
      <c r="AF1982">
        <v>7</v>
      </c>
      <c r="AI1982">
        <v>16</v>
      </c>
      <c r="AJ1982">
        <v>27</v>
      </c>
      <c r="AK1982">
        <v>5</v>
      </c>
      <c r="AX1982">
        <v>130</v>
      </c>
      <c r="AY1982">
        <v>103</v>
      </c>
      <c r="AZ1982">
        <v>233</v>
      </c>
      <c r="BA1982">
        <v>58</v>
      </c>
      <c r="BB1982">
        <v>110</v>
      </c>
      <c r="BC1982">
        <v>168</v>
      </c>
      <c r="BD1982">
        <v>98</v>
      </c>
      <c r="BE1982">
        <v>98</v>
      </c>
      <c r="BF1982">
        <v>196</v>
      </c>
      <c r="BG1982">
        <v>48</v>
      </c>
      <c r="BH1982">
        <v>23</v>
      </c>
      <c r="BI1982">
        <v>71</v>
      </c>
      <c r="BP1982">
        <v>194</v>
      </c>
      <c r="BR1982">
        <v>110</v>
      </c>
      <c r="BS1982">
        <v>8</v>
      </c>
      <c r="BT1982">
        <v>9</v>
      </c>
      <c r="BV1982">
        <v>13</v>
      </c>
      <c r="BW1982">
        <v>334</v>
      </c>
      <c r="BX1982">
        <f>IF(C1982=C1981,IF((CI1982-1)=CI1981,BW1981,"no data"))</f>
        <v>393</v>
      </c>
      <c r="BY1982" s="5">
        <f t="shared" si="212"/>
        <v>-0.15012722646310434</v>
      </c>
      <c r="BZ1982" s="6">
        <f t="shared" si="213"/>
        <v>-0.15012722646310434</v>
      </c>
      <c r="CA1982" s="7">
        <v>43415</v>
      </c>
      <c r="CE1982">
        <v>119</v>
      </c>
      <c r="CF1982">
        <v>88</v>
      </c>
      <c r="CG1982">
        <v>62</v>
      </c>
      <c r="CH1982">
        <v>65</v>
      </c>
      <c r="CI1982">
        <f t="shared" si="210"/>
        <v>2018</v>
      </c>
      <c r="CJ1982" t="str">
        <f t="shared" si="211"/>
        <v>7079_2018</v>
      </c>
    </row>
    <row r="1983" spans="1:88" x14ac:dyDescent="0.25">
      <c r="A1983" t="s">
        <v>79</v>
      </c>
      <c r="B1983" t="s">
        <v>84</v>
      </c>
      <c r="C1983">
        <v>7079</v>
      </c>
      <c r="D1983">
        <v>-33.8444</v>
      </c>
      <c r="E1983">
        <v>151.05410000000001</v>
      </c>
      <c r="F1983">
        <v>4</v>
      </c>
      <c r="G1983" t="s">
        <v>730</v>
      </c>
      <c r="H1983">
        <v>48</v>
      </c>
      <c r="I1983">
        <v>228</v>
      </c>
      <c r="J1983">
        <v>150</v>
      </c>
      <c r="K1983">
        <v>330</v>
      </c>
      <c r="L1983">
        <v>228</v>
      </c>
      <c r="M1983">
        <v>48</v>
      </c>
      <c r="N1983">
        <v>319</v>
      </c>
      <c r="O1983">
        <v>139</v>
      </c>
      <c r="T1983">
        <v>53</v>
      </c>
      <c r="U1983">
        <v>75</v>
      </c>
      <c r="V1983">
        <v>9</v>
      </c>
      <c r="Y1983">
        <v>30</v>
      </c>
      <c r="Z1983">
        <v>35</v>
      </c>
      <c r="AA1983">
        <v>38</v>
      </c>
      <c r="AD1983">
        <v>89</v>
      </c>
      <c r="AE1983">
        <v>22</v>
      </c>
      <c r="AF1983">
        <v>2</v>
      </c>
      <c r="AI1983">
        <v>11</v>
      </c>
      <c r="AJ1983">
        <v>32</v>
      </c>
      <c r="AK1983">
        <v>7</v>
      </c>
      <c r="AX1983">
        <v>137</v>
      </c>
      <c r="AY1983">
        <v>130</v>
      </c>
      <c r="AZ1983">
        <v>267</v>
      </c>
      <c r="BA1983">
        <v>103</v>
      </c>
      <c r="BB1983">
        <v>107</v>
      </c>
      <c r="BC1983">
        <v>210</v>
      </c>
      <c r="BD1983">
        <v>113</v>
      </c>
      <c r="BE1983">
        <v>117</v>
      </c>
      <c r="BF1983">
        <v>230</v>
      </c>
      <c r="BG1983">
        <v>50</v>
      </c>
      <c r="BH1983">
        <v>49</v>
      </c>
      <c r="BI1983">
        <v>99</v>
      </c>
      <c r="BP1983">
        <v>224</v>
      </c>
      <c r="BR1983">
        <v>158</v>
      </c>
      <c r="BS1983">
        <v>6</v>
      </c>
      <c r="BT1983">
        <v>15</v>
      </c>
      <c r="BV1983">
        <v>0</v>
      </c>
      <c r="BW1983">
        <v>403</v>
      </c>
      <c r="BX1983">
        <f>IF(C1983=C1982,IF((CI1983-1)=CI1982,BW1982,"no data"))</f>
        <v>334</v>
      </c>
      <c r="BY1983" s="5">
        <f t="shared" si="212"/>
        <v>0.20658682634730538</v>
      </c>
      <c r="BZ1983" s="6">
        <f t="shared" si="213"/>
        <v>0.20658682634730538</v>
      </c>
      <c r="CA1983" s="7">
        <v>43779</v>
      </c>
      <c r="CE1983">
        <v>161</v>
      </c>
      <c r="CF1983">
        <v>67</v>
      </c>
      <c r="CG1983">
        <v>91</v>
      </c>
      <c r="CH1983">
        <v>84</v>
      </c>
      <c r="CI1983">
        <f t="shared" si="210"/>
        <v>2019</v>
      </c>
      <c r="CJ1983" t="str">
        <f t="shared" si="211"/>
        <v>7079_2019</v>
      </c>
    </row>
    <row r="1984" spans="1:88" x14ac:dyDescent="0.25">
      <c r="A1984" t="s">
        <v>79</v>
      </c>
      <c r="B1984" t="s">
        <v>84</v>
      </c>
      <c r="C1984">
        <v>7079</v>
      </c>
      <c r="D1984">
        <v>-33.8444</v>
      </c>
      <c r="E1984">
        <v>151.05410000000001</v>
      </c>
      <c r="F1984">
        <v>4</v>
      </c>
      <c r="G1984" t="s">
        <v>730</v>
      </c>
      <c r="H1984">
        <v>48</v>
      </c>
      <c r="I1984">
        <v>228</v>
      </c>
      <c r="J1984">
        <v>150</v>
      </c>
      <c r="K1984">
        <v>330</v>
      </c>
      <c r="L1984">
        <v>228</v>
      </c>
      <c r="M1984">
        <v>48</v>
      </c>
      <c r="N1984">
        <v>319</v>
      </c>
      <c r="O1984">
        <v>139</v>
      </c>
      <c r="T1984">
        <v>62</v>
      </c>
      <c r="U1984">
        <v>45</v>
      </c>
      <c r="V1984">
        <v>48</v>
      </c>
      <c r="Y1984">
        <v>27</v>
      </c>
      <c r="Z1984">
        <v>40</v>
      </c>
      <c r="AA1984">
        <v>39</v>
      </c>
      <c r="AD1984">
        <v>67</v>
      </c>
      <c r="AE1984">
        <v>43</v>
      </c>
      <c r="AF1984">
        <v>35</v>
      </c>
      <c r="AI1984">
        <v>28</v>
      </c>
      <c r="AJ1984">
        <v>26</v>
      </c>
      <c r="AK1984">
        <v>28</v>
      </c>
      <c r="AX1984">
        <v>155</v>
      </c>
      <c r="AY1984">
        <v>122</v>
      </c>
      <c r="AZ1984">
        <v>277</v>
      </c>
      <c r="BA1984">
        <v>106</v>
      </c>
      <c r="BB1984">
        <v>131</v>
      </c>
      <c r="BC1984">
        <v>237</v>
      </c>
      <c r="BD1984">
        <v>145</v>
      </c>
      <c r="BE1984">
        <v>113</v>
      </c>
      <c r="BF1984">
        <v>258</v>
      </c>
      <c r="BG1984">
        <v>82</v>
      </c>
      <c r="BH1984">
        <v>122</v>
      </c>
      <c r="BI1984">
        <v>204</v>
      </c>
      <c r="BP1984">
        <v>290</v>
      </c>
      <c r="BR1984">
        <v>135</v>
      </c>
      <c r="BS1984">
        <v>32</v>
      </c>
      <c r="BT1984">
        <v>18</v>
      </c>
      <c r="BV1984">
        <v>13</v>
      </c>
      <c r="BW1984">
        <v>488</v>
      </c>
      <c r="BX1984">
        <f>IF(C1984=C1983,IF((CI1984-1)=CI1983,BW1983,"no data"))</f>
        <v>403</v>
      </c>
      <c r="BY1984" s="5">
        <f t="shared" si="212"/>
        <v>0.21091811414392059</v>
      </c>
      <c r="BZ1984" s="6">
        <f t="shared" si="213"/>
        <v>0.21091811414392059</v>
      </c>
      <c r="CA1984" s="7">
        <v>44143</v>
      </c>
      <c r="CE1984">
        <v>109</v>
      </c>
      <c r="CF1984">
        <v>144</v>
      </c>
      <c r="CG1984">
        <v>119</v>
      </c>
      <c r="CH1984">
        <v>116</v>
      </c>
      <c r="CI1984">
        <f t="shared" si="210"/>
        <v>2020</v>
      </c>
      <c r="CJ1984" t="str">
        <f t="shared" si="211"/>
        <v>7079_2020</v>
      </c>
    </row>
    <row r="1985" spans="1:88" x14ac:dyDescent="0.25">
      <c r="A1985" t="s">
        <v>111</v>
      </c>
      <c r="B1985" t="s">
        <v>267</v>
      </c>
      <c r="C1985">
        <v>7082</v>
      </c>
      <c r="D1985">
        <v>-37.909596000000001</v>
      </c>
      <c r="E1985">
        <v>145.355007</v>
      </c>
      <c r="F1985">
        <v>2</v>
      </c>
      <c r="G1985" t="s">
        <v>731</v>
      </c>
      <c r="H1985">
        <v>42</v>
      </c>
      <c r="I1985">
        <v>222</v>
      </c>
      <c r="J1985">
        <v>306</v>
      </c>
      <c r="K1985">
        <v>126</v>
      </c>
      <c r="T1985">
        <v>177</v>
      </c>
      <c r="Y1985">
        <v>174</v>
      </c>
      <c r="AX1985">
        <v>177</v>
      </c>
      <c r="AY1985">
        <v>174</v>
      </c>
      <c r="AZ1985">
        <v>351</v>
      </c>
      <c r="BA1985">
        <v>174</v>
      </c>
      <c r="BB1985">
        <v>177</v>
      </c>
      <c r="BC1985">
        <v>351</v>
      </c>
      <c r="BP1985">
        <v>15</v>
      </c>
      <c r="BR1985">
        <v>297</v>
      </c>
      <c r="BS1985">
        <v>9</v>
      </c>
      <c r="BT1985">
        <v>17</v>
      </c>
      <c r="BU1985">
        <v>13</v>
      </c>
      <c r="BV1985" s="8">
        <v>0</v>
      </c>
      <c r="BW1985" s="8">
        <v>351</v>
      </c>
      <c r="BX1985" t="s">
        <v>82</v>
      </c>
      <c r="BY1985" s="5"/>
      <c r="BZ1985" s="6"/>
      <c r="CA1985" s="7">
        <v>44878</v>
      </c>
      <c r="CE1985">
        <v>131</v>
      </c>
      <c r="CF1985">
        <v>136</v>
      </c>
      <c r="CI1985">
        <f t="shared" si="210"/>
        <v>2022</v>
      </c>
      <c r="CJ1985" t="str">
        <f t="shared" si="211"/>
        <v>7082_2022</v>
      </c>
    </row>
    <row r="1986" spans="1:88" x14ac:dyDescent="0.25">
      <c r="A1986" t="s">
        <v>111</v>
      </c>
      <c r="B1986" t="s">
        <v>267</v>
      </c>
      <c r="C1986">
        <v>7083</v>
      </c>
      <c r="D1986">
        <v>-37.785012999999999</v>
      </c>
      <c r="E1986">
        <v>145.312589</v>
      </c>
      <c r="F1986">
        <v>4</v>
      </c>
      <c r="G1986" t="s">
        <v>732</v>
      </c>
      <c r="H1986">
        <v>92</v>
      </c>
      <c r="I1986">
        <v>272</v>
      </c>
      <c r="J1986">
        <v>208</v>
      </c>
      <c r="K1986">
        <v>28</v>
      </c>
      <c r="L1986">
        <v>263</v>
      </c>
      <c r="M1986">
        <v>83</v>
      </c>
      <c r="N1986">
        <v>348</v>
      </c>
      <c r="O1986">
        <v>168</v>
      </c>
      <c r="T1986">
        <v>17</v>
      </c>
      <c r="U1986">
        <v>17</v>
      </c>
      <c r="V1986">
        <v>52</v>
      </c>
      <c r="Y1986">
        <v>6</v>
      </c>
      <c r="Z1986">
        <v>0</v>
      </c>
      <c r="AA1986">
        <v>41</v>
      </c>
      <c r="AD1986">
        <v>24</v>
      </c>
      <c r="AE1986">
        <v>4</v>
      </c>
      <c r="AF1986">
        <v>29</v>
      </c>
      <c r="AI1986">
        <v>20</v>
      </c>
      <c r="AJ1986">
        <v>19</v>
      </c>
      <c r="AK1986">
        <v>13</v>
      </c>
      <c r="AX1986">
        <v>86</v>
      </c>
      <c r="AY1986">
        <v>50</v>
      </c>
      <c r="AZ1986">
        <v>136</v>
      </c>
      <c r="BA1986">
        <v>47</v>
      </c>
      <c r="BB1986">
        <v>40</v>
      </c>
      <c r="BC1986">
        <v>87</v>
      </c>
      <c r="BD1986">
        <v>57</v>
      </c>
      <c r="BE1986">
        <v>30</v>
      </c>
      <c r="BF1986">
        <v>87</v>
      </c>
      <c r="BG1986">
        <v>52</v>
      </c>
      <c r="BH1986">
        <v>122</v>
      </c>
      <c r="BI1986">
        <v>174</v>
      </c>
      <c r="BP1986">
        <v>15</v>
      </c>
      <c r="BR1986">
        <v>200</v>
      </c>
      <c r="BS1986">
        <v>3</v>
      </c>
      <c r="BT1986">
        <v>14</v>
      </c>
      <c r="BU1986">
        <v>7</v>
      </c>
      <c r="BV1986" s="8">
        <v>0</v>
      </c>
      <c r="BW1986" s="8">
        <v>239</v>
      </c>
      <c r="BX1986" t="s">
        <v>82</v>
      </c>
      <c r="BY1986" s="5"/>
      <c r="BZ1986" s="6"/>
      <c r="CA1986" s="7">
        <v>44878</v>
      </c>
      <c r="CE1986">
        <v>102</v>
      </c>
      <c r="CF1986">
        <v>80</v>
      </c>
      <c r="CI1986">
        <f t="shared" si="210"/>
        <v>2022</v>
      </c>
      <c r="CJ1986" t="str">
        <f t="shared" si="211"/>
        <v>7083_2022</v>
      </c>
    </row>
    <row r="1987" spans="1:88" x14ac:dyDescent="0.25">
      <c r="A1987" t="s">
        <v>111</v>
      </c>
      <c r="B1987" t="s">
        <v>267</v>
      </c>
      <c r="C1987">
        <v>7084</v>
      </c>
      <c r="D1987">
        <v>-37.904018000000001</v>
      </c>
      <c r="E1987">
        <v>145.33161000000001</v>
      </c>
      <c r="F1987">
        <v>4</v>
      </c>
      <c r="G1987" t="s">
        <v>733</v>
      </c>
      <c r="H1987">
        <v>42</v>
      </c>
      <c r="I1987">
        <v>222</v>
      </c>
      <c r="J1987">
        <v>139</v>
      </c>
      <c r="K1987">
        <v>319</v>
      </c>
      <c r="L1987">
        <v>181</v>
      </c>
      <c r="M1987">
        <v>1</v>
      </c>
      <c r="N1987">
        <v>296</v>
      </c>
      <c r="O1987">
        <v>116</v>
      </c>
      <c r="T1987">
        <v>0</v>
      </c>
      <c r="U1987">
        <v>8</v>
      </c>
      <c r="V1987">
        <v>44</v>
      </c>
      <c r="Y1987">
        <v>1</v>
      </c>
      <c r="Z1987">
        <v>0</v>
      </c>
      <c r="AA1987">
        <v>1</v>
      </c>
      <c r="AD1987">
        <v>12</v>
      </c>
      <c r="AE1987">
        <v>0</v>
      </c>
      <c r="AF1987">
        <v>129</v>
      </c>
      <c r="AI1987">
        <v>35</v>
      </c>
      <c r="AJ1987">
        <v>7</v>
      </c>
      <c r="AK1987">
        <v>71</v>
      </c>
      <c r="AX1987">
        <v>52</v>
      </c>
      <c r="AY1987">
        <v>48</v>
      </c>
      <c r="AZ1987">
        <v>100</v>
      </c>
      <c r="BA1987">
        <v>2</v>
      </c>
      <c r="BB1987">
        <v>7</v>
      </c>
      <c r="BC1987">
        <v>9</v>
      </c>
      <c r="BD1987">
        <v>141</v>
      </c>
      <c r="BE1987">
        <v>79</v>
      </c>
      <c r="BF1987">
        <v>220</v>
      </c>
      <c r="BG1987">
        <v>113</v>
      </c>
      <c r="BH1987">
        <v>174</v>
      </c>
      <c r="BI1987">
        <v>287</v>
      </c>
      <c r="BP1987">
        <v>20</v>
      </c>
      <c r="BR1987">
        <v>240</v>
      </c>
      <c r="BS1987">
        <v>15</v>
      </c>
      <c r="BT1987">
        <v>19</v>
      </c>
      <c r="BU1987">
        <v>0</v>
      </c>
      <c r="BV1987" s="8">
        <v>0</v>
      </c>
      <c r="BW1987" s="8">
        <v>294</v>
      </c>
      <c r="BX1987" t="s">
        <v>82</v>
      </c>
      <c r="BY1987" s="5"/>
      <c r="BZ1987" s="6"/>
      <c r="CA1987" s="7">
        <v>44878</v>
      </c>
      <c r="CE1987">
        <v>123</v>
      </c>
      <c r="CF1987">
        <v>62</v>
      </c>
      <c r="CI1987">
        <f t="shared" ref="CI1987:CI2050" si="214">YEAR(CA1987)</f>
        <v>2022</v>
      </c>
      <c r="CJ1987" t="str">
        <f t="shared" ref="CJ1987:CJ2050" si="215">_xlfn.CONCAT(C1987,"_",CI1987)</f>
        <v>7084_2022</v>
      </c>
    </row>
    <row r="1988" spans="1:88" x14ac:dyDescent="0.25">
      <c r="A1988" t="s">
        <v>79</v>
      </c>
      <c r="B1988" t="s">
        <v>84</v>
      </c>
      <c r="C1988">
        <v>7138</v>
      </c>
      <c r="D1988">
        <v>-33.826566</v>
      </c>
      <c r="E1988">
        <v>151.0804</v>
      </c>
      <c r="F1988">
        <v>2</v>
      </c>
      <c r="G1988" t="s">
        <v>734</v>
      </c>
      <c r="H1988">
        <v>123</v>
      </c>
      <c r="I1988">
        <v>303</v>
      </c>
      <c r="J1988">
        <v>300</v>
      </c>
      <c r="K1988">
        <v>120</v>
      </c>
      <c r="T1988">
        <v>502</v>
      </c>
      <c r="Y1988">
        <v>775</v>
      </c>
      <c r="AX1988">
        <v>502</v>
      </c>
      <c r="AY1988">
        <v>775</v>
      </c>
      <c r="AZ1988">
        <v>1277</v>
      </c>
      <c r="BA1988">
        <v>775</v>
      </c>
      <c r="BB1988">
        <v>502</v>
      </c>
      <c r="BC1988">
        <v>1277</v>
      </c>
      <c r="BP1988">
        <v>356</v>
      </c>
      <c r="BR1988">
        <v>851</v>
      </c>
      <c r="BS1988">
        <v>42</v>
      </c>
      <c r="BT1988">
        <v>21</v>
      </c>
      <c r="BV1988">
        <v>7</v>
      </c>
      <c r="BW1988">
        <v>1277</v>
      </c>
      <c r="BX1988" t="s">
        <v>82</v>
      </c>
      <c r="BY1988" s="5"/>
      <c r="BZ1988" s="6"/>
      <c r="CA1988" s="7">
        <v>43051</v>
      </c>
      <c r="CE1988">
        <v>312</v>
      </c>
      <c r="CF1988">
        <v>314</v>
      </c>
      <c r="CG1988">
        <v>312</v>
      </c>
      <c r="CH1988">
        <v>339</v>
      </c>
      <c r="CI1988">
        <f t="shared" si="214"/>
        <v>2017</v>
      </c>
      <c r="CJ1988" t="str">
        <f t="shared" si="215"/>
        <v>7138_2017</v>
      </c>
    </row>
    <row r="1989" spans="1:88" x14ac:dyDescent="0.25">
      <c r="A1989" t="s">
        <v>79</v>
      </c>
      <c r="B1989" t="s">
        <v>84</v>
      </c>
      <c r="C1989">
        <v>7138</v>
      </c>
      <c r="D1989">
        <v>-33.826566</v>
      </c>
      <c r="E1989">
        <v>151.0804</v>
      </c>
      <c r="F1989">
        <v>2</v>
      </c>
      <c r="G1989" t="s">
        <v>734</v>
      </c>
      <c r="H1989">
        <v>123</v>
      </c>
      <c r="I1989">
        <v>303</v>
      </c>
      <c r="J1989">
        <v>300</v>
      </c>
      <c r="K1989">
        <v>120</v>
      </c>
      <c r="T1989">
        <v>540</v>
      </c>
      <c r="Y1989">
        <v>881</v>
      </c>
      <c r="AX1989">
        <v>540</v>
      </c>
      <c r="AY1989">
        <v>881</v>
      </c>
      <c r="AZ1989">
        <v>1421</v>
      </c>
      <c r="BA1989">
        <v>881</v>
      </c>
      <c r="BB1989">
        <v>540</v>
      </c>
      <c r="BC1989">
        <v>1421</v>
      </c>
      <c r="BP1989">
        <v>382</v>
      </c>
      <c r="BR1989">
        <v>983</v>
      </c>
      <c r="BS1989">
        <v>26</v>
      </c>
      <c r="BT1989">
        <v>30</v>
      </c>
      <c r="BV1989">
        <v>0</v>
      </c>
      <c r="BW1989">
        <v>1421</v>
      </c>
      <c r="BX1989">
        <f>IF(C1989=C1988,IF((CI1989-1)=CI1988,BW1988,"no data"))</f>
        <v>1277</v>
      </c>
      <c r="BY1989" s="5">
        <f t="shared" si="212"/>
        <v>0.11276429130775255</v>
      </c>
      <c r="BZ1989" s="6">
        <f t="shared" ref="BZ1989:BZ2052" si="216">BY1989</f>
        <v>0.11276429130775255</v>
      </c>
      <c r="CA1989" s="7">
        <v>43415</v>
      </c>
      <c r="CE1989">
        <v>308</v>
      </c>
      <c r="CF1989">
        <v>369</v>
      </c>
      <c r="CG1989">
        <v>372</v>
      </c>
      <c r="CH1989">
        <v>372</v>
      </c>
      <c r="CI1989">
        <f t="shared" si="214"/>
        <v>2018</v>
      </c>
      <c r="CJ1989" t="str">
        <f t="shared" si="215"/>
        <v>7138_2018</v>
      </c>
    </row>
    <row r="1990" spans="1:88" x14ac:dyDescent="0.25">
      <c r="A1990" t="s">
        <v>79</v>
      </c>
      <c r="B1990" t="s">
        <v>84</v>
      </c>
      <c r="C1990">
        <v>7138</v>
      </c>
      <c r="D1990">
        <v>-33.826599999999999</v>
      </c>
      <c r="E1990">
        <v>151.0804</v>
      </c>
      <c r="F1990">
        <v>2</v>
      </c>
      <c r="G1990" t="s">
        <v>734</v>
      </c>
      <c r="H1990">
        <v>123</v>
      </c>
      <c r="I1990">
        <v>303</v>
      </c>
      <c r="J1990">
        <v>300</v>
      </c>
      <c r="K1990">
        <v>120</v>
      </c>
      <c r="T1990">
        <v>760</v>
      </c>
      <c r="Y1990">
        <v>892</v>
      </c>
      <c r="AX1990">
        <v>760</v>
      </c>
      <c r="AY1990">
        <v>892</v>
      </c>
      <c r="AZ1990">
        <v>1652</v>
      </c>
      <c r="BA1990">
        <v>892</v>
      </c>
      <c r="BB1990">
        <v>760</v>
      </c>
      <c r="BC1990">
        <v>1652</v>
      </c>
      <c r="BP1990">
        <v>425</v>
      </c>
      <c r="BR1990">
        <v>1080</v>
      </c>
      <c r="BS1990">
        <v>59</v>
      </c>
      <c r="BT1990">
        <v>27</v>
      </c>
      <c r="BV1990">
        <v>61</v>
      </c>
      <c r="BW1990">
        <v>1652</v>
      </c>
      <c r="BX1990">
        <f>IF(C1990=C1989,IF((CI1990-1)=CI1989,BW1989,"no data"))</f>
        <v>1421</v>
      </c>
      <c r="BY1990" s="5">
        <f t="shared" si="212"/>
        <v>0.1625615763546798</v>
      </c>
      <c r="BZ1990" s="6">
        <f t="shared" si="216"/>
        <v>0.1625615763546798</v>
      </c>
      <c r="CA1990" s="7">
        <v>43779</v>
      </c>
      <c r="CE1990">
        <v>446</v>
      </c>
      <c r="CF1990">
        <v>426</v>
      </c>
      <c r="CG1990">
        <v>352</v>
      </c>
      <c r="CH1990">
        <v>428</v>
      </c>
      <c r="CI1990">
        <f t="shared" si="214"/>
        <v>2019</v>
      </c>
      <c r="CJ1990" t="str">
        <f t="shared" si="215"/>
        <v>7138_2019</v>
      </c>
    </row>
    <row r="1991" spans="1:88" x14ac:dyDescent="0.25">
      <c r="A1991" t="s">
        <v>79</v>
      </c>
      <c r="B1991" t="s">
        <v>84</v>
      </c>
      <c r="C1991">
        <v>7138</v>
      </c>
      <c r="D1991">
        <v>-33.826599999999999</v>
      </c>
      <c r="E1991">
        <v>151.0804</v>
      </c>
      <c r="F1991">
        <v>2</v>
      </c>
      <c r="G1991" t="s">
        <v>734</v>
      </c>
      <c r="H1991">
        <v>123</v>
      </c>
      <c r="I1991">
        <v>303</v>
      </c>
      <c r="J1991">
        <v>300</v>
      </c>
      <c r="K1991">
        <v>120</v>
      </c>
      <c r="T1991">
        <v>950</v>
      </c>
      <c r="Y1991">
        <v>1095</v>
      </c>
      <c r="AX1991">
        <v>950</v>
      </c>
      <c r="AY1991">
        <v>1095</v>
      </c>
      <c r="AZ1991">
        <v>2045</v>
      </c>
      <c r="BA1991">
        <v>1095</v>
      </c>
      <c r="BB1991">
        <v>950</v>
      </c>
      <c r="BC1991">
        <v>2045</v>
      </c>
      <c r="BP1991">
        <v>500</v>
      </c>
      <c r="BR1991">
        <v>1361</v>
      </c>
      <c r="BS1991">
        <v>55</v>
      </c>
      <c r="BT1991">
        <v>69</v>
      </c>
      <c r="BV1991">
        <v>60</v>
      </c>
      <c r="BW1991">
        <v>2045</v>
      </c>
      <c r="BX1991">
        <f>IF(C1991=C1990,IF((CI1991-1)=CI1990,BW1990,"no data"))</f>
        <v>1652</v>
      </c>
      <c r="BY1991" s="5">
        <f t="shared" si="212"/>
        <v>0.23789346246973367</v>
      </c>
      <c r="BZ1991" s="6">
        <f t="shared" si="216"/>
        <v>0.23789346246973367</v>
      </c>
      <c r="CA1991" s="7">
        <v>44143</v>
      </c>
      <c r="CE1991">
        <v>416</v>
      </c>
      <c r="CF1991">
        <v>610</v>
      </c>
      <c r="CG1991">
        <v>492</v>
      </c>
      <c r="CH1991">
        <v>527</v>
      </c>
      <c r="CI1991">
        <f t="shared" si="214"/>
        <v>2020</v>
      </c>
      <c r="CJ1991" t="str">
        <f t="shared" si="215"/>
        <v>7138_2020</v>
      </c>
    </row>
    <row r="1992" spans="1:88" x14ac:dyDescent="0.25">
      <c r="A1992" t="s">
        <v>277</v>
      </c>
      <c r="B1992" t="s">
        <v>473</v>
      </c>
      <c r="C1992">
        <v>7139</v>
      </c>
      <c r="D1992">
        <v>-34.989798999999998</v>
      </c>
      <c r="E1992">
        <v>138.61510000000001</v>
      </c>
      <c r="F1992">
        <v>4</v>
      </c>
      <c r="G1992" t="s">
        <v>735</v>
      </c>
      <c r="H1992">
        <v>0</v>
      </c>
      <c r="I1992">
        <v>180</v>
      </c>
      <c r="J1992">
        <v>75</v>
      </c>
      <c r="K1992">
        <v>255</v>
      </c>
      <c r="L1992">
        <v>200</v>
      </c>
      <c r="M1992">
        <v>20</v>
      </c>
      <c r="N1992">
        <v>290</v>
      </c>
      <c r="O1992">
        <v>110</v>
      </c>
      <c r="T1992">
        <v>4</v>
      </c>
      <c r="U1992">
        <v>1</v>
      </c>
      <c r="V1992">
        <v>1</v>
      </c>
      <c r="Y1992">
        <v>8</v>
      </c>
      <c r="Z1992">
        <v>1</v>
      </c>
      <c r="AA1992">
        <v>6</v>
      </c>
      <c r="AD1992">
        <v>3</v>
      </c>
      <c r="AE1992">
        <v>6</v>
      </c>
      <c r="AF1992">
        <v>3</v>
      </c>
      <c r="AI1992">
        <v>3</v>
      </c>
      <c r="AJ1992">
        <v>0</v>
      </c>
      <c r="AK1992">
        <v>0</v>
      </c>
      <c r="AX1992">
        <v>6</v>
      </c>
      <c r="AY1992">
        <v>14</v>
      </c>
      <c r="AZ1992">
        <v>20</v>
      </c>
      <c r="BA1992">
        <v>15</v>
      </c>
      <c r="BB1992">
        <v>10</v>
      </c>
      <c r="BC1992">
        <v>25</v>
      </c>
      <c r="BD1992">
        <v>12</v>
      </c>
      <c r="BE1992">
        <v>2</v>
      </c>
      <c r="BF1992">
        <v>14</v>
      </c>
      <c r="BG1992">
        <v>3</v>
      </c>
      <c r="BH1992">
        <v>10</v>
      </c>
      <c r="BI1992">
        <v>13</v>
      </c>
      <c r="BP1992">
        <v>2</v>
      </c>
      <c r="BR1992">
        <v>21</v>
      </c>
      <c r="BS1992">
        <v>3</v>
      </c>
      <c r="BT1992">
        <v>10</v>
      </c>
      <c r="BV1992">
        <v>0</v>
      </c>
      <c r="BW1992">
        <v>36</v>
      </c>
      <c r="BX1992" t="s">
        <v>82</v>
      </c>
      <c r="BY1992" s="5"/>
      <c r="BZ1992" s="6"/>
      <c r="CA1992" s="7">
        <v>43051</v>
      </c>
      <c r="CE1992">
        <v>17</v>
      </c>
      <c r="CF1992">
        <v>11</v>
      </c>
      <c r="CG1992">
        <v>1</v>
      </c>
      <c r="CH1992">
        <v>7</v>
      </c>
      <c r="CI1992">
        <f t="shared" si="214"/>
        <v>2017</v>
      </c>
      <c r="CJ1992" t="str">
        <f t="shared" si="215"/>
        <v>7139_2017</v>
      </c>
    </row>
    <row r="1993" spans="1:88" x14ac:dyDescent="0.25">
      <c r="A1993" t="s">
        <v>277</v>
      </c>
      <c r="B1993" t="s">
        <v>473</v>
      </c>
      <c r="C1993">
        <v>7139</v>
      </c>
      <c r="D1993">
        <v>-34.989798999999998</v>
      </c>
      <c r="E1993">
        <v>138.61510000000001</v>
      </c>
      <c r="F1993">
        <v>4</v>
      </c>
      <c r="G1993" t="s">
        <v>735</v>
      </c>
      <c r="H1993">
        <v>0</v>
      </c>
      <c r="I1993">
        <v>180</v>
      </c>
      <c r="J1993">
        <v>75</v>
      </c>
      <c r="K1993">
        <v>255</v>
      </c>
      <c r="L1993">
        <v>200</v>
      </c>
      <c r="M1993">
        <v>20</v>
      </c>
      <c r="N1993">
        <v>290</v>
      </c>
      <c r="O1993">
        <v>110</v>
      </c>
      <c r="T1993">
        <v>2</v>
      </c>
      <c r="U1993">
        <v>0</v>
      </c>
      <c r="V1993">
        <v>21</v>
      </c>
      <c r="Y1993">
        <v>1</v>
      </c>
      <c r="Z1993">
        <v>3</v>
      </c>
      <c r="AA1993">
        <v>7</v>
      </c>
      <c r="AD1993">
        <v>3</v>
      </c>
      <c r="AE1993">
        <v>0</v>
      </c>
      <c r="AF1993">
        <v>0</v>
      </c>
      <c r="AI1993">
        <v>2</v>
      </c>
      <c r="AJ1993">
        <v>4</v>
      </c>
      <c r="AK1993">
        <v>0</v>
      </c>
      <c r="AX1993">
        <v>23</v>
      </c>
      <c r="AY1993">
        <v>6</v>
      </c>
      <c r="AZ1993">
        <v>29</v>
      </c>
      <c r="BA1993">
        <v>11</v>
      </c>
      <c r="BB1993">
        <v>6</v>
      </c>
      <c r="BC1993">
        <v>17</v>
      </c>
      <c r="BD1993">
        <v>3</v>
      </c>
      <c r="BE1993">
        <v>3</v>
      </c>
      <c r="BF1993">
        <v>6</v>
      </c>
      <c r="BG1993">
        <v>6</v>
      </c>
      <c r="BH1993">
        <v>28</v>
      </c>
      <c r="BI1993">
        <v>34</v>
      </c>
      <c r="BP1993">
        <v>12</v>
      </c>
      <c r="BR1993">
        <v>24</v>
      </c>
      <c r="BS1993">
        <v>1</v>
      </c>
      <c r="BT1993">
        <v>6</v>
      </c>
      <c r="BV1993">
        <v>0</v>
      </c>
      <c r="BW1993">
        <v>43</v>
      </c>
      <c r="BX1993">
        <f>IF(C1993=C1992,IF((CI1993-1)=CI1992,BW1992,"no data"))</f>
        <v>36</v>
      </c>
      <c r="BY1993" s="5">
        <f t="shared" si="212"/>
        <v>0.19444444444444445</v>
      </c>
      <c r="BZ1993" s="6">
        <f t="shared" si="216"/>
        <v>0.19444444444444445</v>
      </c>
      <c r="CA1993" s="7">
        <v>43415</v>
      </c>
      <c r="CE1993">
        <v>13</v>
      </c>
      <c r="CF1993">
        <v>10</v>
      </c>
      <c r="CG1993">
        <v>8</v>
      </c>
      <c r="CH1993">
        <v>12</v>
      </c>
      <c r="CI1993">
        <f t="shared" si="214"/>
        <v>2018</v>
      </c>
      <c r="CJ1993" t="str">
        <f t="shared" si="215"/>
        <v>7139_2018</v>
      </c>
    </row>
    <row r="1994" spans="1:88" x14ac:dyDescent="0.25">
      <c r="A1994" t="s">
        <v>277</v>
      </c>
      <c r="B1994" t="s">
        <v>473</v>
      </c>
      <c r="C1994">
        <v>7139</v>
      </c>
      <c r="D1994">
        <v>-34.989800000000002</v>
      </c>
      <c r="E1994">
        <v>138.61510000000001</v>
      </c>
      <c r="F1994">
        <v>4</v>
      </c>
      <c r="G1994" t="s">
        <v>735</v>
      </c>
      <c r="H1994">
        <v>0</v>
      </c>
      <c r="I1994">
        <v>180</v>
      </c>
      <c r="J1994">
        <v>75</v>
      </c>
      <c r="K1994">
        <v>255</v>
      </c>
      <c r="L1994">
        <v>200</v>
      </c>
      <c r="M1994">
        <v>20</v>
      </c>
      <c r="N1994">
        <v>290</v>
      </c>
      <c r="O1994">
        <v>110</v>
      </c>
      <c r="T1994">
        <v>4</v>
      </c>
      <c r="U1994">
        <v>3</v>
      </c>
      <c r="V1994">
        <v>4</v>
      </c>
      <c r="Y1994">
        <v>6</v>
      </c>
      <c r="Z1994">
        <v>0</v>
      </c>
      <c r="AA1994">
        <v>7</v>
      </c>
      <c r="AD1994">
        <v>6</v>
      </c>
      <c r="AE1994">
        <v>3</v>
      </c>
      <c r="AF1994">
        <v>3</v>
      </c>
      <c r="AI1994">
        <v>3</v>
      </c>
      <c r="AJ1994">
        <v>8</v>
      </c>
      <c r="AK1994">
        <v>3</v>
      </c>
      <c r="AX1994">
        <v>11</v>
      </c>
      <c r="AY1994">
        <v>15</v>
      </c>
      <c r="AZ1994">
        <v>26</v>
      </c>
      <c r="BA1994">
        <v>13</v>
      </c>
      <c r="BB1994">
        <v>15</v>
      </c>
      <c r="BC1994">
        <v>28</v>
      </c>
      <c r="BD1994">
        <v>12</v>
      </c>
      <c r="BE1994">
        <v>6</v>
      </c>
      <c r="BF1994">
        <v>18</v>
      </c>
      <c r="BG1994">
        <v>14</v>
      </c>
      <c r="BH1994">
        <v>14</v>
      </c>
      <c r="BI1994">
        <v>28</v>
      </c>
      <c r="BP1994">
        <v>6</v>
      </c>
      <c r="BR1994">
        <v>27</v>
      </c>
      <c r="BS1994">
        <v>8</v>
      </c>
      <c r="BT1994">
        <v>9</v>
      </c>
      <c r="BV1994">
        <v>0</v>
      </c>
      <c r="BW1994">
        <v>50</v>
      </c>
      <c r="BX1994" t="str">
        <f>IF(C1994=C1993,IF((CI1994-1)=CI1993,BW1993,"no data"))</f>
        <v>no data</v>
      </c>
      <c r="BY1994" s="5"/>
      <c r="BZ1994" s="6"/>
      <c r="CA1994" s="7">
        <v>44143</v>
      </c>
      <c r="CE1994">
        <v>16</v>
      </c>
      <c r="CF1994">
        <v>16</v>
      </c>
      <c r="CG1994">
        <v>15</v>
      </c>
      <c r="CH1994">
        <v>3</v>
      </c>
      <c r="CI1994">
        <f t="shared" si="214"/>
        <v>2020</v>
      </c>
      <c r="CJ1994" t="str">
        <f t="shared" si="215"/>
        <v>7139_2020</v>
      </c>
    </row>
    <row r="1995" spans="1:88" x14ac:dyDescent="0.25">
      <c r="A1995" t="s">
        <v>277</v>
      </c>
      <c r="B1995" t="s">
        <v>473</v>
      </c>
      <c r="C1995">
        <v>7139</v>
      </c>
      <c r="D1995">
        <v>-34.989798999999998</v>
      </c>
      <c r="E1995">
        <v>138.61510000000001</v>
      </c>
      <c r="F1995">
        <v>4</v>
      </c>
      <c r="G1995" t="s">
        <v>735</v>
      </c>
      <c r="H1995">
        <v>0</v>
      </c>
      <c r="I1995">
        <v>180</v>
      </c>
      <c r="J1995">
        <v>75</v>
      </c>
      <c r="K1995">
        <v>255</v>
      </c>
      <c r="L1995">
        <v>200</v>
      </c>
      <c r="M1995">
        <v>20</v>
      </c>
      <c r="N1995">
        <v>290</v>
      </c>
      <c r="O1995">
        <v>110</v>
      </c>
      <c r="T1995">
        <v>4</v>
      </c>
      <c r="U1995">
        <v>1</v>
      </c>
      <c r="V1995">
        <v>1</v>
      </c>
      <c r="Y1995">
        <v>1</v>
      </c>
      <c r="Z1995">
        <v>5</v>
      </c>
      <c r="AA1995">
        <v>7</v>
      </c>
      <c r="AD1995">
        <v>2</v>
      </c>
      <c r="AE1995">
        <v>8</v>
      </c>
      <c r="AF1995">
        <v>2</v>
      </c>
      <c r="AI1995">
        <v>3</v>
      </c>
      <c r="AJ1995">
        <v>13</v>
      </c>
      <c r="AK1995">
        <v>0</v>
      </c>
      <c r="AX1995">
        <v>6</v>
      </c>
      <c r="AY1995">
        <v>6</v>
      </c>
      <c r="AZ1995">
        <v>12</v>
      </c>
      <c r="BA1995">
        <v>13</v>
      </c>
      <c r="BB1995">
        <v>25</v>
      </c>
      <c r="BC1995">
        <v>38</v>
      </c>
      <c r="BD1995">
        <v>12</v>
      </c>
      <c r="BE1995">
        <v>6</v>
      </c>
      <c r="BF1995">
        <v>18</v>
      </c>
      <c r="BG1995">
        <v>16</v>
      </c>
      <c r="BH1995">
        <v>10</v>
      </c>
      <c r="BI1995">
        <v>26</v>
      </c>
      <c r="BP1995">
        <v>12</v>
      </c>
      <c r="BR1995">
        <v>22</v>
      </c>
      <c r="BS1995">
        <v>2</v>
      </c>
      <c r="BT1995">
        <v>10</v>
      </c>
      <c r="BV1995">
        <v>1</v>
      </c>
      <c r="BW1995">
        <v>47</v>
      </c>
      <c r="BX1995">
        <f>IF(C1995=C1994,IF((CI1995-1)=CI1994,BW1994,"no data"))</f>
        <v>50</v>
      </c>
      <c r="BY1995" s="5">
        <f t="shared" si="212"/>
        <v>-0.06</v>
      </c>
      <c r="BZ1995" s="6">
        <f t="shared" si="216"/>
        <v>-0.06</v>
      </c>
      <c r="CA1995" s="7">
        <v>44528</v>
      </c>
      <c r="CE1995">
        <v>21</v>
      </c>
      <c r="CF1995">
        <v>14</v>
      </c>
      <c r="CG1995">
        <v>12</v>
      </c>
      <c r="CI1995">
        <f t="shared" si="214"/>
        <v>2021</v>
      </c>
      <c r="CJ1995" t="str">
        <f t="shared" si="215"/>
        <v>7139_2021</v>
      </c>
    </row>
    <row r="1996" spans="1:88" x14ac:dyDescent="0.25">
      <c r="A1996" t="s">
        <v>277</v>
      </c>
      <c r="B1996" t="s">
        <v>473</v>
      </c>
      <c r="C1996">
        <v>7139</v>
      </c>
      <c r="D1996">
        <v>-34.989798999999998</v>
      </c>
      <c r="E1996">
        <v>138.61510000000001</v>
      </c>
      <c r="F1996">
        <v>4</v>
      </c>
      <c r="G1996" t="s">
        <v>735</v>
      </c>
      <c r="H1996">
        <v>0</v>
      </c>
      <c r="I1996">
        <v>180</v>
      </c>
      <c r="J1996">
        <v>75</v>
      </c>
      <c r="K1996">
        <v>255</v>
      </c>
      <c r="L1996">
        <v>200</v>
      </c>
      <c r="M1996">
        <v>20</v>
      </c>
      <c r="N1996">
        <v>290</v>
      </c>
      <c r="O1996">
        <v>110</v>
      </c>
      <c r="T1996">
        <v>6</v>
      </c>
      <c r="U1996">
        <v>1</v>
      </c>
      <c r="V1996">
        <v>2</v>
      </c>
      <c r="Y1996">
        <v>3</v>
      </c>
      <c r="Z1996">
        <v>1</v>
      </c>
      <c r="AA1996">
        <v>10</v>
      </c>
      <c r="AD1996">
        <v>1</v>
      </c>
      <c r="AE1996">
        <v>7</v>
      </c>
      <c r="AF1996">
        <v>0</v>
      </c>
      <c r="AI1996">
        <v>3</v>
      </c>
      <c r="AJ1996">
        <v>10</v>
      </c>
      <c r="AK1996">
        <v>2</v>
      </c>
      <c r="AX1996">
        <v>9</v>
      </c>
      <c r="AY1996">
        <v>7</v>
      </c>
      <c r="AZ1996">
        <v>16</v>
      </c>
      <c r="BA1996">
        <v>14</v>
      </c>
      <c r="BB1996">
        <v>23</v>
      </c>
      <c r="BC1996">
        <v>37</v>
      </c>
      <c r="BD1996">
        <v>8</v>
      </c>
      <c r="BE1996">
        <v>4</v>
      </c>
      <c r="BF1996">
        <v>12</v>
      </c>
      <c r="BG1996">
        <v>15</v>
      </c>
      <c r="BH1996">
        <v>12</v>
      </c>
      <c r="BI1996">
        <v>27</v>
      </c>
      <c r="BP1996">
        <v>5</v>
      </c>
      <c r="BR1996">
        <v>24</v>
      </c>
      <c r="BS1996">
        <v>2</v>
      </c>
      <c r="BT1996">
        <v>15</v>
      </c>
      <c r="BU1996">
        <v>0</v>
      </c>
      <c r="BV1996">
        <v>0</v>
      </c>
      <c r="BW1996">
        <v>46</v>
      </c>
      <c r="BX1996">
        <f>IF(C1996=C1995,IF((CI1996-1)=CI1995,BW1995,"no data"))</f>
        <v>47</v>
      </c>
      <c r="BY1996" s="5">
        <f t="shared" si="212"/>
        <v>-2.1276595744680851E-2</v>
      </c>
      <c r="BZ1996" s="6">
        <f t="shared" si="216"/>
        <v>-2.1276595744680851E-2</v>
      </c>
      <c r="CA1996" s="7">
        <v>44885</v>
      </c>
      <c r="CE1996">
        <v>18</v>
      </c>
      <c r="CF1996">
        <v>21</v>
      </c>
      <c r="CG1996">
        <v>7</v>
      </c>
      <c r="CI1996">
        <f t="shared" si="214"/>
        <v>2022</v>
      </c>
      <c r="CJ1996" t="str">
        <f t="shared" si="215"/>
        <v>7139_2022</v>
      </c>
    </row>
    <row r="1997" spans="1:88" x14ac:dyDescent="0.25">
      <c r="A1997" t="s">
        <v>140</v>
      </c>
      <c r="B1997" t="s">
        <v>736</v>
      </c>
      <c r="C1997">
        <v>7140</v>
      </c>
      <c r="D1997">
        <v>-32.272584000000002</v>
      </c>
      <c r="E1997">
        <v>115.73417999999999</v>
      </c>
      <c r="F1997">
        <v>4</v>
      </c>
      <c r="G1997" t="s">
        <v>737</v>
      </c>
      <c r="H1997">
        <v>70</v>
      </c>
      <c r="I1997">
        <v>250</v>
      </c>
      <c r="J1997">
        <v>138</v>
      </c>
      <c r="K1997">
        <v>318</v>
      </c>
      <c r="L1997">
        <v>230</v>
      </c>
      <c r="M1997">
        <v>50</v>
      </c>
      <c r="N1997">
        <v>325</v>
      </c>
      <c r="O1997">
        <v>145</v>
      </c>
      <c r="T1997">
        <v>16</v>
      </c>
      <c r="U1997">
        <v>1021</v>
      </c>
      <c r="V1997">
        <v>0</v>
      </c>
      <c r="Y1997">
        <v>41</v>
      </c>
      <c r="Z1997">
        <v>181</v>
      </c>
      <c r="AA1997">
        <v>2</v>
      </c>
      <c r="AD1997">
        <v>692</v>
      </c>
      <c r="AE1997">
        <v>39</v>
      </c>
      <c r="AF1997">
        <v>0</v>
      </c>
      <c r="AI1997">
        <v>2</v>
      </c>
      <c r="AJ1997">
        <v>0</v>
      </c>
      <c r="AK1997">
        <v>0</v>
      </c>
      <c r="AX1997">
        <v>1037</v>
      </c>
      <c r="AY1997">
        <v>735</v>
      </c>
      <c r="AZ1997">
        <v>1772</v>
      </c>
      <c r="BA1997">
        <v>224</v>
      </c>
      <c r="BB1997">
        <v>55</v>
      </c>
      <c r="BC1997">
        <v>279</v>
      </c>
      <c r="BD1997">
        <v>731</v>
      </c>
      <c r="BE1997">
        <v>1202</v>
      </c>
      <c r="BF1997">
        <v>1933</v>
      </c>
      <c r="BG1997">
        <v>2</v>
      </c>
      <c r="BH1997">
        <v>2</v>
      </c>
      <c r="BI1997">
        <v>4</v>
      </c>
      <c r="BP1997">
        <v>71</v>
      </c>
      <c r="BR1997">
        <v>1793</v>
      </c>
      <c r="BS1997">
        <v>2</v>
      </c>
      <c r="BT1997">
        <v>34</v>
      </c>
      <c r="BV1997">
        <v>94</v>
      </c>
      <c r="BW1997">
        <v>1994</v>
      </c>
      <c r="BX1997" t="s">
        <v>82</v>
      </c>
      <c r="BY1997" s="5"/>
      <c r="BZ1997" s="6"/>
      <c r="CA1997" s="7">
        <v>43051</v>
      </c>
      <c r="CE1997">
        <v>170</v>
      </c>
      <c r="CF1997">
        <v>329</v>
      </c>
      <c r="CG1997">
        <v>636</v>
      </c>
      <c r="CH1997">
        <v>859</v>
      </c>
      <c r="CI1997">
        <f t="shared" si="214"/>
        <v>2017</v>
      </c>
      <c r="CJ1997" t="str">
        <f t="shared" si="215"/>
        <v>7140_2017</v>
      </c>
    </row>
    <row r="1998" spans="1:88" x14ac:dyDescent="0.25">
      <c r="A1998" t="s">
        <v>140</v>
      </c>
      <c r="B1998" t="s">
        <v>736</v>
      </c>
      <c r="C1998">
        <v>7141</v>
      </c>
      <c r="D1998">
        <v>-32.275545000000001</v>
      </c>
      <c r="E1998">
        <v>115.72829299999999</v>
      </c>
      <c r="F1998">
        <v>4</v>
      </c>
      <c r="G1998" t="s">
        <v>738</v>
      </c>
      <c r="H1998">
        <v>60</v>
      </c>
      <c r="I1998">
        <v>240</v>
      </c>
      <c r="J1998">
        <v>140</v>
      </c>
      <c r="K1998">
        <v>320</v>
      </c>
      <c r="L1998">
        <v>235</v>
      </c>
      <c r="M1998">
        <v>55</v>
      </c>
      <c r="N1998">
        <v>330</v>
      </c>
      <c r="O1998">
        <v>150</v>
      </c>
      <c r="T1998">
        <v>171</v>
      </c>
      <c r="U1998">
        <v>173</v>
      </c>
      <c r="V1998">
        <v>0</v>
      </c>
      <c r="Y1998">
        <v>240</v>
      </c>
      <c r="Z1998">
        <v>124</v>
      </c>
      <c r="AA1998">
        <v>0</v>
      </c>
      <c r="AD1998">
        <v>179</v>
      </c>
      <c r="AE1998">
        <v>79</v>
      </c>
      <c r="AF1998">
        <v>0</v>
      </c>
      <c r="AI1998">
        <v>0</v>
      </c>
      <c r="AJ1998">
        <v>0</v>
      </c>
      <c r="AK1998">
        <v>0</v>
      </c>
      <c r="AX1998">
        <v>344</v>
      </c>
      <c r="AY1998">
        <v>419</v>
      </c>
      <c r="AZ1998">
        <v>763</v>
      </c>
      <c r="BA1998">
        <v>364</v>
      </c>
      <c r="BB1998">
        <v>250</v>
      </c>
      <c r="BC1998">
        <v>614</v>
      </c>
      <c r="BD1998">
        <v>258</v>
      </c>
      <c r="BE1998">
        <v>297</v>
      </c>
      <c r="BF1998">
        <v>555</v>
      </c>
      <c r="BG1998">
        <v>0</v>
      </c>
      <c r="BH1998">
        <v>0</v>
      </c>
      <c r="BI1998">
        <v>0</v>
      </c>
      <c r="BP1998">
        <v>72</v>
      </c>
      <c r="BR1998">
        <v>807</v>
      </c>
      <c r="BS1998">
        <v>27</v>
      </c>
      <c r="BT1998">
        <v>60</v>
      </c>
      <c r="BV1998">
        <v>0</v>
      </c>
      <c r="BW1998">
        <v>966</v>
      </c>
      <c r="BX1998" t="s">
        <v>82</v>
      </c>
      <c r="BY1998" s="5"/>
      <c r="BZ1998" s="6"/>
      <c r="CA1998" s="7">
        <v>43051</v>
      </c>
      <c r="CE1998">
        <v>176</v>
      </c>
      <c r="CF1998">
        <v>185</v>
      </c>
      <c r="CG1998">
        <v>302</v>
      </c>
      <c r="CH1998">
        <v>303</v>
      </c>
      <c r="CI1998">
        <f t="shared" si="214"/>
        <v>2017</v>
      </c>
      <c r="CJ1998" t="str">
        <f t="shared" si="215"/>
        <v>7141_2017</v>
      </c>
    </row>
    <row r="1999" spans="1:88" x14ac:dyDescent="0.25">
      <c r="A1999" t="s">
        <v>140</v>
      </c>
      <c r="B1999" t="s">
        <v>736</v>
      </c>
      <c r="C1999">
        <v>7142</v>
      </c>
      <c r="D1999">
        <v>-32.276336000000001</v>
      </c>
      <c r="E1999">
        <v>115.72948100000001</v>
      </c>
      <c r="F1999">
        <v>3</v>
      </c>
      <c r="G1999" t="s">
        <v>739</v>
      </c>
      <c r="H1999">
        <v>55</v>
      </c>
      <c r="I1999">
        <v>235</v>
      </c>
      <c r="J1999">
        <v>139</v>
      </c>
      <c r="K1999">
        <v>319</v>
      </c>
      <c r="L1999">
        <v>235</v>
      </c>
      <c r="M1999">
        <v>55</v>
      </c>
      <c r="N1999">
        <v>325</v>
      </c>
      <c r="O1999">
        <v>145</v>
      </c>
      <c r="T1999">
        <v>33</v>
      </c>
      <c r="U1999">
        <v>14</v>
      </c>
      <c r="V1999">
        <v>29</v>
      </c>
      <c r="Y1999">
        <v>5</v>
      </c>
      <c r="Z1999">
        <v>136</v>
      </c>
      <c r="AA1999">
        <v>242</v>
      </c>
      <c r="AD1999">
        <v>14</v>
      </c>
      <c r="AE1999">
        <v>68</v>
      </c>
      <c r="AF1999">
        <v>21</v>
      </c>
      <c r="AI1999">
        <v>24</v>
      </c>
      <c r="AJ1999">
        <v>246</v>
      </c>
      <c r="AK1999">
        <v>32</v>
      </c>
      <c r="AX1999">
        <v>76</v>
      </c>
      <c r="AY1999">
        <v>43</v>
      </c>
      <c r="AZ1999">
        <v>119</v>
      </c>
      <c r="BA1999">
        <v>383</v>
      </c>
      <c r="BB1999">
        <v>347</v>
      </c>
      <c r="BC1999">
        <v>730</v>
      </c>
      <c r="BD1999">
        <v>103</v>
      </c>
      <c r="BE1999">
        <v>182</v>
      </c>
      <c r="BF1999">
        <v>285</v>
      </c>
      <c r="BG1999">
        <v>302</v>
      </c>
      <c r="BH1999">
        <v>292</v>
      </c>
      <c r="BI1999">
        <v>594</v>
      </c>
      <c r="BP1999">
        <v>31</v>
      </c>
      <c r="BR1999">
        <v>799</v>
      </c>
      <c r="BS1999">
        <v>1</v>
      </c>
      <c r="BT1999">
        <v>17</v>
      </c>
      <c r="BV1999">
        <v>16</v>
      </c>
      <c r="BW1999">
        <v>864</v>
      </c>
      <c r="BX1999" t="s">
        <v>82</v>
      </c>
      <c r="BY1999" s="5"/>
      <c r="BZ1999" s="6"/>
      <c r="CA1999" s="7">
        <v>43051</v>
      </c>
      <c r="CE1999">
        <v>262</v>
      </c>
      <c r="CF1999">
        <v>282</v>
      </c>
      <c r="CG1999">
        <v>175</v>
      </c>
      <c r="CH1999">
        <v>145</v>
      </c>
      <c r="CI1999">
        <f t="shared" si="214"/>
        <v>2017</v>
      </c>
      <c r="CJ1999" t="str">
        <f t="shared" si="215"/>
        <v>7142_2017</v>
      </c>
    </row>
    <row r="2000" spans="1:88" x14ac:dyDescent="0.25">
      <c r="A2000" t="s">
        <v>140</v>
      </c>
      <c r="B2000" t="s">
        <v>736</v>
      </c>
      <c r="C2000">
        <v>7143</v>
      </c>
      <c r="D2000">
        <v>-32.306899999999999</v>
      </c>
      <c r="E2000">
        <v>115.720973</v>
      </c>
      <c r="F2000">
        <v>3</v>
      </c>
      <c r="G2000" t="s">
        <v>740</v>
      </c>
      <c r="H2000">
        <v>23</v>
      </c>
      <c r="I2000">
        <v>203</v>
      </c>
      <c r="J2000">
        <v>116</v>
      </c>
      <c r="K2000">
        <v>296</v>
      </c>
      <c r="L2000">
        <v>295</v>
      </c>
      <c r="M2000">
        <v>115</v>
      </c>
      <c r="T2000">
        <v>2</v>
      </c>
      <c r="U2000">
        <v>2</v>
      </c>
      <c r="Y2000">
        <v>7</v>
      </c>
      <c r="Z2000">
        <v>29</v>
      </c>
      <c r="AD2000">
        <v>1</v>
      </c>
      <c r="AE2000">
        <v>21</v>
      </c>
      <c r="AX2000">
        <v>4</v>
      </c>
      <c r="AY2000">
        <v>8</v>
      </c>
      <c r="AZ2000">
        <v>12</v>
      </c>
      <c r="BA2000">
        <v>36</v>
      </c>
      <c r="BB2000">
        <v>23</v>
      </c>
      <c r="BC2000">
        <v>59</v>
      </c>
      <c r="BD2000">
        <v>22</v>
      </c>
      <c r="BE2000">
        <v>31</v>
      </c>
      <c r="BF2000">
        <v>53</v>
      </c>
      <c r="BP2000">
        <v>43</v>
      </c>
      <c r="BR2000">
        <v>10</v>
      </c>
      <c r="BS2000">
        <v>3</v>
      </c>
      <c r="BT2000">
        <v>3</v>
      </c>
      <c r="BV2000">
        <v>3</v>
      </c>
      <c r="BW2000">
        <v>62</v>
      </c>
      <c r="BX2000" t="s">
        <v>82</v>
      </c>
      <c r="BY2000" s="5"/>
      <c r="BZ2000" s="6"/>
      <c r="CA2000" s="7">
        <v>43051</v>
      </c>
      <c r="CE2000">
        <v>29</v>
      </c>
      <c r="CF2000">
        <v>16</v>
      </c>
      <c r="CG2000">
        <v>9</v>
      </c>
      <c r="CH2000">
        <v>8</v>
      </c>
      <c r="CI2000">
        <f t="shared" si="214"/>
        <v>2017</v>
      </c>
      <c r="CJ2000" t="str">
        <f t="shared" si="215"/>
        <v>7143_2017</v>
      </c>
    </row>
    <row r="2001" spans="1:88" x14ac:dyDescent="0.25">
      <c r="A2001" t="s">
        <v>140</v>
      </c>
      <c r="B2001" t="s">
        <v>736</v>
      </c>
      <c r="C2001">
        <v>7145</v>
      </c>
      <c r="D2001">
        <v>-32.311611999999997</v>
      </c>
      <c r="E2001">
        <v>115.733459</v>
      </c>
      <c r="F2001">
        <v>3</v>
      </c>
      <c r="G2001" t="s">
        <v>741</v>
      </c>
      <c r="H2001">
        <v>36</v>
      </c>
      <c r="I2001">
        <v>216</v>
      </c>
      <c r="J2001">
        <v>155</v>
      </c>
      <c r="K2001">
        <v>335</v>
      </c>
      <c r="L2001">
        <v>322</v>
      </c>
      <c r="M2001">
        <v>142</v>
      </c>
      <c r="T2001">
        <v>12</v>
      </c>
      <c r="U2001">
        <v>8</v>
      </c>
      <c r="Y2001">
        <v>9</v>
      </c>
      <c r="Z2001">
        <v>54</v>
      </c>
      <c r="AD2001">
        <v>32</v>
      </c>
      <c r="AE2001">
        <v>64</v>
      </c>
      <c r="AX2001">
        <v>20</v>
      </c>
      <c r="AY2001">
        <v>41</v>
      </c>
      <c r="AZ2001">
        <v>61</v>
      </c>
      <c r="BA2001">
        <v>63</v>
      </c>
      <c r="BB2001">
        <v>76</v>
      </c>
      <c r="BC2001">
        <v>139</v>
      </c>
      <c r="BD2001">
        <v>96</v>
      </c>
      <c r="BE2001">
        <v>62</v>
      </c>
      <c r="BF2001">
        <v>158</v>
      </c>
      <c r="BP2001">
        <v>35</v>
      </c>
      <c r="BR2001">
        <v>102</v>
      </c>
      <c r="BS2001">
        <v>8</v>
      </c>
      <c r="BT2001">
        <v>27</v>
      </c>
      <c r="BV2001">
        <v>7</v>
      </c>
      <c r="BW2001">
        <v>179</v>
      </c>
      <c r="BX2001" t="s">
        <v>82</v>
      </c>
      <c r="BY2001" s="5"/>
      <c r="BZ2001" s="6"/>
      <c r="CA2001" s="7">
        <v>43051</v>
      </c>
      <c r="CE2001">
        <v>76</v>
      </c>
      <c r="CF2001">
        <v>52</v>
      </c>
      <c r="CG2001">
        <v>38</v>
      </c>
      <c r="CH2001">
        <v>13</v>
      </c>
      <c r="CI2001">
        <f t="shared" si="214"/>
        <v>2017</v>
      </c>
      <c r="CJ2001" t="str">
        <f t="shared" si="215"/>
        <v>7145_2017</v>
      </c>
    </row>
    <row r="2002" spans="1:88" x14ac:dyDescent="0.25">
      <c r="A2002" t="s">
        <v>140</v>
      </c>
      <c r="B2002" t="s">
        <v>736</v>
      </c>
      <c r="C2002">
        <v>7146</v>
      </c>
      <c r="D2002">
        <v>-32.306769000000003</v>
      </c>
      <c r="E2002">
        <v>115.719656</v>
      </c>
      <c r="F2002">
        <v>4</v>
      </c>
      <c r="G2002" t="s">
        <v>742</v>
      </c>
      <c r="H2002">
        <v>25</v>
      </c>
      <c r="I2002">
        <v>205</v>
      </c>
      <c r="J2002">
        <v>115</v>
      </c>
      <c r="K2002">
        <v>295</v>
      </c>
      <c r="L2002">
        <v>205</v>
      </c>
      <c r="M2002">
        <v>25</v>
      </c>
      <c r="N2002">
        <v>300</v>
      </c>
      <c r="O2002">
        <v>120</v>
      </c>
      <c r="T2002">
        <v>34</v>
      </c>
      <c r="U2002">
        <v>73</v>
      </c>
      <c r="V2002">
        <v>16</v>
      </c>
      <c r="Y2002">
        <v>19</v>
      </c>
      <c r="Z2002">
        <v>11</v>
      </c>
      <c r="AA2002">
        <v>67</v>
      </c>
      <c r="AD2002">
        <v>61</v>
      </c>
      <c r="AE2002">
        <v>23</v>
      </c>
      <c r="AF2002">
        <v>35</v>
      </c>
      <c r="AI2002">
        <v>35</v>
      </c>
      <c r="AJ2002">
        <v>68</v>
      </c>
      <c r="AK2002">
        <v>22</v>
      </c>
      <c r="AX2002">
        <v>123</v>
      </c>
      <c r="AY2002">
        <v>115</v>
      </c>
      <c r="AZ2002">
        <v>238</v>
      </c>
      <c r="BA2002">
        <v>97</v>
      </c>
      <c r="BB2002">
        <v>125</v>
      </c>
      <c r="BC2002">
        <v>222</v>
      </c>
      <c r="BD2002">
        <v>119</v>
      </c>
      <c r="BE2002">
        <v>106</v>
      </c>
      <c r="BF2002">
        <v>225</v>
      </c>
      <c r="BG2002">
        <v>125</v>
      </c>
      <c r="BH2002">
        <v>118</v>
      </c>
      <c r="BI2002">
        <v>243</v>
      </c>
      <c r="BP2002">
        <v>71</v>
      </c>
      <c r="BR2002">
        <v>281</v>
      </c>
      <c r="BS2002">
        <v>11</v>
      </c>
      <c r="BT2002">
        <v>62</v>
      </c>
      <c r="BV2002">
        <v>39</v>
      </c>
      <c r="BW2002">
        <v>464</v>
      </c>
      <c r="BX2002" t="s">
        <v>82</v>
      </c>
      <c r="BY2002" s="5"/>
      <c r="BZ2002" s="6"/>
      <c r="CA2002" s="7">
        <v>43051</v>
      </c>
      <c r="CE2002">
        <v>175</v>
      </c>
      <c r="CF2002">
        <v>153</v>
      </c>
      <c r="CG2002">
        <v>64</v>
      </c>
      <c r="CH2002">
        <v>72</v>
      </c>
      <c r="CI2002">
        <f t="shared" si="214"/>
        <v>2017</v>
      </c>
      <c r="CJ2002" t="str">
        <f t="shared" si="215"/>
        <v>7146_2017</v>
      </c>
    </row>
    <row r="2003" spans="1:88" x14ac:dyDescent="0.25">
      <c r="A2003" t="s">
        <v>140</v>
      </c>
      <c r="B2003" t="s">
        <v>736</v>
      </c>
      <c r="C2003">
        <v>7147</v>
      </c>
      <c r="D2003">
        <v>-32.304608999999999</v>
      </c>
      <c r="E2003">
        <v>115.70215899999999</v>
      </c>
      <c r="F2003">
        <v>3</v>
      </c>
      <c r="G2003" t="s">
        <v>743</v>
      </c>
      <c r="H2003">
        <v>162</v>
      </c>
      <c r="I2003">
        <v>342</v>
      </c>
      <c r="J2003">
        <v>270</v>
      </c>
      <c r="K2003">
        <v>90</v>
      </c>
      <c r="L2003">
        <v>357</v>
      </c>
      <c r="M2003">
        <v>177</v>
      </c>
      <c r="T2003">
        <v>23</v>
      </c>
      <c r="U2003">
        <v>70</v>
      </c>
      <c r="Y2003">
        <v>10</v>
      </c>
      <c r="Z2003">
        <v>6</v>
      </c>
      <c r="AD2003">
        <v>67</v>
      </c>
      <c r="AE2003">
        <v>2</v>
      </c>
      <c r="AX2003">
        <v>93</v>
      </c>
      <c r="AY2003">
        <v>77</v>
      </c>
      <c r="AZ2003">
        <v>170</v>
      </c>
      <c r="BA2003">
        <v>16</v>
      </c>
      <c r="BB2003">
        <v>25</v>
      </c>
      <c r="BC2003">
        <v>41</v>
      </c>
      <c r="BD2003">
        <v>69</v>
      </c>
      <c r="BE2003">
        <v>76</v>
      </c>
      <c r="BF2003">
        <v>145</v>
      </c>
      <c r="BP2003">
        <v>42</v>
      </c>
      <c r="BR2003">
        <v>105</v>
      </c>
      <c r="BS2003">
        <v>9</v>
      </c>
      <c r="BT2003">
        <v>16</v>
      </c>
      <c r="BV2003">
        <v>6</v>
      </c>
      <c r="BW2003">
        <v>178</v>
      </c>
      <c r="BX2003" t="s">
        <v>82</v>
      </c>
      <c r="BY2003" s="5"/>
      <c r="BZ2003" s="6"/>
      <c r="CA2003" s="7">
        <v>43051</v>
      </c>
      <c r="CE2003">
        <v>63</v>
      </c>
      <c r="CF2003">
        <v>62</v>
      </c>
      <c r="CG2003">
        <v>28</v>
      </c>
      <c r="CH2003">
        <v>25</v>
      </c>
      <c r="CI2003">
        <f t="shared" si="214"/>
        <v>2017</v>
      </c>
      <c r="CJ2003" t="str">
        <f t="shared" si="215"/>
        <v>7147_2017</v>
      </c>
    </row>
    <row r="2004" spans="1:88" x14ac:dyDescent="0.25">
      <c r="A2004" t="s">
        <v>140</v>
      </c>
      <c r="B2004" t="s">
        <v>736</v>
      </c>
      <c r="C2004">
        <v>7148</v>
      </c>
      <c r="D2004">
        <v>-32.290934999999998</v>
      </c>
      <c r="E2004">
        <v>115.74433999999999</v>
      </c>
      <c r="F2004">
        <v>4</v>
      </c>
      <c r="G2004" t="s">
        <v>744</v>
      </c>
      <c r="H2004">
        <v>87</v>
      </c>
      <c r="I2004">
        <v>267</v>
      </c>
      <c r="J2004">
        <v>167</v>
      </c>
      <c r="K2004">
        <v>347</v>
      </c>
      <c r="L2004">
        <v>254</v>
      </c>
      <c r="M2004">
        <v>74</v>
      </c>
      <c r="N2004">
        <v>350</v>
      </c>
      <c r="O2004">
        <v>170</v>
      </c>
      <c r="T2004">
        <v>0</v>
      </c>
      <c r="U2004">
        <v>0</v>
      </c>
      <c r="V2004">
        <v>0</v>
      </c>
      <c r="Y2004">
        <v>0</v>
      </c>
      <c r="Z2004">
        <v>1</v>
      </c>
      <c r="AA2004">
        <v>37</v>
      </c>
      <c r="AD2004">
        <v>0</v>
      </c>
      <c r="AE2004">
        <v>6</v>
      </c>
      <c r="AF2004">
        <v>12</v>
      </c>
      <c r="AI2004">
        <v>0</v>
      </c>
      <c r="AJ2004">
        <v>40</v>
      </c>
      <c r="AK2004">
        <v>0</v>
      </c>
      <c r="AX2004">
        <v>0</v>
      </c>
      <c r="AY2004">
        <v>0</v>
      </c>
      <c r="AZ2004">
        <v>0</v>
      </c>
      <c r="BA2004">
        <v>38</v>
      </c>
      <c r="BB2004">
        <v>46</v>
      </c>
      <c r="BC2004">
        <v>84</v>
      </c>
      <c r="BD2004">
        <v>18</v>
      </c>
      <c r="BE2004">
        <v>1</v>
      </c>
      <c r="BF2004">
        <v>19</v>
      </c>
      <c r="BG2004">
        <v>40</v>
      </c>
      <c r="BH2004">
        <v>49</v>
      </c>
      <c r="BI2004">
        <v>89</v>
      </c>
      <c r="BP2004">
        <v>7</v>
      </c>
      <c r="BR2004">
        <v>72</v>
      </c>
      <c r="BS2004">
        <v>1</v>
      </c>
      <c r="BT2004">
        <v>0</v>
      </c>
      <c r="BV2004">
        <v>16</v>
      </c>
      <c r="BW2004">
        <v>96</v>
      </c>
      <c r="BX2004" t="s">
        <v>82</v>
      </c>
      <c r="BY2004" s="5"/>
      <c r="BZ2004" s="6"/>
      <c r="CA2004" s="7">
        <v>43051</v>
      </c>
      <c r="CE2004">
        <v>6</v>
      </c>
      <c r="CF2004">
        <v>16</v>
      </c>
      <c r="CG2004">
        <v>39</v>
      </c>
      <c r="CH2004">
        <v>35</v>
      </c>
      <c r="CI2004">
        <f t="shared" si="214"/>
        <v>2017</v>
      </c>
      <c r="CJ2004" t="str">
        <f t="shared" si="215"/>
        <v>7148_2017</v>
      </c>
    </row>
    <row r="2005" spans="1:88" x14ac:dyDescent="0.25">
      <c r="A2005" t="s">
        <v>140</v>
      </c>
      <c r="B2005" t="s">
        <v>736</v>
      </c>
      <c r="C2005">
        <v>7149</v>
      </c>
      <c r="D2005">
        <v>-32.332631999999997</v>
      </c>
      <c r="E2005">
        <v>115.80766199999999</v>
      </c>
      <c r="F2005">
        <v>3</v>
      </c>
      <c r="G2005" t="s">
        <v>745</v>
      </c>
      <c r="H2005">
        <v>134</v>
      </c>
      <c r="I2005">
        <v>314</v>
      </c>
      <c r="J2005">
        <v>230</v>
      </c>
      <c r="K2005">
        <v>50</v>
      </c>
      <c r="L2005">
        <v>325</v>
      </c>
      <c r="M2005">
        <v>145</v>
      </c>
      <c r="T2005">
        <v>1</v>
      </c>
      <c r="U2005">
        <v>15</v>
      </c>
      <c r="Y2005">
        <v>3</v>
      </c>
      <c r="Z2005">
        <v>6</v>
      </c>
      <c r="AD2005">
        <v>16</v>
      </c>
      <c r="AE2005">
        <v>7</v>
      </c>
      <c r="AX2005">
        <v>16</v>
      </c>
      <c r="AY2005">
        <v>19</v>
      </c>
      <c r="AZ2005">
        <v>35</v>
      </c>
      <c r="BA2005">
        <v>9</v>
      </c>
      <c r="BB2005">
        <v>8</v>
      </c>
      <c r="BC2005">
        <v>17</v>
      </c>
      <c r="BD2005">
        <v>23</v>
      </c>
      <c r="BE2005">
        <v>21</v>
      </c>
      <c r="BF2005">
        <v>44</v>
      </c>
      <c r="BP2005">
        <v>30</v>
      </c>
      <c r="BR2005">
        <v>14</v>
      </c>
      <c r="BS2005">
        <v>2</v>
      </c>
      <c r="BT2005">
        <v>1</v>
      </c>
      <c r="BV2005">
        <v>1</v>
      </c>
      <c r="BW2005">
        <v>48</v>
      </c>
      <c r="BX2005" t="s">
        <v>82</v>
      </c>
      <c r="BY2005" s="5"/>
      <c r="BZ2005" s="6"/>
      <c r="CA2005" s="7">
        <v>43051</v>
      </c>
      <c r="CE2005">
        <v>21</v>
      </c>
      <c r="CF2005">
        <v>6</v>
      </c>
      <c r="CG2005">
        <v>11</v>
      </c>
      <c r="CH2005">
        <v>10</v>
      </c>
      <c r="CI2005">
        <f t="shared" si="214"/>
        <v>2017</v>
      </c>
      <c r="CJ2005" t="str">
        <f t="shared" si="215"/>
        <v>7149_2017</v>
      </c>
    </row>
    <row r="2006" spans="1:88" x14ac:dyDescent="0.25">
      <c r="A2006" t="s">
        <v>140</v>
      </c>
      <c r="B2006" t="s">
        <v>736</v>
      </c>
      <c r="C2006">
        <v>7150</v>
      </c>
      <c r="D2006">
        <v>-32.326760999999998</v>
      </c>
      <c r="E2006">
        <v>115.743009</v>
      </c>
      <c r="F2006">
        <v>4</v>
      </c>
      <c r="G2006" t="s">
        <v>746</v>
      </c>
      <c r="H2006">
        <v>70</v>
      </c>
      <c r="I2006">
        <v>250</v>
      </c>
      <c r="J2006">
        <v>168</v>
      </c>
      <c r="K2006">
        <v>348</v>
      </c>
      <c r="L2006">
        <v>270</v>
      </c>
      <c r="M2006">
        <v>90</v>
      </c>
      <c r="N2006">
        <v>350</v>
      </c>
      <c r="O2006">
        <v>170</v>
      </c>
      <c r="T2006">
        <v>1</v>
      </c>
      <c r="U2006">
        <v>10</v>
      </c>
      <c r="V2006">
        <v>15</v>
      </c>
      <c r="Y2006">
        <v>5</v>
      </c>
      <c r="Z2006">
        <v>3</v>
      </c>
      <c r="AA2006">
        <v>19</v>
      </c>
      <c r="AD2006">
        <v>16</v>
      </c>
      <c r="AE2006">
        <v>0</v>
      </c>
      <c r="AF2006">
        <v>106</v>
      </c>
      <c r="AI2006">
        <v>13</v>
      </c>
      <c r="AJ2006">
        <v>16</v>
      </c>
      <c r="AK2006">
        <v>80</v>
      </c>
      <c r="AX2006">
        <v>26</v>
      </c>
      <c r="AY2006">
        <v>34</v>
      </c>
      <c r="AZ2006">
        <v>60</v>
      </c>
      <c r="BA2006">
        <v>27</v>
      </c>
      <c r="BB2006">
        <v>17</v>
      </c>
      <c r="BC2006">
        <v>44</v>
      </c>
      <c r="BD2006">
        <v>122</v>
      </c>
      <c r="BE2006">
        <v>93</v>
      </c>
      <c r="BF2006">
        <v>215</v>
      </c>
      <c r="BG2006">
        <v>109</v>
      </c>
      <c r="BH2006">
        <v>140</v>
      </c>
      <c r="BI2006">
        <v>249</v>
      </c>
      <c r="BP2006">
        <v>46</v>
      </c>
      <c r="BR2006">
        <v>158</v>
      </c>
      <c r="BS2006">
        <v>10</v>
      </c>
      <c r="BT2006">
        <v>68</v>
      </c>
      <c r="BV2006">
        <v>2</v>
      </c>
      <c r="BW2006">
        <v>284</v>
      </c>
      <c r="BX2006" t="s">
        <v>82</v>
      </c>
      <c r="BY2006" s="5"/>
      <c r="BZ2006" s="6"/>
      <c r="CA2006" s="7">
        <v>43051</v>
      </c>
      <c r="CE2006">
        <v>135</v>
      </c>
      <c r="CF2006">
        <v>77</v>
      </c>
      <c r="CG2006">
        <v>32</v>
      </c>
      <c r="CH2006">
        <v>40</v>
      </c>
      <c r="CI2006">
        <f t="shared" si="214"/>
        <v>2017</v>
      </c>
      <c r="CJ2006" t="str">
        <f t="shared" si="215"/>
        <v>7150_2017</v>
      </c>
    </row>
    <row r="2007" spans="1:88" x14ac:dyDescent="0.25">
      <c r="A2007" t="s">
        <v>492</v>
      </c>
      <c r="B2007" t="s">
        <v>646</v>
      </c>
      <c r="C2007">
        <v>7151</v>
      </c>
      <c r="D2007">
        <v>-19.980248</v>
      </c>
      <c r="E2007">
        <v>148.23009300000001</v>
      </c>
      <c r="F2007">
        <v>5</v>
      </c>
      <c r="G2007" t="s">
        <v>747</v>
      </c>
      <c r="H2007">
        <v>56</v>
      </c>
      <c r="I2007">
        <v>236</v>
      </c>
      <c r="J2007">
        <v>116</v>
      </c>
      <c r="K2007">
        <v>296</v>
      </c>
      <c r="L2007">
        <v>190</v>
      </c>
      <c r="M2007">
        <v>10</v>
      </c>
      <c r="N2007">
        <v>263</v>
      </c>
      <c r="O2007">
        <v>83</v>
      </c>
      <c r="P2007">
        <v>330</v>
      </c>
      <c r="Q2007">
        <v>150</v>
      </c>
      <c r="T2007">
        <v>10</v>
      </c>
      <c r="U2007">
        <v>1</v>
      </c>
      <c r="V2007">
        <v>0</v>
      </c>
      <c r="W2007">
        <v>3</v>
      </c>
      <c r="Y2007">
        <v>12</v>
      </c>
      <c r="Z2007">
        <v>4</v>
      </c>
      <c r="AA2007">
        <v>2</v>
      </c>
      <c r="AB2007">
        <v>4</v>
      </c>
      <c r="AD2007">
        <v>2</v>
      </c>
      <c r="AE2007">
        <v>0</v>
      </c>
      <c r="AF2007">
        <v>3</v>
      </c>
      <c r="AG2007">
        <v>6</v>
      </c>
      <c r="AI2007">
        <v>1</v>
      </c>
      <c r="AJ2007">
        <v>2</v>
      </c>
      <c r="AK2007">
        <v>0</v>
      </c>
      <c r="AL2007">
        <v>3</v>
      </c>
      <c r="AN2007">
        <v>1</v>
      </c>
      <c r="AO2007">
        <v>3</v>
      </c>
      <c r="AP2007">
        <v>2</v>
      </c>
      <c r="AQ2007">
        <v>4</v>
      </c>
      <c r="AX2007">
        <v>14</v>
      </c>
      <c r="AY2007">
        <v>16</v>
      </c>
      <c r="AZ2007">
        <v>30</v>
      </c>
      <c r="BA2007">
        <v>22</v>
      </c>
      <c r="BB2007">
        <v>15</v>
      </c>
      <c r="BC2007">
        <v>37</v>
      </c>
      <c r="BD2007">
        <v>11</v>
      </c>
      <c r="BE2007">
        <v>7</v>
      </c>
      <c r="BF2007">
        <v>18</v>
      </c>
      <c r="BG2007">
        <v>6</v>
      </c>
      <c r="BH2007">
        <v>9</v>
      </c>
      <c r="BI2007">
        <v>15</v>
      </c>
      <c r="BJ2007">
        <v>10</v>
      </c>
      <c r="BK2007">
        <v>16</v>
      </c>
      <c r="BL2007">
        <v>26</v>
      </c>
      <c r="BP2007">
        <v>10</v>
      </c>
      <c r="BR2007">
        <v>44</v>
      </c>
      <c r="BS2007">
        <v>3</v>
      </c>
      <c r="BT2007">
        <v>6</v>
      </c>
      <c r="BV2007">
        <v>0</v>
      </c>
      <c r="BW2007">
        <v>63</v>
      </c>
      <c r="BX2007" t="s">
        <v>82</v>
      </c>
      <c r="BY2007" s="5"/>
      <c r="BZ2007" s="6"/>
      <c r="CA2007" s="7">
        <v>43051</v>
      </c>
      <c r="CC2007">
        <v>21</v>
      </c>
      <c r="CD2007">
        <v>10</v>
      </c>
      <c r="CE2007">
        <v>13</v>
      </c>
      <c r="CF2007">
        <v>19</v>
      </c>
      <c r="CI2007">
        <f t="shared" si="214"/>
        <v>2017</v>
      </c>
      <c r="CJ2007" t="str">
        <f t="shared" si="215"/>
        <v>7151_2017</v>
      </c>
    </row>
    <row r="2008" spans="1:88" x14ac:dyDescent="0.25">
      <c r="A2008" t="s">
        <v>492</v>
      </c>
      <c r="B2008" t="s">
        <v>646</v>
      </c>
      <c r="C2008">
        <v>7151</v>
      </c>
      <c r="D2008">
        <v>-19.980248</v>
      </c>
      <c r="E2008">
        <v>148.23009300000001</v>
      </c>
      <c r="F2008">
        <v>5</v>
      </c>
      <c r="G2008" t="s">
        <v>747</v>
      </c>
      <c r="H2008">
        <v>56</v>
      </c>
      <c r="I2008">
        <v>236</v>
      </c>
      <c r="J2008">
        <v>116</v>
      </c>
      <c r="K2008">
        <v>296</v>
      </c>
      <c r="L2008">
        <v>190</v>
      </c>
      <c r="M2008">
        <v>10</v>
      </c>
      <c r="N2008">
        <v>263</v>
      </c>
      <c r="O2008">
        <v>83</v>
      </c>
      <c r="P2008">
        <v>330</v>
      </c>
      <c r="Q2008">
        <v>150</v>
      </c>
      <c r="T2008">
        <v>5</v>
      </c>
      <c r="U2008">
        <v>4</v>
      </c>
      <c r="V2008">
        <v>1</v>
      </c>
      <c r="W2008">
        <v>10</v>
      </c>
      <c r="Y2008">
        <v>1</v>
      </c>
      <c r="Z2008">
        <v>10</v>
      </c>
      <c r="AA2008">
        <v>0</v>
      </c>
      <c r="AB2008">
        <v>6</v>
      </c>
      <c r="AD2008">
        <v>12</v>
      </c>
      <c r="AE2008">
        <v>0</v>
      </c>
      <c r="AF2008">
        <v>0</v>
      </c>
      <c r="AG2008">
        <v>2</v>
      </c>
      <c r="AI2008">
        <v>1</v>
      </c>
      <c r="AJ2008">
        <v>0</v>
      </c>
      <c r="AK2008">
        <v>0</v>
      </c>
      <c r="AL2008">
        <v>9</v>
      </c>
      <c r="AN2008">
        <v>8</v>
      </c>
      <c r="AO2008">
        <v>10</v>
      </c>
      <c r="AP2008">
        <v>6</v>
      </c>
      <c r="AQ2008">
        <v>6</v>
      </c>
      <c r="AX2008">
        <v>20</v>
      </c>
      <c r="AY2008">
        <v>22</v>
      </c>
      <c r="AZ2008">
        <v>42</v>
      </c>
      <c r="BA2008">
        <v>17</v>
      </c>
      <c r="BB2008">
        <v>15</v>
      </c>
      <c r="BC2008">
        <v>32</v>
      </c>
      <c r="BD2008">
        <v>14</v>
      </c>
      <c r="BE2008">
        <v>20</v>
      </c>
      <c r="BF2008">
        <v>34</v>
      </c>
      <c r="BG2008">
        <v>10</v>
      </c>
      <c r="BH2008">
        <v>7</v>
      </c>
      <c r="BI2008">
        <v>17</v>
      </c>
      <c r="BJ2008">
        <v>30</v>
      </c>
      <c r="BK2008">
        <v>27</v>
      </c>
      <c r="BL2008">
        <v>57</v>
      </c>
      <c r="BP2008">
        <v>25</v>
      </c>
      <c r="BR2008">
        <v>56</v>
      </c>
      <c r="BS2008">
        <v>1</v>
      </c>
      <c r="BT2008">
        <v>9</v>
      </c>
      <c r="BV2008">
        <v>0</v>
      </c>
      <c r="BW2008">
        <v>91</v>
      </c>
      <c r="BX2008">
        <f>IF(C2008=C2007,IF((CI2008-1)=CI2007,BW2007,"no data"))</f>
        <v>63</v>
      </c>
      <c r="BY2008" s="5">
        <f t="shared" ref="BY2008:BY2060" si="217">(BW2008-BX2008)/BX2008</f>
        <v>0.44444444444444442</v>
      </c>
      <c r="BZ2008" s="6">
        <f t="shared" si="216"/>
        <v>0.44444444444444442</v>
      </c>
      <c r="CA2008" s="7">
        <v>43415</v>
      </c>
      <c r="CC2008">
        <v>46</v>
      </c>
      <c r="CD2008">
        <v>19</v>
      </c>
      <c r="CE2008">
        <v>19</v>
      </c>
      <c r="CF2008">
        <v>7</v>
      </c>
      <c r="CI2008">
        <f t="shared" si="214"/>
        <v>2018</v>
      </c>
      <c r="CJ2008" t="str">
        <f t="shared" si="215"/>
        <v>7151_2018</v>
      </c>
    </row>
    <row r="2009" spans="1:88" x14ac:dyDescent="0.25">
      <c r="A2009" t="s">
        <v>492</v>
      </c>
      <c r="B2009" t="s">
        <v>646</v>
      </c>
      <c r="C2009">
        <v>7152</v>
      </c>
      <c r="D2009">
        <v>-19.986329999999999</v>
      </c>
      <c r="E2009">
        <v>148.23720900000001</v>
      </c>
      <c r="F2009">
        <v>4</v>
      </c>
      <c r="G2009" t="s">
        <v>748</v>
      </c>
      <c r="H2009">
        <v>133</v>
      </c>
      <c r="I2009">
        <v>313</v>
      </c>
      <c r="J2009">
        <v>190</v>
      </c>
      <c r="K2009">
        <v>10</v>
      </c>
      <c r="L2009">
        <v>250</v>
      </c>
      <c r="M2009">
        <v>70</v>
      </c>
      <c r="N2009">
        <v>340</v>
      </c>
      <c r="O2009">
        <v>160</v>
      </c>
      <c r="T2009">
        <v>4</v>
      </c>
      <c r="U2009">
        <v>4</v>
      </c>
      <c r="V2009">
        <v>8</v>
      </c>
      <c r="Y2009">
        <v>0</v>
      </c>
      <c r="Z2009">
        <v>0</v>
      </c>
      <c r="AA2009">
        <v>1</v>
      </c>
      <c r="AD2009">
        <v>2</v>
      </c>
      <c r="AE2009">
        <v>2</v>
      </c>
      <c r="AF2009">
        <v>2</v>
      </c>
      <c r="AI2009">
        <v>1</v>
      </c>
      <c r="AJ2009">
        <v>3</v>
      </c>
      <c r="AK2009">
        <v>1</v>
      </c>
      <c r="AX2009">
        <v>16</v>
      </c>
      <c r="AY2009">
        <v>3</v>
      </c>
      <c r="AZ2009">
        <v>19</v>
      </c>
      <c r="BA2009">
        <v>1</v>
      </c>
      <c r="BB2009">
        <v>9</v>
      </c>
      <c r="BC2009">
        <v>10</v>
      </c>
      <c r="BD2009">
        <v>6</v>
      </c>
      <c r="BE2009">
        <v>5</v>
      </c>
      <c r="BF2009">
        <v>11</v>
      </c>
      <c r="BG2009">
        <v>5</v>
      </c>
      <c r="BH2009">
        <v>11</v>
      </c>
      <c r="BI2009">
        <v>16</v>
      </c>
      <c r="BP2009">
        <v>6</v>
      </c>
      <c r="BR2009">
        <v>18</v>
      </c>
      <c r="BS2009">
        <v>2</v>
      </c>
      <c r="BT2009">
        <v>2</v>
      </c>
      <c r="BV2009">
        <v>0</v>
      </c>
      <c r="BW2009">
        <v>28</v>
      </c>
      <c r="BX2009" t="s">
        <v>82</v>
      </c>
      <c r="BY2009" s="5"/>
      <c r="BZ2009" s="6"/>
      <c r="CA2009" s="7">
        <v>43051</v>
      </c>
      <c r="CC2009">
        <v>19</v>
      </c>
      <c r="CD2009">
        <v>4</v>
      </c>
      <c r="CE2009">
        <v>5</v>
      </c>
      <c r="CF2009">
        <v>0</v>
      </c>
      <c r="CI2009">
        <f t="shared" si="214"/>
        <v>2017</v>
      </c>
      <c r="CJ2009" t="str">
        <f t="shared" si="215"/>
        <v>7152_2017</v>
      </c>
    </row>
    <row r="2010" spans="1:88" x14ac:dyDescent="0.25">
      <c r="A2010" t="s">
        <v>492</v>
      </c>
      <c r="B2010" t="s">
        <v>646</v>
      </c>
      <c r="C2010">
        <v>7152</v>
      </c>
      <c r="D2010">
        <v>-19.986329999999999</v>
      </c>
      <c r="E2010">
        <v>148.23720900000001</v>
      </c>
      <c r="F2010">
        <v>4</v>
      </c>
      <c r="G2010" t="s">
        <v>748</v>
      </c>
      <c r="H2010">
        <v>133</v>
      </c>
      <c r="I2010">
        <v>313</v>
      </c>
      <c r="J2010">
        <v>190</v>
      </c>
      <c r="K2010">
        <v>10</v>
      </c>
      <c r="L2010">
        <v>250</v>
      </c>
      <c r="M2010">
        <v>70</v>
      </c>
      <c r="N2010">
        <v>340</v>
      </c>
      <c r="O2010">
        <v>160</v>
      </c>
      <c r="T2010">
        <v>1</v>
      </c>
      <c r="U2010">
        <v>0</v>
      </c>
      <c r="V2010">
        <v>3</v>
      </c>
      <c r="Y2010">
        <v>0</v>
      </c>
      <c r="Z2010">
        <v>4</v>
      </c>
      <c r="AA2010">
        <v>2</v>
      </c>
      <c r="AD2010">
        <v>2</v>
      </c>
      <c r="AE2010">
        <v>0</v>
      </c>
      <c r="AF2010">
        <v>4</v>
      </c>
      <c r="AI2010">
        <v>2</v>
      </c>
      <c r="AJ2010">
        <v>0</v>
      </c>
      <c r="AK2010">
        <v>6</v>
      </c>
      <c r="AX2010">
        <v>4</v>
      </c>
      <c r="AY2010">
        <v>4</v>
      </c>
      <c r="AZ2010">
        <v>8</v>
      </c>
      <c r="BA2010">
        <v>6</v>
      </c>
      <c r="BB2010">
        <v>1</v>
      </c>
      <c r="BC2010">
        <v>7</v>
      </c>
      <c r="BD2010">
        <v>6</v>
      </c>
      <c r="BE2010">
        <v>10</v>
      </c>
      <c r="BF2010">
        <v>16</v>
      </c>
      <c r="BG2010">
        <v>8</v>
      </c>
      <c r="BH2010">
        <v>9</v>
      </c>
      <c r="BI2010">
        <v>17</v>
      </c>
      <c r="BP2010">
        <v>3</v>
      </c>
      <c r="BR2010">
        <v>11</v>
      </c>
      <c r="BS2010">
        <v>0</v>
      </c>
      <c r="BT2010">
        <v>6</v>
      </c>
      <c r="BV2010">
        <v>4</v>
      </c>
      <c r="BW2010">
        <v>24</v>
      </c>
      <c r="BX2010">
        <f>IF(C2010=C2009,IF((CI2010-1)=CI2009,BW2009,"no data"))</f>
        <v>28</v>
      </c>
      <c r="BY2010" s="5">
        <f t="shared" si="217"/>
        <v>-0.14285714285714285</v>
      </c>
      <c r="BZ2010" s="6">
        <f t="shared" si="216"/>
        <v>-0.14285714285714285</v>
      </c>
      <c r="CA2010" s="7">
        <v>43415</v>
      </c>
      <c r="CC2010">
        <v>11</v>
      </c>
      <c r="CD2010">
        <v>7</v>
      </c>
      <c r="CE2010">
        <v>6</v>
      </c>
      <c r="CF2010">
        <v>0</v>
      </c>
      <c r="CI2010">
        <f t="shared" si="214"/>
        <v>2018</v>
      </c>
      <c r="CJ2010" t="str">
        <f t="shared" si="215"/>
        <v>7152_2018</v>
      </c>
    </row>
    <row r="2011" spans="1:88" x14ac:dyDescent="0.25">
      <c r="A2011" t="s">
        <v>492</v>
      </c>
      <c r="B2011" t="s">
        <v>646</v>
      </c>
      <c r="C2011">
        <v>7153</v>
      </c>
      <c r="D2011">
        <v>-20.009862999999999</v>
      </c>
      <c r="E2011">
        <v>148.24990500000001</v>
      </c>
      <c r="F2011">
        <v>3</v>
      </c>
      <c r="G2011" t="s">
        <v>749</v>
      </c>
      <c r="H2011">
        <v>10</v>
      </c>
      <c r="I2011">
        <v>190</v>
      </c>
      <c r="J2011">
        <v>139</v>
      </c>
      <c r="K2011">
        <v>319</v>
      </c>
      <c r="L2011">
        <v>230</v>
      </c>
      <c r="M2011">
        <v>50</v>
      </c>
      <c r="T2011">
        <v>2</v>
      </c>
      <c r="U2011">
        <v>0</v>
      </c>
      <c r="Y2011">
        <v>4</v>
      </c>
      <c r="Z2011">
        <v>0</v>
      </c>
      <c r="AD2011">
        <v>1</v>
      </c>
      <c r="AE2011">
        <v>0</v>
      </c>
      <c r="AX2011">
        <v>2</v>
      </c>
      <c r="AY2011">
        <v>5</v>
      </c>
      <c r="AZ2011">
        <v>7</v>
      </c>
      <c r="BA2011">
        <v>4</v>
      </c>
      <c r="BB2011">
        <v>2</v>
      </c>
      <c r="BC2011">
        <v>6</v>
      </c>
      <c r="BD2011">
        <v>1</v>
      </c>
      <c r="BE2011">
        <v>0</v>
      </c>
      <c r="BF2011">
        <v>1</v>
      </c>
      <c r="BP2011">
        <v>5</v>
      </c>
      <c r="BR2011">
        <v>2</v>
      </c>
      <c r="BS2011">
        <v>0</v>
      </c>
      <c r="BT2011">
        <v>0</v>
      </c>
      <c r="BV2011">
        <v>0</v>
      </c>
      <c r="BW2011">
        <v>7</v>
      </c>
      <c r="BX2011" t="s">
        <v>82</v>
      </c>
      <c r="BY2011" s="5"/>
      <c r="BZ2011" s="6"/>
      <c r="CA2011" s="7">
        <v>43051</v>
      </c>
      <c r="CC2011">
        <v>0</v>
      </c>
      <c r="CD2011">
        <v>2</v>
      </c>
      <c r="CE2011">
        <v>4</v>
      </c>
      <c r="CF2011">
        <v>1</v>
      </c>
      <c r="CI2011">
        <f t="shared" si="214"/>
        <v>2017</v>
      </c>
      <c r="CJ2011" t="str">
        <f t="shared" si="215"/>
        <v>7153_2017</v>
      </c>
    </row>
    <row r="2012" spans="1:88" x14ac:dyDescent="0.25">
      <c r="A2012" t="s">
        <v>492</v>
      </c>
      <c r="B2012" t="s">
        <v>646</v>
      </c>
      <c r="C2012">
        <v>7154</v>
      </c>
      <c r="D2012">
        <v>-20.014222</v>
      </c>
      <c r="E2012">
        <v>148.25331199999999</v>
      </c>
      <c r="F2012">
        <v>4</v>
      </c>
      <c r="G2012" t="s">
        <v>750</v>
      </c>
      <c r="H2012">
        <v>55</v>
      </c>
      <c r="I2012">
        <v>235</v>
      </c>
      <c r="J2012">
        <v>110</v>
      </c>
      <c r="K2012">
        <v>290</v>
      </c>
      <c r="L2012">
        <v>240</v>
      </c>
      <c r="M2012">
        <v>60</v>
      </c>
      <c r="N2012">
        <v>310</v>
      </c>
      <c r="O2012">
        <v>130</v>
      </c>
      <c r="T2012">
        <v>0</v>
      </c>
      <c r="U2012">
        <v>0</v>
      </c>
      <c r="V2012">
        <v>1</v>
      </c>
      <c r="Y2012">
        <v>0</v>
      </c>
      <c r="Z2012">
        <v>2</v>
      </c>
      <c r="AA2012">
        <v>0</v>
      </c>
      <c r="AD2012">
        <v>0</v>
      </c>
      <c r="AE2012">
        <v>2</v>
      </c>
      <c r="AF2012">
        <v>5</v>
      </c>
      <c r="AI2012">
        <v>1</v>
      </c>
      <c r="AJ2012">
        <v>0</v>
      </c>
      <c r="AK2012">
        <v>0</v>
      </c>
      <c r="AX2012">
        <v>1</v>
      </c>
      <c r="AY2012">
        <v>1</v>
      </c>
      <c r="AZ2012">
        <v>2</v>
      </c>
      <c r="BA2012">
        <v>2</v>
      </c>
      <c r="BB2012">
        <v>2</v>
      </c>
      <c r="BC2012">
        <v>4</v>
      </c>
      <c r="BD2012">
        <v>7</v>
      </c>
      <c r="BE2012">
        <v>2</v>
      </c>
      <c r="BF2012">
        <v>9</v>
      </c>
      <c r="BG2012">
        <v>1</v>
      </c>
      <c r="BH2012">
        <v>6</v>
      </c>
      <c r="BI2012">
        <v>7</v>
      </c>
      <c r="BP2012">
        <v>3</v>
      </c>
      <c r="BR2012">
        <v>6</v>
      </c>
      <c r="BS2012">
        <v>2</v>
      </c>
      <c r="BT2012">
        <v>0</v>
      </c>
      <c r="BV2012">
        <v>0</v>
      </c>
      <c r="BW2012">
        <v>11</v>
      </c>
      <c r="BX2012" t="s">
        <v>82</v>
      </c>
      <c r="BY2012" s="5"/>
      <c r="BZ2012" s="6"/>
      <c r="CA2012" s="7">
        <v>43051</v>
      </c>
      <c r="CC2012">
        <v>5</v>
      </c>
      <c r="CD2012">
        <v>0</v>
      </c>
      <c r="CE2012">
        <v>4</v>
      </c>
      <c r="CF2012">
        <v>2</v>
      </c>
      <c r="CI2012">
        <f t="shared" si="214"/>
        <v>2017</v>
      </c>
      <c r="CJ2012" t="str">
        <f t="shared" si="215"/>
        <v>7154_2017</v>
      </c>
    </row>
    <row r="2013" spans="1:88" x14ac:dyDescent="0.25">
      <c r="A2013" t="s">
        <v>492</v>
      </c>
      <c r="B2013" t="s">
        <v>646</v>
      </c>
      <c r="C2013">
        <v>7154</v>
      </c>
      <c r="D2013">
        <v>-20.014222</v>
      </c>
      <c r="E2013">
        <v>148.25331199999999</v>
      </c>
      <c r="F2013">
        <v>4</v>
      </c>
      <c r="G2013" t="s">
        <v>750</v>
      </c>
      <c r="H2013">
        <v>55</v>
      </c>
      <c r="I2013">
        <v>235</v>
      </c>
      <c r="J2013">
        <v>110</v>
      </c>
      <c r="K2013">
        <v>290</v>
      </c>
      <c r="L2013">
        <v>240</v>
      </c>
      <c r="M2013">
        <v>60</v>
      </c>
      <c r="N2013">
        <v>310</v>
      </c>
      <c r="O2013">
        <v>130</v>
      </c>
      <c r="T2013">
        <v>0</v>
      </c>
      <c r="U2013">
        <v>4</v>
      </c>
      <c r="V2013">
        <v>0</v>
      </c>
      <c r="Y2013">
        <v>0</v>
      </c>
      <c r="Z2013">
        <v>0</v>
      </c>
      <c r="AA2013">
        <v>0</v>
      </c>
      <c r="AD2013">
        <v>2</v>
      </c>
      <c r="AE2013">
        <v>0</v>
      </c>
      <c r="AF2013">
        <v>1</v>
      </c>
      <c r="AI2013">
        <v>0</v>
      </c>
      <c r="AJ2013">
        <v>0</v>
      </c>
      <c r="AK2013">
        <v>2</v>
      </c>
      <c r="AX2013">
        <v>4</v>
      </c>
      <c r="AY2013">
        <v>2</v>
      </c>
      <c r="AZ2013">
        <v>6</v>
      </c>
      <c r="BA2013">
        <v>0</v>
      </c>
      <c r="BB2013">
        <v>0</v>
      </c>
      <c r="BC2013">
        <v>0</v>
      </c>
      <c r="BD2013">
        <v>3</v>
      </c>
      <c r="BE2013">
        <v>6</v>
      </c>
      <c r="BF2013">
        <v>9</v>
      </c>
      <c r="BG2013">
        <v>2</v>
      </c>
      <c r="BH2013">
        <v>1</v>
      </c>
      <c r="BI2013">
        <v>3</v>
      </c>
      <c r="BP2013">
        <v>5</v>
      </c>
      <c r="BR2013">
        <v>2</v>
      </c>
      <c r="BS2013">
        <v>2</v>
      </c>
      <c r="BT2013">
        <v>0</v>
      </c>
      <c r="BV2013">
        <v>0</v>
      </c>
      <c r="BW2013">
        <v>9</v>
      </c>
      <c r="BX2013">
        <f>IF(C2013=C2012,IF((CI2013-1)=CI2012,BW2012,"no data"))</f>
        <v>11</v>
      </c>
      <c r="BY2013" s="5">
        <f t="shared" si="217"/>
        <v>-0.18181818181818182</v>
      </c>
      <c r="BZ2013" s="6">
        <f t="shared" si="216"/>
        <v>-0.18181818181818182</v>
      </c>
      <c r="CA2013" s="7">
        <v>43415</v>
      </c>
      <c r="CC2013">
        <v>5</v>
      </c>
      <c r="CD2013">
        <v>3</v>
      </c>
      <c r="CE2013">
        <v>0</v>
      </c>
      <c r="CF2013">
        <v>1</v>
      </c>
      <c r="CI2013">
        <f t="shared" si="214"/>
        <v>2018</v>
      </c>
      <c r="CJ2013" t="str">
        <f t="shared" si="215"/>
        <v>7154_2018</v>
      </c>
    </row>
    <row r="2014" spans="1:88" x14ac:dyDescent="0.25">
      <c r="A2014" t="s">
        <v>492</v>
      </c>
      <c r="B2014" t="s">
        <v>646</v>
      </c>
      <c r="C2014">
        <v>7157</v>
      </c>
      <c r="D2014">
        <v>-20.272303999999998</v>
      </c>
      <c r="E2014">
        <v>148.70599999999999</v>
      </c>
      <c r="F2014">
        <v>2</v>
      </c>
      <c r="G2014" t="s">
        <v>751</v>
      </c>
      <c r="H2014">
        <v>60</v>
      </c>
      <c r="I2014">
        <v>240</v>
      </c>
      <c r="J2014">
        <v>240</v>
      </c>
      <c r="K2014">
        <v>60</v>
      </c>
      <c r="T2014">
        <v>6</v>
      </c>
      <c r="Y2014">
        <v>13</v>
      </c>
      <c r="AX2014">
        <v>6</v>
      </c>
      <c r="AY2014">
        <v>13</v>
      </c>
      <c r="AZ2014">
        <v>19</v>
      </c>
      <c r="BA2014">
        <v>13</v>
      </c>
      <c r="BB2014">
        <v>6</v>
      </c>
      <c r="BC2014">
        <v>19</v>
      </c>
      <c r="BP2014">
        <v>11</v>
      </c>
      <c r="BR2014">
        <v>7</v>
      </c>
      <c r="BS2014">
        <v>1</v>
      </c>
      <c r="BT2014">
        <v>0</v>
      </c>
      <c r="BV2014">
        <v>0</v>
      </c>
      <c r="BW2014">
        <v>19</v>
      </c>
      <c r="BX2014" t="s">
        <v>82</v>
      </c>
      <c r="BY2014" s="5"/>
      <c r="BZ2014" s="6"/>
      <c r="CA2014" s="7">
        <v>43051</v>
      </c>
      <c r="CC2014">
        <v>11</v>
      </c>
      <c r="CD2014">
        <v>3</v>
      </c>
      <c r="CE2014">
        <v>5</v>
      </c>
      <c r="CF2014">
        <v>0</v>
      </c>
      <c r="CI2014">
        <f t="shared" si="214"/>
        <v>2017</v>
      </c>
      <c r="CJ2014" t="str">
        <f t="shared" si="215"/>
        <v>7157_2017</v>
      </c>
    </row>
    <row r="2015" spans="1:88" x14ac:dyDescent="0.25">
      <c r="A2015" t="s">
        <v>492</v>
      </c>
      <c r="B2015" t="s">
        <v>646</v>
      </c>
      <c r="C2015">
        <v>7157</v>
      </c>
      <c r="D2015">
        <v>-20.272303999999998</v>
      </c>
      <c r="E2015">
        <v>148.70599999999999</v>
      </c>
      <c r="F2015">
        <v>2</v>
      </c>
      <c r="G2015" t="s">
        <v>751</v>
      </c>
      <c r="H2015">
        <v>60</v>
      </c>
      <c r="I2015">
        <v>240</v>
      </c>
      <c r="J2015">
        <v>240</v>
      </c>
      <c r="K2015">
        <v>60</v>
      </c>
      <c r="T2015">
        <v>12</v>
      </c>
      <c r="Y2015">
        <v>36</v>
      </c>
      <c r="AX2015">
        <v>12</v>
      </c>
      <c r="AY2015">
        <v>36</v>
      </c>
      <c r="AZ2015">
        <v>48</v>
      </c>
      <c r="BA2015">
        <v>36</v>
      </c>
      <c r="BB2015">
        <v>12</v>
      </c>
      <c r="BC2015">
        <v>48</v>
      </c>
      <c r="BP2015">
        <v>11</v>
      </c>
      <c r="BR2015">
        <v>34</v>
      </c>
      <c r="BS2015">
        <v>1</v>
      </c>
      <c r="BT2015">
        <v>2</v>
      </c>
      <c r="BV2015">
        <v>0</v>
      </c>
      <c r="BW2015">
        <v>48</v>
      </c>
      <c r="BX2015">
        <f>IF(C2015=C2014,IF((CI2015-1)=CI2014,BW2014,"no data"))</f>
        <v>19</v>
      </c>
      <c r="BY2015" s="5">
        <f t="shared" si="217"/>
        <v>1.5263157894736843</v>
      </c>
      <c r="BZ2015" s="6">
        <f t="shared" si="216"/>
        <v>1.5263157894736843</v>
      </c>
      <c r="CA2015" s="7">
        <v>43415</v>
      </c>
      <c r="CC2015">
        <v>16</v>
      </c>
      <c r="CD2015">
        <v>17</v>
      </c>
      <c r="CE2015">
        <v>8</v>
      </c>
      <c r="CF2015">
        <v>7</v>
      </c>
      <c r="CI2015">
        <f t="shared" si="214"/>
        <v>2018</v>
      </c>
      <c r="CJ2015" t="str">
        <f t="shared" si="215"/>
        <v>7157_2018</v>
      </c>
    </row>
    <row r="2016" spans="1:88" x14ac:dyDescent="0.25">
      <c r="A2016" t="s">
        <v>492</v>
      </c>
      <c r="B2016" t="s">
        <v>646</v>
      </c>
      <c r="C2016">
        <v>7158</v>
      </c>
      <c r="D2016">
        <v>-20.273558999999999</v>
      </c>
      <c r="E2016">
        <v>148.70321799999999</v>
      </c>
      <c r="F2016">
        <v>3</v>
      </c>
      <c r="G2016" t="s">
        <v>752</v>
      </c>
      <c r="H2016">
        <v>30</v>
      </c>
      <c r="I2016">
        <v>210</v>
      </c>
      <c r="J2016">
        <v>180</v>
      </c>
      <c r="K2016">
        <v>360</v>
      </c>
      <c r="L2016">
        <v>245</v>
      </c>
      <c r="M2016">
        <v>65</v>
      </c>
      <c r="T2016">
        <v>28</v>
      </c>
      <c r="U2016">
        <v>169</v>
      </c>
      <c r="Y2016">
        <v>42</v>
      </c>
      <c r="Z2016">
        <v>2</v>
      </c>
      <c r="AD2016">
        <v>190</v>
      </c>
      <c r="AE2016">
        <v>6</v>
      </c>
      <c r="AX2016">
        <v>197</v>
      </c>
      <c r="AY2016">
        <v>232</v>
      </c>
      <c r="AZ2016">
        <v>429</v>
      </c>
      <c r="BA2016">
        <v>44</v>
      </c>
      <c r="BB2016">
        <v>34</v>
      </c>
      <c r="BC2016">
        <v>78</v>
      </c>
      <c r="BD2016">
        <v>196</v>
      </c>
      <c r="BE2016">
        <v>171</v>
      </c>
      <c r="BF2016">
        <v>367</v>
      </c>
      <c r="BP2016">
        <v>37</v>
      </c>
      <c r="BR2016">
        <v>293</v>
      </c>
      <c r="BS2016">
        <v>31</v>
      </c>
      <c r="BT2016">
        <v>58</v>
      </c>
      <c r="BV2016">
        <v>18</v>
      </c>
      <c r="BW2016">
        <v>437</v>
      </c>
      <c r="BX2016" t="s">
        <v>82</v>
      </c>
      <c r="BY2016" s="5"/>
      <c r="BZ2016" s="6"/>
      <c r="CA2016" s="7">
        <v>43051</v>
      </c>
      <c r="CC2016">
        <v>94</v>
      </c>
      <c r="CD2016">
        <v>137</v>
      </c>
      <c r="CE2016">
        <v>104</v>
      </c>
      <c r="CF2016">
        <v>102</v>
      </c>
      <c r="CI2016">
        <f t="shared" si="214"/>
        <v>2017</v>
      </c>
      <c r="CJ2016" t="str">
        <f t="shared" si="215"/>
        <v>7158_2017</v>
      </c>
    </row>
    <row r="2017" spans="1:88" x14ac:dyDescent="0.25">
      <c r="A2017" t="s">
        <v>492</v>
      </c>
      <c r="B2017" t="s">
        <v>646</v>
      </c>
      <c r="C2017">
        <v>7159</v>
      </c>
      <c r="D2017">
        <v>-20.269953000000001</v>
      </c>
      <c r="E2017">
        <v>148.72145599999999</v>
      </c>
      <c r="F2017">
        <v>3</v>
      </c>
      <c r="G2017" t="s">
        <v>753</v>
      </c>
      <c r="H2017">
        <v>17</v>
      </c>
      <c r="I2017">
        <v>197</v>
      </c>
      <c r="J2017">
        <v>165</v>
      </c>
      <c r="K2017">
        <v>345</v>
      </c>
      <c r="L2017">
        <v>300</v>
      </c>
      <c r="M2017">
        <v>120</v>
      </c>
      <c r="T2017">
        <v>19</v>
      </c>
      <c r="U2017">
        <v>84</v>
      </c>
      <c r="Y2017">
        <v>32</v>
      </c>
      <c r="Z2017">
        <v>240</v>
      </c>
      <c r="AD2017">
        <v>49</v>
      </c>
      <c r="AE2017">
        <v>181</v>
      </c>
      <c r="AX2017">
        <v>103</v>
      </c>
      <c r="AY2017">
        <v>81</v>
      </c>
      <c r="AZ2017">
        <v>184</v>
      </c>
      <c r="BA2017">
        <v>272</v>
      </c>
      <c r="BB2017">
        <v>200</v>
      </c>
      <c r="BC2017">
        <v>472</v>
      </c>
      <c r="BD2017">
        <v>230</v>
      </c>
      <c r="BE2017">
        <v>324</v>
      </c>
      <c r="BF2017">
        <v>554</v>
      </c>
      <c r="BP2017">
        <v>29</v>
      </c>
      <c r="BR2017">
        <v>565</v>
      </c>
      <c r="BS2017">
        <v>4</v>
      </c>
      <c r="BT2017">
        <v>6</v>
      </c>
      <c r="BV2017">
        <v>1</v>
      </c>
      <c r="BW2017">
        <v>605</v>
      </c>
      <c r="BX2017" t="s">
        <v>82</v>
      </c>
      <c r="BY2017" s="5"/>
      <c r="BZ2017" s="6"/>
      <c r="CA2017" s="7">
        <v>43415</v>
      </c>
      <c r="CC2017">
        <v>112</v>
      </c>
      <c r="CD2017">
        <v>107</v>
      </c>
      <c r="CE2017">
        <v>159</v>
      </c>
      <c r="CF2017">
        <v>227</v>
      </c>
      <c r="CI2017">
        <f t="shared" si="214"/>
        <v>2018</v>
      </c>
      <c r="CJ2017" t="str">
        <f t="shared" si="215"/>
        <v>7159_2018</v>
      </c>
    </row>
    <row r="2018" spans="1:88" x14ac:dyDescent="0.25">
      <c r="A2018" t="s">
        <v>492</v>
      </c>
      <c r="B2018" t="s">
        <v>646</v>
      </c>
      <c r="C2018">
        <v>7160</v>
      </c>
      <c r="D2018">
        <v>-20.281327000000001</v>
      </c>
      <c r="E2018">
        <v>148.732348</v>
      </c>
      <c r="F2018">
        <v>3</v>
      </c>
      <c r="G2018" t="s">
        <v>754</v>
      </c>
      <c r="H2018">
        <v>95</v>
      </c>
      <c r="I2018">
        <v>275</v>
      </c>
      <c r="J2018">
        <v>185</v>
      </c>
      <c r="K2018">
        <v>5</v>
      </c>
      <c r="L2018">
        <v>275</v>
      </c>
      <c r="M2018">
        <v>95</v>
      </c>
      <c r="T2018">
        <v>3</v>
      </c>
      <c r="U2018">
        <v>2</v>
      </c>
      <c r="Y2018">
        <v>1</v>
      </c>
      <c r="Z2018">
        <v>19</v>
      </c>
      <c r="AD2018">
        <v>3</v>
      </c>
      <c r="AE2018">
        <v>10</v>
      </c>
      <c r="AX2018">
        <v>5</v>
      </c>
      <c r="AY2018">
        <v>4</v>
      </c>
      <c r="AZ2018">
        <v>9</v>
      </c>
      <c r="BA2018">
        <v>20</v>
      </c>
      <c r="BB2018">
        <v>13</v>
      </c>
      <c r="BC2018">
        <v>33</v>
      </c>
      <c r="BD2018">
        <v>13</v>
      </c>
      <c r="BE2018">
        <v>21</v>
      </c>
      <c r="BF2018">
        <v>34</v>
      </c>
      <c r="BP2018">
        <v>8</v>
      </c>
      <c r="BR2018">
        <v>21</v>
      </c>
      <c r="BS2018">
        <v>2</v>
      </c>
      <c r="BT2018">
        <v>6</v>
      </c>
      <c r="BV2018">
        <v>1</v>
      </c>
      <c r="BW2018">
        <v>38</v>
      </c>
      <c r="BX2018" t="s">
        <v>82</v>
      </c>
      <c r="BY2018" s="5"/>
      <c r="BZ2018" s="6"/>
      <c r="CA2018" s="7">
        <v>43443</v>
      </c>
      <c r="CC2018">
        <v>7</v>
      </c>
      <c r="CD2018">
        <v>5</v>
      </c>
      <c r="CE2018">
        <v>18</v>
      </c>
      <c r="CF2018">
        <v>8</v>
      </c>
      <c r="CI2018">
        <f t="shared" si="214"/>
        <v>2018</v>
      </c>
      <c r="CJ2018" t="str">
        <f t="shared" si="215"/>
        <v>7160_2018</v>
      </c>
    </row>
    <row r="2019" spans="1:88" x14ac:dyDescent="0.25">
      <c r="A2019" t="s">
        <v>111</v>
      </c>
      <c r="B2019" t="s">
        <v>267</v>
      </c>
      <c r="C2019">
        <v>7161</v>
      </c>
      <c r="D2019">
        <v>-37.777577999999998</v>
      </c>
      <c r="E2019">
        <v>145.425916</v>
      </c>
      <c r="F2019">
        <v>4</v>
      </c>
      <c r="G2019" t="s">
        <v>755</v>
      </c>
      <c r="H2019">
        <v>60</v>
      </c>
      <c r="I2019">
        <v>240</v>
      </c>
      <c r="J2019">
        <v>132</v>
      </c>
      <c r="K2019">
        <v>312</v>
      </c>
      <c r="L2019">
        <v>240</v>
      </c>
      <c r="M2019">
        <v>60</v>
      </c>
      <c r="N2019">
        <v>317</v>
      </c>
      <c r="O2019">
        <v>137</v>
      </c>
      <c r="P2019">
        <v>359</v>
      </c>
      <c r="Q2019">
        <v>179</v>
      </c>
      <c r="T2019">
        <v>0</v>
      </c>
      <c r="U2019">
        <v>102</v>
      </c>
      <c r="V2019">
        <v>3</v>
      </c>
      <c r="W2019">
        <v>22</v>
      </c>
      <c r="Y2019">
        <v>5</v>
      </c>
      <c r="Z2019">
        <v>2</v>
      </c>
      <c r="AA2019">
        <v>5</v>
      </c>
      <c r="AB2019">
        <v>0</v>
      </c>
      <c r="AD2019">
        <v>78</v>
      </c>
      <c r="AE2019">
        <v>13</v>
      </c>
      <c r="AF2019">
        <v>6</v>
      </c>
      <c r="AG2019">
        <v>2</v>
      </c>
      <c r="AI2019">
        <v>4</v>
      </c>
      <c r="AJ2019">
        <v>2</v>
      </c>
      <c r="AK2019">
        <v>5</v>
      </c>
      <c r="AL2019">
        <v>0</v>
      </c>
      <c r="AN2019">
        <v>34</v>
      </c>
      <c r="AO2019">
        <v>0</v>
      </c>
      <c r="AP2019">
        <v>10</v>
      </c>
      <c r="AQ2019">
        <v>1</v>
      </c>
      <c r="AX2019">
        <v>127</v>
      </c>
      <c r="AY2019">
        <v>121</v>
      </c>
      <c r="AZ2019">
        <v>248</v>
      </c>
      <c r="BA2019">
        <v>12</v>
      </c>
      <c r="BB2019">
        <v>15</v>
      </c>
      <c r="BC2019">
        <v>27</v>
      </c>
      <c r="BD2019">
        <v>99</v>
      </c>
      <c r="BE2019">
        <v>119</v>
      </c>
      <c r="BF2019">
        <v>218</v>
      </c>
      <c r="BG2019">
        <v>11</v>
      </c>
      <c r="BH2019">
        <v>15</v>
      </c>
      <c r="BI2019">
        <v>26</v>
      </c>
      <c r="BJ2019">
        <v>45</v>
      </c>
      <c r="BK2019">
        <v>24</v>
      </c>
      <c r="BL2019">
        <v>69</v>
      </c>
      <c r="BP2019">
        <v>176</v>
      </c>
      <c r="BR2019">
        <v>79</v>
      </c>
      <c r="BS2019">
        <v>9</v>
      </c>
      <c r="BT2019">
        <v>23</v>
      </c>
      <c r="BV2019">
        <v>7</v>
      </c>
      <c r="BW2019">
        <v>294</v>
      </c>
      <c r="BX2019" t="s">
        <v>82</v>
      </c>
      <c r="BY2019" s="5"/>
      <c r="BZ2019" s="6"/>
      <c r="CA2019" s="7">
        <v>43051</v>
      </c>
      <c r="CE2019">
        <v>52</v>
      </c>
      <c r="CF2019">
        <v>78</v>
      </c>
      <c r="CG2019">
        <v>68</v>
      </c>
      <c r="CH2019">
        <v>96</v>
      </c>
      <c r="CI2019">
        <f t="shared" si="214"/>
        <v>2017</v>
      </c>
      <c r="CJ2019" t="str">
        <f t="shared" si="215"/>
        <v>7161_2017</v>
      </c>
    </row>
    <row r="2020" spans="1:88" x14ac:dyDescent="0.25">
      <c r="A2020" t="s">
        <v>111</v>
      </c>
      <c r="B2020" t="s">
        <v>267</v>
      </c>
      <c r="C2020">
        <v>7161</v>
      </c>
      <c r="D2020">
        <v>-37.777577999999998</v>
      </c>
      <c r="E2020">
        <v>145.425916</v>
      </c>
      <c r="F2020">
        <v>4</v>
      </c>
      <c r="G2020" t="s">
        <v>755</v>
      </c>
      <c r="H2020">
        <v>60</v>
      </c>
      <c r="I2020">
        <v>240</v>
      </c>
      <c r="J2020">
        <v>132</v>
      </c>
      <c r="K2020">
        <v>312</v>
      </c>
      <c r="L2020">
        <v>240</v>
      </c>
      <c r="M2020">
        <v>60</v>
      </c>
      <c r="N2020">
        <v>317</v>
      </c>
      <c r="O2020">
        <v>137</v>
      </c>
      <c r="P2020">
        <v>359</v>
      </c>
      <c r="Q2020">
        <v>179</v>
      </c>
      <c r="T2020">
        <v>12</v>
      </c>
      <c r="U2020">
        <v>57</v>
      </c>
      <c r="V2020">
        <v>4</v>
      </c>
      <c r="W2020">
        <v>23</v>
      </c>
      <c r="Y2020">
        <v>6</v>
      </c>
      <c r="Z2020">
        <v>10</v>
      </c>
      <c r="AA2020">
        <v>0</v>
      </c>
      <c r="AB2020">
        <v>2</v>
      </c>
      <c r="AD2020">
        <v>65</v>
      </c>
      <c r="AE2020">
        <v>15</v>
      </c>
      <c r="AF2020">
        <v>0</v>
      </c>
      <c r="AG2020">
        <v>5</v>
      </c>
      <c r="AI2020">
        <v>5</v>
      </c>
      <c r="AJ2020">
        <v>0</v>
      </c>
      <c r="AK2020">
        <v>1</v>
      </c>
      <c r="AL2020">
        <v>0</v>
      </c>
      <c r="AN2020">
        <v>22</v>
      </c>
      <c r="AO2020">
        <v>2</v>
      </c>
      <c r="AP2020">
        <v>6</v>
      </c>
      <c r="AQ2020">
        <v>0</v>
      </c>
      <c r="AX2020">
        <v>96</v>
      </c>
      <c r="AY2020">
        <v>98</v>
      </c>
      <c r="AZ2020">
        <v>194</v>
      </c>
      <c r="BA2020">
        <v>18</v>
      </c>
      <c r="BB2020">
        <v>29</v>
      </c>
      <c r="BC2020">
        <v>47</v>
      </c>
      <c r="BD2020">
        <v>85</v>
      </c>
      <c r="BE2020">
        <v>74</v>
      </c>
      <c r="BF2020">
        <v>159</v>
      </c>
      <c r="BG2020">
        <v>6</v>
      </c>
      <c r="BH2020">
        <v>4</v>
      </c>
      <c r="BI2020">
        <v>10</v>
      </c>
      <c r="BJ2020">
        <v>30</v>
      </c>
      <c r="BK2020">
        <v>30</v>
      </c>
      <c r="BL2020">
        <v>60</v>
      </c>
      <c r="BP2020">
        <v>113</v>
      </c>
      <c r="BR2020">
        <v>79</v>
      </c>
      <c r="BS2020">
        <v>11</v>
      </c>
      <c r="BT2020">
        <v>32</v>
      </c>
      <c r="BV2020">
        <v>0</v>
      </c>
      <c r="BW2020">
        <v>235</v>
      </c>
      <c r="BX2020">
        <f>IF(C2020=C2019,IF((CI2020-1)=CI2019,BW2019,"no data"))</f>
        <v>294</v>
      </c>
      <c r="BY2020" s="5">
        <f t="shared" si="217"/>
        <v>-0.20068027210884354</v>
      </c>
      <c r="BZ2020" s="6">
        <f t="shared" si="216"/>
        <v>-0.20068027210884354</v>
      </c>
      <c r="CA2020" s="7">
        <v>43443</v>
      </c>
      <c r="CE2020">
        <v>31</v>
      </c>
      <c r="CF2020">
        <v>77</v>
      </c>
      <c r="CG2020">
        <v>66</v>
      </c>
      <c r="CH2020">
        <v>61</v>
      </c>
      <c r="CI2020">
        <f t="shared" si="214"/>
        <v>2018</v>
      </c>
      <c r="CJ2020" t="str">
        <f t="shared" si="215"/>
        <v>7161_2018</v>
      </c>
    </row>
    <row r="2021" spans="1:88" x14ac:dyDescent="0.25">
      <c r="A2021" t="s">
        <v>111</v>
      </c>
      <c r="B2021" t="s">
        <v>267</v>
      </c>
      <c r="C2021">
        <v>7161</v>
      </c>
      <c r="D2021">
        <v>-37.7776</v>
      </c>
      <c r="E2021">
        <v>145.42590000000001</v>
      </c>
      <c r="F2021">
        <v>5</v>
      </c>
      <c r="G2021" t="s">
        <v>756</v>
      </c>
      <c r="H2021">
        <v>60</v>
      </c>
      <c r="I2021">
        <v>240</v>
      </c>
      <c r="J2021">
        <v>132</v>
      </c>
      <c r="K2021">
        <v>312</v>
      </c>
      <c r="L2021">
        <v>240</v>
      </c>
      <c r="M2021">
        <v>60</v>
      </c>
      <c r="N2021">
        <v>317</v>
      </c>
      <c r="O2021">
        <v>137</v>
      </c>
      <c r="P2021">
        <v>359</v>
      </c>
      <c r="Q2021">
        <v>179</v>
      </c>
      <c r="T2021">
        <v>1</v>
      </c>
      <c r="U2021">
        <v>44</v>
      </c>
      <c r="V2021">
        <v>0</v>
      </c>
      <c r="W2021">
        <v>0</v>
      </c>
      <c r="Y2021">
        <v>0</v>
      </c>
      <c r="Z2021">
        <v>13</v>
      </c>
      <c r="AA2021">
        <v>6</v>
      </c>
      <c r="AB2021">
        <v>1</v>
      </c>
      <c r="AD2021">
        <v>85</v>
      </c>
      <c r="AE2021">
        <v>10</v>
      </c>
      <c r="AF2021">
        <v>3</v>
      </c>
      <c r="AG2021">
        <v>4</v>
      </c>
      <c r="AI2021">
        <v>3</v>
      </c>
      <c r="AJ2021">
        <v>4</v>
      </c>
      <c r="AK2021">
        <v>0</v>
      </c>
      <c r="AL2021">
        <v>3</v>
      </c>
      <c r="AN2021">
        <v>0</v>
      </c>
      <c r="AO2021">
        <v>0</v>
      </c>
      <c r="AP2021">
        <v>5</v>
      </c>
      <c r="AQ2021">
        <v>3</v>
      </c>
      <c r="AX2021">
        <v>45</v>
      </c>
      <c r="AY2021">
        <v>88</v>
      </c>
      <c r="AZ2021">
        <v>133</v>
      </c>
      <c r="BA2021">
        <v>20</v>
      </c>
      <c r="BB2021">
        <v>15</v>
      </c>
      <c r="BC2021">
        <v>35</v>
      </c>
      <c r="BD2021">
        <v>102</v>
      </c>
      <c r="BE2021">
        <v>62</v>
      </c>
      <c r="BF2021">
        <v>164</v>
      </c>
      <c r="BG2021">
        <v>10</v>
      </c>
      <c r="BH2021">
        <v>12</v>
      </c>
      <c r="BI2021">
        <v>22</v>
      </c>
      <c r="BJ2021">
        <v>8</v>
      </c>
      <c r="BK2021">
        <v>8</v>
      </c>
      <c r="BL2021">
        <v>16</v>
      </c>
      <c r="BP2021">
        <v>106</v>
      </c>
      <c r="BR2021">
        <v>57</v>
      </c>
      <c r="BS2021">
        <v>9</v>
      </c>
      <c r="BT2021">
        <v>13</v>
      </c>
      <c r="BV2021">
        <v>0</v>
      </c>
      <c r="BW2021">
        <v>185</v>
      </c>
      <c r="BX2021">
        <f>IF(C2021=C2020,IF((CI2021-1)=CI2020,BW2020,"no data"))</f>
        <v>235</v>
      </c>
      <c r="BY2021" s="5">
        <f t="shared" si="217"/>
        <v>-0.21276595744680851</v>
      </c>
      <c r="BZ2021" s="6">
        <f t="shared" si="216"/>
        <v>-0.21276595744680851</v>
      </c>
      <c r="CA2021" s="7">
        <v>43779</v>
      </c>
      <c r="CE2021">
        <v>50</v>
      </c>
      <c r="CF2021">
        <v>42</v>
      </c>
      <c r="CG2021">
        <v>43</v>
      </c>
      <c r="CH2021">
        <v>50</v>
      </c>
      <c r="CI2021">
        <f t="shared" si="214"/>
        <v>2019</v>
      </c>
      <c r="CJ2021" t="str">
        <f t="shared" si="215"/>
        <v>7161_2019</v>
      </c>
    </row>
    <row r="2022" spans="1:88" x14ac:dyDescent="0.25">
      <c r="A2022" t="s">
        <v>111</v>
      </c>
      <c r="B2022" t="s">
        <v>267</v>
      </c>
      <c r="C2022">
        <v>7162</v>
      </c>
      <c r="D2022">
        <v>-37.775109</v>
      </c>
      <c r="E2022">
        <v>145.52721</v>
      </c>
      <c r="F2022">
        <v>3</v>
      </c>
      <c r="G2022" t="s">
        <v>757</v>
      </c>
      <c r="H2022">
        <v>100</v>
      </c>
      <c r="I2022">
        <v>280</v>
      </c>
      <c r="J2022">
        <v>210</v>
      </c>
      <c r="K2022">
        <v>30</v>
      </c>
      <c r="L2022">
        <v>295</v>
      </c>
      <c r="M2022">
        <v>115</v>
      </c>
      <c r="T2022">
        <v>20</v>
      </c>
      <c r="U2022">
        <v>48</v>
      </c>
      <c r="Y2022">
        <v>57</v>
      </c>
      <c r="Z2022">
        <v>24</v>
      </c>
      <c r="AD2022">
        <v>68</v>
      </c>
      <c r="AE2022">
        <v>29</v>
      </c>
      <c r="AX2022">
        <v>68</v>
      </c>
      <c r="AY2022">
        <v>125</v>
      </c>
      <c r="AZ2022">
        <v>193</v>
      </c>
      <c r="BA2022">
        <v>81</v>
      </c>
      <c r="BB2022">
        <v>49</v>
      </c>
      <c r="BC2022">
        <v>130</v>
      </c>
      <c r="BD2022">
        <v>97</v>
      </c>
      <c r="BE2022">
        <v>72</v>
      </c>
      <c r="BF2022">
        <v>169</v>
      </c>
      <c r="BP2022">
        <v>177</v>
      </c>
      <c r="BR2022">
        <v>41</v>
      </c>
      <c r="BS2022">
        <v>7</v>
      </c>
      <c r="BT2022">
        <v>6</v>
      </c>
      <c r="BV2022">
        <v>15</v>
      </c>
      <c r="BW2022">
        <v>246</v>
      </c>
      <c r="BX2022" t="s">
        <v>82</v>
      </c>
      <c r="BY2022" s="5"/>
      <c r="BZ2022" s="6"/>
      <c r="CA2022" s="7">
        <v>43051</v>
      </c>
      <c r="CE2022">
        <v>60</v>
      </c>
      <c r="CF2022">
        <v>68</v>
      </c>
      <c r="CG2022">
        <v>70</v>
      </c>
      <c r="CH2022">
        <v>48</v>
      </c>
      <c r="CI2022">
        <f t="shared" si="214"/>
        <v>2017</v>
      </c>
      <c r="CJ2022" t="str">
        <f t="shared" si="215"/>
        <v>7162_2017</v>
      </c>
    </row>
    <row r="2023" spans="1:88" x14ac:dyDescent="0.25">
      <c r="A2023" t="s">
        <v>111</v>
      </c>
      <c r="B2023" t="s">
        <v>267</v>
      </c>
      <c r="C2023">
        <v>7162</v>
      </c>
      <c r="D2023">
        <v>-37.775109</v>
      </c>
      <c r="E2023">
        <v>145.52721</v>
      </c>
      <c r="F2023">
        <v>3</v>
      </c>
      <c r="G2023" t="s">
        <v>757</v>
      </c>
      <c r="H2023">
        <v>100</v>
      </c>
      <c r="I2023">
        <v>280</v>
      </c>
      <c r="J2023">
        <v>210</v>
      </c>
      <c r="K2023">
        <v>30</v>
      </c>
      <c r="L2023">
        <v>295</v>
      </c>
      <c r="M2023">
        <v>115</v>
      </c>
      <c r="T2023">
        <v>62</v>
      </c>
      <c r="U2023">
        <v>73</v>
      </c>
      <c r="Y2023">
        <v>44</v>
      </c>
      <c r="Z2023">
        <v>73</v>
      </c>
      <c r="AD2023">
        <v>82</v>
      </c>
      <c r="AE2023">
        <v>51</v>
      </c>
      <c r="AX2023">
        <v>135</v>
      </c>
      <c r="AY2023">
        <v>126</v>
      </c>
      <c r="AZ2023">
        <v>261</v>
      </c>
      <c r="BA2023">
        <v>117</v>
      </c>
      <c r="BB2023">
        <v>113</v>
      </c>
      <c r="BC2023">
        <v>230</v>
      </c>
      <c r="BD2023">
        <v>133</v>
      </c>
      <c r="BE2023">
        <v>146</v>
      </c>
      <c r="BF2023">
        <v>279</v>
      </c>
      <c r="BP2023">
        <v>296</v>
      </c>
      <c r="BR2023">
        <v>49</v>
      </c>
      <c r="BS2023">
        <v>22</v>
      </c>
      <c r="BT2023">
        <v>16</v>
      </c>
      <c r="BV2023">
        <v>2</v>
      </c>
      <c r="BW2023">
        <v>385</v>
      </c>
      <c r="BX2023">
        <f>IF(C2023=C2022,IF((CI2023-1)=CI2022,BW2022,"no data"))</f>
        <v>246</v>
      </c>
      <c r="BY2023" s="5">
        <f t="shared" si="217"/>
        <v>0.56504065040650409</v>
      </c>
      <c r="BZ2023" s="6">
        <f t="shared" si="216"/>
        <v>0.56504065040650409</v>
      </c>
      <c r="CA2023" s="7">
        <v>43415</v>
      </c>
      <c r="CE2023">
        <v>71</v>
      </c>
      <c r="CF2023">
        <v>56</v>
      </c>
      <c r="CG2023">
        <v>126</v>
      </c>
      <c r="CH2023">
        <v>132</v>
      </c>
      <c r="CI2023">
        <f t="shared" si="214"/>
        <v>2018</v>
      </c>
      <c r="CJ2023" t="str">
        <f t="shared" si="215"/>
        <v>7162_2018</v>
      </c>
    </row>
    <row r="2024" spans="1:88" x14ac:dyDescent="0.25">
      <c r="A2024" t="s">
        <v>111</v>
      </c>
      <c r="B2024" t="s">
        <v>267</v>
      </c>
      <c r="C2024">
        <v>7162</v>
      </c>
      <c r="D2024">
        <v>-37.775100000000002</v>
      </c>
      <c r="E2024">
        <v>145.52719999999999</v>
      </c>
      <c r="F2024">
        <v>3</v>
      </c>
      <c r="G2024" t="s">
        <v>757</v>
      </c>
      <c r="H2024">
        <v>100</v>
      </c>
      <c r="I2024">
        <v>280</v>
      </c>
      <c r="J2024">
        <v>210</v>
      </c>
      <c r="K2024">
        <v>30</v>
      </c>
      <c r="L2024">
        <v>295</v>
      </c>
      <c r="M2024">
        <v>115</v>
      </c>
      <c r="T2024">
        <v>1</v>
      </c>
      <c r="U2024">
        <v>28</v>
      </c>
      <c r="Y2024">
        <v>0</v>
      </c>
      <c r="Z2024">
        <v>20</v>
      </c>
      <c r="AD2024">
        <v>100</v>
      </c>
      <c r="AE2024">
        <v>16</v>
      </c>
      <c r="AX2024">
        <v>29</v>
      </c>
      <c r="AY2024">
        <v>100</v>
      </c>
      <c r="AZ2024">
        <v>129</v>
      </c>
      <c r="BA2024">
        <v>20</v>
      </c>
      <c r="BB2024">
        <v>17</v>
      </c>
      <c r="BC2024">
        <v>37</v>
      </c>
      <c r="BD2024">
        <v>116</v>
      </c>
      <c r="BE2024">
        <v>48</v>
      </c>
      <c r="BF2024">
        <v>164</v>
      </c>
      <c r="BP2024">
        <v>105</v>
      </c>
      <c r="BR2024">
        <v>43</v>
      </c>
      <c r="BS2024">
        <v>2</v>
      </c>
      <c r="BT2024">
        <v>10</v>
      </c>
      <c r="BV2024">
        <v>5</v>
      </c>
      <c r="BW2024">
        <v>165</v>
      </c>
      <c r="BX2024">
        <f>IF(C2024=C2023,IF((CI2024-1)=CI2023,BW2023,"no data"))</f>
        <v>385</v>
      </c>
      <c r="BY2024" s="5">
        <f t="shared" si="217"/>
        <v>-0.5714285714285714</v>
      </c>
      <c r="BZ2024" s="6">
        <f t="shared" si="216"/>
        <v>-0.5714285714285714</v>
      </c>
      <c r="CA2024" s="7">
        <v>43779</v>
      </c>
      <c r="CE2024">
        <v>14</v>
      </c>
      <c r="CF2024">
        <v>58</v>
      </c>
      <c r="CG2024">
        <v>44</v>
      </c>
      <c r="CH2024">
        <v>49</v>
      </c>
      <c r="CI2024">
        <f t="shared" si="214"/>
        <v>2019</v>
      </c>
      <c r="CJ2024" t="str">
        <f t="shared" si="215"/>
        <v>7162_2019</v>
      </c>
    </row>
    <row r="2025" spans="1:88" x14ac:dyDescent="0.25">
      <c r="A2025" t="s">
        <v>111</v>
      </c>
      <c r="B2025" t="s">
        <v>267</v>
      </c>
      <c r="C2025">
        <v>7163</v>
      </c>
      <c r="D2025">
        <v>-37.808863000000002</v>
      </c>
      <c r="E2025">
        <v>145.40357900000001</v>
      </c>
      <c r="F2025">
        <v>3</v>
      </c>
      <c r="G2025" t="s">
        <v>758</v>
      </c>
      <c r="H2025">
        <v>43</v>
      </c>
      <c r="I2025">
        <v>223</v>
      </c>
      <c r="J2025">
        <v>220</v>
      </c>
      <c r="K2025">
        <v>40</v>
      </c>
      <c r="L2025">
        <v>300</v>
      </c>
      <c r="M2025">
        <v>120</v>
      </c>
      <c r="T2025">
        <v>0</v>
      </c>
      <c r="U2025">
        <v>2</v>
      </c>
      <c r="Y2025">
        <v>5</v>
      </c>
      <c r="Z2025">
        <v>15</v>
      </c>
      <c r="AD2025">
        <v>4</v>
      </c>
      <c r="AE2025">
        <v>18</v>
      </c>
      <c r="AX2025">
        <v>2</v>
      </c>
      <c r="AY2025">
        <v>9</v>
      </c>
      <c r="AZ2025">
        <v>11</v>
      </c>
      <c r="BA2025">
        <v>20</v>
      </c>
      <c r="BB2025">
        <v>18</v>
      </c>
      <c r="BC2025">
        <v>38</v>
      </c>
      <c r="BD2025">
        <v>22</v>
      </c>
      <c r="BE2025">
        <v>17</v>
      </c>
      <c r="BF2025">
        <v>39</v>
      </c>
      <c r="BP2025">
        <v>20</v>
      </c>
      <c r="BR2025">
        <v>7</v>
      </c>
      <c r="BS2025">
        <v>14</v>
      </c>
      <c r="BT2025">
        <v>2</v>
      </c>
      <c r="BV2025">
        <v>1</v>
      </c>
      <c r="BW2025">
        <v>44</v>
      </c>
      <c r="BX2025" t="s">
        <v>82</v>
      </c>
      <c r="BY2025" s="5"/>
      <c r="BZ2025" s="6"/>
      <c r="CA2025" s="7">
        <v>43051</v>
      </c>
      <c r="CE2025">
        <v>23</v>
      </c>
      <c r="CF2025">
        <v>7</v>
      </c>
      <c r="CG2025">
        <v>9</v>
      </c>
      <c r="CH2025">
        <v>5</v>
      </c>
      <c r="CI2025">
        <f t="shared" si="214"/>
        <v>2017</v>
      </c>
      <c r="CJ2025" t="str">
        <f t="shared" si="215"/>
        <v>7163_2017</v>
      </c>
    </row>
    <row r="2026" spans="1:88" x14ac:dyDescent="0.25">
      <c r="A2026" t="s">
        <v>111</v>
      </c>
      <c r="B2026" t="s">
        <v>267</v>
      </c>
      <c r="C2026">
        <v>7163</v>
      </c>
      <c r="D2026">
        <v>-37.808863000000002</v>
      </c>
      <c r="E2026">
        <v>145.40357900000001</v>
      </c>
      <c r="F2026">
        <v>3</v>
      </c>
      <c r="G2026" t="s">
        <v>758</v>
      </c>
      <c r="H2026">
        <v>43</v>
      </c>
      <c r="I2026">
        <v>223</v>
      </c>
      <c r="J2026">
        <v>220</v>
      </c>
      <c r="K2026">
        <v>40</v>
      </c>
      <c r="L2026">
        <v>300</v>
      </c>
      <c r="M2026">
        <v>120</v>
      </c>
      <c r="T2026">
        <v>2</v>
      </c>
      <c r="U2026">
        <v>2</v>
      </c>
      <c r="Y2026">
        <v>4</v>
      </c>
      <c r="Z2026">
        <v>12</v>
      </c>
      <c r="AD2026">
        <v>1</v>
      </c>
      <c r="AE2026">
        <v>2</v>
      </c>
      <c r="AX2026">
        <v>4</v>
      </c>
      <c r="AY2026">
        <v>5</v>
      </c>
      <c r="AZ2026">
        <v>9</v>
      </c>
      <c r="BA2026">
        <v>16</v>
      </c>
      <c r="BB2026">
        <v>4</v>
      </c>
      <c r="BC2026">
        <v>20</v>
      </c>
      <c r="BD2026">
        <v>3</v>
      </c>
      <c r="BE2026">
        <v>14</v>
      </c>
      <c r="BF2026">
        <v>17</v>
      </c>
      <c r="BP2026">
        <v>12</v>
      </c>
      <c r="BR2026">
        <v>5</v>
      </c>
      <c r="BS2026">
        <v>0</v>
      </c>
      <c r="BT2026">
        <v>2</v>
      </c>
      <c r="BV2026">
        <v>4</v>
      </c>
      <c r="BW2026">
        <v>23</v>
      </c>
      <c r="BX2026">
        <f>IF(C2026=C2025,IF((CI2026-1)=CI2025,BW2025,"no data"))</f>
        <v>44</v>
      </c>
      <c r="BY2026" s="5">
        <f t="shared" si="217"/>
        <v>-0.47727272727272729</v>
      </c>
      <c r="BZ2026" s="6">
        <f t="shared" si="216"/>
        <v>-0.47727272727272729</v>
      </c>
      <c r="CA2026" s="7">
        <v>43443</v>
      </c>
      <c r="CE2026">
        <v>10</v>
      </c>
      <c r="CF2026">
        <v>2</v>
      </c>
      <c r="CG2026">
        <v>2</v>
      </c>
      <c r="CH2026">
        <v>9</v>
      </c>
      <c r="CI2026">
        <f t="shared" si="214"/>
        <v>2018</v>
      </c>
      <c r="CJ2026" t="str">
        <f t="shared" si="215"/>
        <v>7163_2018</v>
      </c>
    </row>
    <row r="2027" spans="1:88" x14ac:dyDescent="0.25">
      <c r="A2027" t="s">
        <v>111</v>
      </c>
      <c r="B2027" t="s">
        <v>267</v>
      </c>
      <c r="C2027">
        <v>7163</v>
      </c>
      <c r="D2027">
        <v>-37.808863000000002</v>
      </c>
      <c r="E2027">
        <v>145.40357900000001</v>
      </c>
      <c r="F2027">
        <v>3</v>
      </c>
      <c r="G2027" t="s">
        <v>758</v>
      </c>
      <c r="H2027">
        <v>43</v>
      </c>
      <c r="I2027">
        <v>223</v>
      </c>
      <c r="J2027">
        <v>220</v>
      </c>
      <c r="K2027">
        <v>40</v>
      </c>
      <c r="L2027">
        <v>300</v>
      </c>
      <c r="M2027">
        <v>120</v>
      </c>
      <c r="T2027">
        <v>1</v>
      </c>
      <c r="U2027">
        <v>2</v>
      </c>
      <c r="Y2027">
        <v>0</v>
      </c>
      <c r="Z2027">
        <v>2</v>
      </c>
      <c r="AD2027">
        <v>1</v>
      </c>
      <c r="AE2027">
        <v>6</v>
      </c>
      <c r="AX2027">
        <v>3</v>
      </c>
      <c r="AY2027">
        <v>1</v>
      </c>
      <c r="AZ2027">
        <v>4</v>
      </c>
      <c r="BA2027">
        <v>2</v>
      </c>
      <c r="BB2027">
        <v>7</v>
      </c>
      <c r="BC2027">
        <v>9</v>
      </c>
      <c r="BD2027">
        <v>7</v>
      </c>
      <c r="BE2027">
        <v>4</v>
      </c>
      <c r="BF2027">
        <v>11</v>
      </c>
      <c r="BP2027">
        <v>8</v>
      </c>
      <c r="BR2027">
        <v>0</v>
      </c>
      <c r="BS2027">
        <v>1</v>
      </c>
      <c r="BT2027">
        <v>3</v>
      </c>
      <c r="BU2027">
        <v>0</v>
      </c>
      <c r="BV2027" s="8">
        <v>0</v>
      </c>
      <c r="BW2027" s="8">
        <v>12</v>
      </c>
      <c r="BX2027" t="str">
        <f>IF(C2027=C2026,IF((CI2027-1)=CI2026,BW2026,"no data"))</f>
        <v>no data</v>
      </c>
      <c r="BY2027" s="5"/>
      <c r="BZ2027" s="6"/>
      <c r="CA2027" s="7">
        <v>44892</v>
      </c>
      <c r="CE2027">
        <v>8</v>
      </c>
      <c r="CF2027">
        <v>3</v>
      </c>
      <c r="CI2027">
        <f t="shared" si="214"/>
        <v>2022</v>
      </c>
      <c r="CJ2027" t="str">
        <f t="shared" si="215"/>
        <v>7163_2022</v>
      </c>
    </row>
    <row r="2028" spans="1:88" x14ac:dyDescent="0.25">
      <c r="A2028" t="s">
        <v>111</v>
      </c>
      <c r="B2028" t="s">
        <v>267</v>
      </c>
      <c r="C2028">
        <v>7164</v>
      </c>
      <c r="D2028">
        <v>-37.856020000000001</v>
      </c>
      <c r="E2028">
        <v>145.364159</v>
      </c>
      <c r="F2028">
        <v>4</v>
      </c>
      <c r="G2028" t="s">
        <v>759</v>
      </c>
      <c r="H2028">
        <v>78</v>
      </c>
      <c r="I2028">
        <v>258</v>
      </c>
      <c r="J2028">
        <v>164</v>
      </c>
      <c r="K2028">
        <v>344</v>
      </c>
      <c r="L2028">
        <v>255</v>
      </c>
      <c r="M2028">
        <v>75</v>
      </c>
      <c r="N2028">
        <v>355</v>
      </c>
      <c r="O2028">
        <v>175</v>
      </c>
      <c r="T2028">
        <v>15</v>
      </c>
      <c r="U2028">
        <v>31</v>
      </c>
      <c r="V2028">
        <v>121</v>
      </c>
      <c r="Y2028">
        <v>21</v>
      </c>
      <c r="Z2028">
        <v>0</v>
      </c>
      <c r="AA2028">
        <v>0</v>
      </c>
      <c r="AD2028">
        <v>34</v>
      </c>
      <c r="AE2028">
        <v>0</v>
      </c>
      <c r="AF2028">
        <v>15</v>
      </c>
      <c r="AI2028">
        <v>129</v>
      </c>
      <c r="AJ2028">
        <v>0</v>
      </c>
      <c r="AK2028">
        <v>3</v>
      </c>
      <c r="AX2028">
        <v>167</v>
      </c>
      <c r="AY2028">
        <v>184</v>
      </c>
      <c r="AZ2028">
        <v>351</v>
      </c>
      <c r="BA2028">
        <v>21</v>
      </c>
      <c r="BB2028">
        <v>15</v>
      </c>
      <c r="BC2028">
        <v>36</v>
      </c>
      <c r="BD2028">
        <v>49</v>
      </c>
      <c r="BE2028">
        <v>34</v>
      </c>
      <c r="BF2028">
        <v>83</v>
      </c>
      <c r="BG2028">
        <v>132</v>
      </c>
      <c r="BH2028">
        <v>136</v>
      </c>
      <c r="BI2028">
        <v>268</v>
      </c>
      <c r="BP2028">
        <v>232</v>
      </c>
      <c r="BR2028">
        <v>111</v>
      </c>
      <c r="BS2028">
        <v>6</v>
      </c>
      <c r="BT2028">
        <v>17</v>
      </c>
      <c r="BV2028">
        <v>3</v>
      </c>
      <c r="BW2028">
        <v>369</v>
      </c>
      <c r="BX2028" t="s">
        <v>82</v>
      </c>
      <c r="BY2028" s="5"/>
      <c r="BZ2028" s="6"/>
      <c r="CA2028" s="7">
        <v>43051</v>
      </c>
      <c r="CE2028">
        <v>136</v>
      </c>
      <c r="CF2028">
        <v>111</v>
      </c>
      <c r="CG2028">
        <v>77</v>
      </c>
      <c r="CH2028">
        <v>45</v>
      </c>
      <c r="CI2028">
        <f t="shared" si="214"/>
        <v>2017</v>
      </c>
      <c r="CJ2028" t="str">
        <f t="shared" si="215"/>
        <v>7164_2017</v>
      </c>
    </row>
    <row r="2029" spans="1:88" x14ac:dyDescent="0.25">
      <c r="A2029" t="s">
        <v>111</v>
      </c>
      <c r="B2029" t="s">
        <v>267</v>
      </c>
      <c r="C2029">
        <v>7164</v>
      </c>
      <c r="D2029">
        <v>-37.856020000000001</v>
      </c>
      <c r="E2029">
        <v>145.364159</v>
      </c>
      <c r="F2029">
        <v>4</v>
      </c>
      <c r="G2029" t="s">
        <v>759</v>
      </c>
      <c r="H2029">
        <v>78</v>
      </c>
      <c r="I2029">
        <v>258</v>
      </c>
      <c r="J2029">
        <v>164</v>
      </c>
      <c r="K2029">
        <v>344</v>
      </c>
      <c r="L2029">
        <v>255</v>
      </c>
      <c r="M2029">
        <v>75</v>
      </c>
      <c r="N2029">
        <v>355</v>
      </c>
      <c r="O2029">
        <v>175</v>
      </c>
      <c r="T2029">
        <v>11</v>
      </c>
      <c r="U2029">
        <v>23</v>
      </c>
      <c r="V2029">
        <v>270</v>
      </c>
      <c r="Y2029">
        <v>18</v>
      </c>
      <c r="Z2029">
        <v>0</v>
      </c>
      <c r="AA2029">
        <v>11</v>
      </c>
      <c r="AD2029">
        <v>38</v>
      </c>
      <c r="AE2029">
        <v>0</v>
      </c>
      <c r="AF2029">
        <v>6</v>
      </c>
      <c r="AI2029">
        <v>403</v>
      </c>
      <c r="AJ2029">
        <v>10</v>
      </c>
      <c r="AK2029">
        <v>6</v>
      </c>
      <c r="AX2029">
        <v>304</v>
      </c>
      <c r="AY2029">
        <v>459</v>
      </c>
      <c r="AZ2029">
        <v>763</v>
      </c>
      <c r="BA2029">
        <v>29</v>
      </c>
      <c r="BB2029">
        <v>21</v>
      </c>
      <c r="BC2029">
        <v>50</v>
      </c>
      <c r="BD2029">
        <v>44</v>
      </c>
      <c r="BE2029">
        <v>29</v>
      </c>
      <c r="BF2029">
        <v>73</v>
      </c>
      <c r="BG2029">
        <v>419</v>
      </c>
      <c r="BH2029">
        <v>287</v>
      </c>
      <c r="BI2029">
        <v>706</v>
      </c>
      <c r="BP2029">
        <v>387</v>
      </c>
      <c r="BR2029">
        <v>389</v>
      </c>
      <c r="BS2029">
        <v>10</v>
      </c>
      <c r="BT2029">
        <v>10</v>
      </c>
      <c r="BV2029">
        <v>0</v>
      </c>
      <c r="BW2029">
        <v>796</v>
      </c>
      <c r="BX2029">
        <f>IF(C2029=C2028,IF((CI2029-1)=CI2028,BW2028,"no data"))</f>
        <v>369</v>
      </c>
      <c r="BY2029" s="5">
        <f t="shared" si="217"/>
        <v>1.1571815718157181</v>
      </c>
      <c r="BZ2029" s="6">
        <f t="shared" si="216"/>
        <v>1.1571815718157181</v>
      </c>
      <c r="CA2029" s="7">
        <v>43415</v>
      </c>
      <c r="CE2029">
        <v>169</v>
      </c>
      <c r="CF2029">
        <v>239</v>
      </c>
      <c r="CG2029">
        <v>213</v>
      </c>
      <c r="CH2029">
        <v>175</v>
      </c>
      <c r="CI2029">
        <f t="shared" si="214"/>
        <v>2018</v>
      </c>
      <c r="CJ2029" t="str">
        <f t="shared" si="215"/>
        <v>7164_2018</v>
      </c>
    </row>
    <row r="2030" spans="1:88" x14ac:dyDescent="0.25">
      <c r="A2030" t="s">
        <v>111</v>
      </c>
      <c r="B2030" t="s">
        <v>267</v>
      </c>
      <c r="C2030">
        <v>7164</v>
      </c>
      <c r="D2030">
        <v>-37.856000000000002</v>
      </c>
      <c r="E2030">
        <v>145.36420000000001</v>
      </c>
      <c r="F2030">
        <v>4</v>
      </c>
      <c r="G2030" t="s">
        <v>759</v>
      </c>
      <c r="H2030">
        <v>78</v>
      </c>
      <c r="I2030">
        <v>258</v>
      </c>
      <c r="J2030">
        <v>164</v>
      </c>
      <c r="K2030">
        <v>344</v>
      </c>
      <c r="L2030">
        <v>255</v>
      </c>
      <c r="M2030">
        <v>75</v>
      </c>
      <c r="N2030">
        <v>355</v>
      </c>
      <c r="O2030">
        <v>175</v>
      </c>
      <c r="T2030">
        <v>14</v>
      </c>
      <c r="U2030">
        <v>23</v>
      </c>
      <c r="V2030">
        <v>156</v>
      </c>
      <c r="Y2030">
        <v>40</v>
      </c>
      <c r="Z2030">
        <v>0</v>
      </c>
      <c r="AA2030">
        <v>8</v>
      </c>
      <c r="AD2030">
        <v>58</v>
      </c>
      <c r="AE2030">
        <v>0</v>
      </c>
      <c r="AF2030">
        <v>15</v>
      </c>
      <c r="AI2030">
        <v>231</v>
      </c>
      <c r="AJ2030">
        <v>8</v>
      </c>
      <c r="AK2030">
        <v>11</v>
      </c>
      <c r="AX2030">
        <v>193</v>
      </c>
      <c r="AY2030">
        <v>329</v>
      </c>
      <c r="AZ2030">
        <v>522</v>
      </c>
      <c r="BA2030">
        <v>48</v>
      </c>
      <c r="BB2030">
        <v>22</v>
      </c>
      <c r="BC2030">
        <v>70</v>
      </c>
      <c r="BD2030">
        <v>73</v>
      </c>
      <c r="BE2030">
        <v>34</v>
      </c>
      <c r="BF2030">
        <v>107</v>
      </c>
      <c r="BG2030">
        <v>250</v>
      </c>
      <c r="BH2030">
        <v>179</v>
      </c>
      <c r="BI2030">
        <v>429</v>
      </c>
      <c r="BP2030">
        <v>118</v>
      </c>
      <c r="BR2030">
        <v>406</v>
      </c>
      <c r="BS2030">
        <v>4</v>
      </c>
      <c r="BT2030">
        <v>35</v>
      </c>
      <c r="BV2030">
        <v>1</v>
      </c>
      <c r="BW2030">
        <v>564</v>
      </c>
      <c r="BX2030">
        <f>IF(C2030=C2029,IF((CI2030-1)=CI2029,BW2029,"no data"))</f>
        <v>796</v>
      </c>
      <c r="BY2030" s="5">
        <f t="shared" si="217"/>
        <v>-0.29145728643216079</v>
      </c>
      <c r="BZ2030" s="6">
        <f t="shared" si="216"/>
        <v>-0.29145728643216079</v>
      </c>
      <c r="CA2030" s="7">
        <v>43779</v>
      </c>
      <c r="CE2030">
        <v>99</v>
      </c>
      <c r="CF2030">
        <v>102</v>
      </c>
      <c r="CG2030">
        <v>111</v>
      </c>
      <c r="CH2030">
        <v>252</v>
      </c>
      <c r="CI2030">
        <f t="shared" si="214"/>
        <v>2019</v>
      </c>
      <c r="CJ2030" t="str">
        <f t="shared" si="215"/>
        <v>7164_2019</v>
      </c>
    </row>
    <row r="2031" spans="1:88" x14ac:dyDescent="0.25">
      <c r="A2031" t="s">
        <v>111</v>
      </c>
      <c r="B2031" t="s">
        <v>267</v>
      </c>
      <c r="C2031">
        <v>7164</v>
      </c>
      <c r="D2031">
        <v>-37.856020000000001</v>
      </c>
      <c r="E2031">
        <v>145.364159</v>
      </c>
      <c r="F2031">
        <v>4</v>
      </c>
      <c r="G2031" t="s">
        <v>759</v>
      </c>
      <c r="H2031">
        <v>78</v>
      </c>
      <c r="I2031">
        <v>258</v>
      </c>
      <c r="J2031">
        <v>164</v>
      </c>
      <c r="K2031">
        <v>344</v>
      </c>
      <c r="L2031">
        <v>255</v>
      </c>
      <c r="M2031">
        <v>75</v>
      </c>
      <c r="N2031">
        <v>355</v>
      </c>
      <c r="O2031">
        <v>175</v>
      </c>
      <c r="T2031">
        <v>12</v>
      </c>
      <c r="U2031">
        <v>44</v>
      </c>
      <c r="V2031">
        <v>42</v>
      </c>
      <c r="Y2031">
        <v>3</v>
      </c>
      <c r="Z2031">
        <v>0</v>
      </c>
      <c r="AA2031">
        <v>7</v>
      </c>
      <c r="AD2031">
        <v>32</v>
      </c>
      <c r="AE2031">
        <v>0</v>
      </c>
      <c r="AF2031">
        <v>6</v>
      </c>
      <c r="AI2031">
        <v>52</v>
      </c>
      <c r="AJ2031">
        <v>4</v>
      </c>
      <c r="AK2031">
        <v>4</v>
      </c>
      <c r="AX2031">
        <v>98</v>
      </c>
      <c r="AY2031">
        <v>87</v>
      </c>
      <c r="AZ2031">
        <v>185</v>
      </c>
      <c r="BA2031">
        <v>10</v>
      </c>
      <c r="BB2031">
        <v>16</v>
      </c>
      <c r="BC2031">
        <v>26</v>
      </c>
      <c r="BD2031">
        <v>38</v>
      </c>
      <c r="BE2031">
        <v>48</v>
      </c>
      <c r="BF2031">
        <v>86</v>
      </c>
      <c r="BG2031">
        <v>60</v>
      </c>
      <c r="BH2031">
        <v>55</v>
      </c>
      <c r="BI2031">
        <v>115</v>
      </c>
      <c r="BP2031">
        <v>64</v>
      </c>
      <c r="BR2031">
        <v>84</v>
      </c>
      <c r="BS2031">
        <v>37</v>
      </c>
      <c r="BT2031">
        <v>20</v>
      </c>
      <c r="BU2031">
        <v>0</v>
      </c>
      <c r="BV2031" s="8">
        <v>0</v>
      </c>
      <c r="BW2031" s="8">
        <v>205</v>
      </c>
      <c r="BX2031" t="str">
        <f>IF(C2031=C2030,IF((CI2031-1)=CI2030,BW2030,"no data"))</f>
        <v>no data</v>
      </c>
      <c r="BY2031" s="5"/>
      <c r="BZ2031" s="6"/>
      <c r="CA2031" s="7">
        <v>44878</v>
      </c>
      <c r="CE2031">
        <v>69</v>
      </c>
      <c r="CF2031">
        <v>43</v>
      </c>
      <c r="CI2031">
        <f t="shared" si="214"/>
        <v>2022</v>
      </c>
      <c r="CJ2031" t="str">
        <f t="shared" si="215"/>
        <v>7164_2022</v>
      </c>
    </row>
    <row r="2032" spans="1:88" x14ac:dyDescent="0.25">
      <c r="A2032" t="s">
        <v>111</v>
      </c>
      <c r="B2032" t="s">
        <v>267</v>
      </c>
      <c r="C2032">
        <v>7165</v>
      </c>
      <c r="D2032">
        <v>-37.854533000000004</v>
      </c>
      <c r="E2032">
        <v>145.36918600000001</v>
      </c>
      <c r="F2032">
        <v>3</v>
      </c>
      <c r="G2032" t="s">
        <v>760</v>
      </c>
      <c r="H2032">
        <v>75</v>
      </c>
      <c r="I2032">
        <v>255</v>
      </c>
      <c r="J2032">
        <v>230</v>
      </c>
      <c r="K2032">
        <v>50</v>
      </c>
      <c r="L2032">
        <v>340</v>
      </c>
      <c r="M2032">
        <v>160</v>
      </c>
      <c r="T2032">
        <v>16</v>
      </c>
      <c r="U2032">
        <v>2</v>
      </c>
      <c r="Y2032">
        <v>18</v>
      </c>
      <c r="Z2032">
        <v>25</v>
      </c>
      <c r="AD2032">
        <v>27</v>
      </c>
      <c r="AE2032">
        <v>13</v>
      </c>
      <c r="AX2032">
        <v>18</v>
      </c>
      <c r="AY2032">
        <v>45</v>
      </c>
      <c r="AZ2032">
        <v>63</v>
      </c>
      <c r="BA2032">
        <v>43</v>
      </c>
      <c r="BB2032">
        <v>29</v>
      </c>
      <c r="BC2032">
        <v>72</v>
      </c>
      <c r="BD2032">
        <v>40</v>
      </c>
      <c r="BE2032">
        <v>27</v>
      </c>
      <c r="BF2032">
        <v>67</v>
      </c>
      <c r="BP2032">
        <v>12</v>
      </c>
      <c r="BR2032">
        <v>80</v>
      </c>
      <c r="BS2032">
        <v>0</v>
      </c>
      <c r="BT2032">
        <v>9</v>
      </c>
      <c r="BV2032">
        <v>0</v>
      </c>
      <c r="BW2032">
        <v>101</v>
      </c>
      <c r="BX2032" t="s">
        <v>82</v>
      </c>
      <c r="BY2032" s="5"/>
      <c r="BZ2032" s="6"/>
      <c r="CA2032" s="7">
        <v>43051</v>
      </c>
      <c r="CE2032">
        <v>0</v>
      </c>
      <c r="CF2032">
        <v>0</v>
      </c>
      <c r="CG2032">
        <v>19</v>
      </c>
      <c r="CH2032">
        <v>82</v>
      </c>
      <c r="CI2032">
        <f t="shared" si="214"/>
        <v>2017</v>
      </c>
      <c r="CJ2032" t="str">
        <f t="shared" si="215"/>
        <v>7165_2017</v>
      </c>
    </row>
    <row r="2033" spans="1:88" x14ac:dyDescent="0.25">
      <c r="A2033" t="s">
        <v>111</v>
      </c>
      <c r="B2033" t="s">
        <v>267</v>
      </c>
      <c r="C2033">
        <v>7165</v>
      </c>
      <c r="D2033">
        <v>-37.854533000000004</v>
      </c>
      <c r="E2033">
        <v>145.36918600000001</v>
      </c>
      <c r="F2033">
        <v>3</v>
      </c>
      <c r="G2033" t="s">
        <v>760</v>
      </c>
      <c r="H2033">
        <v>75</v>
      </c>
      <c r="I2033">
        <v>255</v>
      </c>
      <c r="J2033">
        <v>230</v>
      </c>
      <c r="K2033">
        <v>50</v>
      </c>
      <c r="L2033">
        <v>340</v>
      </c>
      <c r="M2033">
        <v>160</v>
      </c>
      <c r="T2033">
        <v>197</v>
      </c>
      <c r="U2033">
        <v>17</v>
      </c>
      <c r="Y2033">
        <v>81</v>
      </c>
      <c r="Z2033">
        <v>26</v>
      </c>
      <c r="AD2033">
        <v>16</v>
      </c>
      <c r="AE2033">
        <v>29</v>
      </c>
      <c r="AX2033">
        <v>214</v>
      </c>
      <c r="AY2033">
        <v>97</v>
      </c>
      <c r="AZ2033">
        <v>311</v>
      </c>
      <c r="BA2033">
        <v>107</v>
      </c>
      <c r="BB2033">
        <v>226</v>
      </c>
      <c r="BC2033">
        <v>333</v>
      </c>
      <c r="BD2033">
        <v>45</v>
      </c>
      <c r="BE2033">
        <v>43</v>
      </c>
      <c r="BF2033">
        <v>88</v>
      </c>
      <c r="BP2033">
        <v>228</v>
      </c>
      <c r="BR2033">
        <v>112</v>
      </c>
      <c r="BS2033">
        <v>13</v>
      </c>
      <c r="BT2033">
        <v>13</v>
      </c>
      <c r="BV2033">
        <v>0</v>
      </c>
      <c r="BW2033">
        <v>366</v>
      </c>
      <c r="BX2033">
        <f>IF(C2033=C2032,IF((CI2033-1)=CI2032,BW2032,"no data"))</f>
        <v>101</v>
      </c>
      <c r="BY2033" s="5">
        <f t="shared" si="217"/>
        <v>2.6237623762376239</v>
      </c>
      <c r="BZ2033" s="6">
        <f t="shared" si="216"/>
        <v>2.6237623762376239</v>
      </c>
      <c r="CA2033" s="7">
        <v>43415</v>
      </c>
      <c r="CE2033">
        <v>123</v>
      </c>
      <c r="CF2033">
        <v>135</v>
      </c>
      <c r="CG2033">
        <v>57</v>
      </c>
      <c r="CH2033">
        <v>51</v>
      </c>
      <c r="CI2033">
        <f t="shared" si="214"/>
        <v>2018</v>
      </c>
      <c r="CJ2033" t="str">
        <f t="shared" si="215"/>
        <v>7165_2018</v>
      </c>
    </row>
    <row r="2034" spans="1:88" x14ac:dyDescent="0.25">
      <c r="A2034" t="s">
        <v>111</v>
      </c>
      <c r="B2034" t="s">
        <v>267</v>
      </c>
      <c r="C2034">
        <v>7165</v>
      </c>
      <c r="D2034">
        <v>-37.854533000000004</v>
      </c>
      <c r="E2034">
        <v>145.36918600000001</v>
      </c>
      <c r="F2034">
        <v>3</v>
      </c>
      <c r="G2034" t="s">
        <v>760</v>
      </c>
      <c r="H2034">
        <v>75</v>
      </c>
      <c r="I2034">
        <v>255</v>
      </c>
      <c r="J2034">
        <v>230</v>
      </c>
      <c r="K2034">
        <v>50</v>
      </c>
      <c r="L2034">
        <v>340</v>
      </c>
      <c r="M2034">
        <v>160</v>
      </c>
      <c r="T2034">
        <v>38</v>
      </c>
      <c r="U2034">
        <v>3</v>
      </c>
      <c r="Y2034">
        <v>44</v>
      </c>
      <c r="Z2034">
        <v>13</v>
      </c>
      <c r="AD2034">
        <v>6</v>
      </c>
      <c r="AE2034">
        <v>4</v>
      </c>
      <c r="AX2034">
        <v>41</v>
      </c>
      <c r="AY2034">
        <v>50</v>
      </c>
      <c r="AZ2034">
        <v>91</v>
      </c>
      <c r="BA2034">
        <v>57</v>
      </c>
      <c r="BB2034">
        <v>42</v>
      </c>
      <c r="BC2034">
        <v>99</v>
      </c>
      <c r="BD2034">
        <v>10</v>
      </c>
      <c r="BE2034">
        <v>16</v>
      </c>
      <c r="BF2034">
        <v>26</v>
      </c>
      <c r="BP2034">
        <v>33</v>
      </c>
      <c r="BR2034">
        <v>61</v>
      </c>
      <c r="BS2034">
        <v>0</v>
      </c>
      <c r="BT2034">
        <v>14</v>
      </c>
      <c r="BU2034">
        <v>0</v>
      </c>
      <c r="BV2034" s="8">
        <v>0</v>
      </c>
      <c r="BW2034" s="8">
        <v>108</v>
      </c>
      <c r="BX2034" t="str">
        <f>IF(C2034=C2033,IF((CI2034-1)=CI2033,BW2033,"no data"))</f>
        <v>no data</v>
      </c>
      <c r="BY2034" s="5"/>
      <c r="BZ2034" s="6"/>
      <c r="CA2034" s="7">
        <v>44885</v>
      </c>
      <c r="CE2034">
        <v>28</v>
      </c>
      <c r="CF2034">
        <v>51</v>
      </c>
      <c r="CI2034">
        <f t="shared" si="214"/>
        <v>2022</v>
      </c>
      <c r="CJ2034" t="str">
        <f t="shared" si="215"/>
        <v>7165_2022</v>
      </c>
    </row>
    <row r="2035" spans="1:88" x14ac:dyDescent="0.25">
      <c r="A2035" t="s">
        <v>111</v>
      </c>
      <c r="B2035" t="s">
        <v>129</v>
      </c>
      <c r="C2035">
        <v>7166</v>
      </c>
      <c r="D2035">
        <v>-37.870685000000002</v>
      </c>
      <c r="E2035">
        <v>144.83008699999999</v>
      </c>
      <c r="F2035">
        <v>4</v>
      </c>
      <c r="G2035" t="s">
        <v>761</v>
      </c>
      <c r="H2035">
        <v>6</v>
      </c>
      <c r="I2035">
        <v>186</v>
      </c>
      <c r="J2035">
        <v>91</v>
      </c>
      <c r="K2035">
        <v>271</v>
      </c>
      <c r="L2035">
        <v>177</v>
      </c>
      <c r="M2035">
        <v>357</v>
      </c>
      <c r="N2035">
        <v>273</v>
      </c>
      <c r="O2035">
        <v>93</v>
      </c>
      <c r="T2035">
        <v>232</v>
      </c>
      <c r="U2035">
        <v>194</v>
      </c>
      <c r="V2035">
        <v>107</v>
      </c>
      <c r="Y2035">
        <v>212</v>
      </c>
      <c r="Z2035">
        <v>45</v>
      </c>
      <c r="AA2035">
        <v>369</v>
      </c>
      <c r="AD2035">
        <v>197</v>
      </c>
      <c r="AE2035">
        <v>38</v>
      </c>
      <c r="AF2035">
        <v>32</v>
      </c>
      <c r="AI2035">
        <v>102</v>
      </c>
      <c r="AJ2035">
        <v>355</v>
      </c>
      <c r="AK2035">
        <v>59</v>
      </c>
      <c r="AX2035">
        <v>533</v>
      </c>
      <c r="AY2035">
        <v>511</v>
      </c>
      <c r="AZ2035">
        <v>1044</v>
      </c>
      <c r="BA2035">
        <v>626</v>
      </c>
      <c r="BB2035">
        <v>625</v>
      </c>
      <c r="BC2035">
        <v>1251</v>
      </c>
      <c r="BD2035">
        <v>267</v>
      </c>
      <c r="BE2035">
        <v>298</v>
      </c>
      <c r="BF2035">
        <v>565</v>
      </c>
      <c r="BG2035">
        <v>516</v>
      </c>
      <c r="BH2035">
        <v>508</v>
      </c>
      <c r="BI2035">
        <v>1024</v>
      </c>
      <c r="BP2035">
        <v>474</v>
      </c>
      <c r="BR2035">
        <v>1314</v>
      </c>
      <c r="BS2035">
        <v>45</v>
      </c>
      <c r="BT2035">
        <v>100</v>
      </c>
      <c r="BV2035">
        <v>9</v>
      </c>
      <c r="BW2035">
        <v>1942</v>
      </c>
      <c r="BX2035" t="s">
        <v>82</v>
      </c>
      <c r="BY2035" s="5"/>
      <c r="BZ2035" s="6"/>
      <c r="CA2035" s="7">
        <v>43051</v>
      </c>
      <c r="CE2035">
        <v>403</v>
      </c>
      <c r="CF2035">
        <v>484</v>
      </c>
      <c r="CG2035">
        <v>369</v>
      </c>
      <c r="CH2035">
        <v>686</v>
      </c>
      <c r="CI2035">
        <f t="shared" si="214"/>
        <v>2017</v>
      </c>
      <c r="CJ2035" t="str">
        <f t="shared" si="215"/>
        <v>7166_2017</v>
      </c>
    </row>
    <row r="2036" spans="1:88" x14ac:dyDescent="0.25">
      <c r="A2036" t="s">
        <v>111</v>
      </c>
      <c r="B2036" t="s">
        <v>129</v>
      </c>
      <c r="C2036">
        <v>7166</v>
      </c>
      <c r="D2036">
        <v>-37.870685000000002</v>
      </c>
      <c r="E2036">
        <v>144.83008699999999</v>
      </c>
      <c r="F2036">
        <v>4</v>
      </c>
      <c r="G2036" t="s">
        <v>761</v>
      </c>
      <c r="H2036">
        <v>6</v>
      </c>
      <c r="I2036">
        <v>186</v>
      </c>
      <c r="J2036">
        <v>91</v>
      </c>
      <c r="K2036">
        <v>271</v>
      </c>
      <c r="L2036">
        <v>177</v>
      </c>
      <c r="M2036">
        <v>357</v>
      </c>
      <c r="N2036">
        <v>273</v>
      </c>
      <c r="O2036">
        <v>93</v>
      </c>
      <c r="T2036">
        <v>275</v>
      </c>
      <c r="U2036">
        <v>129</v>
      </c>
      <c r="V2036">
        <v>90</v>
      </c>
      <c r="Y2036">
        <v>268</v>
      </c>
      <c r="Z2036">
        <v>78</v>
      </c>
      <c r="AA2036">
        <v>461</v>
      </c>
      <c r="AD2036">
        <v>168</v>
      </c>
      <c r="AE2036">
        <v>80</v>
      </c>
      <c r="AF2036">
        <v>73</v>
      </c>
      <c r="AI2036">
        <v>173</v>
      </c>
      <c r="AJ2036">
        <v>620</v>
      </c>
      <c r="AK2036">
        <v>118</v>
      </c>
      <c r="AX2036">
        <v>494</v>
      </c>
      <c r="AY2036">
        <v>609</v>
      </c>
      <c r="AZ2036">
        <v>1103</v>
      </c>
      <c r="BA2036">
        <v>807</v>
      </c>
      <c r="BB2036">
        <v>975</v>
      </c>
      <c r="BC2036">
        <v>1782</v>
      </c>
      <c r="BD2036">
        <v>321</v>
      </c>
      <c r="BE2036">
        <v>325</v>
      </c>
      <c r="BF2036">
        <v>646</v>
      </c>
      <c r="BG2036">
        <v>911</v>
      </c>
      <c r="BH2036">
        <v>624</v>
      </c>
      <c r="BI2036">
        <v>1535</v>
      </c>
      <c r="BP2036">
        <v>488</v>
      </c>
      <c r="BR2036">
        <v>1744</v>
      </c>
      <c r="BS2036">
        <v>47</v>
      </c>
      <c r="BT2036">
        <v>138</v>
      </c>
      <c r="BV2036">
        <v>116</v>
      </c>
      <c r="BW2036">
        <v>2533</v>
      </c>
      <c r="BX2036">
        <f>IF(C2036=C2035,IF((CI2036-1)=CI2035,BW2035,"no data"))</f>
        <v>1942</v>
      </c>
      <c r="BY2036" s="5">
        <f t="shared" si="217"/>
        <v>0.30432543769309989</v>
      </c>
      <c r="BZ2036" s="6">
        <f t="shared" si="216"/>
        <v>0.30432543769309989</v>
      </c>
      <c r="CA2036" s="7">
        <v>43415</v>
      </c>
      <c r="CE2036">
        <v>565</v>
      </c>
      <c r="CF2036">
        <v>677</v>
      </c>
      <c r="CG2036">
        <v>626</v>
      </c>
      <c r="CH2036">
        <v>665</v>
      </c>
      <c r="CI2036">
        <f t="shared" si="214"/>
        <v>2018</v>
      </c>
      <c r="CJ2036" t="str">
        <f t="shared" si="215"/>
        <v>7166_2018</v>
      </c>
    </row>
    <row r="2037" spans="1:88" x14ac:dyDescent="0.25">
      <c r="A2037" t="s">
        <v>111</v>
      </c>
      <c r="B2037" t="s">
        <v>129</v>
      </c>
      <c r="C2037">
        <v>7166</v>
      </c>
      <c r="D2037">
        <v>-37.870699999999999</v>
      </c>
      <c r="E2037">
        <v>144.83009999999999</v>
      </c>
      <c r="F2037">
        <v>4</v>
      </c>
      <c r="G2037" t="s">
        <v>761</v>
      </c>
      <c r="H2037">
        <v>6</v>
      </c>
      <c r="I2037">
        <v>186</v>
      </c>
      <c r="J2037">
        <v>91</v>
      </c>
      <c r="K2037">
        <v>271</v>
      </c>
      <c r="L2037">
        <v>177</v>
      </c>
      <c r="M2037">
        <v>357</v>
      </c>
      <c r="N2037">
        <v>273</v>
      </c>
      <c r="O2037">
        <v>93</v>
      </c>
      <c r="BP2037">
        <v>0</v>
      </c>
      <c r="BR2037">
        <v>0</v>
      </c>
      <c r="BS2037">
        <v>0</v>
      </c>
      <c r="BT2037">
        <v>0</v>
      </c>
      <c r="BV2037">
        <v>0</v>
      </c>
      <c r="BW2037">
        <v>0</v>
      </c>
      <c r="BX2037">
        <f>IF(C2037=C2036,IF((CI2037-1)=CI2036,BW2036,"no data"))</f>
        <v>2533</v>
      </c>
      <c r="BY2037" s="5">
        <f t="shared" si="217"/>
        <v>-1</v>
      </c>
      <c r="BZ2037" s="6">
        <f t="shared" si="216"/>
        <v>-1</v>
      </c>
      <c r="CA2037" s="7">
        <v>43779</v>
      </c>
      <c r="CI2037">
        <f t="shared" si="214"/>
        <v>2019</v>
      </c>
      <c r="CJ2037" t="str">
        <f t="shared" si="215"/>
        <v>7166_2019</v>
      </c>
    </row>
    <row r="2038" spans="1:88" x14ac:dyDescent="0.25">
      <c r="A2038" t="s">
        <v>111</v>
      </c>
      <c r="B2038" t="s">
        <v>129</v>
      </c>
      <c r="C2038">
        <v>7166</v>
      </c>
      <c r="D2038">
        <v>-37.870699999999999</v>
      </c>
      <c r="E2038">
        <v>144.83009999999999</v>
      </c>
      <c r="F2038">
        <v>4</v>
      </c>
      <c r="G2038" t="s">
        <v>761</v>
      </c>
      <c r="H2038">
        <v>6</v>
      </c>
      <c r="I2038">
        <v>186</v>
      </c>
      <c r="J2038">
        <v>91</v>
      </c>
      <c r="K2038">
        <v>271</v>
      </c>
      <c r="L2038">
        <v>177</v>
      </c>
      <c r="M2038">
        <v>357</v>
      </c>
      <c r="N2038">
        <v>273</v>
      </c>
      <c r="O2038">
        <v>93</v>
      </c>
      <c r="T2038">
        <v>190</v>
      </c>
      <c r="U2038">
        <v>332</v>
      </c>
      <c r="V2038">
        <v>53</v>
      </c>
      <c r="Y2038">
        <v>237</v>
      </c>
      <c r="Z2038">
        <v>123</v>
      </c>
      <c r="AA2038">
        <v>769</v>
      </c>
      <c r="AD2038">
        <v>183</v>
      </c>
      <c r="AE2038">
        <v>121</v>
      </c>
      <c r="AF2038">
        <v>70</v>
      </c>
      <c r="AI2038">
        <v>65</v>
      </c>
      <c r="AJ2038">
        <v>707</v>
      </c>
      <c r="AK2038">
        <v>106</v>
      </c>
      <c r="AX2038">
        <v>575</v>
      </c>
      <c r="AY2038">
        <v>485</v>
      </c>
      <c r="AZ2038">
        <v>1060</v>
      </c>
      <c r="BA2038">
        <v>1129</v>
      </c>
      <c r="BB2038">
        <v>1018</v>
      </c>
      <c r="BC2038">
        <v>2147</v>
      </c>
      <c r="BD2038">
        <v>374</v>
      </c>
      <c r="BE2038">
        <v>561</v>
      </c>
      <c r="BF2038">
        <v>935</v>
      </c>
      <c r="BG2038">
        <v>878</v>
      </c>
      <c r="BH2038">
        <v>892</v>
      </c>
      <c r="BI2038">
        <v>1770</v>
      </c>
      <c r="BP2038">
        <v>911</v>
      </c>
      <c r="BR2038">
        <v>1708</v>
      </c>
      <c r="BS2038">
        <v>89</v>
      </c>
      <c r="BT2038">
        <v>161</v>
      </c>
      <c r="BV2038">
        <v>87</v>
      </c>
      <c r="BW2038">
        <v>2956</v>
      </c>
      <c r="BX2038">
        <f>IF(C2038=C2037,IF((CI2038-1)=CI2037,BW2037,"no data"))</f>
        <v>0</v>
      </c>
      <c r="BY2038" s="5"/>
      <c r="BZ2038" s="6"/>
      <c r="CA2038" s="7">
        <v>44143</v>
      </c>
      <c r="CE2038">
        <v>578</v>
      </c>
      <c r="CF2038">
        <v>666</v>
      </c>
      <c r="CG2038">
        <v>847</v>
      </c>
      <c r="CH2038">
        <v>865</v>
      </c>
      <c r="CI2038">
        <f t="shared" si="214"/>
        <v>2020</v>
      </c>
      <c r="CJ2038" t="str">
        <f t="shared" si="215"/>
        <v>7166_2020</v>
      </c>
    </row>
    <row r="2039" spans="1:88" x14ac:dyDescent="0.25">
      <c r="A2039" t="s">
        <v>111</v>
      </c>
      <c r="B2039" t="s">
        <v>129</v>
      </c>
      <c r="C2039">
        <v>7166</v>
      </c>
      <c r="D2039">
        <v>-37.870685000000002</v>
      </c>
      <c r="E2039">
        <v>144.83008699999999</v>
      </c>
      <c r="F2039">
        <v>4</v>
      </c>
      <c r="G2039" t="s">
        <v>761</v>
      </c>
      <c r="H2039">
        <v>6</v>
      </c>
      <c r="I2039">
        <v>186</v>
      </c>
      <c r="J2039">
        <v>91</v>
      </c>
      <c r="K2039">
        <v>271</v>
      </c>
      <c r="L2039">
        <v>177</v>
      </c>
      <c r="M2039">
        <v>357</v>
      </c>
      <c r="N2039">
        <v>273</v>
      </c>
      <c r="O2039">
        <v>93</v>
      </c>
      <c r="T2039">
        <v>88</v>
      </c>
      <c r="U2039">
        <v>123</v>
      </c>
      <c r="V2039">
        <v>52</v>
      </c>
      <c r="Y2039">
        <v>95</v>
      </c>
      <c r="Z2039">
        <v>40</v>
      </c>
      <c r="AA2039">
        <v>233</v>
      </c>
      <c r="AD2039">
        <v>91</v>
      </c>
      <c r="AE2039">
        <v>59</v>
      </c>
      <c r="AF2039">
        <v>17</v>
      </c>
      <c r="AI2039">
        <v>69</v>
      </c>
      <c r="AJ2039">
        <v>245</v>
      </c>
      <c r="AK2039">
        <v>68</v>
      </c>
      <c r="AX2039">
        <v>263</v>
      </c>
      <c r="AY2039">
        <v>255</v>
      </c>
      <c r="AZ2039">
        <v>518</v>
      </c>
      <c r="BA2039">
        <v>368</v>
      </c>
      <c r="BB2039">
        <v>392</v>
      </c>
      <c r="BC2039">
        <v>760</v>
      </c>
      <c r="BD2039">
        <v>167</v>
      </c>
      <c r="BE2039">
        <v>231</v>
      </c>
      <c r="BF2039">
        <v>398</v>
      </c>
      <c r="BG2039">
        <v>382</v>
      </c>
      <c r="BH2039">
        <v>302</v>
      </c>
      <c r="BI2039">
        <v>684</v>
      </c>
      <c r="BP2039">
        <v>70</v>
      </c>
      <c r="BR2039">
        <v>965</v>
      </c>
      <c r="BS2039">
        <v>36</v>
      </c>
      <c r="BT2039">
        <v>98</v>
      </c>
      <c r="BV2039">
        <v>11</v>
      </c>
      <c r="BW2039">
        <v>1180</v>
      </c>
      <c r="BX2039">
        <f>IF(C2039=C2038,IF((CI2039-1)=CI2038,BW2038,"no data"))</f>
        <v>2956</v>
      </c>
      <c r="BY2039" s="5">
        <f t="shared" si="217"/>
        <v>-0.60081190798376183</v>
      </c>
      <c r="BZ2039" s="6">
        <f t="shared" si="216"/>
        <v>-0.60081190798376183</v>
      </c>
      <c r="CA2039" s="7">
        <v>44542</v>
      </c>
      <c r="CE2039">
        <v>368</v>
      </c>
      <c r="CF2039">
        <v>339</v>
      </c>
      <c r="CG2039">
        <v>473</v>
      </c>
      <c r="CI2039">
        <f t="shared" si="214"/>
        <v>2021</v>
      </c>
      <c r="CJ2039" t="str">
        <f t="shared" si="215"/>
        <v>7166_2021</v>
      </c>
    </row>
    <row r="2040" spans="1:88" x14ac:dyDescent="0.25">
      <c r="A2040" t="s">
        <v>111</v>
      </c>
      <c r="B2040" t="s">
        <v>129</v>
      </c>
      <c r="C2040">
        <v>7167</v>
      </c>
      <c r="D2040">
        <v>-37.856071999999998</v>
      </c>
      <c r="E2040">
        <v>144.86716999999999</v>
      </c>
      <c r="F2040">
        <v>3</v>
      </c>
      <c r="G2040" t="s">
        <v>762</v>
      </c>
      <c r="H2040">
        <v>7</v>
      </c>
      <c r="I2040">
        <v>187</v>
      </c>
      <c r="J2040">
        <v>86</v>
      </c>
      <c r="K2040">
        <v>266</v>
      </c>
      <c r="L2040">
        <v>190</v>
      </c>
      <c r="M2040">
        <v>10</v>
      </c>
      <c r="T2040">
        <v>35</v>
      </c>
      <c r="U2040">
        <v>34</v>
      </c>
      <c r="Y2040">
        <v>29</v>
      </c>
      <c r="Z2040">
        <v>170</v>
      </c>
      <c r="AD2040">
        <v>48</v>
      </c>
      <c r="AE2040">
        <v>159</v>
      </c>
      <c r="AX2040">
        <v>69</v>
      </c>
      <c r="AY2040">
        <v>77</v>
      </c>
      <c r="AZ2040">
        <v>146</v>
      </c>
      <c r="BA2040">
        <v>199</v>
      </c>
      <c r="BB2040">
        <v>194</v>
      </c>
      <c r="BC2040">
        <v>393</v>
      </c>
      <c r="BD2040">
        <v>207</v>
      </c>
      <c r="BE2040">
        <v>204</v>
      </c>
      <c r="BF2040">
        <v>411</v>
      </c>
      <c r="BP2040">
        <v>361</v>
      </c>
      <c r="BR2040">
        <v>72</v>
      </c>
      <c r="BS2040">
        <v>29</v>
      </c>
      <c r="BT2040">
        <v>13</v>
      </c>
      <c r="BV2040">
        <v>0</v>
      </c>
      <c r="BW2040">
        <v>475</v>
      </c>
      <c r="BX2040" t="s">
        <v>82</v>
      </c>
      <c r="BY2040" s="5"/>
      <c r="BZ2040" s="6"/>
      <c r="CA2040" s="7">
        <v>43051</v>
      </c>
      <c r="CE2040">
        <v>131</v>
      </c>
      <c r="CF2040">
        <v>114</v>
      </c>
      <c r="CG2040">
        <v>108</v>
      </c>
      <c r="CH2040">
        <v>122</v>
      </c>
      <c r="CI2040">
        <f t="shared" si="214"/>
        <v>2017</v>
      </c>
      <c r="CJ2040" t="str">
        <f t="shared" si="215"/>
        <v>7167_2017</v>
      </c>
    </row>
    <row r="2041" spans="1:88" x14ac:dyDescent="0.25">
      <c r="A2041" t="s">
        <v>111</v>
      </c>
      <c r="B2041" t="s">
        <v>129</v>
      </c>
      <c r="C2041">
        <v>7167</v>
      </c>
      <c r="D2041">
        <v>-37.856099999999998</v>
      </c>
      <c r="E2041">
        <v>144.8672</v>
      </c>
      <c r="F2041">
        <v>3</v>
      </c>
      <c r="G2041" t="s">
        <v>762</v>
      </c>
      <c r="H2041">
        <v>7</v>
      </c>
      <c r="I2041">
        <v>187</v>
      </c>
      <c r="J2041">
        <v>86</v>
      </c>
      <c r="K2041">
        <v>266</v>
      </c>
      <c r="L2041">
        <v>190</v>
      </c>
      <c r="M2041">
        <v>10</v>
      </c>
      <c r="BP2041">
        <v>0</v>
      </c>
      <c r="BR2041">
        <v>0</v>
      </c>
      <c r="BS2041">
        <v>0</v>
      </c>
      <c r="BT2041">
        <v>0</v>
      </c>
      <c r="BV2041">
        <v>0</v>
      </c>
      <c r="BW2041">
        <v>0</v>
      </c>
      <c r="BX2041" t="str">
        <f>IF(C2041=C2040,IF((CI2041-1)=CI2040,BW2040,"no data"))</f>
        <v>no data</v>
      </c>
      <c r="BY2041" s="5"/>
      <c r="BZ2041" s="6"/>
      <c r="CA2041" s="7">
        <v>43779</v>
      </c>
      <c r="CI2041">
        <f t="shared" si="214"/>
        <v>2019</v>
      </c>
      <c r="CJ2041" t="str">
        <f t="shared" si="215"/>
        <v>7167_2019</v>
      </c>
    </row>
    <row r="2042" spans="1:88" x14ac:dyDescent="0.25">
      <c r="A2042" t="s">
        <v>111</v>
      </c>
      <c r="B2042" t="s">
        <v>129</v>
      </c>
      <c r="C2042">
        <v>7167</v>
      </c>
      <c r="D2042">
        <v>-37.856099999999998</v>
      </c>
      <c r="E2042">
        <v>144.8672</v>
      </c>
      <c r="F2042">
        <v>3</v>
      </c>
      <c r="G2042" t="s">
        <v>762</v>
      </c>
      <c r="H2042">
        <v>7</v>
      </c>
      <c r="I2042">
        <v>187</v>
      </c>
      <c r="J2042">
        <v>86</v>
      </c>
      <c r="K2042">
        <v>266</v>
      </c>
      <c r="L2042">
        <v>190</v>
      </c>
      <c r="M2042">
        <v>10</v>
      </c>
      <c r="T2042">
        <v>114</v>
      </c>
      <c r="U2042">
        <v>77</v>
      </c>
      <c r="Y2042">
        <v>73</v>
      </c>
      <c r="Z2042">
        <v>388</v>
      </c>
      <c r="AD2042">
        <v>77</v>
      </c>
      <c r="AE2042">
        <v>425</v>
      </c>
      <c r="AX2042">
        <v>191</v>
      </c>
      <c r="AY2042">
        <v>150</v>
      </c>
      <c r="AZ2042">
        <v>341</v>
      </c>
      <c r="BA2042">
        <v>461</v>
      </c>
      <c r="BB2042">
        <v>539</v>
      </c>
      <c r="BC2042">
        <v>1000</v>
      </c>
      <c r="BD2042">
        <v>502</v>
      </c>
      <c r="BE2042">
        <v>465</v>
      </c>
      <c r="BF2042">
        <v>967</v>
      </c>
      <c r="BP2042">
        <v>875</v>
      </c>
      <c r="BR2042">
        <v>164</v>
      </c>
      <c r="BS2042">
        <v>91</v>
      </c>
      <c r="BT2042">
        <v>13</v>
      </c>
      <c r="BV2042">
        <v>11</v>
      </c>
      <c r="BW2042">
        <v>1154</v>
      </c>
      <c r="BX2042">
        <f>IF(C2042=C2041,IF((CI2042-1)=CI2041,BW2041,"no data"))</f>
        <v>0</v>
      </c>
      <c r="BY2042" s="5"/>
      <c r="BZ2042" s="6"/>
      <c r="CA2042" s="7">
        <v>44143</v>
      </c>
      <c r="CE2042">
        <v>278</v>
      </c>
      <c r="CF2042">
        <v>258</v>
      </c>
      <c r="CG2042">
        <v>332</v>
      </c>
      <c r="CH2042">
        <v>286</v>
      </c>
      <c r="CI2042">
        <f t="shared" si="214"/>
        <v>2020</v>
      </c>
      <c r="CJ2042" t="str">
        <f t="shared" si="215"/>
        <v>7167_2020</v>
      </c>
    </row>
    <row r="2043" spans="1:88" x14ac:dyDescent="0.25">
      <c r="A2043" t="s">
        <v>111</v>
      </c>
      <c r="B2043" t="s">
        <v>129</v>
      </c>
      <c r="C2043">
        <v>7167</v>
      </c>
      <c r="D2043">
        <v>-37.856071999999998</v>
      </c>
      <c r="E2043">
        <v>144.86716999999999</v>
      </c>
      <c r="F2043">
        <v>3</v>
      </c>
      <c r="G2043" t="s">
        <v>762</v>
      </c>
      <c r="H2043">
        <v>7</v>
      </c>
      <c r="I2043">
        <v>187</v>
      </c>
      <c r="J2043">
        <v>86</v>
      </c>
      <c r="K2043">
        <v>266</v>
      </c>
      <c r="L2043">
        <v>190</v>
      </c>
      <c r="M2043">
        <v>10</v>
      </c>
      <c r="T2043">
        <v>39</v>
      </c>
      <c r="U2043">
        <v>75</v>
      </c>
      <c r="Y2043">
        <v>39</v>
      </c>
      <c r="Z2043">
        <v>129</v>
      </c>
      <c r="AD2043">
        <v>38</v>
      </c>
      <c r="AE2043">
        <v>125</v>
      </c>
      <c r="AX2043">
        <v>114</v>
      </c>
      <c r="AY2043">
        <v>77</v>
      </c>
      <c r="AZ2043">
        <v>191</v>
      </c>
      <c r="BA2043">
        <v>168</v>
      </c>
      <c r="BB2043">
        <v>164</v>
      </c>
      <c r="BC2043">
        <v>332</v>
      </c>
      <c r="BD2043">
        <v>163</v>
      </c>
      <c r="BE2043">
        <v>204</v>
      </c>
      <c r="BF2043">
        <v>367</v>
      </c>
      <c r="BP2043">
        <v>321</v>
      </c>
      <c r="BR2043">
        <v>66</v>
      </c>
      <c r="BS2043">
        <v>22</v>
      </c>
      <c r="BT2043">
        <v>29</v>
      </c>
      <c r="BV2043">
        <v>7</v>
      </c>
      <c r="BW2043">
        <v>445</v>
      </c>
      <c r="BX2043">
        <f>IF(C2043=C2042,IF((CI2043-1)=CI2042,BW2042,"no data"))</f>
        <v>1154</v>
      </c>
      <c r="BY2043" s="5">
        <f t="shared" si="217"/>
        <v>-0.61438474870017334</v>
      </c>
      <c r="BZ2043" s="6">
        <f t="shared" si="216"/>
        <v>-0.61438474870017334</v>
      </c>
      <c r="CA2043" s="7">
        <v>44542</v>
      </c>
      <c r="CE2043">
        <v>163</v>
      </c>
      <c r="CF2043">
        <v>160</v>
      </c>
      <c r="CG2043">
        <v>122</v>
      </c>
      <c r="CI2043">
        <f t="shared" si="214"/>
        <v>2021</v>
      </c>
      <c r="CJ2043" t="str">
        <f t="shared" si="215"/>
        <v>7167_2021</v>
      </c>
    </row>
    <row r="2044" spans="1:88" x14ac:dyDescent="0.25">
      <c r="A2044" t="s">
        <v>111</v>
      </c>
      <c r="B2044" t="s">
        <v>129</v>
      </c>
      <c r="C2044">
        <v>7168</v>
      </c>
      <c r="D2044">
        <v>-37.829622999999998</v>
      </c>
      <c r="E2044">
        <v>144.832505</v>
      </c>
      <c r="F2044">
        <v>3</v>
      </c>
      <c r="G2044" t="s">
        <v>763</v>
      </c>
      <c r="H2044">
        <v>30</v>
      </c>
      <c r="I2044">
        <v>210</v>
      </c>
      <c r="J2044">
        <v>110</v>
      </c>
      <c r="K2044">
        <v>290</v>
      </c>
      <c r="L2044">
        <v>305</v>
      </c>
      <c r="M2044">
        <v>125</v>
      </c>
      <c r="T2044">
        <v>4</v>
      </c>
      <c r="U2044">
        <v>10</v>
      </c>
      <c r="Y2044">
        <v>7</v>
      </c>
      <c r="Z2044">
        <v>1</v>
      </c>
      <c r="AD2044">
        <v>5</v>
      </c>
      <c r="AE2044">
        <v>7</v>
      </c>
      <c r="AX2044">
        <v>14</v>
      </c>
      <c r="AY2044">
        <v>12</v>
      </c>
      <c r="AZ2044">
        <v>26</v>
      </c>
      <c r="BA2044">
        <v>8</v>
      </c>
      <c r="BB2044">
        <v>11</v>
      </c>
      <c r="BC2044">
        <v>19</v>
      </c>
      <c r="BD2044">
        <v>12</v>
      </c>
      <c r="BE2044">
        <v>11</v>
      </c>
      <c r="BF2044">
        <v>23</v>
      </c>
      <c r="BP2044">
        <v>2</v>
      </c>
      <c r="BR2044">
        <v>22</v>
      </c>
      <c r="BS2044">
        <v>0</v>
      </c>
      <c r="BT2044">
        <v>7</v>
      </c>
      <c r="BV2044">
        <v>3</v>
      </c>
      <c r="BW2044">
        <v>34</v>
      </c>
      <c r="BX2044" t="s">
        <v>82</v>
      </c>
      <c r="BY2044" s="5"/>
      <c r="BZ2044" s="6"/>
      <c r="CA2044" s="7">
        <v>43051</v>
      </c>
      <c r="CE2044">
        <v>6</v>
      </c>
      <c r="CF2044">
        <v>5</v>
      </c>
      <c r="CG2044">
        <v>6</v>
      </c>
      <c r="CH2044">
        <v>17</v>
      </c>
      <c r="CI2044">
        <f t="shared" si="214"/>
        <v>2017</v>
      </c>
      <c r="CJ2044" t="str">
        <f t="shared" si="215"/>
        <v>7168_2017</v>
      </c>
    </row>
    <row r="2045" spans="1:88" x14ac:dyDescent="0.25">
      <c r="A2045" t="s">
        <v>111</v>
      </c>
      <c r="B2045" t="s">
        <v>129</v>
      </c>
      <c r="C2045">
        <v>7168</v>
      </c>
      <c r="D2045">
        <v>-37.829622999999998</v>
      </c>
      <c r="E2045">
        <v>144.832505</v>
      </c>
      <c r="F2045">
        <v>3</v>
      </c>
      <c r="G2045" t="s">
        <v>763</v>
      </c>
      <c r="H2045">
        <v>30</v>
      </c>
      <c r="I2045">
        <v>210</v>
      </c>
      <c r="J2045">
        <v>110</v>
      </c>
      <c r="K2045">
        <v>290</v>
      </c>
      <c r="L2045">
        <v>305</v>
      </c>
      <c r="M2045">
        <v>125</v>
      </c>
      <c r="T2045">
        <v>32</v>
      </c>
      <c r="U2045">
        <v>2</v>
      </c>
      <c r="Y2045">
        <v>43</v>
      </c>
      <c r="Z2045">
        <v>23</v>
      </c>
      <c r="AD2045">
        <v>1</v>
      </c>
      <c r="AE2045">
        <v>26</v>
      </c>
      <c r="AX2045">
        <v>34</v>
      </c>
      <c r="AY2045">
        <v>44</v>
      </c>
      <c r="AZ2045">
        <v>78</v>
      </c>
      <c r="BA2045">
        <v>66</v>
      </c>
      <c r="BB2045">
        <v>58</v>
      </c>
      <c r="BC2045">
        <v>124</v>
      </c>
      <c r="BD2045">
        <v>27</v>
      </c>
      <c r="BE2045">
        <v>25</v>
      </c>
      <c r="BF2045">
        <v>52</v>
      </c>
      <c r="BP2045">
        <v>23</v>
      </c>
      <c r="BR2045">
        <v>56</v>
      </c>
      <c r="BS2045">
        <v>12</v>
      </c>
      <c r="BT2045">
        <v>30</v>
      </c>
      <c r="BV2045">
        <v>6</v>
      </c>
      <c r="BW2045">
        <v>127</v>
      </c>
      <c r="BX2045">
        <f>IF(C2045=C2044,IF((CI2045-1)=CI2044,BW2044,"no data"))</f>
        <v>34</v>
      </c>
      <c r="BY2045" s="5">
        <f t="shared" si="217"/>
        <v>2.7352941176470589</v>
      </c>
      <c r="BZ2045" s="6">
        <f t="shared" si="216"/>
        <v>2.7352941176470589</v>
      </c>
      <c r="CA2045" s="7">
        <v>43415</v>
      </c>
      <c r="CE2045">
        <v>30</v>
      </c>
      <c r="CF2045">
        <v>18</v>
      </c>
      <c r="CG2045">
        <v>42</v>
      </c>
      <c r="CH2045">
        <v>37</v>
      </c>
      <c r="CI2045">
        <f t="shared" si="214"/>
        <v>2018</v>
      </c>
      <c r="CJ2045" t="str">
        <f t="shared" si="215"/>
        <v>7168_2018</v>
      </c>
    </row>
    <row r="2046" spans="1:88" x14ac:dyDescent="0.25">
      <c r="A2046" t="s">
        <v>111</v>
      </c>
      <c r="B2046" t="s">
        <v>129</v>
      </c>
      <c r="C2046">
        <v>7168</v>
      </c>
      <c r="D2046">
        <v>-37.829599999999999</v>
      </c>
      <c r="E2046">
        <v>144.83250000000001</v>
      </c>
      <c r="F2046">
        <v>3</v>
      </c>
      <c r="G2046" t="s">
        <v>763</v>
      </c>
      <c r="H2046">
        <v>30</v>
      </c>
      <c r="I2046">
        <v>210</v>
      </c>
      <c r="J2046">
        <v>110</v>
      </c>
      <c r="K2046">
        <v>290</v>
      </c>
      <c r="L2046">
        <v>305</v>
      </c>
      <c r="M2046">
        <v>125</v>
      </c>
      <c r="U2046">
        <v>2</v>
      </c>
      <c r="Z2046">
        <v>16</v>
      </c>
      <c r="AE2046">
        <v>16</v>
      </c>
      <c r="AX2046">
        <v>2</v>
      </c>
      <c r="AY2046">
        <v>0</v>
      </c>
      <c r="AZ2046">
        <v>2</v>
      </c>
      <c r="BA2046">
        <v>16</v>
      </c>
      <c r="BB2046">
        <v>16</v>
      </c>
      <c r="BC2046">
        <v>32</v>
      </c>
      <c r="BD2046">
        <v>16</v>
      </c>
      <c r="BE2046">
        <v>18</v>
      </c>
      <c r="BF2046">
        <v>34</v>
      </c>
      <c r="BP2046">
        <v>10</v>
      </c>
      <c r="BR2046">
        <v>4</v>
      </c>
      <c r="BS2046">
        <v>11</v>
      </c>
      <c r="BT2046">
        <v>9</v>
      </c>
      <c r="BV2046">
        <v>0</v>
      </c>
      <c r="BW2046">
        <v>34</v>
      </c>
      <c r="BX2046">
        <f>IF(C2046=C2045,IF((CI2046-1)=CI2045,BW2045,"no data"))</f>
        <v>127</v>
      </c>
      <c r="BY2046" s="5">
        <f t="shared" si="217"/>
        <v>-0.73228346456692917</v>
      </c>
      <c r="BZ2046" s="6">
        <f t="shared" si="216"/>
        <v>-0.73228346456692917</v>
      </c>
      <c r="CA2046" s="7">
        <v>43779</v>
      </c>
      <c r="CE2046">
        <v>6</v>
      </c>
      <c r="CF2046">
        <v>4</v>
      </c>
      <c r="CG2046">
        <v>12</v>
      </c>
      <c r="CH2046">
        <v>12</v>
      </c>
      <c r="CI2046">
        <f t="shared" si="214"/>
        <v>2019</v>
      </c>
      <c r="CJ2046" t="str">
        <f t="shared" si="215"/>
        <v>7168_2019</v>
      </c>
    </row>
    <row r="2047" spans="1:88" x14ac:dyDescent="0.25">
      <c r="A2047" t="s">
        <v>111</v>
      </c>
      <c r="B2047" t="s">
        <v>129</v>
      </c>
      <c r="C2047">
        <v>7168</v>
      </c>
      <c r="D2047">
        <v>-37.829599999999999</v>
      </c>
      <c r="E2047">
        <v>144.83250000000001</v>
      </c>
      <c r="F2047">
        <v>3</v>
      </c>
      <c r="G2047" t="s">
        <v>763</v>
      </c>
      <c r="H2047">
        <v>30</v>
      </c>
      <c r="I2047">
        <v>210</v>
      </c>
      <c r="J2047">
        <v>110</v>
      </c>
      <c r="K2047">
        <v>290</v>
      </c>
      <c r="L2047">
        <v>305</v>
      </c>
      <c r="M2047">
        <v>125</v>
      </c>
      <c r="T2047">
        <v>21</v>
      </c>
      <c r="U2047">
        <v>4</v>
      </c>
      <c r="Y2047">
        <v>12</v>
      </c>
      <c r="Z2047">
        <v>13</v>
      </c>
      <c r="AD2047">
        <v>6</v>
      </c>
      <c r="AE2047">
        <v>23</v>
      </c>
      <c r="AX2047">
        <v>25</v>
      </c>
      <c r="AY2047">
        <v>18</v>
      </c>
      <c r="AZ2047">
        <v>43</v>
      </c>
      <c r="BA2047">
        <v>25</v>
      </c>
      <c r="BB2047">
        <v>44</v>
      </c>
      <c r="BC2047">
        <v>69</v>
      </c>
      <c r="BD2047">
        <v>29</v>
      </c>
      <c r="BE2047">
        <v>17</v>
      </c>
      <c r="BF2047">
        <v>46</v>
      </c>
      <c r="BP2047">
        <v>6</v>
      </c>
      <c r="BR2047">
        <v>46</v>
      </c>
      <c r="BS2047">
        <v>8</v>
      </c>
      <c r="BT2047">
        <v>10</v>
      </c>
      <c r="BV2047">
        <v>9</v>
      </c>
      <c r="BW2047">
        <v>79</v>
      </c>
      <c r="BX2047">
        <f>IF(C2047=C2046,IF((CI2047-1)=CI2046,BW2046,"no data"))</f>
        <v>34</v>
      </c>
      <c r="BY2047" s="5">
        <f t="shared" si="217"/>
        <v>1.3235294117647058</v>
      </c>
      <c r="BZ2047" s="6">
        <f t="shared" si="216"/>
        <v>1.3235294117647058</v>
      </c>
      <c r="CA2047" s="7">
        <v>44143</v>
      </c>
      <c r="CE2047">
        <v>9</v>
      </c>
      <c r="CF2047">
        <v>16</v>
      </c>
      <c r="CG2047">
        <v>25</v>
      </c>
      <c r="CH2047">
        <v>29</v>
      </c>
      <c r="CI2047">
        <f t="shared" si="214"/>
        <v>2020</v>
      </c>
      <c r="CJ2047" t="str">
        <f t="shared" si="215"/>
        <v>7168_2020</v>
      </c>
    </row>
    <row r="2048" spans="1:88" x14ac:dyDescent="0.25">
      <c r="A2048" t="s">
        <v>111</v>
      </c>
      <c r="B2048" t="s">
        <v>129</v>
      </c>
      <c r="C2048">
        <v>7168</v>
      </c>
      <c r="D2048">
        <v>-37.829622999999998</v>
      </c>
      <c r="E2048">
        <v>144.832505</v>
      </c>
      <c r="F2048">
        <v>3</v>
      </c>
      <c r="G2048" t="s">
        <v>763</v>
      </c>
      <c r="H2048">
        <v>30</v>
      </c>
      <c r="I2048">
        <v>210</v>
      </c>
      <c r="J2048">
        <v>110</v>
      </c>
      <c r="K2048">
        <v>290</v>
      </c>
      <c r="L2048">
        <v>305</v>
      </c>
      <c r="M2048">
        <v>125</v>
      </c>
      <c r="T2048">
        <v>4</v>
      </c>
      <c r="U2048">
        <v>2</v>
      </c>
      <c r="Y2048">
        <v>1</v>
      </c>
      <c r="Z2048">
        <v>12</v>
      </c>
      <c r="AD2048">
        <v>5</v>
      </c>
      <c r="AE2048">
        <v>6</v>
      </c>
      <c r="AX2048">
        <v>6</v>
      </c>
      <c r="AY2048">
        <v>6</v>
      </c>
      <c r="AZ2048">
        <v>12</v>
      </c>
      <c r="BA2048">
        <v>13</v>
      </c>
      <c r="BB2048">
        <v>10</v>
      </c>
      <c r="BC2048">
        <v>23</v>
      </c>
      <c r="BD2048">
        <v>11</v>
      </c>
      <c r="BE2048">
        <v>14</v>
      </c>
      <c r="BF2048">
        <v>25</v>
      </c>
      <c r="BP2048">
        <v>1</v>
      </c>
      <c r="BR2048">
        <v>14</v>
      </c>
      <c r="BS2048">
        <v>5</v>
      </c>
      <c r="BT2048">
        <v>10</v>
      </c>
      <c r="BV2048">
        <v>0</v>
      </c>
      <c r="BW2048">
        <v>30</v>
      </c>
      <c r="BX2048">
        <f>IF(C2048=C2047,IF((CI2048-1)=CI2047,BW2047,"no data"))</f>
        <v>79</v>
      </c>
      <c r="BY2048" s="5">
        <f t="shared" si="217"/>
        <v>-0.620253164556962</v>
      </c>
      <c r="BZ2048" s="6">
        <f t="shared" si="216"/>
        <v>-0.620253164556962</v>
      </c>
      <c r="CA2048" s="7">
        <v>44528</v>
      </c>
      <c r="CE2048">
        <v>10</v>
      </c>
      <c r="CF2048">
        <v>7</v>
      </c>
      <c r="CG2048">
        <v>13</v>
      </c>
      <c r="CI2048">
        <f t="shared" si="214"/>
        <v>2021</v>
      </c>
      <c r="CJ2048" t="str">
        <f t="shared" si="215"/>
        <v>7168_2021</v>
      </c>
    </row>
    <row r="2049" spans="1:88" x14ac:dyDescent="0.25">
      <c r="A2049" t="s">
        <v>111</v>
      </c>
      <c r="B2049" t="s">
        <v>244</v>
      </c>
      <c r="C2049">
        <v>7169</v>
      </c>
      <c r="D2049">
        <v>-37.844450000000002</v>
      </c>
      <c r="E2049">
        <v>145.16640000000001</v>
      </c>
      <c r="F2049">
        <v>4</v>
      </c>
      <c r="G2049" t="s">
        <v>764</v>
      </c>
      <c r="H2049">
        <v>32</v>
      </c>
      <c r="I2049">
        <v>212</v>
      </c>
      <c r="J2049">
        <v>104</v>
      </c>
      <c r="K2049">
        <v>284</v>
      </c>
      <c r="L2049">
        <v>215</v>
      </c>
      <c r="M2049">
        <v>35</v>
      </c>
      <c r="N2049">
        <v>315</v>
      </c>
      <c r="O2049">
        <v>135</v>
      </c>
      <c r="T2049">
        <v>0</v>
      </c>
      <c r="U2049">
        <v>8</v>
      </c>
      <c r="V2049">
        <v>2</v>
      </c>
      <c r="Y2049">
        <v>2</v>
      </c>
      <c r="Z2049">
        <v>1</v>
      </c>
      <c r="AA2049">
        <v>16</v>
      </c>
      <c r="AD2049">
        <v>4</v>
      </c>
      <c r="AE2049">
        <v>2</v>
      </c>
      <c r="AF2049">
        <v>3</v>
      </c>
      <c r="AI2049">
        <v>2</v>
      </c>
      <c r="AJ2049">
        <v>16</v>
      </c>
      <c r="AK2049">
        <v>1</v>
      </c>
      <c r="AX2049">
        <v>10</v>
      </c>
      <c r="AY2049">
        <v>8</v>
      </c>
      <c r="AZ2049">
        <v>18</v>
      </c>
      <c r="BA2049">
        <v>19</v>
      </c>
      <c r="BB2049">
        <v>18</v>
      </c>
      <c r="BC2049">
        <v>37</v>
      </c>
      <c r="BD2049">
        <v>9</v>
      </c>
      <c r="BE2049">
        <v>10</v>
      </c>
      <c r="BF2049">
        <v>19</v>
      </c>
      <c r="BG2049">
        <v>19</v>
      </c>
      <c r="BH2049">
        <v>21</v>
      </c>
      <c r="BI2049">
        <v>40</v>
      </c>
      <c r="BP2049">
        <v>9</v>
      </c>
      <c r="BR2049">
        <v>35</v>
      </c>
      <c r="BS2049">
        <v>0</v>
      </c>
      <c r="BT2049">
        <v>10</v>
      </c>
      <c r="BV2049">
        <v>3</v>
      </c>
      <c r="BW2049">
        <v>57</v>
      </c>
      <c r="BX2049" t="s">
        <v>82</v>
      </c>
      <c r="BY2049" s="5"/>
      <c r="BZ2049" s="6"/>
      <c r="CA2049" s="7">
        <v>43051</v>
      </c>
      <c r="CE2049">
        <v>11</v>
      </c>
      <c r="CF2049">
        <v>16</v>
      </c>
      <c r="CG2049">
        <v>7</v>
      </c>
      <c r="CH2049">
        <v>23</v>
      </c>
      <c r="CI2049">
        <f t="shared" si="214"/>
        <v>2017</v>
      </c>
      <c r="CJ2049" t="str">
        <f t="shared" si="215"/>
        <v>7169_2017</v>
      </c>
    </row>
    <row r="2050" spans="1:88" x14ac:dyDescent="0.25">
      <c r="A2050" t="s">
        <v>111</v>
      </c>
      <c r="B2050" t="s">
        <v>244</v>
      </c>
      <c r="C2050">
        <v>7169</v>
      </c>
      <c r="D2050">
        <v>-37.844450000000002</v>
      </c>
      <c r="E2050">
        <v>145.16640000000001</v>
      </c>
      <c r="F2050">
        <v>4</v>
      </c>
      <c r="G2050" t="s">
        <v>764</v>
      </c>
      <c r="H2050">
        <v>32</v>
      </c>
      <c r="I2050">
        <v>212</v>
      </c>
      <c r="J2050">
        <v>104</v>
      </c>
      <c r="K2050">
        <v>284</v>
      </c>
      <c r="L2050">
        <v>215</v>
      </c>
      <c r="M2050">
        <v>35</v>
      </c>
      <c r="N2050">
        <v>315</v>
      </c>
      <c r="O2050">
        <v>135</v>
      </c>
      <c r="T2050">
        <v>0</v>
      </c>
      <c r="U2050">
        <v>6</v>
      </c>
      <c r="V2050">
        <v>0</v>
      </c>
      <c r="Y2050">
        <v>7</v>
      </c>
      <c r="Z2050">
        <v>3</v>
      </c>
      <c r="AA2050">
        <v>22</v>
      </c>
      <c r="AD2050">
        <v>8</v>
      </c>
      <c r="AE2050">
        <v>3</v>
      </c>
      <c r="AF2050">
        <v>5</v>
      </c>
      <c r="AI2050">
        <v>6</v>
      </c>
      <c r="AJ2050">
        <v>17</v>
      </c>
      <c r="AK2050">
        <v>4</v>
      </c>
      <c r="AX2050">
        <v>6</v>
      </c>
      <c r="AY2050">
        <v>21</v>
      </c>
      <c r="AZ2050">
        <v>27</v>
      </c>
      <c r="BA2050">
        <v>32</v>
      </c>
      <c r="BB2050">
        <v>20</v>
      </c>
      <c r="BC2050">
        <v>52</v>
      </c>
      <c r="BD2050">
        <v>16</v>
      </c>
      <c r="BE2050">
        <v>13</v>
      </c>
      <c r="BF2050">
        <v>29</v>
      </c>
      <c r="BG2050">
        <v>27</v>
      </c>
      <c r="BH2050">
        <v>27</v>
      </c>
      <c r="BI2050">
        <v>54</v>
      </c>
      <c r="BP2050">
        <v>2</v>
      </c>
      <c r="BR2050">
        <v>59</v>
      </c>
      <c r="BS2050">
        <v>1</v>
      </c>
      <c r="BT2050">
        <v>16</v>
      </c>
      <c r="BV2050">
        <v>3</v>
      </c>
      <c r="BW2050">
        <v>81</v>
      </c>
      <c r="BX2050">
        <f>IF(C2050=C2049,IF((CI2050-1)=CI2049,BW2049,"no data"))</f>
        <v>57</v>
      </c>
      <c r="BY2050" s="5">
        <f t="shared" si="217"/>
        <v>0.42105263157894735</v>
      </c>
      <c r="BZ2050" s="6">
        <f t="shared" si="216"/>
        <v>0.42105263157894735</v>
      </c>
      <c r="CA2050" s="7">
        <v>43415</v>
      </c>
      <c r="CE2050">
        <v>19</v>
      </c>
      <c r="CF2050">
        <v>17</v>
      </c>
      <c r="CG2050">
        <v>27</v>
      </c>
      <c r="CH2050">
        <v>18</v>
      </c>
      <c r="CI2050">
        <f t="shared" si="214"/>
        <v>2018</v>
      </c>
      <c r="CJ2050" t="str">
        <f t="shared" si="215"/>
        <v>7169_2018</v>
      </c>
    </row>
    <row r="2051" spans="1:88" x14ac:dyDescent="0.25">
      <c r="A2051" t="s">
        <v>111</v>
      </c>
      <c r="B2051" t="s">
        <v>244</v>
      </c>
      <c r="C2051">
        <v>7170</v>
      </c>
      <c r="D2051">
        <v>-37.820945000000002</v>
      </c>
      <c r="E2051">
        <v>145.15729999999999</v>
      </c>
      <c r="F2051">
        <v>5</v>
      </c>
      <c r="G2051" t="s">
        <v>765</v>
      </c>
      <c r="H2051">
        <v>11</v>
      </c>
      <c r="I2051">
        <v>191</v>
      </c>
      <c r="J2051">
        <v>97</v>
      </c>
      <c r="K2051">
        <v>277</v>
      </c>
      <c r="L2051">
        <v>185</v>
      </c>
      <c r="M2051">
        <v>5</v>
      </c>
      <c r="N2051">
        <v>240</v>
      </c>
      <c r="O2051">
        <v>60</v>
      </c>
      <c r="P2051">
        <v>275</v>
      </c>
      <c r="Q2051">
        <v>95</v>
      </c>
      <c r="T2051">
        <v>9</v>
      </c>
      <c r="U2051">
        <v>22</v>
      </c>
      <c r="V2051">
        <v>5</v>
      </c>
      <c r="W2051">
        <v>11</v>
      </c>
      <c r="Y2051">
        <v>11</v>
      </c>
      <c r="Z2051">
        <v>11</v>
      </c>
      <c r="AA2051">
        <v>1</v>
      </c>
      <c r="AB2051">
        <v>57</v>
      </c>
      <c r="AD2051">
        <v>30</v>
      </c>
      <c r="AE2051">
        <v>16</v>
      </c>
      <c r="AF2051">
        <v>3</v>
      </c>
      <c r="AG2051">
        <v>28</v>
      </c>
      <c r="AI2051">
        <v>2</v>
      </c>
      <c r="AJ2051">
        <v>2</v>
      </c>
      <c r="AK2051">
        <v>3</v>
      </c>
      <c r="AL2051">
        <v>0</v>
      </c>
      <c r="AN2051">
        <v>2</v>
      </c>
      <c r="AO2051">
        <v>36</v>
      </c>
      <c r="AP2051">
        <v>7</v>
      </c>
      <c r="AQ2051">
        <v>0</v>
      </c>
      <c r="AX2051">
        <v>47</v>
      </c>
      <c r="AY2051">
        <v>45</v>
      </c>
      <c r="AZ2051">
        <v>92</v>
      </c>
      <c r="BA2051">
        <v>80</v>
      </c>
      <c r="BB2051">
        <v>63</v>
      </c>
      <c r="BC2051">
        <v>143</v>
      </c>
      <c r="BD2051">
        <v>77</v>
      </c>
      <c r="BE2051">
        <v>43</v>
      </c>
      <c r="BF2051">
        <v>120</v>
      </c>
      <c r="BG2051">
        <v>7</v>
      </c>
      <c r="BH2051">
        <v>9</v>
      </c>
      <c r="BI2051">
        <v>16</v>
      </c>
      <c r="BJ2051">
        <v>45</v>
      </c>
      <c r="BK2051">
        <v>96</v>
      </c>
      <c r="BL2051">
        <v>141</v>
      </c>
      <c r="BP2051">
        <v>116</v>
      </c>
      <c r="BR2051">
        <v>100</v>
      </c>
      <c r="BS2051">
        <v>11</v>
      </c>
      <c r="BT2051">
        <v>24</v>
      </c>
      <c r="BV2051">
        <v>5</v>
      </c>
      <c r="BW2051">
        <v>256</v>
      </c>
      <c r="BX2051" t="s">
        <v>82</v>
      </c>
      <c r="BY2051" s="5"/>
      <c r="BZ2051" s="6"/>
      <c r="CA2051" s="7">
        <v>43051</v>
      </c>
      <c r="CE2051">
        <v>111</v>
      </c>
      <c r="CF2051">
        <v>44</v>
      </c>
      <c r="CG2051">
        <v>75</v>
      </c>
      <c r="CH2051">
        <v>26</v>
      </c>
      <c r="CI2051">
        <f t="shared" ref="CI2051:CI2114" si="218">YEAR(CA2051)</f>
        <v>2017</v>
      </c>
      <c r="CJ2051" t="str">
        <f t="shared" ref="CJ2051:CJ2114" si="219">_xlfn.CONCAT(C2051,"_",CI2051)</f>
        <v>7170_2017</v>
      </c>
    </row>
    <row r="2052" spans="1:88" x14ac:dyDescent="0.25">
      <c r="A2052" t="s">
        <v>111</v>
      </c>
      <c r="B2052" t="s">
        <v>244</v>
      </c>
      <c r="C2052">
        <v>7170</v>
      </c>
      <c r="D2052">
        <v>-37.820945000000002</v>
      </c>
      <c r="E2052">
        <v>145.15729999999999</v>
      </c>
      <c r="F2052">
        <v>5</v>
      </c>
      <c r="G2052" t="s">
        <v>765</v>
      </c>
      <c r="H2052">
        <v>11</v>
      </c>
      <c r="I2052">
        <v>191</v>
      </c>
      <c r="J2052">
        <v>97</v>
      </c>
      <c r="K2052">
        <v>277</v>
      </c>
      <c r="L2052">
        <v>185</v>
      </c>
      <c r="M2052">
        <v>5</v>
      </c>
      <c r="N2052">
        <v>240</v>
      </c>
      <c r="O2052">
        <v>60</v>
      </c>
      <c r="P2052">
        <v>275</v>
      </c>
      <c r="Q2052">
        <v>95</v>
      </c>
      <c r="T2052">
        <v>3</v>
      </c>
      <c r="U2052">
        <v>21</v>
      </c>
      <c r="V2052">
        <v>5</v>
      </c>
      <c r="W2052">
        <v>0</v>
      </c>
      <c r="Y2052">
        <v>0</v>
      </c>
      <c r="Z2052">
        <v>0</v>
      </c>
      <c r="AA2052">
        <v>0</v>
      </c>
      <c r="AB2052">
        <v>83</v>
      </c>
      <c r="AD2052">
        <v>10</v>
      </c>
      <c r="AE2052">
        <v>2</v>
      </c>
      <c r="AF2052">
        <v>0</v>
      </c>
      <c r="AG2052">
        <v>2</v>
      </c>
      <c r="AI2052">
        <v>11</v>
      </c>
      <c r="AJ2052">
        <v>1</v>
      </c>
      <c r="AK2052">
        <v>0</v>
      </c>
      <c r="AL2052">
        <v>0</v>
      </c>
      <c r="AN2052">
        <v>0</v>
      </c>
      <c r="AO2052">
        <v>90</v>
      </c>
      <c r="AP2052">
        <v>0</v>
      </c>
      <c r="AQ2052">
        <v>1</v>
      </c>
      <c r="AX2052">
        <v>29</v>
      </c>
      <c r="AY2052">
        <v>21</v>
      </c>
      <c r="AZ2052">
        <v>50</v>
      </c>
      <c r="BA2052">
        <v>83</v>
      </c>
      <c r="BB2052">
        <v>96</v>
      </c>
      <c r="BC2052">
        <v>179</v>
      </c>
      <c r="BD2052">
        <v>14</v>
      </c>
      <c r="BE2052">
        <v>21</v>
      </c>
      <c r="BF2052">
        <v>35</v>
      </c>
      <c r="BG2052">
        <v>12</v>
      </c>
      <c r="BH2052">
        <v>6</v>
      </c>
      <c r="BI2052">
        <v>18</v>
      </c>
      <c r="BJ2052">
        <v>91</v>
      </c>
      <c r="BK2052">
        <v>85</v>
      </c>
      <c r="BL2052">
        <v>176</v>
      </c>
      <c r="BP2052">
        <v>83</v>
      </c>
      <c r="BR2052">
        <v>89</v>
      </c>
      <c r="BS2052">
        <v>20</v>
      </c>
      <c r="BT2052">
        <v>34</v>
      </c>
      <c r="BV2052">
        <v>3</v>
      </c>
      <c r="BW2052">
        <v>229</v>
      </c>
      <c r="BX2052">
        <f>IF(C2052=C2051,IF((CI2052-1)=CI2051,BW2051,"no data"))</f>
        <v>256</v>
      </c>
      <c r="BY2052" s="5">
        <f t="shared" si="217"/>
        <v>-0.10546875</v>
      </c>
      <c r="BZ2052" s="6">
        <f t="shared" si="216"/>
        <v>-0.10546875</v>
      </c>
      <c r="CA2052" s="7">
        <v>43415</v>
      </c>
      <c r="CE2052">
        <v>44</v>
      </c>
      <c r="CF2052">
        <v>76</v>
      </c>
      <c r="CG2052">
        <v>63</v>
      </c>
      <c r="CH2052">
        <v>46</v>
      </c>
      <c r="CI2052">
        <f t="shared" si="218"/>
        <v>2018</v>
      </c>
      <c r="CJ2052" t="str">
        <f t="shared" si="219"/>
        <v>7170_2018</v>
      </c>
    </row>
    <row r="2053" spans="1:88" x14ac:dyDescent="0.25">
      <c r="A2053" t="s">
        <v>79</v>
      </c>
      <c r="B2053" t="s">
        <v>80</v>
      </c>
      <c r="C2053">
        <v>7171</v>
      </c>
      <c r="D2053">
        <v>-33.873693000000003</v>
      </c>
      <c r="E2053">
        <v>151.16285500000001</v>
      </c>
      <c r="F2053">
        <v>3</v>
      </c>
      <c r="G2053" t="s">
        <v>766</v>
      </c>
      <c r="H2053">
        <v>71</v>
      </c>
      <c r="I2053">
        <v>251</v>
      </c>
      <c r="J2053">
        <v>255</v>
      </c>
      <c r="K2053">
        <v>75</v>
      </c>
      <c r="L2053">
        <v>342</v>
      </c>
      <c r="M2053">
        <v>162</v>
      </c>
      <c r="T2053">
        <v>162</v>
      </c>
      <c r="U2053">
        <v>10</v>
      </c>
      <c r="Y2053">
        <v>138</v>
      </c>
      <c r="Z2053">
        <v>8</v>
      </c>
      <c r="AD2053">
        <v>13</v>
      </c>
      <c r="AE2053">
        <v>7</v>
      </c>
      <c r="AX2053">
        <v>172</v>
      </c>
      <c r="AY2053">
        <v>151</v>
      </c>
      <c r="AZ2053">
        <v>323</v>
      </c>
      <c r="BA2053">
        <v>146</v>
      </c>
      <c r="BB2053">
        <v>169</v>
      </c>
      <c r="BC2053">
        <v>315</v>
      </c>
      <c r="BD2053">
        <v>20</v>
      </c>
      <c r="BE2053">
        <v>18</v>
      </c>
      <c r="BF2053">
        <v>38</v>
      </c>
      <c r="BP2053">
        <v>163</v>
      </c>
      <c r="BR2053">
        <v>141</v>
      </c>
      <c r="BS2053">
        <v>15</v>
      </c>
      <c r="BT2053">
        <v>11</v>
      </c>
      <c r="BV2053">
        <v>8</v>
      </c>
      <c r="BW2053">
        <v>338</v>
      </c>
      <c r="BX2053" t="s">
        <v>82</v>
      </c>
      <c r="BY2053" s="5"/>
      <c r="BZ2053" s="6"/>
      <c r="CA2053" s="7">
        <v>43051</v>
      </c>
      <c r="CE2053">
        <v>81</v>
      </c>
      <c r="CF2053">
        <v>102</v>
      </c>
      <c r="CG2053">
        <v>91</v>
      </c>
      <c r="CH2053">
        <v>64</v>
      </c>
      <c r="CI2053">
        <f t="shared" si="218"/>
        <v>2017</v>
      </c>
      <c r="CJ2053" t="str">
        <f t="shared" si="219"/>
        <v>7171_2017</v>
      </c>
    </row>
    <row r="2054" spans="1:88" x14ac:dyDescent="0.25">
      <c r="A2054" t="s">
        <v>79</v>
      </c>
      <c r="B2054" t="s">
        <v>80</v>
      </c>
      <c r="C2054">
        <v>7171</v>
      </c>
      <c r="D2054">
        <v>-33.873693000000003</v>
      </c>
      <c r="E2054">
        <v>151.16285500000001</v>
      </c>
      <c r="F2054">
        <v>3</v>
      </c>
      <c r="G2054" t="s">
        <v>766</v>
      </c>
      <c r="H2054">
        <v>71</v>
      </c>
      <c r="I2054">
        <v>251</v>
      </c>
      <c r="J2054">
        <v>255</v>
      </c>
      <c r="K2054">
        <v>75</v>
      </c>
      <c r="L2054">
        <v>342</v>
      </c>
      <c r="M2054">
        <v>162</v>
      </c>
      <c r="T2054">
        <v>100</v>
      </c>
      <c r="U2054">
        <v>7</v>
      </c>
      <c r="Y2054">
        <v>131</v>
      </c>
      <c r="Z2054">
        <v>0</v>
      </c>
      <c r="AD2054">
        <v>30</v>
      </c>
      <c r="AE2054">
        <v>3</v>
      </c>
      <c r="AX2054">
        <v>107</v>
      </c>
      <c r="AY2054">
        <v>161</v>
      </c>
      <c r="AZ2054">
        <v>268</v>
      </c>
      <c r="BA2054">
        <v>131</v>
      </c>
      <c r="BB2054">
        <v>103</v>
      </c>
      <c r="BC2054">
        <v>234</v>
      </c>
      <c r="BD2054">
        <v>33</v>
      </c>
      <c r="BE2054">
        <v>7</v>
      </c>
      <c r="BF2054">
        <v>40</v>
      </c>
      <c r="BP2054">
        <v>133</v>
      </c>
      <c r="BR2054">
        <v>117</v>
      </c>
      <c r="BS2054">
        <v>8</v>
      </c>
      <c r="BT2054">
        <v>3</v>
      </c>
      <c r="BV2054">
        <v>10</v>
      </c>
      <c r="BW2054">
        <v>271</v>
      </c>
      <c r="BX2054">
        <f>IF(C2054=C2053,IF((CI2054-1)=CI2053,BW2053,"no data"))</f>
        <v>338</v>
      </c>
      <c r="BY2054" s="5">
        <f t="shared" si="217"/>
        <v>-0.19822485207100593</v>
      </c>
      <c r="BZ2054" s="6">
        <f t="shared" ref="BZ2054:BZ2116" si="220">BY2054</f>
        <v>-0.19822485207100593</v>
      </c>
      <c r="CA2054" s="7">
        <v>43415</v>
      </c>
      <c r="CE2054">
        <v>73</v>
      </c>
      <c r="CF2054">
        <v>71</v>
      </c>
      <c r="CG2054">
        <v>57</v>
      </c>
      <c r="CH2054">
        <v>70</v>
      </c>
      <c r="CI2054">
        <f t="shared" si="218"/>
        <v>2018</v>
      </c>
      <c r="CJ2054" t="str">
        <f t="shared" si="219"/>
        <v>7171_2018</v>
      </c>
    </row>
    <row r="2055" spans="1:88" x14ac:dyDescent="0.25">
      <c r="A2055" t="s">
        <v>79</v>
      </c>
      <c r="B2055" t="s">
        <v>80</v>
      </c>
      <c r="C2055">
        <v>7172</v>
      </c>
      <c r="D2055">
        <v>-33.873998</v>
      </c>
      <c r="E2055">
        <v>151.16940299999999</v>
      </c>
      <c r="F2055">
        <v>4</v>
      </c>
      <c r="G2055" t="s">
        <v>767</v>
      </c>
      <c r="H2055">
        <v>52</v>
      </c>
      <c r="I2055">
        <v>232</v>
      </c>
      <c r="J2055">
        <v>158</v>
      </c>
      <c r="K2055">
        <v>338</v>
      </c>
      <c r="L2055">
        <v>200</v>
      </c>
      <c r="M2055">
        <v>20</v>
      </c>
      <c r="N2055">
        <v>265</v>
      </c>
      <c r="O2055">
        <v>85</v>
      </c>
      <c r="T2055">
        <v>36</v>
      </c>
      <c r="U2055">
        <v>20</v>
      </c>
      <c r="V2055">
        <v>57</v>
      </c>
      <c r="Y2055">
        <v>51</v>
      </c>
      <c r="Z2055">
        <v>17</v>
      </c>
      <c r="AA2055">
        <v>21</v>
      </c>
      <c r="AD2055">
        <v>58</v>
      </c>
      <c r="AE2055">
        <v>19</v>
      </c>
      <c r="AF2055">
        <v>0</v>
      </c>
      <c r="AI2055">
        <v>56</v>
      </c>
      <c r="AJ2055">
        <v>19</v>
      </c>
      <c r="AK2055">
        <v>4</v>
      </c>
      <c r="AX2055">
        <v>113</v>
      </c>
      <c r="AY2055">
        <v>165</v>
      </c>
      <c r="AZ2055">
        <v>278</v>
      </c>
      <c r="BA2055">
        <v>89</v>
      </c>
      <c r="BB2055">
        <v>74</v>
      </c>
      <c r="BC2055">
        <v>163</v>
      </c>
      <c r="BD2055">
        <v>77</v>
      </c>
      <c r="BE2055">
        <v>41</v>
      </c>
      <c r="BF2055">
        <v>118</v>
      </c>
      <c r="BG2055">
        <v>79</v>
      </c>
      <c r="BH2055">
        <v>78</v>
      </c>
      <c r="BI2055">
        <v>157</v>
      </c>
      <c r="BP2055">
        <v>86</v>
      </c>
      <c r="BR2055">
        <v>175</v>
      </c>
      <c r="BS2055">
        <v>27</v>
      </c>
      <c r="BT2055">
        <v>54</v>
      </c>
      <c r="BV2055">
        <v>16</v>
      </c>
      <c r="BW2055">
        <v>358</v>
      </c>
      <c r="BX2055" t="s">
        <v>82</v>
      </c>
      <c r="BY2055" s="5"/>
      <c r="BZ2055" s="6"/>
      <c r="CA2055" s="7">
        <v>43051</v>
      </c>
      <c r="CE2055">
        <v>128</v>
      </c>
      <c r="CF2055">
        <v>101</v>
      </c>
      <c r="CG2055">
        <v>71</v>
      </c>
      <c r="CH2055">
        <v>58</v>
      </c>
      <c r="CI2055">
        <f t="shared" si="218"/>
        <v>2017</v>
      </c>
      <c r="CJ2055" t="str">
        <f t="shared" si="219"/>
        <v>7172_2017</v>
      </c>
    </row>
    <row r="2056" spans="1:88" x14ac:dyDescent="0.25">
      <c r="A2056" t="s">
        <v>79</v>
      </c>
      <c r="B2056" t="s">
        <v>80</v>
      </c>
      <c r="C2056">
        <v>7172</v>
      </c>
      <c r="D2056">
        <v>-33.873998</v>
      </c>
      <c r="E2056">
        <v>151.16940299999999</v>
      </c>
      <c r="F2056">
        <v>4</v>
      </c>
      <c r="G2056" t="s">
        <v>767</v>
      </c>
      <c r="H2056">
        <v>52</v>
      </c>
      <c r="I2056">
        <v>232</v>
      </c>
      <c r="J2056">
        <v>158</v>
      </c>
      <c r="K2056">
        <v>338</v>
      </c>
      <c r="L2056">
        <v>200</v>
      </c>
      <c r="M2056">
        <v>20</v>
      </c>
      <c r="N2056">
        <v>265</v>
      </c>
      <c r="O2056">
        <v>85</v>
      </c>
      <c r="T2056">
        <v>36</v>
      </c>
      <c r="U2056">
        <v>29</v>
      </c>
      <c r="V2056">
        <v>56</v>
      </c>
      <c r="Y2056">
        <v>45</v>
      </c>
      <c r="Z2056">
        <v>24</v>
      </c>
      <c r="AA2056">
        <v>18</v>
      </c>
      <c r="AD2056">
        <v>75</v>
      </c>
      <c r="AE2056">
        <v>17</v>
      </c>
      <c r="AF2056">
        <v>9</v>
      </c>
      <c r="AI2056">
        <v>62</v>
      </c>
      <c r="AJ2056">
        <v>18</v>
      </c>
      <c r="AK2056">
        <v>18</v>
      </c>
      <c r="AX2056">
        <v>121</v>
      </c>
      <c r="AY2056">
        <v>182</v>
      </c>
      <c r="AZ2056">
        <v>303</v>
      </c>
      <c r="BA2056">
        <v>87</v>
      </c>
      <c r="BB2056">
        <v>71</v>
      </c>
      <c r="BC2056">
        <v>158</v>
      </c>
      <c r="BD2056">
        <v>101</v>
      </c>
      <c r="BE2056">
        <v>71</v>
      </c>
      <c r="BF2056">
        <v>172</v>
      </c>
      <c r="BG2056">
        <v>98</v>
      </c>
      <c r="BH2056">
        <v>83</v>
      </c>
      <c r="BI2056">
        <v>181</v>
      </c>
      <c r="BP2056">
        <v>117</v>
      </c>
      <c r="BR2056">
        <v>206</v>
      </c>
      <c r="BS2056">
        <v>27</v>
      </c>
      <c r="BT2056">
        <v>45</v>
      </c>
      <c r="BV2056">
        <v>12</v>
      </c>
      <c r="BW2056">
        <v>407</v>
      </c>
      <c r="BX2056">
        <f>IF(C2056=C2055,IF((CI2056-1)=CI2055,BW2055,"no data"))</f>
        <v>358</v>
      </c>
      <c r="BY2056" s="5">
        <f t="shared" si="217"/>
        <v>0.13687150837988826</v>
      </c>
      <c r="BZ2056" s="6">
        <f t="shared" si="220"/>
        <v>0.13687150837988826</v>
      </c>
      <c r="CA2056" s="7">
        <v>43415</v>
      </c>
      <c r="CE2056">
        <v>107</v>
      </c>
      <c r="CF2056">
        <v>118</v>
      </c>
      <c r="CG2056">
        <v>79</v>
      </c>
      <c r="CH2056">
        <v>103</v>
      </c>
      <c r="CI2056">
        <f t="shared" si="218"/>
        <v>2018</v>
      </c>
      <c r="CJ2056" t="str">
        <f t="shared" si="219"/>
        <v>7172_2018</v>
      </c>
    </row>
    <row r="2057" spans="1:88" x14ac:dyDescent="0.25">
      <c r="A2057" t="s">
        <v>79</v>
      </c>
      <c r="B2057" t="s">
        <v>80</v>
      </c>
      <c r="C2057">
        <v>7173</v>
      </c>
      <c r="D2057">
        <v>-33.878484</v>
      </c>
      <c r="E2057">
        <v>151.17627300000001</v>
      </c>
      <c r="F2057">
        <v>3</v>
      </c>
      <c r="G2057" t="s">
        <v>768</v>
      </c>
      <c r="H2057">
        <v>36</v>
      </c>
      <c r="I2057">
        <v>216</v>
      </c>
      <c r="J2057">
        <v>120</v>
      </c>
      <c r="K2057">
        <v>300</v>
      </c>
      <c r="L2057">
        <v>205</v>
      </c>
      <c r="M2057">
        <v>25</v>
      </c>
      <c r="T2057">
        <v>42</v>
      </c>
      <c r="U2057">
        <v>442</v>
      </c>
      <c r="Y2057">
        <v>34</v>
      </c>
      <c r="Z2057">
        <v>32</v>
      </c>
      <c r="AD2057">
        <v>570</v>
      </c>
      <c r="AE2057">
        <v>37</v>
      </c>
      <c r="AX2057">
        <v>484</v>
      </c>
      <c r="AY2057">
        <v>604</v>
      </c>
      <c r="AZ2057">
        <v>1088</v>
      </c>
      <c r="BA2057">
        <v>66</v>
      </c>
      <c r="BB2057">
        <v>79</v>
      </c>
      <c r="BC2057">
        <v>145</v>
      </c>
      <c r="BD2057">
        <v>607</v>
      </c>
      <c r="BE2057">
        <v>474</v>
      </c>
      <c r="BF2057">
        <v>1081</v>
      </c>
      <c r="BP2057">
        <v>111</v>
      </c>
      <c r="BR2057">
        <v>689</v>
      </c>
      <c r="BS2057">
        <v>101</v>
      </c>
      <c r="BT2057">
        <v>192</v>
      </c>
      <c r="BV2057">
        <v>64</v>
      </c>
      <c r="BW2057">
        <v>1157</v>
      </c>
      <c r="BX2057" t="s">
        <v>82</v>
      </c>
      <c r="BY2057" s="5"/>
      <c r="BZ2057" s="6"/>
      <c r="CA2057" s="7">
        <v>43051</v>
      </c>
      <c r="CE2057">
        <v>303</v>
      </c>
      <c r="CF2057">
        <v>296</v>
      </c>
      <c r="CG2057">
        <v>277</v>
      </c>
      <c r="CH2057">
        <v>281</v>
      </c>
      <c r="CI2057">
        <f t="shared" si="218"/>
        <v>2017</v>
      </c>
      <c r="CJ2057" t="str">
        <f t="shared" si="219"/>
        <v>7173_2017</v>
      </c>
    </row>
    <row r="2058" spans="1:88" x14ac:dyDescent="0.25">
      <c r="A2058" t="s">
        <v>79</v>
      </c>
      <c r="B2058" t="s">
        <v>80</v>
      </c>
      <c r="C2058">
        <v>7173</v>
      </c>
      <c r="D2058">
        <v>-33.878484</v>
      </c>
      <c r="E2058">
        <v>151.17627300000001</v>
      </c>
      <c r="F2058">
        <v>3</v>
      </c>
      <c r="G2058" t="s">
        <v>768</v>
      </c>
      <c r="H2058">
        <v>36</v>
      </c>
      <c r="I2058">
        <v>216</v>
      </c>
      <c r="J2058">
        <v>120</v>
      </c>
      <c r="K2058">
        <v>300</v>
      </c>
      <c r="L2058">
        <v>205</v>
      </c>
      <c r="M2058">
        <v>25</v>
      </c>
      <c r="T2058">
        <v>66</v>
      </c>
      <c r="U2058">
        <v>392</v>
      </c>
      <c r="Y2058">
        <v>45</v>
      </c>
      <c r="Z2058">
        <v>56</v>
      </c>
      <c r="AD2058">
        <v>497</v>
      </c>
      <c r="AE2058">
        <v>67</v>
      </c>
      <c r="AX2058">
        <v>458</v>
      </c>
      <c r="AY2058">
        <v>542</v>
      </c>
      <c r="AZ2058">
        <v>1000</v>
      </c>
      <c r="BA2058">
        <v>101</v>
      </c>
      <c r="BB2058">
        <v>133</v>
      </c>
      <c r="BC2058">
        <v>234</v>
      </c>
      <c r="BD2058">
        <v>564</v>
      </c>
      <c r="BE2058">
        <v>448</v>
      </c>
      <c r="BF2058">
        <v>1012</v>
      </c>
      <c r="BP2058">
        <v>142</v>
      </c>
      <c r="BR2058">
        <v>694</v>
      </c>
      <c r="BS2058">
        <v>99</v>
      </c>
      <c r="BT2058">
        <v>188</v>
      </c>
      <c r="BV2058">
        <v>0</v>
      </c>
      <c r="BW2058">
        <v>1123</v>
      </c>
      <c r="BX2058">
        <f>IF(C2058=C2057,IF((CI2058-1)=CI2057,BW2057,"no data"))</f>
        <v>1157</v>
      </c>
      <c r="BY2058" s="5">
        <f t="shared" si="217"/>
        <v>-2.9386343993085567E-2</v>
      </c>
      <c r="BZ2058" s="6">
        <f t="shared" si="220"/>
        <v>-2.9386343993085567E-2</v>
      </c>
      <c r="CA2058" s="7">
        <v>43415</v>
      </c>
      <c r="CE2058">
        <v>342</v>
      </c>
      <c r="CF2058">
        <v>266</v>
      </c>
      <c r="CG2058">
        <v>239</v>
      </c>
      <c r="CH2058">
        <v>276</v>
      </c>
      <c r="CI2058">
        <f t="shared" si="218"/>
        <v>2018</v>
      </c>
      <c r="CJ2058" t="str">
        <f t="shared" si="219"/>
        <v>7173_2018</v>
      </c>
    </row>
    <row r="2059" spans="1:88" x14ac:dyDescent="0.25">
      <c r="A2059" t="s">
        <v>79</v>
      </c>
      <c r="B2059" t="s">
        <v>80</v>
      </c>
      <c r="C2059">
        <v>7174</v>
      </c>
      <c r="D2059">
        <v>-33.901727999999999</v>
      </c>
      <c r="E2059">
        <v>151.15327300000001</v>
      </c>
      <c r="F2059">
        <v>3</v>
      </c>
      <c r="G2059" t="s">
        <v>769</v>
      </c>
      <c r="H2059">
        <v>3</v>
      </c>
      <c r="I2059">
        <v>183</v>
      </c>
      <c r="J2059">
        <v>183</v>
      </c>
      <c r="K2059">
        <v>3</v>
      </c>
      <c r="L2059">
        <v>280</v>
      </c>
      <c r="M2059">
        <v>100</v>
      </c>
      <c r="T2059">
        <v>50</v>
      </c>
      <c r="U2059">
        <v>40</v>
      </c>
      <c r="Y2059">
        <v>80</v>
      </c>
      <c r="Z2059">
        <v>17</v>
      </c>
      <c r="AD2059">
        <v>62</v>
      </c>
      <c r="AE2059">
        <v>15</v>
      </c>
      <c r="AX2059">
        <v>90</v>
      </c>
      <c r="AY2059">
        <v>142</v>
      </c>
      <c r="AZ2059">
        <v>232</v>
      </c>
      <c r="BA2059">
        <v>97</v>
      </c>
      <c r="BB2059">
        <v>65</v>
      </c>
      <c r="BC2059">
        <v>162</v>
      </c>
      <c r="BD2059">
        <v>77</v>
      </c>
      <c r="BE2059">
        <v>57</v>
      </c>
      <c r="BF2059">
        <v>134</v>
      </c>
      <c r="BP2059">
        <v>38</v>
      </c>
      <c r="BR2059">
        <v>198</v>
      </c>
      <c r="BS2059">
        <v>18</v>
      </c>
      <c r="BT2059">
        <v>8</v>
      </c>
      <c r="BV2059">
        <v>2</v>
      </c>
      <c r="BW2059">
        <v>264</v>
      </c>
      <c r="BX2059" t="s">
        <v>82</v>
      </c>
      <c r="BY2059" s="5"/>
      <c r="BZ2059" s="6"/>
      <c r="CA2059" s="7">
        <v>43051</v>
      </c>
      <c r="CE2059">
        <v>74</v>
      </c>
      <c r="CF2059">
        <v>82</v>
      </c>
      <c r="CG2059">
        <v>55</v>
      </c>
      <c r="CH2059">
        <v>53</v>
      </c>
      <c r="CI2059">
        <f t="shared" si="218"/>
        <v>2017</v>
      </c>
      <c r="CJ2059" t="str">
        <f t="shared" si="219"/>
        <v>7174_2017</v>
      </c>
    </row>
    <row r="2060" spans="1:88" x14ac:dyDescent="0.25">
      <c r="A2060" t="s">
        <v>79</v>
      </c>
      <c r="B2060" t="s">
        <v>80</v>
      </c>
      <c r="C2060">
        <v>7174</v>
      </c>
      <c r="D2060">
        <v>-33.901727999999999</v>
      </c>
      <c r="E2060">
        <v>151.15327300000001</v>
      </c>
      <c r="F2060">
        <v>3</v>
      </c>
      <c r="G2060" t="s">
        <v>769</v>
      </c>
      <c r="H2060">
        <v>3</v>
      </c>
      <c r="I2060">
        <v>183</v>
      </c>
      <c r="J2060">
        <v>183</v>
      </c>
      <c r="K2060">
        <v>3</v>
      </c>
      <c r="L2060">
        <v>280</v>
      </c>
      <c r="M2060">
        <v>100</v>
      </c>
      <c r="T2060">
        <v>47</v>
      </c>
      <c r="U2060">
        <v>73</v>
      </c>
      <c r="Y2060">
        <v>70</v>
      </c>
      <c r="Z2060">
        <v>24</v>
      </c>
      <c r="AD2060">
        <v>58</v>
      </c>
      <c r="AE2060">
        <v>26</v>
      </c>
      <c r="AX2060">
        <v>120</v>
      </c>
      <c r="AY2060">
        <v>128</v>
      </c>
      <c r="AZ2060">
        <v>248</v>
      </c>
      <c r="BA2060">
        <v>94</v>
      </c>
      <c r="BB2060">
        <v>73</v>
      </c>
      <c r="BC2060">
        <v>167</v>
      </c>
      <c r="BD2060">
        <v>84</v>
      </c>
      <c r="BE2060">
        <v>97</v>
      </c>
      <c r="BF2060">
        <v>181</v>
      </c>
      <c r="BP2060">
        <v>13</v>
      </c>
      <c r="BR2060">
        <v>223</v>
      </c>
      <c r="BS2060">
        <v>5</v>
      </c>
      <c r="BT2060">
        <v>42</v>
      </c>
      <c r="BV2060">
        <v>15</v>
      </c>
      <c r="BW2060">
        <v>298</v>
      </c>
      <c r="BX2060">
        <f>IF(C2060=C2059,IF((CI2060-1)=CI2059,BW2059,"no data"))</f>
        <v>264</v>
      </c>
      <c r="BY2060" s="5">
        <f t="shared" si="217"/>
        <v>0.12878787878787878</v>
      </c>
      <c r="BZ2060" s="6">
        <f t="shared" si="220"/>
        <v>0.12878787878787878</v>
      </c>
      <c r="CA2060" s="7">
        <v>43415</v>
      </c>
      <c r="CE2060">
        <v>88</v>
      </c>
      <c r="CF2060">
        <v>61</v>
      </c>
      <c r="CG2060">
        <v>79</v>
      </c>
      <c r="CH2060">
        <v>70</v>
      </c>
      <c r="CI2060">
        <f t="shared" si="218"/>
        <v>2018</v>
      </c>
      <c r="CJ2060" t="str">
        <f t="shared" si="219"/>
        <v>7174_2018</v>
      </c>
    </row>
    <row r="2061" spans="1:88" x14ac:dyDescent="0.25">
      <c r="A2061" t="s">
        <v>111</v>
      </c>
      <c r="B2061" t="s">
        <v>146</v>
      </c>
      <c r="C2061">
        <v>7175</v>
      </c>
      <c r="D2061">
        <v>-37.557093000000002</v>
      </c>
      <c r="E2061">
        <v>143.80033</v>
      </c>
      <c r="F2061">
        <v>3</v>
      </c>
      <c r="G2061" t="s">
        <v>770</v>
      </c>
      <c r="H2061">
        <v>5</v>
      </c>
      <c r="I2061">
        <v>185</v>
      </c>
      <c r="J2061">
        <v>117</v>
      </c>
      <c r="K2061">
        <v>297</v>
      </c>
      <c r="L2061">
        <v>190</v>
      </c>
      <c r="M2061">
        <v>10</v>
      </c>
      <c r="T2061">
        <v>21</v>
      </c>
      <c r="U2061">
        <v>12</v>
      </c>
      <c r="Y2061">
        <v>6</v>
      </c>
      <c r="Z2061">
        <v>25</v>
      </c>
      <c r="AD2061">
        <v>12</v>
      </c>
      <c r="AE2061">
        <v>10</v>
      </c>
      <c r="AX2061">
        <v>33</v>
      </c>
      <c r="AY2061">
        <v>18</v>
      </c>
      <c r="AZ2061">
        <v>51</v>
      </c>
      <c r="BA2061">
        <v>31</v>
      </c>
      <c r="BB2061">
        <v>31</v>
      </c>
      <c r="BC2061">
        <v>62</v>
      </c>
      <c r="BD2061">
        <v>22</v>
      </c>
      <c r="BE2061">
        <v>37</v>
      </c>
      <c r="BF2061">
        <v>59</v>
      </c>
      <c r="BP2061">
        <v>26</v>
      </c>
      <c r="BR2061">
        <v>35</v>
      </c>
      <c r="BS2061">
        <v>8</v>
      </c>
      <c r="BT2061">
        <v>13</v>
      </c>
      <c r="BV2061">
        <v>4</v>
      </c>
      <c r="BW2061">
        <v>86</v>
      </c>
      <c r="BX2061" t="s">
        <v>82</v>
      </c>
      <c r="BY2061" s="5"/>
      <c r="BZ2061" s="6"/>
      <c r="CA2061" s="7">
        <v>43051</v>
      </c>
      <c r="CE2061">
        <v>31</v>
      </c>
      <c r="CF2061">
        <v>17</v>
      </c>
      <c r="CG2061">
        <v>24</v>
      </c>
      <c r="CH2061">
        <v>14</v>
      </c>
      <c r="CI2061">
        <f t="shared" si="218"/>
        <v>2017</v>
      </c>
      <c r="CJ2061" t="str">
        <f t="shared" si="219"/>
        <v>7175_2017</v>
      </c>
    </row>
    <row r="2062" spans="1:88" x14ac:dyDescent="0.25">
      <c r="A2062" t="s">
        <v>111</v>
      </c>
      <c r="B2062" t="s">
        <v>146</v>
      </c>
      <c r="C2062">
        <v>7176</v>
      </c>
      <c r="D2062">
        <v>-37.543703999999998</v>
      </c>
      <c r="E2062">
        <v>143.81419</v>
      </c>
      <c r="F2062">
        <v>3</v>
      </c>
      <c r="G2062" t="s">
        <v>771</v>
      </c>
      <c r="H2062">
        <v>8</v>
      </c>
      <c r="I2062">
        <v>188</v>
      </c>
      <c r="J2062">
        <v>98</v>
      </c>
      <c r="K2062">
        <v>278</v>
      </c>
      <c r="L2062">
        <v>186</v>
      </c>
      <c r="M2062">
        <v>6</v>
      </c>
      <c r="T2062">
        <v>1</v>
      </c>
      <c r="U2062">
        <v>6</v>
      </c>
      <c r="Y2062">
        <v>1</v>
      </c>
      <c r="Z2062">
        <v>0</v>
      </c>
      <c r="AD2062">
        <v>2</v>
      </c>
      <c r="AE2062">
        <v>1</v>
      </c>
      <c r="AX2062">
        <v>7</v>
      </c>
      <c r="AY2062">
        <v>3</v>
      </c>
      <c r="AZ2062">
        <v>10</v>
      </c>
      <c r="BA2062">
        <v>1</v>
      </c>
      <c r="BB2062">
        <v>2</v>
      </c>
      <c r="BC2062">
        <v>3</v>
      </c>
      <c r="BD2062">
        <v>3</v>
      </c>
      <c r="BE2062">
        <v>6</v>
      </c>
      <c r="BF2062">
        <v>9</v>
      </c>
      <c r="BP2062">
        <v>4</v>
      </c>
      <c r="BR2062">
        <v>6</v>
      </c>
      <c r="BS2062">
        <v>0</v>
      </c>
      <c r="BT2062">
        <v>1</v>
      </c>
      <c r="BV2062">
        <v>0</v>
      </c>
      <c r="BW2062">
        <v>11</v>
      </c>
      <c r="BX2062" t="s">
        <v>82</v>
      </c>
      <c r="BY2062" s="5"/>
      <c r="BZ2062" s="6"/>
      <c r="CA2062" s="7">
        <v>43051</v>
      </c>
      <c r="CE2062">
        <v>9</v>
      </c>
      <c r="CF2062">
        <v>1</v>
      </c>
      <c r="CG2062">
        <v>1</v>
      </c>
      <c r="CH2062">
        <v>0</v>
      </c>
      <c r="CI2062">
        <f t="shared" si="218"/>
        <v>2017</v>
      </c>
      <c r="CJ2062" t="str">
        <f t="shared" si="219"/>
        <v>7176_2017</v>
      </c>
    </row>
    <row r="2063" spans="1:88" x14ac:dyDescent="0.25">
      <c r="A2063" t="s">
        <v>111</v>
      </c>
      <c r="B2063" t="s">
        <v>146</v>
      </c>
      <c r="C2063">
        <v>7177</v>
      </c>
      <c r="D2063">
        <v>-37.551628999999998</v>
      </c>
      <c r="E2063">
        <v>143.80873399999999</v>
      </c>
      <c r="F2063">
        <v>4</v>
      </c>
      <c r="G2063" t="s">
        <v>772</v>
      </c>
      <c r="H2063">
        <v>10</v>
      </c>
      <c r="I2063">
        <v>190</v>
      </c>
      <c r="J2063">
        <v>116</v>
      </c>
      <c r="K2063">
        <v>296</v>
      </c>
      <c r="L2063">
        <v>190</v>
      </c>
      <c r="M2063">
        <v>10</v>
      </c>
      <c r="N2063">
        <v>300</v>
      </c>
      <c r="O2063">
        <v>120</v>
      </c>
      <c r="T2063">
        <v>10</v>
      </c>
      <c r="U2063">
        <v>0</v>
      </c>
      <c r="V2063">
        <v>14</v>
      </c>
      <c r="Y2063">
        <v>10</v>
      </c>
      <c r="Z2063">
        <v>8</v>
      </c>
      <c r="AA2063">
        <v>86</v>
      </c>
      <c r="AD2063">
        <v>0</v>
      </c>
      <c r="AE2063">
        <v>0</v>
      </c>
      <c r="AF2063">
        <v>0</v>
      </c>
      <c r="AI2063">
        <v>6</v>
      </c>
      <c r="AJ2063">
        <v>88</v>
      </c>
      <c r="AK2063">
        <v>0</v>
      </c>
      <c r="AX2063">
        <v>24</v>
      </c>
      <c r="AY2063">
        <v>16</v>
      </c>
      <c r="AZ2063">
        <v>40</v>
      </c>
      <c r="BA2063">
        <v>104</v>
      </c>
      <c r="BB2063">
        <v>98</v>
      </c>
      <c r="BC2063">
        <v>202</v>
      </c>
      <c r="BD2063">
        <v>0</v>
      </c>
      <c r="BE2063">
        <v>8</v>
      </c>
      <c r="BF2063">
        <v>8</v>
      </c>
      <c r="BG2063">
        <v>94</v>
      </c>
      <c r="BH2063">
        <v>100</v>
      </c>
      <c r="BI2063">
        <v>194</v>
      </c>
      <c r="BP2063">
        <v>81</v>
      </c>
      <c r="BR2063">
        <v>100</v>
      </c>
      <c r="BS2063">
        <v>5</v>
      </c>
      <c r="BT2063">
        <v>29</v>
      </c>
      <c r="BV2063">
        <v>7</v>
      </c>
      <c r="BW2063">
        <v>222</v>
      </c>
      <c r="BX2063" t="s">
        <v>82</v>
      </c>
      <c r="BY2063" s="5"/>
      <c r="BZ2063" s="6"/>
      <c r="CA2063" s="7">
        <v>43051</v>
      </c>
      <c r="CE2063">
        <v>74</v>
      </c>
      <c r="CF2063">
        <v>65</v>
      </c>
      <c r="CG2063">
        <v>49</v>
      </c>
      <c r="CH2063">
        <v>34</v>
      </c>
      <c r="CI2063">
        <f t="shared" si="218"/>
        <v>2017</v>
      </c>
      <c r="CJ2063" t="str">
        <f t="shared" si="219"/>
        <v>7177_2017</v>
      </c>
    </row>
    <row r="2064" spans="1:88" x14ac:dyDescent="0.25">
      <c r="A2064" t="s">
        <v>111</v>
      </c>
      <c r="B2064" t="s">
        <v>146</v>
      </c>
      <c r="C2064">
        <v>7178</v>
      </c>
      <c r="D2064">
        <v>-37.558987000000002</v>
      </c>
      <c r="E2064">
        <v>143.81800100000001</v>
      </c>
      <c r="F2064">
        <v>4</v>
      </c>
      <c r="G2064" t="s">
        <v>773</v>
      </c>
      <c r="H2064">
        <v>8</v>
      </c>
      <c r="I2064">
        <v>188</v>
      </c>
      <c r="J2064">
        <v>94</v>
      </c>
      <c r="K2064">
        <v>274</v>
      </c>
      <c r="L2064">
        <v>190</v>
      </c>
      <c r="M2064">
        <v>10</v>
      </c>
      <c r="N2064">
        <v>280</v>
      </c>
      <c r="O2064">
        <v>100</v>
      </c>
      <c r="T2064">
        <v>0</v>
      </c>
      <c r="U2064">
        <v>52</v>
      </c>
      <c r="V2064">
        <v>4</v>
      </c>
      <c r="Y2064">
        <v>0</v>
      </c>
      <c r="Z2064">
        <v>3</v>
      </c>
      <c r="AA2064">
        <v>4</v>
      </c>
      <c r="AD2064">
        <v>20</v>
      </c>
      <c r="AE2064">
        <v>1</v>
      </c>
      <c r="AF2064">
        <v>3</v>
      </c>
      <c r="AI2064">
        <v>11</v>
      </c>
      <c r="AJ2064">
        <v>12</v>
      </c>
      <c r="AK2064">
        <v>4</v>
      </c>
      <c r="AX2064">
        <v>56</v>
      </c>
      <c r="AY2064">
        <v>31</v>
      </c>
      <c r="AZ2064">
        <v>87</v>
      </c>
      <c r="BA2064">
        <v>7</v>
      </c>
      <c r="BB2064">
        <v>13</v>
      </c>
      <c r="BC2064">
        <v>20</v>
      </c>
      <c r="BD2064">
        <v>24</v>
      </c>
      <c r="BE2064">
        <v>59</v>
      </c>
      <c r="BF2064">
        <v>83</v>
      </c>
      <c r="BG2064">
        <v>27</v>
      </c>
      <c r="BH2064">
        <v>11</v>
      </c>
      <c r="BI2064">
        <v>38</v>
      </c>
      <c r="BP2064">
        <v>23</v>
      </c>
      <c r="BR2064">
        <v>52</v>
      </c>
      <c r="BS2064">
        <v>18</v>
      </c>
      <c r="BT2064">
        <v>20</v>
      </c>
      <c r="BV2064">
        <v>1</v>
      </c>
      <c r="BW2064">
        <v>114</v>
      </c>
      <c r="BX2064" t="s">
        <v>82</v>
      </c>
      <c r="BY2064" s="5"/>
      <c r="BZ2064" s="6"/>
      <c r="CA2064" s="7">
        <v>43051</v>
      </c>
      <c r="CE2064">
        <v>41</v>
      </c>
      <c r="CF2064">
        <v>41</v>
      </c>
      <c r="CG2064">
        <v>10</v>
      </c>
      <c r="CH2064">
        <v>22</v>
      </c>
      <c r="CI2064">
        <f t="shared" si="218"/>
        <v>2017</v>
      </c>
      <c r="CJ2064" t="str">
        <f t="shared" si="219"/>
        <v>7178_2017</v>
      </c>
    </row>
    <row r="2065" spans="1:88" x14ac:dyDescent="0.25">
      <c r="A2065" t="s">
        <v>111</v>
      </c>
      <c r="B2065" t="s">
        <v>146</v>
      </c>
      <c r="C2065">
        <v>7179</v>
      </c>
      <c r="D2065">
        <v>-37.558256999999998</v>
      </c>
      <c r="E2065">
        <v>143.82476500000001</v>
      </c>
      <c r="F2065">
        <v>4</v>
      </c>
      <c r="G2065" t="s">
        <v>774</v>
      </c>
      <c r="H2065">
        <v>7</v>
      </c>
      <c r="I2065">
        <v>187</v>
      </c>
      <c r="J2065">
        <v>98</v>
      </c>
      <c r="K2065">
        <v>278</v>
      </c>
      <c r="L2065">
        <v>153</v>
      </c>
      <c r="M2065">
        <v>333</v>
      </c>
      <c r="N2065">
        <v>295</v>
      </c>
      <c r="O2065">
        <v>115</v>
      </c>
      <c r="T2065">
        <v>0</v>
      </c>
      <c r="U2065">
        <v>10</v>
      </c>
      <c r="V2065">
        <v>0</v>
      </c>
      <c r="Y2065">
        <v>2</v>
      </c>
      <c r="Z2065">
        <v>4</v>
      </c>
      <c r="AA2065">
        <v>14</v>
      </c>
      <c r="AD2065">
        <v>10</v>
      </c>
      <c r="AE2065">
        <v>2</v>
      </c>
      <c r="AF2065">
        <v>24</v>
      </c>
      <c r="AI2065">
        <v>6</v>
      </c>
      <c r="AJ2065">
        <v>17</v>
      </c>
      <c r="AK2065">
        <v>16</v>
      </c>
      <c r="AX2065">
        <v>10</v>
      </c>
      <c r="AY2065">
        <v>18</v>
      </c>
      <c r="AZ2065">
        <v>28</v>
      </c>
      <c r="BA2065">
        <v>20</v>
      </c>
      <c r="BB2065">
        <v>19</v>
      </c>
      <c r="BC2065">
        <v>39</v>
      </c>
      <c r="BD2065">
        <v>36</v>
      </c>
      <c r="BE2065">
        <v>30</v>
      </c>
      <c r="BF2065">
        <v>66</v>
      </c>
      <c r="BG2065">
        <v>39</v>
      </c>
      <c r="BH2065">
        <v>38</v>
      </c>
      <c r="BI2065">
        <v>77</v>
      </c>
      <c r="BP2065">
        <v>29</v>
      </c>
      <c r="BR2065">
        <v>42</v>
      </c>
      <c r="BS2065">
        <v>15</v>
      </c>
      <c r="BT2065">
        <v>19</v>
      </c>
      <c r="BV2065">
        <v>0</v>
      </c>
      <c r="BW2065">
        <v>105</v>
      </c>
      <c r="BX2065" t="s">
        <v>82</v>
      </c>
      <c r="BY2065" s="5"/>
      <c r="BZ2065" s="6"/>
      <c r="CA2065" s="7">
        <v>43051</v>
      </c>
      <c r="CE2065">
        <v>52</v>
      </c>
      <c r="CF2065">
        <v>53</v>
      </c>
      <c r="CG2065">
        <v>0</v>
      </c>
      <c r="CH2065">
        <v>0</v>
      </c>
      <c r="CI2065">
        <f t="shared" si="218"/>
        <v>2017</v>
      </c>
      <c r="CJ2065" t="str">
        <f t="shared" si="219"/>
        <v>7179_2017</v>
      </c>
    </row>
    <row r="2066" spans="1:88" x14ac:dyDescent="0.25">
      <c r="A2066" t="s">
        <v>111</v>
      </c>
      <c r="B2066" t="s">
        <v>146</v>
      </c>
      <c r="C2066">
        <v>7180</v>
      </c>
      <c r="D2066">
        <v>-37.542223999999997</v>
      </c>
      <c r="E2066">
        <v>143.839808</v>
      </c>
      <c r="F2066">
        <v>4</v>
      </c>
      <c r="G2066" t="s">
        <v>775</v>
      </c>
      <c r="H2066">
        <v>5</v>
      </c>
      <c r="I2066">
        <v>185</v>
      </c>
      <c r="J2066">
        <v>98</v>
      </c>
      <c r="K2066">
        <v>278</v>
      </c>
      <c r="L2066">
        <v>185</v>
      </c>
      <c r="M2066">
        <v>5</v>
      </c>
      <c r="N2066">
        <v>278</v>
      </c>
      <c r="O2066">
        <v>98</v>
      </c>
      <c r="T2066">
        <v>3</v>
      </c>
      <c r="U2066">
        <v>18</v>
      </c>
      <c r="V2066">
        <v>5</v>
      </c>
      <c r="Y2066">
        <v>5</v>
      </c>
      <c r="Z2066">
        <v>6</v>
      </c>
      <c r="AA2066">
        <v>14</v>
      </c>
      <c r="AD2066">
        <v>13</v>
      </c>
      <c r="AE2066">
        <v>4</v>
      </c>
      <c r="AF2066">
        <v>13</v>
      </c>
      <c r="AI2066">
        <v>5</v>
      </c>
      <c r="AJ2066">
        <v>14</v>
      </c>
      <c r="AK2066">
        <v>8</v>
      </c>
      <c r="AX2066">
        <v>26</v>
      </c>
      <c r="AY2066">
        <v>23</v>
      </c>
      <c r="AZ2066">
        <v>49</v>
      </c>
      <c r="BA2066">
        <v>25</v>
      </c>
      <c r="BB2066">
        <v>21</v>
      </c>
      <c r="BC2066">
        <v>46</v>
      </c>
      <c r="BD2066">
        <v>30</v>
      </c>
      <c r="BE2066">
        <v>32</v>
      </c>
      <c r="BF2066">
        <v>62</v>
      </c>
      <c r="BG2066">
        <v>27</v>
      </c>
      <c r="BH2066">
        <v>32</v>
      </c>
      <c r="BI2066">
        <v>59</v>
      </c>
      <c r="BP2066">
        <v>25</v>
      </c>
      <c r="BR2066">
        <v>72</v>
      </c>
      <c r="BS2066">
        <v>0</v>
      </c>
      <c r="BT2066">
        <v>9</v>
      </c>
      <c r="BV2066">
        <v>2</v>
      </c>
      <c r="BW2066">
        <v>108</v>
      </c>
      <c r="BX2066" t="s">
        <v>82</v>
      </c>
      <c r="BY2066" s="5"/>
      <c r="BZ2066" s="6"/>
      <c r="CA2066" s="7">
        <v>43051</v>
      </c>
      <c r="CE2066">
        <v>45</v>
      </c>
      <c r="CF2066">
        <v>56</v>
      </c>
      <c r="CG2066">
        <v>4</v>
      </c>
      <c r="CH2066">
        <v>3</v>
      </c>
      <c r="CI2066">
        <f t="shared" si="218"/>
        <v>2017</v>
      </c>
      <c r="CJ2066" t="str">
        <f t="shared" si="219"/>
        <v>7180_2017</v>
      </c>
    </row>
    <row r="2067" spans="1:88" x14ac:dyDescent="0.25">
      <c r="A2067" t="s">
        <v>111</v>
      </c>
      <c r="B2067" t="s">
        <v>146</v>
      </c>
      <c r="C2067">
        <v>7181</v>
      </c>
      <c r="D2067">
        <v>-37.564565999999999</v>
      </c>
      <c r="E2067">
        <v>143.86045899999999</v>
      </c>
      <c r="F2067">
        <v>4</v>
      </c>
      <c r="G2067" t="s">
        <v>776</v>
      </c>
      <c r="H2067">
        <v>7</v>
      </c>
      <c r="I2067">
        <v>187</v>
      </c>
      <c r="J2067">
        <v>96</v>
      </c>
      <c r="K2067">
        <v>276</v>
      </c>
      <c r="L2067">
        <v>180</v>
      </c>
      <c r="M2067">
        <v>360</v>
      </c>
      <c r="N2067">
        <v>280</v>
      </c>
      <c r="O2067">
        <v>100</v>
      </c>
      <c r="T2067">
        <v>9</v>
      </c>
      <c r="U2067">
        <v>8</v>
      </c>
      <c r="V2067">
        <v>36</v>
      </c>
      <c r="Y2067">
        <v>8</v>
      </c>
      <c r="Z2067">
        <v>9</v>
      </c>
      <c r="AA2067">
        <v>56</v>
      </c>
      <c r="AD2067">
        <v>6</v>
      </c>
      <c r="AE2067">
        <v>12</v>
      </c>
      <c r="AF2067">
        <v>12</v>
      </c>
      <c r="AI2067">
        <v>27</v>
      </c>
      <c r="AJ2067">
        <v>56</v>
      </c>
      <c r="AK2067">
        <v>0</v>
      </c>
      <c r="AX2067">
        <v>53</v>
      </c>
      <c r="AY2067">
        <v>41</v>
      </c>
      <c r="AZ2067">
        <v>94</v>
      </c>
      <c r="BA2067">
        <v>73</v>
      </c>
      <c r="BB2067">
        <v>77</v>
      </c>
      <c r="BC2067">
        <v>150</v>
      </c>
      <c r="BD2067">
        <v>30</v>
      </c>
      <c r="BE2067">
        <v>17</v>
      </c>
      <c r="BF2067">
        <v>47</v>
      </c>
      <c r="BG2067">
        <v>83</v>
      </c>
      <c r="BH2067">
        <v>104</v>
      </c>
      <c r="BI2067">
        <v>187</v>
      </c>
      <c r="BP2067">
        <v>38</v>
      </c>
      <c r="BR2067">
        <v>192</v>
      </c>
      <c r="BS2067">
        <v>2</v>
      </c>
      <c r="BT2067">
        <v>4</v>
      </c>
      <c r="BV2067">
        <v>3</v>
      </c>
      <c r="BW2067">
        <v>239</v>
      </c>
      <c r="BX2067" t="s">
        <v>82</v>
      </c>
      <c r="BY2067" s="5"/>
      <c r="BZ2067" s="6"/>
      <c r="CA2067" s="7">
        <v>43051</v>
      </c>
      <c r="CE2067">
        <v>55</v>
      </c>
      <c r="CF2067">
        <v>49</v>
      </c>
      <c r="CG2067">
        <v>64</v>
      </c>
      <c r="CH2067">
        <v>71</v>
      </c>
      <c r="CI2067">
        <f t="shared" si="218"/>
        <v>2017</v>
      </c>
      <c r="CJ2067" t="str">
        <f t="shared" si="219"/>
        <v>7181_2017</v>
      </c>
    </row>
    <row r="2068" spans="1:88" x14ac:dyDescent="0.25">
      <c r="A2068" t="s">
        <v>111</v>
      </c>
      <c r="B2068" t="s">
        <v>146</v>
      </c>
      <c r="C2068">
        <v>7182</v>
      </c>
      <c r="D2068">
        <v>-37.567821000000002</v>
      </c>
      <c r="E2068">
        <v>143.87106700000001</v>
      </c>
      <c r="F2068">
        <v>5</v>
      </c>
      <c r="G2068" t="s">
        <v>777</v>
      </c>
      <c r="H2068">
        <v>73</v>
      </c>
      <c r="I2068">
        <v>253</v>
      </c>
      <c r="J2068">
        <v>104</v>
      </c>
      <c r="K2068">
        <v>284</v>
      </c>
      <c r="L2068">
        <v>170</v>
      </c>
      <c r="M2068">
        <v>350</v>
      </c>
      <c r="N2068">
        <v>270</v>
      </c>
      <c r="O2068">
        <v>90</v>
      </c>
      <c r="P2068">
        <v>320</v>
      </c>
      <c r="Q2068">
        <v>140</v>
      </c>
      <c r="T2068">
        <v>2</v>
      </c>
      <c r="U2068">
        <v>1</v>
      </c>
      <c r="V2068">
        <v>1</v>
      </c>
      <c r="W2068">
        <v>1</v>
      </c>
      <c r="Y2068">
        <v>4</v>
      </c>
      <c r="Z2068">
        <v>1</v>
      </c>
      <c r="AA2068">
        <v>1</v>
      </c>
      <c r="AB2068">
        <v>1</v>
      </c>
      <c r="AD2068">
        <v>0</v>
      </c>
      <c r="AE2068">
        <v>0</v>
      </c>
      <c r="AF2068">
        <v>7</v>
      </c>
      <c r="AG2068">
        <v>3</v>
      </c>
      <c r="AI2068">
        <v>0</v>
      </c>
      <c r="AJ2068">
        <v>2</v>
      </c>
      <c r="AK2068">
        <v>5</v>
      </c>
      <c r="AL2068">
        <v>1</v>
      </c>
      <c r="AN2068">
        <v>1</v>
      </c>
      <c r="AO2068">
        <v>7</v>
      </c>
      <c r="AP2068">
        <v>1</v>
      </c>
      <c r="AQ2068">
        <v>1</v>
      </c>
      <c r="AX2068">
        <v>5</v>
      </c>
      <c r="AY2068">
        <v>5</v>
      </c>
      <c r="AZ2068">
        <v>10</v>
      </c>
      <c r="BA2068">
        <v>7</v>
      </c>
      <c r="BB2068">
        <v>11</v>
      </c>
      <c r="BC2068">
        <v>18</v>
      </c>
      <c r="BD2068">
        <v>10</v>
      </c>
      <c r="BE2068">
        <v>8</v>
      </c>
      <c r="BF2068">
        <v>18</v>
      </c>
      <c r="BG2068">
        <v>8</v>
      </c>
      <c r="BH2068">
        <v>10</v>
      </c>
      <c r="BI2068">
        <v>18</v>
      </c>
      <c r="BJ2068">
        <v>10</v>
      </c>
      <c r="BK2068">
        <v>6</v>
      </c>
      <c r="BL2068">
        <v>16</v>
      </c>
      <c r="BP2068">
        <v>8</v>
      </c>
      <c r="BR2068">
        <v>24</v>
      </c>
      <c r="BS2068">
        <v>1</v>
      </c>
      <c r="BT2068">
        <v>7</v>
      </c>
      <c r="BV2068">
        <v>0</v>
      </c>
      <c r="BW2068">
        <v>40</v>
      </c>
      <c r="BX2068" t="s">
        <v>82</v>
      </c>
      <c r="BY2068" s="5"/>
      <c r="BZ2068" s="6"/>
      <c r="CA2068" s="7">
        <v>43051</v>
      </c>
      <c r="CE2068">
        <v>17</v>
      </c>
      <c r="CF2068">
        <v>3</v>
      </c>
      <c r="CG2068">
        <v>18</v>
      </c>
      <c r="CH2068">
        <v>2</v>
      </c>
      <c r="CI2068">
        <f t="shared" si="218"/>
        <v>2017</v>
      </c>
      <c r="CJ2068" t="str">
        <f t="shared" si="219"/>
        <v>7182_2017</v>
      </c>
    </row>
    <row r="2069" spans="1:88" x14ac:dyDescent="0.25">
      <c r="A2069" t="s">
        <v>111</v>
      </c>
      <c r="B2069" t="s">
        <v>146</v>
      </c>
      <c r="C2069">
        <v>7183</v>
      </c>
      <c r="D2069">
        <v>-37.564292999999999</v>
      </c>
      <c r="E2069">
        <v>143.883768</v>
      </c>
      <c r="F2069">
        <v>4</v>
      </c>
      <c r="G2069" t="s">
        <v>778</v>
      </c>
      <c r="H2069">
        <v>1</v>
      </c>
      <c r="I2069">
        <v>181</v>
      </c>
      <c r="J2069">
        <v>21</v>
      </c>
      <c r="K2069">
        <v>201</v>
      </c>
      <c r="L2069">
        <v>112</v>
      </c>
      <c r="M2069">
        <v>292</v>
      </c>
      <c r="N2069">
        <v>195</v>
      </c>
      <c r="O2069">
        <v>15</v>
      </c>
      <c r="T2069">
        <v>0</v>
      </c>
      <c r="U2069">
        <v>0</v>
      </c>
      <c r="V2069">
        <v>1</v>
      </c>
      <c r="Y2069">
        <v>0</v>
      </c>
      <c r="Z2069">
        <v>28</v>
      </c>
      <c r="AA2069">
        <v>35</v>
      </c>
      <c r="AD2069">
        <v>0</v>
      </c>
      <c r="AE2069">
        <v>13</v>
      </c>
      <c r="AF2069">
        <v>0</v>
      </c>
      <c r="AI2069">
        <v>1</v>
      </c>
      <c r="AJ2069">
        <v>9</v>
      </c>
      <c r="AK2069">
        <v>26</v>
      </c>
      <c r="AX2069">
        <v>1</v>
      </c>
      <c r="AY2069">
        <v>1</v>
      </c>
      <c r="AZ2069">
        <v>2</v>
      </c>
      <c r="BA2069">
        <v>63</v>
      </c>
      <c r="BB2069">
        <v>22</v>
      </c>
      <c r="BC2069">
        <v>85</v>
      </c>
      <c r="BD2069">
        <v>13</v>
      </c>
      <c r="BE2069">
        <v>54</v>
      </c>
      <c r="BF2069">
        <v>67</v>
      </c>
      <c r="BG2069">
        <v>36</v>
      </c>
      <c r="BH2069">
        <v>36</v>
      </c>
      <c r="BI2069">
        <v>72</v>
      </c>
      <c r="BP2069">
        <v>21</v>
      </c>
      <c r="BR2069">
        <v>74</v>
      </c>
      <c r="BS2069">
        <v>1</v>
      </c>
      <c r="BT2069">
        <v>17</v>
      </c>
      <c r="BV2069">
        <v>0</v>
      </c>
      <c r="BW2069">
        <v>113</v>
      </c>
      <c r="BX2069" t="s">
        <v>82</v>
      </c>
      <c r="BY2069" s="5"/>
      <c r="BZ2069" s="6"/>
      <c r="CA2069" s="7">
        <v>43051</v>
      </c>
      <c r="CE2069">
        <v>7</v>
      </c>
      <c r="CF2069">
        <v>59</v>
      </c>
      <c r="CG2069">
        <v>31</v>
      </c>
      <c r="CH2069">
        <v>16</v>
      </c>
      <c r="CI2069">
        <f t="shared" si="218"/>
        <v>2017</v>
      </c>
      <c r="CJ2069" t="str">
        <f t="shared" si="219"/>
        <v>7183_2017</v>
      </c>
    </row>
    <row r="2070" spans="1:88" x14ac:dyDescent="0.25">
      <c r="A2070" t="s">
        <v>111</v>
      </c>
      <c r="B2070" t="s">
        <v>146</v>
      </c>
      <c r="C2070">
        <v>7184</v>
      </c>
      <c r="D2070">
        <v>-37.546080000000003</v>
      </c>
      <c r="E2070">
        <v>143.85062500000001</v>
      </c>
      <c r="F2070">
        <v>4</v>
      </c>
      <c r="G2070" t="s">
        <v>779</v>
      </c>
      <c r="H2070">
        <v>10</v>
      </c>
      <c r="I2070">
        <v>190</v>
      </c>
      <c r="J2070">
        <v>138</v>
      </c>
      <c r="K2070">
        <v>318</v>
      </c>
      <c r="L2070">
        <v>180</v>
      </c>
      <c r="M2070">
        <v>360</v>
      </c>
      <c r="N2070">
        <v>312</v>
      </c>
      <c r="O2070">
        <v>132</v>
      </c>
      <c r="T2070">
        <v>0</v>
      </c>
      <c r="U2070">
        <v>14</v>
      </c>
      <c r="V2070">
        <v>0</v>
      </c>
      <c r="Y2070">
        <v>4</v>
      </c>
      <c r="Z2070">
        <v>0</v>
      </c>
      <c r="AA2070">
        <v>0</v>
      </c>
      <c r="AD2070">
        <v>13</v>
      </c>
      <c r="AE2070">
        <v>0</v>
      </c>
      <c r="AF2070">
        <v>4</v>
      </c>
      <c r="AI2070">
        <v>0</v>
      </c>
      <c r="AJ2070">
        <v>5</v>
      </c>
      <c r="AK2070">
        <v>2</v>
      </c>
      <c r="AX2070">
        <v>14</v>
      </c>
      <c r="AY2070">
        <v>17</v>
      </c>
      <c r="AZ2070">
        <v>31</v>
      </c>
      <c r="BA2070">
        <v>4</v>
      </c>
      <c r="BB2070">
        <v>5</v>
      </c>
      <c r="BC2070">
        <v>9</v>
      </c>
      <c r="BD2070">
        <v>17</v>
      </c>
      <c r="BE2070">
        <v>16</v>
      </c>
      <c r="BF2070">
        <v>33</v>
      </c>
      <c r="BG2070">
        <v>7</v>
      </c>
      <c r="BH2070">
        <v>4</v>
      </c>
      <c r="BI2070">
        <v>11</v>
      </c>
      <c r="BP2070">
        <v>10</v>
      </c>
      <c r="BR2070">
        <v>24</v>
      </c>
      <c r="BS2070">
        <v>1</v>
      </c>
      <c r="BT2070">
        <v>4</v>
      </c>
      <c r="BV2070">
        <v>3</v>
      </c>
      <c r="BW2070">
        <v>42</v>
      </c>
      <c r="BX2070" t="s">
        <v>82</v>
      </c>
      <c r="BY2070" s="5"/>
      <c r="BZ2070" s="6"/>
      <c r="CA2070" s="7">
        <v>43051</v>
      </c>
      <c r="CE2070">
        <v>12</v>
      </c>
      <c r="CF2070">
        <v>13</v>
      </c>
      <c r="CG2070">
        <v>9</v>
      </c>
      <c r="CH2070">
        <v>8</v>
      </c>
      <c r="CI2070">
        <f t="shared" si="218"/>
        <v>2017</v>
      </c>
      <c r="CJ2070" t="str">
        <f t="shared" si="219"/>
        <v>7184_2017</v>
      </c>
    </row>
    <row r="2071" spans="1:88" x14ac:dyDescent="0.25">
      <c r="A2071" t="s">
        <v>111</v>
      </c>
      <c r="B2071" t="s">
        <v>157</v>
      </c>
      <c r="C2071">
        <v>7185</v>
      </c>
      <c r="D2071">
        <v>-37.898099999999999</v>
      </c>
      <c r="E2071">
        <v>144.70429999999999</v>
      </c>
      <c r="F2071">
        <v>4</v>
      </c>
      <c r="G2071" t="s">
        <v>780</v>
      </c>
      <c r="H2071">
        <v>18</v>
      </c>
      <c r="I2071">
        <v>198</v>
      </c>
      <c r="J2071">
        <v>98</v>
      </c>
      <c r="K2071">
        <v>278</v>
      </c>
      <c r="L2071">
        <v>200</v>
      </c>
      <c r="M2071">
        <v>20</v>
      </c>
      <c r="N2071">
        <v>277</v>
      </c>
      <c r="O2071">
        <v>97</v>
      </c>
      <c r="T2071">
        <v>0</v>
      </c>
      <c r="U2071">
        <v>0</v>
      </c>
      <c r="V2071">
        <v>0</v>
      </c>
      <c r="Y2071">
        <v>0</v>
      </c>
      <c r="Z2071">
        <v>9</v>
      </c>
      <c r="AA2071">
        <v>19</v>
      </c>
      <c r="AD2071">
        <v>0</v>
      </c>
      <c r="AE2071">
        <v>8</v>
      </c>
      <c r="AF2071">
        <v>27</v>
      </c>
      <c r="AI2071">
        <v>0</v>
      </c>
      <c r="AJ2071">
        <v>14</v>
      </c>
      <c r="AK2071">
        <v>24</v>
      </c>
      <c r="AX2071">
        <v>0</v>
      </c>
      <c r="AY2071">
        <v>0</v>
      </c>
      <c r="AZ2071">
        <v>0</v>
      </c>
      <c r="BA2071">
        <v>28</v>
      </c>
      <c r="BB2071">
        <v>22</v>
      </c>
      <c r="BC2071">
        <v>50</v>
      </c>
      <c r="BD2071">
        <v>35</v>
      </c>
      <c r="BE2071">
        <v>33</v>
      </c>
      <c r="BF2071">
        <v>68</v>
      </c>
      <c r="BG2071">
        <v>38</v>
      </c>
      <c r="BH2071">
        <v>46</v>
      </c>
      <c r="BI2071">
        <v>84</v>
      </c>
      <c r="BP2071">
        <v>93</v>
      </c>
      <c r="BR2071">
        <v>5</v>
      </c>
      <c r="BS2071">
        <v>1</v>
      </c>
      <c r="BT2071">
        <v>0</v>
      </c>
      <c r="BV2071">
        <v>2</v>
      </c>
      <c r="BW2071">
        <v>101</v>
      </c>
      <c r="BX2071" t="s">
        <v>82</v>
      </c>
      <c r="BY2071" s="5"/>
      <c r="BZ2071" s="6"/>
      <c r="CA2071" s="7">
        <v>43051</v>
      </c>
      <c r="CE2071">
        <v>24</v>
      </c>
      <c r="CF2071">
        <v>39</v>
      </c>
      <c r="CG2071">
        <v>26</v>
      </c>
      <c r="CH2071">
        <v>12</v>
      </c>
      <c r="CI2071">
        <f t="shared" si="218"/>
        <v>2017</v>
      </c>
      <c r="CJ2071" t="str">
        <f t="shared" si="219"/>
        <v>7185_2017</v>
      </c>
    </row>
    <row r="2072" spans="1:88" x14ac:dyDescent="0.25">
      <c r="A2072" t="s">
        <v>111</v>
      </c>
      <c r="B2072" t="s">
        <v>157</v>
      </c>
      <c r="C2072">
        <v>7185</v>
      </c>
      <c r="D2072">
        <v>-37.898055999999997</v>
      </c>
      <c r="E2072">
        <v>144.70433399999999</v>
      </c>
      <c r="F2072">
        <v>4</v>
      </c>
      <c r="G2072" t="s">
        <v>780</v>
      </c>
      <c r="H2072">
        <v>18</v>
      </c>
      <c r="I2072">
        <v>198</v>
      </c>
      <c r="J2072">
        <v>98</v>
      </c>
      <c r="K2072">
        <v>278</v>
      </c>
      <c r="L2072">
        <v>200</v>
      </c>
      <c r="M2072">
        <v>20</v>
      </c>
      <c r="N2072">
        <v>277</v>
      </c>
      <c r="O2072">
        <v>97</v>
      </c>
      <c r="T2072">
        <v>0</v>
      </c>
      <c r="U2072">
        <v>0</v>
      </c>
      <c r="V2072">
        <v>0</v>
      </c>
      <c r="Y2072">
        <v>0</v>
      </c>
      <c r="Z2072">
        <v>16</v>
      </c>
      <c r="AA2072">
        <v>19</v>
      </c>
      <c r="AD2072">
        <v>0</v>
      </c>
      <c r="AE2072">
        <v>12</v>
      </c>
      <c r="AF2072">
        <v>17</v>
      </c>
      <c r="AI2072">
        <v>0</v>
      </c>
      <c r="AJ2072">
        <v>10</v>
      </c>
      <c r="AK2072">
        <v>17</v>
      </c>
      <c r="AX2072">
        <v>0</v>
      </c>
      <c r="AY2072">
        <v>0</v>
      </c>
      <c r="AZ2072">
        <v>0</v>
      </c>
      <c r="BA2072">
        <v>35</v>
      </c>
      <c r="BB2072">
        <v>22</v>
      </c>
      <c r="BC2072">
        <v>57</v>
      </c>
      <c r="BD2072">
        <v>29</v>
      </c>
      <c r="BE2072">
        <v>33</v>
      </c>
      <c r="BF2072">
        <v>62</v>
      </c>
      <c r="BG2072">
        <v>27</v>
      </c>
      <c r="BH2072">
        <v>36</v>
      </c>
      <c r="BI2072">
        <v>63</v>
      </c>
      <c r="BP2072">
        <v>87</v>
      </c>
      <c r="BR2072">
        <v>2</v>
      </c>
      <c r="BS2072">
        <v>2</v>
      </c>
      <c r="BT2072">
        <v>0</v>
      </c>
      <c r="BV2072">
        <v>0</v>
      </c>
      <c r="BW2072">
        <v>91</v>
      </c>
      <c r="BX2072">
        <f>IF(C2072=C2071,IF((CI2072-1)=CI2071,BW2071,"no data"))</f>
        <v>101</v>
      </c>
      <c r="BY2072" s="5">
        <f t="shared" ref="BY2072:BY2116" si="221">(BW2072-BX2072)/BX2072</f>
        <v>-9.9009900990099015E-2</v>
      </c>
      <c r="BZ2072" s="6">
        <f t="shared" si="220"/>
        <v>-9.9009900990099015E-2</v>
      </c>
      <c r="CA2072" s="7">
        <v>43415</v>
      </c>
      <c r="CE2072">
        <v>20</v>
      </c>
      <c r="CF2072">
        <v>31</v>
      </c>
      <c r="CG2072">
        <v>14</v>
      </c>
      <c r="CH2072">
        <v>26</v>
      </c>
      <c r="CI2072">
        <f t="shared" si="218"/>
        <v>2018</v>
      </c>
      <c r="CJ2072" t="str">
        <f t="shared" si="219"/>
        <v>7185_2018</v>
      </c>
    </row>
    <row r="2073" spans="1:88" x14ac:dyDescent="0.25">
      <c r="A2073" t="s">
        <v>111</v>
      </c>
      <c r="B2073" t="s">
        <v>157</v>
      </c>
      <c r="C2073">
        <v>7185</v>
      </c>
      <c r="D2073">
        <v>-37.898099999999999</v>
      </c>
      <c r="E2073">
        <v>144.70429999999999</v>
      </c>
      <c r="F2073">
        <v>4</v>
      </c>
      <c r="G2073" t="s">
        <v>780</v>
      </c>
      <c r="H2073">
        <v>18</v>
      </c>
      <c r="I2073">
        <v>198</v>
      </c>
      <c r="J2073">
        <v>98</v>
      </c>
      <c r="K2073">
        <v>278</v>
      </c>
      <c r="L2073">
        <v>200</v>
      </c>
      <c r="M2073">
        <v>20</v>
      </c>
      <c r="N2073">
        <v>277</v>
      </c>
      <c r="O2073">
        <v>97</v>
      </c>
      <c r="AA2073">
        <v>2</v>
      </c>
      <c r="AF2073">
        <v>17</v>
      </c>
      <c r="AK2073">
        <v>5</v>
      </c>
      <c r="BA2073">
        <v>2</v>
      </c>
      <c r="BB2073">
        <v>0</v>
      </c>
      <c r="BC2073">
        <v>2</v>
      </c>
      <c r="BD2073">
        <v>17</v>
      </c>
      <c r="BE2073">
        <v>5</v>
      </c>
      <c r="BF2073">
        <v>22</v>
      </c>
      <c r="BG2073">
        <v>5</v>
      </c>
      <c r="BH2073">
        <v>19</v>
      </c>
      <c r="BI2073">
        <v>24</v>
      </c>
      <c r="BP2073">
        <v>17</v>
      </c>
      <c r="BR2073">
        <v>5</v>
      </c>
      <c r="BS2073">
        <v>2</v>
      </c>
      <c r="BT2073">
        <v>0</v>
      </c>
      <c r="BV2073">
        <v>0</v>
      </c>
      <c r="BW2073">
        <v>24</v>
      </c>
      <c r="BX2073">
        <f>IF(C2073=C2072,IF((CI2073-1)=CI2072,BW2072,"no data"))</f>
        <v>91</v>
      </c>
      <c r="BY2073" s="5">
        <f t="shared" si="221"/>
        <v>-0.73626373626373631</v>
      </c>
      <c r="BZ2073" s="6">
        <f t="shared" si="220"/>
        <v>-0.73626373626373631</v>
      </c>
      <c r="CA2073" s="7">
        <v>43779</v>
      </c>
      <c r="CE2073">
        <v>2</v>
      </c>
      <c r="CF2073">
        <v>12</v>
      </c>
      <c r="CG2073">
        <v>7</v>
      </c>
      <c r="CH2073">
        <v>3</v>
      </c>
      <c r="CI2073">
        <f t="shared" si="218"/>
        <v>2019</v>
      </c>
      <c r="CJ2073" t="str">
        <f t="shared" si="219"/>
        <v>7185_2019</v>
      </c>
    </row>
    <row r="2074" spans="1:88" x14ac:dyDescent="0.25">
      <c r="A2074" t="s">
        <v>111</v>
      </c>
      <c r="B2074" t="s">
        <v>157</v>
      </c>
      <c r="C2074">
        <v>7185</v>
      </c>
      <c r="D2074">
        <v>-37.898055999999997</v>
      </c>
      <c r="E2074">
        <v>144.70433399999999</v>
      </c>
      <c r="F2074">
        <v>4</v>
      </c>
      <c r="G2074" t="s">
        <v>780</v>
      </c>
      <c r="H2074">
        <v>18</v>
      </c>
      <c r="I2074">
        <v>198</v>
      </c>
      <c r="J2074">
        <v>98</v>
      </c>
      <c r="K2074">
        <v>278</v>
      </c>
      <c r="L2074">
        <v>200</v>
      </c>
      <c r="M2074">
        <v>20</v>
      </c>
      <c r="N2074">
        <v>277</v>
      </c>
      <c r="O2074">
        <v>97</v>
      </c>
      <c r="T2074">
        <v>0</v>
      </c>
      <c r="U2074">
        <v>0</v>
      </c>
      <c r="V2074">
        <v>0</v>
      </c>
      <c r="Y2074">
        <v>0</v>
      </c>
      <c r="Z2074">
        <v>9</v>
      </c>
      <c r="AA2074">
        <v>17</v>
      </c>
      <c r="AD2074">
        <v>0</v>
      </c>
      <c r="AE2074">
        <v>15</v>
      </c>
      <c r="AF2074">
        <v>26</v>
      </c>
      <c r="AI2074">
        <v>0</v>
      </c>
      <c r="AJ2074">
        <v>17</v>
      </c>
      <c r="AK2074">
        <v>19</v>
      </c>
      <c r="AX2074">
        <v>0</v>
      </c>
      <c r="AY2074">
        <v>0</v>
      </c>
      <c r="AZ2074">
        <v>0</v>
      </c>
      <c r="BA2074">
        <v>26</v>
      </c>
      <c r="BB2074">
        <v>32</v>
      </c>
      <c r="BC2074">
        <v>58</v>
      </c>
      <c r="BD2074">
        <v>41</v>
      </c>
      <c r="BE2074">
        <v>28</v>
      </c>
      <c r="BF2074">
        <v>69</v>
      </c>
      <c r="BG2074">
        <v>36</v>
      </c>
      <c r="BH2074">
        <v>43</v>
      </c>
      <c r="BI2074">
        <v>79</v>
      </c>
      <c r="BP2074">
        <v>100</v>
      </c>
      <c r="BR2074">
        <v>2</v>
      </c>
      <c r="BS2074">
        <v>1</v>
      </c>
      <c r="BT2074">
        <v>0</v>
      </c>
      <c r="BV2074">
        <v>0</v>
      </c>
      <c r="BW2074">
        <v>103</v>
      </c>
      <c r="BX2074" t="str">
        <f>IF(C2074=C2073,IF((CI2074-1)=CI2073,BW2073,"no data"))</f>
        <v>no data</v>
      </c>
      <c r="BY2074" s="5"/>
      <c r="BZ2074" s="6"/>
      <c r="CA2074" s="7">
        <v>44528</v>
      </c>
      <c r="CE2074">
        <v>39</v>
      </c>
      <c r="CF2074">
        <v>34</v>
      </c>
      <c r="CG2074">
        <v>30</v>
      </c>
      <c r="CI2074">
        <f t="shared" si="218"/>
        <v>2021</v>
      </c>
      <c r="CJ2074" t="str">
        <f t="shared" si="219"/>
        <v>7185_2021</v>
      </c>
    </row>
    <row r="2075" spans="1:88" x14ac:dyDescent="0.25">
      <c r="A2075" t="s">
        <v>111</v>
      </c>
      <c r="B2075" t="s">
        <v>157</v>
      </c>
      <c r="C2075">
        <v>7185</v>
      </c>
      <c r="D2075">
        <v>-37.898055999999997</v>
      </c>
      <c r="E2075">
        <v>144.70433399999999</v>
      </c>
      <c r="F2075">
        <v>4</v>
      </c>
      <c r="G2075" t="s">
        <v>780</v>
      </c>
      <c r="H2075">
        <v>18</v>
      </c>
      <c r="I2075">
        <v>198</v>
      </c>
      <c r="J2075">
        <v>98</v>
      </c>
      <c r="K2075">
        <v>278</v>
      </c>
      <c r="L2075">
        <v>200</v>
      </c>
      <c r="M2075">
        <v>20</v>
      </c>
      <c r="N2075">
        <v>277</v>
      </c>
      <c r="O2075">
        <v>97</v>
      </c>
      <c r="T2075">
        <v>0</v>
      </c>
      <c r="U2075">
        <v>0</v>
      </c>
      <c r="V2075">
        <v>1</v>
      </c>
      <c r="Y2075">
        <v>0</v>
      </c>
      <c r="Z2075">
        <v>11</v>
      </c>
      <c r="AA2075">
        <v>13</v>
      </c>
      <c r="AD2075">
        <v>0</v>
      </c>
      <c r="AE2075">
        <v>7</v>
      </c>
      <c r="AF2075">
        <v>10</v>
      </c>
      <c r="AI2075">
        <v>1</v>
      </c>
      <c r="AJ2075">
        <v>12</v>
      </c>
      <c r="AK2075">
        <v>5</v>
      </c>
      <c r="AX2075">
        <v>1</v>
      </c>
      <c r="AY2075">
        <v>1</v>
      </c>
      <c r="AZ2075">
        <v>2</v>
      </c>
      <c r="BA2075">
        <v>24</v>
      </c>
      <c r="BB2075">
        <v>19</v>
      </c>
      <c r="BC2075">
        <v>43</v>
      </c>
      <c r="BD2075">
        <v>17</v>
      </c>
      <c r="BE2075">
        <v>16</v>
      </c>
      <c r="BF2075">
        <v>33</v>
      </c>
      <c r="BG2075">
        <v>18</v>
      </c>
      <c r="BH2075">
        <v>24</v>
      </c>
      <c r="BI2075">
        <v>42</v>
      </c>
      <c r="BP2075">
        <v>53</v>
      </c>
      <c r="BR2075">
        <v>5</v>
      </c>
      <c r="BS2075">
        <v>2</v>
      </c>
      <c r="BT2075">
        <v>0</v>
      </c>
      <c r="BU2075">
        <v>0</v>
      </c>
      <c r="BV2075">
        <v>0</v>
      </c>
      <c r="BW2075">
        <v>60</v>
      </c>
      <c r="BX2075">
        <f>IF(C2075=C2074,IF((CI2075-1)=CI2074,BW2074,"no data"))</f>
        <v>103</v>
      </c>
      <c r="BY2075" s="5">
        <f t="shared" si="221"/>
        <v>-0.41747572815533979</v>
      </c>
      <c r="BZ2075" s="6">
        <f t="shared" si="220"/>
        <v>-0.41747572815533979</v>
      </c>
      <c r="CA2075" s="7">
        <v>44878</v>
      </c>
      <c r="CE2075">
        <v>23</v>
      </c>
      <c r="CF2075">
        <v>24</v>
      </c>
      <c r="CG2075">
        <v>13</v>
      </c>
      <c r="CI2075">
        <f t="shared" si="218"/>
        <v>2022</v>
      </c>
      <c r="CJ2075" t="str">
        <f t="shared" si="219"/>
        <v>7185_2022</v>
      </c>
    </row>
    <row r="2076" spans="1:88" x14ac:dyDescent="0.25">
      <c r="A2076" t="s">
        <v>492</v>
      </c>
      <c r="B2076" t="s">
        <v>646</v>
      </c>
      <c r="C2076">
        <v>7186</v>
      </c>
      <c r="D2076">
        <v>-20.273558000000001</v>
      </c>
      <c r="E2076">
        <v>148.703217</v>
      </c>
      <c r="F2076">
        <v>3</v>
      </c>
      <c r="G2076" t="s">
        <v>752</v>
      </c>
      <c r="H2076">
        <v>30</v>
      </c>
      <c r="I2076">
        <v>210</v>
      </c>
      <c r="J2076">
        <v>180</v>
      </c>
      <c r="K2076">
        <v>360</v>
      </c>
      <c r="L2076">
        <v>245</v>
      </c>
      <c r="M2076">
        <v>65</v>
      </c>
      <c r="T2076">
        <v>21</v>
      </c>
      <c r="U2076">
        <v>208</v>
      </c>
      <c r="Y2076">
        <v>35</v>
      </c>
      <c r="Z2076">
        <v>4</v>
      </c>
      <c r="AD2076">
        <v>164</v>
      </c>
      <c r="AE2076">
        <v>3</v>
      </c>
      <c r="AX2076">
        <v>229</v>
      </c>
      <c r="AY2076">
        <v>199</v>
      </c>
      <c r="AZ2076">
        <v>428</v>
      </c>
      <c r="BA2076">
        <v>39</v>
      </c>
      <c r="BB2076">
        <v>24</v>
      </c>
      <c r="BC2076">
        <v>63</v>
      </c>
      <c r="BD2076">
        <v>167</v>
      </c>
      <c r="BE2076">
        <v>212</v>
      </c>
      <c r="BF2076">
        <v>379</v>
      </c>
      <c r="BP2076">
        <v>42</v>
      </c>
      <c r="BR2076">
        <v>278</v>
      </c>
      <c r="BS2076">
        <v>42</v>
      </c>
      <c r="BT2076">
        <v>50</v>
      </c>
      <c r="BV2076">
        <v>23</v>
      </c>
      <c r="BW2076">
        <v>435</v>
      </c>
      <c r="BX2076" t="s">
        <v>82</v>
      </c>
      <c r="BY2076" s="5"/>
      <c r="BZ2076" s="6"/>
      <c r="CA2076" s="7">
        <v>43415</v>
      </c>
      <c r="CC2076">
        <v>122</v>
      </c>
      <c r="CD2076">
        <v>115</v>
      </c>
      <c r="CE2076">
        <v>99</v>
      </c>
      <c r="CF2076">
        <v>99</v>
      </c>
      <c r="CI2076">
        <f t="shared" si="218"/>
        <v>2018</v>
      </c>
      <c r="CJ2076" t="str">
        <f t="shared" si="219"/>
        <v>7186_2018</v>
      </c>
    </row>
    <row r="2077" spans="1:88" x14ac:dyDescent="0.25">
      <c r="A2077" t="s">
        <v>79</v>
      </c>
      <c r="B2077" t="s">
        <v>91</v>
      </c>
      <c r="C2077">
        <v>7195</v>
      </c>
      <c r="D2077">
        <v>-33.9148</v>
      </c>
      <c r="E2077">
        <v>151.22550000000001</v>
      </c>
      <c r="F2077">
        <v>3</v>
      </c>
      <c r="G2077" t="s">
        <v>781</v>
      </c>
      <c r="H2077">
        <v>98</v>
      </c>
      <c r="I2077">
        <v>278</v>
      </c>
      <c r="J2077">
        <v>170</v>
      </c>
      <c r="K2077">
        <v>350</v>
      </c>
      <c r="L2077">
        <v>350</v>
      </c>
      <c r="M2077">
        <v>170</v>
      </c>
      <c r="T2077">
        <v>58</v>
      </c>
      <c r="U2077">
        <v>77</v>
      </c>
      <c r="Y2077">
        <v>44</v>
      </c>
      <c r="Z2077">
        <v>181</v>
      </c>
      <c r="AD2077">
        <v>68</v>
      </c>
      <c r="AE2077">
        <v>197</v>
      </c>
      <c r="AX2077">
        <v>135</v>
      </c>
      <c r="AY2077">
        <v>112</v>
      </c>
      <c r="AZ2077">
        <v>247</v>
      </c>
      <c r="BA2077">
        <v>225</v>
      </c>
      <c r="BB2077">
        <v>255</v>
      </c>
      <c r="BC2077">
        <v>480</v>
      </c>
      <c r="BD2077">
        <v>265</v>
      </c>
      <c r="BE2077">
        <v>258</v>
      </c>
      <c r="BF2077">
        <v>523</v>
      </c>
      <c r="BP2077">
        <v>212</v>
      </c>
      <c r="BR2077">
        <v>351</v>
      </c>
      <c r="BS2077">
        <v>30</v>
      </c>
      <c r="BT2077">
        <v>23</v>
      </c>
      <c r="BV2077">
        <v>9</v>
      </c>
      <c r="BW2077">
        <v>625</v>
      </c>
      <c r="BX2077" t="s">
        <v>82</v>
      </c>
      <c r="BY2077" s="5"/>
      <c r="BZ2077" s="6"/>
      <c r="CA2077" s="7">
        <v>44143</v>
      </c>
      <c r="CE2077">
        <v>236</v>
      </c>
      <c r="CF2077">
        <v>120</v>
      </c>
      <c r="CG2077">
        <v>136</v>
      </c>
      <c r="CH2077">
        <v>133</v>
      </c>
      <c r="CI2077">
        <f t="shared" si="218"/>
        <v>2020</v>
      </c>
      <c r="CJ2077" t="str">
        <f t="shared" si="219"/>
        <v>7195_2020</v>
      </c>
    </row>
    <row r="2078" spans="1:88" x14ac:dyDescent="0.25">
      <c r="A2078" t="s">
        <v>79</v>
      </c>
      <c r="B2078" t="s">
        <v>91</v>
      </c>
      <c r="C2078">
        <v>7198</v>
      </c>
      <c r="D2078">
        <v>-33.901535000000003</v>
      </c>
      <c r="E2078">
        <v>151.22262000000001</v>
      </c>
      <c r="F2078">
        <v>4</v>
      </c>
      <c r="G2078" t="s">
        <v>782</v>
      </c>
      <c r="H2078">
        <v>130</v>
      </c>
      <c r="I2078">
        <v>310</v>
      </c>
      <c r="J2078">
        <v>155</v>
      </c>
      <c r="K2078">
        <v>335</v>
      </c>
      <c r="L2078">
        <v>275</v>
      </c>
      <c r="M2078">
        <v>95</v>
      </c>
      <c r="N2078">
        <v>355</v>
      </c>
      <c r="O2078">
        <v>175</v>
      </c>
      <c r="T2078">
        <v>12</v>
      </c>
      <c r="U2078">
        <v>54</v>
      </c>
      <c r="V2078">
        <v>200</v>
      </c>
      <c r="Y2078">
        <v>18</v>
      </c>
      <c r="Z2078">
        <v>13</v>
      </c>
      <c r="AA2078">
        <v>50</v>
      </c>
      <c r="AD2078">
        <v>35</v>
      </c>
      <c r="AE2078">
        <v>20</v>
      </c>
      <c r="AF2078">
        <v>109</v>
      </c>
      <c r="AI2078">
        <v>175</v>
      </c>
      <c r="AJ2078">
        <v>36</v>
      </c>
      <c r="AK2078">
        <v>52</v>
      </c>
      <c r="AX2078">
        <v>266</v>
      </c>
      <c r="AY2078">
        <v>228</v>
      </c>
      <c r="AZ2078">
        <v>494</v>
      </c>
      <c r="BA2078">
        <v>81</v>
      </c>
      <c r="BB2078">
        <v>68</v>
      </c>
      <c r="BC2078">
        <v>149</v>
      </c>
      <c r="BD2078">
        <v>164</v>
      </c>
      <c r="BE2078">
        <v>119</v>
      </c>
      <c r="BF2078">
        <v>283</v>
      </c>
      <c r="BG2078">
        <v>263</v>
      </c>
      <c r="BH2078">
        <v>359</v>
      </c>
      <c r="BI2078">
        <v>622</v>
      </c>
      <c r="BP2078">
        <v>349</v>
      </c>
      <c r="BR2078">
        <v>270</v>
      </c>
      <c r="BS2078">
        <v>104</v>
      </c>
      <c r="BT2078">
        <v>37</v>
      </c>
      <c r="BV2078">
        <v>14</v>
      </c>
      <c r="BW2078">
        <v>774</v>
      </c>
      <c r="BX2078" t="s">
        <v>82</v>
      </c>
      <c r="BY2078" s="5"/>
      <c r="BZ2078" s="6"/>
      <c r="CA2078" s="7">
        <v>43415</v>
      </c>
      <c r="CE2078">
        <v>257</v>
      </c>
      <c r="CF2078">
        <v>167</v>
      </c>
      <c r="CG2078">
        <v>194</v>
      </c>
      <c r="CH2078">
        <v>156</v>
      </c>
      <c r="CI2078">
        <f t="shared" si="218"/>
        <v>2018</v>
      </c>
      <c r="CJ2078" t="str">
        <f t="shared" si="219"/>
        <v>7198_2018</v>
      </c>
    </row>
    <row r="2079" spans="1:88" x14ac:dyDescent="0.25">
      <c r="A2079" t="s">
        <v>277</v>
      </c>
      <c r="B2079" t="s">
        <v>473</v>
      </c>
      <c r="C2079">
        <v>7254</v>
      </c>
      <c r="D2079">
        <v>-34.983086</v>
      </c>
      <c r="E2079">
        <v>138.62750399999999</v>
      </c>
      <c r="F2079">
        <v>3</v>
      </c>
      <c r="G2079" t="s">
        <v>783</v>
      </c>
      <c r="H2079">
        <v>45</v>
      </c>
      <c r="I2079">
        <v>225</v>
      </c>
      <c r="J2079">
        <v>137</v>
      </c>
      <c r="K2079">
        <v>317</v>
      </c>
      <c r="L2079">
        <v>240</v>
      </c>
      <c r="M2079">
        <v>60</v>
      </c>
      <c r="T2079">
        <v>27</v>
      </c>
      <c r="U2079">
        <v>27</v>
      </c>
      <c r="Y2079">
        <v>75</v>
      </c>
      <c r="Z2079">
        <v>0</v>
      </c>
      <c r="AD2079">
        <v>16</v>
      </c>
      <c r="AE2079">
        <v>5</v>
      </c>
      <c r="AX2079">
        <v>54</v>
      </c>
      <c r="AY2079">
        <v>91</v>
      </c>
      <c r="AZ2079">
        <v>145</v>
      </c>
      <c r="BA2079">
        <v>75</v>
      </c>
      <c r="BB2079">
        <v>32</v>
      </c>
      <c r="BC2079">
        <v>107</v>
      </c>
      <c r="BD2079">
        <v>21</v>
      </c>
      <c r="BE2079">
        <v>27</v>
      </c>
      <c r="BF2079">
        <v>48</v>
      </c>
      <c r="BP2079">
        <v>6</v>
      </c>
      <c r="BR2079">
        <v>106</v>
      </c>
      <c r="BS2079">
        <v>11</v>
      </c>
      <c r="BT2079">
        <v>21</v>
      </c>
      <c r="BV2079">
        <v>6</v>
      </c>
      <c r="BW2079">
        <v>150</v>
      </c>
      <c r="BX2079" t="s">
        <v>82</v>
      </c>
      <c r="BY2079" s="5"/>
      <c r="BZ2079" s="6"/>
      <c r="CA2079" s="7">
        <v>43415</v>
      </c>
      <c r="CE2079">
        <v>61</v>
      </c>
      <c r="CF2079">
        <v>54</v>
      </c>
      <c r="CG2079">
        <v>14</v>
      </c>
      <c r="CH2079">
        <v>21</v>
      </c>
      <c r="CI2079">
        <f t="shared" si="218"/>
        <v>2018</v>
      </c>
      <c r="CJ2079" t="str">
        <f t="shared" si="219"/>
        <v>7254_2018</v>
      </c>
    </row>
    <row r="2080" spans="1:88" x14ac:dyDescent="0.25">
      <c r="A2080" t="s">
        <v>277</v>
      </c>
      <c r="B2080" t="s">
        <v>473</v>
      </c>
      <c r="C2080">
        <v>7254</v>
      </c>
      <c r="D2080">
        <v>-34.982900000000001</v>
      </c>
      <c r="E2080">
        <v>138.62780000000001</v>
      </c>
      <c r="F2080">
        <v>4</v>
      </c>
      <c r="G2080" t="s">
        <v>784</v>
      </c>
      <c r="H2080">
        <v>90</v>
      </c>
      <c r="I2080">
        <v>270</v>
      </c>
      <c r="J2080">
        <v>170</v>
      </c>
      <c r="K2080">
        <v>350</v>
      </c>
      <c r="L2080">
        <v>240</v>
      </c>
      <c r="M2080">
        <v>60</v>
      </c>
      <c r="N2080">
        <v>350</v>
      </c>
      <c r="O2080">
        <v>170</v>
      </c>
      <c r="T2080">
        <v>11</v>
      </c>
      <c r="U2080">
        <v>42</v>
      </c>
      <c r="V2080">
        <v>79</v>
      </c>
      <c r="Y2080">
        <v>26</v>
      </c>
      <c r="Z2080">
        <v>6</v>
      </c>
      <c r="AA2080">
        <v>5</v>
      </c>
      <c r="AD2080">
        <v>37</v>
      </c>
      <c r="AE2080">
        <v>4</v>
      </c>
      <c r="AF2080">
        <v>8</v>
      </c>
      <c r="AI2080">
        <v>51</v>
      </c>
      <c r="AJ2080">
        <v>12</v>
      </c>
      <c r="AK2080">
        <v>4</v>
      </c>
      <c r="AX2080">
        <v>132</v>
      </c>
      <c r="AY2080">
        <v>114</v>
      </c>
      <c r="AZ2080">
        <v>246</v>
      </c>
      <c r="BA2080">
        <v>37</v>
      </c>
      <c r="BB2080">
        <v>27</v>
      </c>
      <c r="BC2080">
        <v>64</v>
      </c>
      <c r="BD2080">
        <v>49</v>
      </c>
      <c r="BE2080">
        <v>52</v>
      </c>
      <c r="BF2080">
        <v>101</v>
      </c>
      <c r="BG2080">
        <v>67</v>
      </c>
      <c r="BH2080">
        <v>92</v>
      </c>
      <c r="BI2080">
        <v>159</v>
      </c>
      <c r="BP2080">
        <v>5</v>
      </c>
      <c r="BR2080">
        <v>234</v>
      </c>
      <c r="BS2080">
        <v>10</v>
      </c>
      <c r="BT2080">
        <v>36</v>
      </c>
      <c r="BV2080">
        <v>0</v>
      </c>
      <c r="BW2080">
        <v>285</v>
      </c>
      <c r="BX2080" t="str">
        <f>IF(C2080=C2079,IF((CI2080-1)=CI2079,BW2079,"no data"))</f>
        <v>no data</v>
      </c>
      <c r="BY2080" s="5"/>
      <c r="BZ2080" s="6"/>
      <c r="CA2080" s="7">
        <v>44143</v>
      </c>
      <c r="CE2080">
        <v>68</v>
      </c>
      <c r="CF2080">
        <v>94</v>
      </c>
      <c r="CG2080">
        <v>84</v>
      </c>
      <c r="CH2080">
        <v>39</v>
      </c>
      <c r="CI2080">
        <f t="shared" si="218"/>
        <v>2020</v>
      </c>
      <c r="CJ2080" t="str">
        <f t="shared" si="219"/>
        <v>7254_2020</v>
      </c>
    </row>
    <row r="2081" spans="1:88" x14ac:dyDescent="0.25">
      <c r="A2081" t="s">
        <v>277</v>
      </c>
      <c r="B2081" t="s">
        <v>473</v>
      </c>
      <c r="C2081">
        <v>7254</v>
      </c>
      <c r="D2081">
        <v>-34.982947000000003</v>
      </c>
      <c r="E2081">
        <v>138.62780000000001</v>
      </c>
      <c r="F2081">
        <v>4</v>
      </c>
      <c r="G2081" t="s">
        <v>784</v>
      </c>
      <c r="H2081">
        <v>90</v>
      </c>
      <c r="I2081">
        <v>270</v>
      </c>
      <c r="J2081">
        <v>170</v>
      </c>
      <c r="K2081">
        <v>350</v>
      </c>
      <c r="L2081">
        <v>240</v>
      </c>
      <c r="M2081">
        <v>60</v>
      </c>
      <c r="N2081">
        <v>350</v>
      </c>
      <c r="O2081">
        <v>170</v>
      </c>
      <c r="T2081">
        <v>44</v>
      </c>
      <c r="U2081">
        <v>41</v>
      </c>
      <c r="V2081">
        <v>32</v>
      </c>
      <c r="Y2081">
        <v>43</v>
      </c>
      <c r="Z2081">
        <v>8</v>
      </c>
      <c r="AA2081">
        <v>7</v>
      </c>
      <c r="AD2081">
        <v>33</v>
      </c>
      <c r="AE2081">
        <v>8</v>
      </c>
      <c r="AF2081">
        <v>5</v>
      </c>
      <c r="AI2081">
        <v>7</v>
      </c>
      <c r="AJ2081">
        <v>12</v>
      </c>
      <c r="AK2081">
        <v>9</v>
      </c>
      <c r="AX2081">
        <v>117</v>
      </c>
      <c r="AY2081">
        <v>83</v>
      </c>
      <c r="AZ2081">
        <v>200</v>
      </c>
      <c r="BA2081">
        <v>58</v>
      </c>
      <c r="BB2081">
        <v>64</v>
      </c>
      <c r="BC2081">
        <v>122</v>
      </c>
      <c r="BD2081">
        <v>46</v>
      </c>
      <c r="BE2081">
        <v>58</v>
      </c>
      <c r="BF2081">
        <v>104</v>
      </c>
      <c r="BG2081">
        <v>28</v>
      </c>
      <c r="BH2081">
        <v>44</v>
      </c>
      <c r="BI2081">
        <v>72</v>
      </c>
      <c r="BP2081">
        <v>8</v>
      </c>
      <c r="BR2081">
        <v>174</v>
      </c>
      <c r="BS2081">
        <v>11</v>
      </c>
      <c r="BT2081">
        <v>51</v>
      </c>
      <c r="BV2081">
        <v>5</v>
      </c>
      <c r="BW2081">
        <v>249</v>
      </c>
      <c r="BX2081">
        <f>IF(C2081=C2080,IF((CI2081-1)=CI2080,BW2080,"no data"))</f>
        <v>285</v>
      </c>
      <c r="BY2081" s="5">
        <f t="shared" si="221"/>
        <v>-0.12631578947368421</v>
      </c>
      <c r="BZ2081" s="6">
        <f t="shared" si="220"/>
        <v>-0.12631578947368421</v>
      </c>
      <c r="CA2081" s="7">
        <v>44528</v>
      </c>
      <c r="CE2081">
        <v>89</v>
      </c>
      <c r="CF2081">
        <v>92</v>
      </c>
      <c r="CG2081">
        <v>68</v>
      </c>
      <c r="CI2081">
        <f t="shared" si="218"/>
        <v>2021</v>
      </c>
      <c r="CJ2081" t="str">
        <f t="shared" si="219"/>
        <v>7254_2021</v>
      </c>
    </row>
    <row r="2082" spans="1:88" x14ac:dyDescent="0.25">
      <c r="A2082" t="s">
        <v>277</v>
      </c>
      <c r="B2082" t="s">
        <v>473</v>
      </c>
      <c r="C2082">
        <v>7254</v>
      </c>
      <c r="D2082">
        <v>-34.982947000000003</v>
      </c>
      <c r="E2082">
        <v>138.62780000000001</v>
      </c>
      <c r="F2082">
        <v>4</v>
      </c>
      <c r="G2082" t="s">
        <v>784</v>
      </c>
      <c r="H2082">
        <v>90</v>
      </c>
      <c r="I2082">
        <v>270</v>
      </c>
      <c r="J2082">
        <v>170</v>
      </c>
      <c r="K2082">
        <v>350</v>
      </c>
      <c r="L2082">
        <v>240</v>
      </c>
      <c r="M2082">
        <v>60</v>
      </c>
      <c r="N2082">
        <v>350</v>
      </c>
      <c r="O2082">
        <v>170</v>
      </c>
      <c r="T2082">
        <v>35</v>
      </c>
      <c r="U2082">
        <v>19</v>
      </c>
      <c r="V2082">
        <v>32</v>
      </c>
      <c r="Y2082">
        <v>34</v>
      </c>
      <c r="Z2082">
        <v>1</v>
      </c>
      <c r="AA2082">
        <v>5</v>
      </c>
      <c r="AD2082">
        <v>12</v>
      </c>
      <c r="AE2082">
        <v>1</v>
      </c>
      <c r="AF2082">
        <v>15</v>
      </c>
      <c r="AI2082">
        <v>17</v>
      </c>
      <c r="AJ2082">
        <v>13</v>
      </c>
      <c r="AK2082">
        <v>8</v>
      </c>
      <c r="AX2082">
        <v>86</v>
      </c>
      <c r="AY2082">
        <v>63</v>
      </c>
      <c r="AZ2082">
        <v>149</v>
      </c>
      <c r="BA2082">
        <v>40</v>
      </c>
      <c r="BB2082">
        <v>49</v>
      </c>
      <c r="BC2082">
        <v>89</v>
      </c>
      <c r="BD2082">
        <v>28</v>
      </c>
      <c r="BE2082">
        <v>28</v>
      </c>
      <c r="BF2082">
        <v>56</v>
      </c>
      <c r="BG2082">
        <v>38</v>
      </c>
      <c r="BH2082">
        <v>52</v>
      </c>
      <c r="BI2082">
        <v>90</v>
      </c>
      <c r="BP2082">
        <v>10</v>
      </c>
      <c r="BR2082">
        <v>125</v>
      </c>
      <c r="BS2082">
        <v>12</v>
      </c>
      <c r="BT2082">
        <v>45</v>
      </c>
      <c r="BU2082">
        <v>0</v>
      </c>
      <c r="BV2082">
        <v>0</v>
      </c>
      <c r="BW2082">
        <v>192</v>
      </c>
      <c r="BX2082">
        <f>IF(C2082=C2081,IF((CI2082-1)=CI2081,BW2081,"no data"))</f>
        <v>249</v>
      </c>
      <c r="BY2082" s="5">
        <f t="shared" si="221"/>
        <v>-0.2289156626506024</v>
      </c>
      <c r="BZ2082" s="6">
        <f t="shared" si="220"/>
        <v>-0.2289156626506024</v>
      </c>
      <c r="CA2082" s="7">
        <v>44892</v>
      </c>
      <c r="CE2082">
        <v>72</v>
      </c>
      <c r="CF2082">
        <v>60</v>
      </c>
      <c r="CG2082">
        <v>60</v>
      </c>
      <c r="CI2082">
        <f t="shared" si="218"/>
        <v>2022</v>
      </c>
      <c r="CJ2082" t="str">
        <f t="shared" si="219"/>
        <v>7254_2022</v>
      </c>
    </row>
    <row r="2083" spans="1:88" x14ac:dyDescent="0.25">
      <c r="A2083" t="s">
        <v>277</v>
      </c>
      <c r="B2083" t="s">
        <v>473</v>
      </c>
      <c r="C2083">
        <v>7255</v>
      </c>
      <c r="D2083">
        <v>-35.032051000000003</v>
      </c>
      <c r="E2083">
        <v>138.58351999999999</v>
      </c>
      <c r="F2083">
        <v>3</v>
      </c>
      <c r="G2083" t="s">
        <v>785</v>
      </c>
      <c r="H2083">
        <v>45</v>
      </c>
      <c r="I2083">
        <v>225</v>
      </c>
      <c r="J2083">
        <v>180</v>
      </c>
      <c r="K2083">
        <v>360</v>
      </c>
      <c r="L2083">
        <v>293</v>
      </c>
      <c r="M2083">
        <v>113</v>
      </c>
      <c r="T2083">
        <v>4</v>
      </c>
      <c r="U2083">
        <v>1</v>
      </c>
      <c r="Y2083">
        <v>9</v>
      </c>
      <c r="Z2083">
        <v>0</v>
      </c>
      <c r="AD2083">
        <v>3</v>
      </c>
      <c r="AE2083">
        <v>1</v>
      </c>
      <c r="AX2083">
        <v>5</v>
      </c>
      <c r="AY2083">
        <v>12</v>
      </c>
      <c r="AZ2083">
        <v>17</v>
      </c>
      <c r="BA2083">
        <v>9</v>
      </c>
      <c r="BB2083">
        <v>5</v>
      </c>
      <c r="BC2083">
        <v>14</v>
      </c>
      <c r="BD2083">
        <v>4</v>
      </c>
      <c r="BE2083">
        <v>1</v>
      </c>
      <c r="BF2083">
        <v>5</v>
      </c>
      <c r="BP2083">
        <v>6</v>
      </c>
      <c r="BR2083">
        <v>10</v>
      </c>
      <c r="BS2083">
        <v>0</v>
      </c>
      <c r="BT2083">
        <v>2</v>
      </c>
      <c r="BV2083">
        <v>0</v>
      </c>
      <c r="BW2083">
        <v>18</v>
      </c>
      <c r="BX2083" t="s">
        <v>82</v>
      </c>
      <c r="BY2083" s="5"/>
      <c r="BZ2083" s="6"/>
      <c r="CA2083" s="7">
        <v>43415</v>
      </c>
      <c r="CE2083">
        <v>6</v>
      </c>
      <c r="CF2083">
        <v>1</v>
      </c>
      <c r="CG2083">
        <v>6</v>
      </c>
      <c r="CH2083">
        <v>5</v>
      </c>
      <c r="CI2083">
        <f t="shared" si="218"/>
        <v>2018</v>
      </c>
      <c r="CJ2083" t="str">
        <f t="shared" si="219"/>
        <v>7255_2018</v>
      </c>
    </row>
    <row r="2084" spans="1:88" x14ac:dyDescent="0.25">
      <c r="A2084" t="s">
        <v>277</v>
      </c>
      <c r="B2084" t="s">
        <v>473</v>
      </c>
      <c r="C2084">
        <v>7255</v>
      </c>
      <c r="D2084">
        <v>-35.0321</v>
      </c>
      <c r="E2084">
        <v>138.58349999999999</v>
      </c>
      <c r="F2084">
        <v>3</v>
      </c>
      <c r="G2084" t="s">
        <v>785</v>
      </c>
      <c r="H2084">
        <v>45</v>
      </c>
      <c r="I2084">
        <v>225</v>
      </c>
      <c r="J2084">
        <v>180</v>
      </c>
      <c r="K2084">
        <v>360</v>
      </c>
      <c r="L2084">
        <v>293</v>
      </c>
      <c r="M2084">
        <v>113</v>
      </c>
      <c r="T2084">
        <v>5</v>
      </c>
      <c r="U2084">
        <v>8</v>
      </c>
      <c r="Y2084">
        <v>11</v>
      </c>
      <c r="Z2084">
        <v>10</v>
      </c>
      <c r="AD2084">
        <v>11</v>
      </c>
      <c r="AE2084">
        <v>8</v>
      </c>
      <c r="AX2084">
        <v>13</v>
      </c>
      <c r="AY2084">
        <v>22</v>
      </c>
      <c r="AZ2084">
        <v>35</v>
      </c>
      <c r="BA2084">
        <v>21</v>
      </c>
      <c r="BB2084">
        <v>13</v>
      </c>
      <c r="BC2084">
        <v>34</v>
      </c>
      <c r="BD2084">
        <v>19</v>
      </c>
      <c r="BE2084">
        <v>18</v>
      </c>
      <c r="BF2084">
        <v>37</v>
      </c>
      <c r="BP2084">
        <v>14</v>
      </c>
      <c r="BR2084">
        <v>27</v>
      </c>
      <c r="BS2084">
        <v>6</v>
      </c>
      <c r="BT2084">
        <v>6</v>
      </c>
      <c r="BV2084">
        <v>0</v>
      </c>
      <c r="BW2084">
        <v>53</v>
      </c>
      <c r="BX2084" t="str">
        <f>IF(C2084=C2083,IF((CI2084-1)=CI2083,BW2083,"no data"))</f>
        <v>no data</v>
      </c>
      <c r="BY2084" s="5"/>
      <c r="BZ2084" s="6"/>
      <c r="CA2084" s="7">
        <v>44143</v>
      </c>
      <c r="CE2084">
        <v>22</v>
      </c>
      <c r="CF2084">
        <v>8</v>
      </c>
      <c r="CG2084">
        <v>14</v>
      </c>
      <c r="CH2084">
        <v>9</v>
      </c>
      <c r="CI2084">
        <f t="shared" si="218"/>
        <v>2020</v>
      </c>
      <c r="CJ2084" t="str">
        <f t="shared" si="219"/>
        <v>7255_2020</v>
      </c>
    </row>
    <row r="2085" spans="1:88" x14ac:dyDescent="0.25">
      <c r="A2085" t="s">
        <v>277</v>
      </c>
      <c r="B2085" t="s">
        <v>473</v>
      </c>
      <c r="C2085">
        <v>7255</v>
      </c>
      <c r="D2085">
        <v>-35.032051000000003</v>
      </c>
      <c r="E2085">
        <v>138.58351999999999</v>
      </c>
      <c r="F2085">
        <v>3</v>
      </c>
      <c r="G2085" t="s">
        <v>785</v>
      </c>
      <c r="H2085">
        <v>45</v>
      </c>
      <c r="I2085">
        <v>225</v>
      </c>
      <c r="J2085">
        <v>180</v>
      </c>
      <c r="K2085">
        <v>360</v>
      </c>
      <c r="L2085">
        <v>293</v>
      </c>
      <c r="M2085">
        <v>113</v>
      </c>
      <c r="T2085">
        <v>5</v>
      </c>
      <c r="U2085">
        <v>11</v>
      </c>
      <c r="Y2085">
        <v>2</v>
      </c>
      <c r="Z2085">
        <v>4</v>
      </c>
      <c r="AD2085">
        <v>16</v>
      </c>
      <c r="AE2085">
        <v>17</v>
      </c>
      <c r="AX2085">
        <v>16</v>
      </c>
      <c r="AY2085">
        <v>18</v>
      </c>
      <c r="AZ2085">
        <v>34</v>
      </c>
      <c r="BA2085">
        <v>6</v>
      </c>
      <c r="BB2085">
        <v>22</v>
      </c>
      <c r="BC2085">
        <v>28</v>
      </c>
      <c r="BD2085">
        <v>33</v>
      </c>
      <c r="BE2085">
        <v>15</v>
      </c>
      <c r="BF2085">
        <v>48</v>
      </c>
      <c r="BP2085">
        <v>21</v>
      </c>
      <c r="BR2085">
        <v>26</v>
      </c>
      <c r="BS2085">
        <v>5</v>
      </c>
      <c r="BT2085">
        <v>3</v>
      </c>
      <c r="BV2085">
        <v>0</v>
      </c>
      <c r="BW2085">
        <v>55</v>
      </c>
      <c r="BX2085">
        <f>IF(C2085=C2084,IF((CI2085-1)=CI2084,BW2084,"no data"))</f>
        <v>53</v>
      </c>
      <c r="BY2085" s="5">
        <f t="shared" si="221"/>
        <v>3.7735849056603772E-2</v>
      </c>
      <c r="BZ2085" s="6">
        <f t="shared" si="220"/>
        <v>3.7735849056603772E-2</v>
      </c>
      <c r="CA2085" s="7">
        <v>44528</v>
      </c>
      <c r="CE2085">
        <v>18</v>
      </c>
      <c r="CF2085">
        <v>9</v>
      </c>
      <c r="CG2085">
        <v>28</v>
      </c>
      <c r="CI2085">
        <f t="shared" si="218"/>
        <v>2021</v>
      </c>
      <c r="CJ2085" t="str">
        <f t="shared" si="219"/>
        <v>7255_2021</v>
      </c>
    </row>
    <row r="2086" spans="1:88" x14ac:dyDescent="0.25">
      <c r="A2086" t="s">
        <v>277</v>
      </c>
      <c r="B2086" t="s">
        <v>473</v>
      </c>
      <c r="C2086">
        <v>7255</v>
      </c>
      <c r="D2086">
        <v>-35.032051000000003</v>
      </c>
      <c r="E2086">
        <v>138.58351999999999</v>
      </c>
      <c r="F2086">
        <v>3</v>
      </c>
      <c r="G2086" t="s">
        <v>785</v>
      </c>
      <c r="H2086">
        <v>45</v>
      </c>
      <c r="I2086">
        <v>225</v>
      </c>
      <c r="J2086">
        <v>180</v>
      </c>
      <c r="K2086">
        <v>360</v>
      </c>
      <c r="L2086">
        <v>293</v>
      </c>
      <c r="M2086">
        <v>113</v>
      </c>
      <c r="T2086">
        <v>4</v>
      </c>
      <c r="U2086">
        <v>1</v>
      </c>
      <c r="Y2086">
        <v>4</v>
      </c>
      <c r="Z2086">
        <v>4</v>
      </c>
      <c r="AD2086">
        <v>3</v>
      </c>
      <c r="AE2086">
        <v>3</v>
      </c>
      <c r="AX2086">
        <v>5</v>
      </c>
      <c r="AY2086">
        <v>7</v>
      </c>
      <c r="AZ2086">
        <v>12</v>
      </c>
      <c r="BA2086">
        <v>8</v>
      </c>
      <c r="BB2086">
        <v>7</v>
      </c>
      <c r="BC2086">
        <v>15</v>
      </c>
      <c r="BD2086">
        <v>6</v>
      </c>
      <c r="BE2086">
        <v>5</v>
      </c>
      <c r="BF2086">
        <v>11</v>
      </c>
      <c r="BP2086">
        <v>8</v>
      </c>
      <c r="BR2086">
        <v>8</v>
      </c>
      <c r="BS2086">
        <v>0</v>
      </c>
      <c r="BT2086">
        <v>3</v>
      </c>
      <c r="BU2086">
        <v>0</v>
      </c>
      <c r="BV2086">
        <v>0</v>
      </c>
      <c r="BW2086">
        <v>19</v>
      </c>
      <c r="BX2086">
        <f>IF(C2086=C2085,IF((CI2086-1)=CI2085,BW2085,"no data"))</f>
        <v>55</v>
      </c>
      <c r="BY2086" s="5">
        <f t="shared" si="221"/>
        <v>-0.65454545454545454</v>
      </c>
      <c r="BZ2086" s="6">
        <f t="shared" si="220"/>
        <v>-0.65454545454545454</v>
      </c>
      <c r="CA2086" s="7">
        <v>44885</v>
      </c>
      <c r="CE2086">
        <v>12</v>
      </c>
      <c r="CF2086">
        <v>6</v>
      </c>
      <c r="CG2086">
        <v>1</v>
      </c>
      <c r="CI2086">
        <f t="shared" si="218"/>
        <v>2022</v>
      </c>
      <c r="CJ2086" t="str">
        <f t="shared" si="219"/>
        <v>7255_2022</v>
      </c>
    </row>
    <row r="2087" spans="1:88" x14ac:dyDescent="0.25">
      <c r="A2087" t="s">
        <v>277</v>
      </c>
      <c r="B2087" t="s">
        <v>473</v>
      </c>
      <c r="C2087">
        <v>7256</v>
      </c>
      <c r="D2087">
        <v>-34.996262999999999</v>
      </c>
      <c r="E2087">
        <v>138.651036</v>
      </c>
      <c r="F2087">
        <v>2</v>
      </c>
      <c r="G2087" t="s">
        <v>786</v>
      </c>
      <c r="H2087">
        <v>11</v>
      </c>
      <c r="I2087">
        <v>191</v>
      </c>
      <c r="J2087">
        <v>190</v>
      </c>
      <c r="K2087">
        <v>10</v>
      </c>
      <c r="L2087">
        <v>190</v>
      </c>
      <c r="M2087">
        <v>10</v>
      </c>
      <c r="U2087">
        <v>5</v>
      </c>
      <c r="AD2087">
        <v>2</v>
      </c>
      <c r="AX2087">
        <v>5</v>
      </c>
      <c r="AY2087">
        <v>2</v>
      </c>
      <c r="AZ2087">
        <v>7</v>
      </c>
      <c r="BD2087">
        <v>2</v>
      </c>
      <c r="BE2087">
        <v>5</v>
      </c>
      <c r="BF2087">
        <v>7</v>
      </c>
      <c r="BP2087">
        <v>4</v>
      </c>
      <c r="BR2087">
        <v>3</v>
      </c>
      <c r="BS2087">
        <v>0</v>
      </c>
      <c r="BT2087">
        <v>0</v>
      </c>
      <c r="BV2087">
        <v>0</v>
      </c>
      <c r="BW2087">
        <v>7</v>
      </c>
      <c r="BX2087" t="s">
        <v>82</v>
      </c>
      <c r="BY2087" s="5"/>
      <c r="BZ2087" s="6"/>
      <c r="CA2087" s="7">
        <v>43415</v>
      </c>
      <c r="CE2087">
        <v>5</v>
      </c>
      <c r="CF2087">
        <v>2</v>
      </c>
      <c r="CG2087">
        <v>0</v>
      </c>
      <c r="CH2087">
        <v>0</v>
      </c>
      <c r="CI2087">
        <f t="shared" si="218"/>
        <v>2018</v>
      </c>
      <c r="CJ2087" t="str">
        <f t="shared" si="219"/>
        <v>7256_2018</v>
      </c>
    </row>
    <row r="2088" spans="1:88" x14ac:dyDescent="0.25">
      <c r="A2088" t="s">
        <v>277</v>
      </c>
      <c r="B2088" t="s">
        <v>473</v>
      </c>
      <c r="C2088">
        <v>7256</v>
      </c>
      <c r="D2088">
        <v>-34.996299999999998</v>
      </c>
      <c r="E2088">
        <v>138.65100000000001</v>
      </c>
      <c r="F2088">
        <v>2</v>
      </c>
      <c r="G2088" t="s">
        <v>786</v>
      </c>
      <c r="H2088">
        <v>11</v>
      </c>
      <c r="I2088">
        <v>191</v>
      </c>
      <c r="L2088">
        <v>190</v>
      </c>
      <c r="M2088">
        <v>10</v>
      </c>
      <c r="U2088">
        <v>27</v>
      </c>
      <c r="AD2088">
        <v>12</v>
      </c>
      <c r="AX2088">
        <v>27</v>
      </c>
      <c r="AY2088">
        <v>12</v>
      </c>
      <c r="AZ2088">
        <v>39</v>
      </c>
      <c r="BD2088">
        <v>12</v>
      </c>
      <c r="BE2088">
        <v>27</v>
      </c>
      <c r="BF2088">
        <v>39</v>
      </c>
      <c r="BP2088">
        <v>13</v>
      </c>
      <c r="BR2088">
        <v>21</v>
      </c>
      <c r="BS2088">
        <v>3</v>
      </c>
      <c r="BT2088">
        <v>2</v>
      </c>
      <c r="BV2088">
        <v>0</v>
      </c>
      <c r="BW2088">
        <v>39</v>
      </c>
      <c r="BX2088" t="str">
        <f>IF(C2088=C2087,IF((CI2088-1)=CI2087,BW2087,"no data"))</f>
        <v>no data</v>
      </c>
      <c r="BY2088" s="5"/>
      <c r="BZ2088" s="6"/>
      <c r="CA2088" s="7">
        <v>44143</v>
      </c>
      <c r="CE2088">
        <v>6</v>
      </c>
      <c r="CF2088">
        <v>23</v>
      </c>
      <c r="CG2088">
        <v>2</v>
      </c>
      <c r="CH2088">
        <v>8</v>
      </c>
      <c r="CI2088">
        <f t="shared" si="218"/>
        <v>2020</v>
      </c>
      <c r="CJ2088" t="str">
        <f t="shared" si="219"/>
        <v>7256_2020</v>
      </c>
    </row>
    <row r="2089" spans="1:88" x14ac:dyDescent="0.25">
      <c r="A2089" t="s">
        <v>277</v>
      </c>
      <c r="B2089" t="s">
        <v>473</v>
      </c>
      <c r="C2089">
        <v>7256</v>
      </c>
      <c r="D2089">
        <v>-34.996262999999999</v>
      </c>
      <c r="E2089">
        <v>138.651036</v>
      </c>
      <c r="F2089">
        <v>2</v>
      </c>
      <c r="G2089" t="s">
        <v>786</v>
      </c>
      <c r="H2089">
        <v>11</v>
      </c>
      <c r="I2089">
        <v>191</v>
      </c>
      <c r="L2089">
        <v>190</v>
      </c>
      <c r="M2089">
        <v>10</v>
      </c>
      <c r="U2089">
        <v>21</v>
      </c>
      <c r="AD2089">
        <v>9</v>
      </c>
      <c r="AX2089">
        <v>21</v>
      </c>
      <c r="AY2089">
        <v>9</v>
      </c>
      <c r="AZ2089">
        <v>30</v>
      </c>
      <c r="BD2089">
        <v>9</v>
      </c>
      <c r="BE2089">
        <v>21</v>
      </c>
      <c r="BF2089">
        <v>30</v>
      </c>
      <c r="BP2089">
        <v>20</v>
      </c>
      <c r="BR2089">
        <v>1</v>
      </c>
      <c r="BS2089">
        <v>9</v>
      </c>
      <c r="BT2089">
        <v>0</v>
      </c>
      <c r="BV2089">
        <v>0</v>
      </c>
      <c r="BW2089">
        <v>30</v>
      </c>
      <c r="BX2089">
        <f>IF(C2089=C2088,IF((CI2089-1)=CI2088,BW2088,"no data"))</f>
        <v>39</v>
      </c>
      <c r="BY2089" s="5">
        <f t="shared" si="221"/>
        <v>-0.23076923076923078</v>
      </c>
      <c r="BZ2089" s="6">
        <f t="shared" si="220"/>
        <v>-0.23076923076923078</v>
      </c>
      <c r="CA2089" s="7">
        <v>44528</v>
      </c>
      <c r="CE2089">
        <v>9</v>
      </c>
      <c r="CF2089">
        <v>15</v>
      </c>
      <c r="CG2089">
        <v>6</v>
      </c>
      <c r="CI2089">
        <f t="shared" si="218"/>
        <v>2021</v>
      </c>
      <c r="CJ2089" t="str">
        <f t="shared" si="219"/>
        <v>7256_2021</v>
      </c>
    </row>
    <row r="2090" spans="1:88" x14ac:dyDescent="0.25">
      <c r="A2090" t="s">
        <v>277</v>
      </c>
      <c r="B2090" t="s">
        <v>473</v>
      </c>
      <c r="C2090">
        <v>7256</v>
      </c>
      <c r="D2090">
        <v>-34.996262999999999</v>
      </c>
      <c r="E2090">
        <v>138.651036</v>
      </c>
      <c r="F2090">
        <v>2</v>
      </c>
      <c r="G2090" t="s">
        <v>786</v>
      </c>
      <c r="H2090">
        <v>11</v>
      </c>
      <c r="I2090">
        <v>191</v>
      </c>
      <c r="J2090">
        <v>190</v>
      </c>
      <c r="K2090">
        <v>10</v>
      </c>
      <c r="U2090">
        <v>6</v>
      </c>
      <c r="AD2090">
        <v>6</v>
      </c>
      <c r="AX2090">
        <v>6</v>
      </c>
      <c r="AY2090">
        <v>6</v>
      </c>
      <c r="AZ2090">
        <v>12</v>
      </c>
      <c r="BD2090">
        <v>6</v>
      </c>
      <c r="BE2090">
        <v>6</v>
      </c>
      <c r="BF2090">
        <v>12</v>
      </c>
      <c r="BP2090">
        <v>3</v>
      </c>
      <c r="BR2090">
        <v>5</v>
      </c>
      <c r="BS2090">
        <v>4</v>
      </c>
      <c r="BT2090">
        <v>0</v>
      </c>
      <c r="BU2090">
        <v>0</v>
      </c>
      <c r="BV2090">
        <v>0</v>
      </c>
      <c r="BW2090">
        <v>12</v>
      </c>
      <c r="BX2090">
        <f>IF(C2090=C2089,IF((CI2090-1)=CI2089,BW2089,"no data"))</f>
        <v>30</v>
      </c>
      <c r="BY2090" s="5">
        <f t="shared" si="221"/>
        <v>-0.6</v>
      </c>
      <c r="BZ2090" s="6">
        <f t="shared" si="220"/>
        <v>-0.6</v>
      </c>
      <c r="CA2090" s="7">
        <v>44885</v>
      </c>
      <c r="CE2090">
        <v>2</v>
      </c>
      <c r="CF2090">
        <v>6</v>
      </c>
      <c r="CG2090">
        <v>4</v>
      </c>
      <c r="CI2090">
        <f t="shared" si="218"/>
        <v>2022</v>
      </c>
      <c r="CJ2090" t="str">
        <f t="shared" si="219"/>
        <v>7256_2022</v>
      </c>
    </row>
    <row r="2091" spans="1:88" x14ac:dyDescent="0.25">
      <c r="A2091" t="s">
        <v>277</v>
      </c>
      <c r="B2091" t="s">
        <v>473</v>
      </c>
      <c r="C2091">
        <v>7257</v>
      </c>
      <c r="D2091">
        <v>-35.047131</v>
      </c>
      <c r="E2091">
        <v>138.61348599999999</v>
      </c>
      <c r="F2091">
        <v>4</v>
      </c>
      <c r="G2091" t="s">
        <v>787</v>
      </c>
      <c r="H2091">
        <v>93</v>
      </c>
      <c r="I2091">
        <v>273</v>
      </c>
      <c r="J2091">
        <v>132</v>
      </c>
      <c r="K2091">
        <v>312</v>
      </c>
      <c r="L2091">
        <v>248</v>
      </c>
      <c r="M2091">
        <v>68</v>
      </c>
      <c r="N2091">
        <v>359</v>
      </c>
      <c r="O2091">
        <v>179</v>
      </c>
      <c r="T2091">
        <v>3</v>
      </c>
      <c r="U2091">
        <v>50</v>
      </c>
      <c r="V2091">
        <v>0</v>
      </c>
      <c r="Y2091">
        <v>1</v>
      </c>
      <c r="Z2091">
        <v>17</v>
      </c>
      <c r="AA2091">
        <v>15</v>
      </c>
      <c r="AD2091">
        <v>23</v>
      </c>
      <c r="AE2091">
        <v>11</v>
      </c>
      <c r="AF2091">
        <v>2</v>
      </c>
      <c r="AI2091">
        <v>0</v>
      </c>
      <c r="AJ2091">
        <v>29</v>
      </c>
      <c r="AK2091">
        <v>12</v>
      </c>
      <c r="AX2091">
        <v>53</v>
      </c>
      <c r="AY2091">
        <v>24</v>
      </c>
      <c r="AZ2091">
        <v>77</v>
      </c>
      <c r="BA2091">
        <v>33</v>
      </c>
      <c r="BB2091">
        <v>43</v>
      </c>
      <c r="BC2091">
        <v>76</v>
      </c>
      <c r="BD2091">
        <v>36</v>
      </c>
      <c r="BE2091">
        <v>79</v>
      </c>
      <c r="BF2091">
        <v>115</v>
      </c>
      <c r="BG2091">
        <v>41</v>
      </c>
      <c r="BH2091">
        <v>17</v>
      </c>
      <c r="BI2091">
        <v>58</v>
      </c>
      <c r="BP2091">
        <v>95</v>
      </c>
      <c r="BR2091">
        <v>39</v>
      </c>
      <c r="BS2091">
        <v>7</v>
      </c>
      <c r="BT2091">
        <v>22</v>
      </c>
      <c r="BV2091">
        <v>0</v>
      </c>
      <c r="BW2091">
        <v>163</v>
      </c>
      <c r="BX2091" t="s">
        <v>82</v>
      </c>
      <c r="BY2091" s="5"/>
      <c r="BZ2091" s="6"/>
      <c r="CA2091" s="7">
        <v>43415</v>
      </c>
      <c r="CE2091">
        <v>49</v>
      </c>
      <c r="CF2091">
        <v>50</v>
      </c>
      <c r="CG2091">
        <v>52</v>
      </c>
      <c r="CH2091">
        <v>12</v>
      </c>
      <c r="CI2091">
        <f t="shared" si="218"/>
        <v>2018</v>
      </c>
      <c r="CJ2091" t="str">
        <f t="shared" si="219"/>
        <v>7257_2018</v>
      </c>
    </row>
    <row r="2092" spans="1:88" x14ac:dyDescent="0.25">
      <c r="A2092" t="s">
        <v>277</v>
      </c>
      <c r="B2092" t="s">
        <v>473</v>
      </c>
      <c r="C2092">
        <v>7257</v>
      </c>
      <c r="D2092">
        <v>-35.0471</v>
      </c>
      <c r="E2092">
        <v>138.61349999999999</v>
      </c>
      <c r="F2092">
        <v>4</v>
      </c>
      <c r="G2092" t="s">
        <v>787</v>
      </c>
      <c r="H2092">
        <v>93</v>
      </c>
      <c r="I2092">
        <v>273</v>
      </c>
      <c r="J2092">
        <v>132</v>
      </c>
      <c r="K2092">
        <v>312</v>
      </c>
      <c r="L2092">
        <v>248</v>
      </c>
      <c r="M2092">
        <v>68</v>
      </c>
      <c r="N2092">
        <v>359</v>
      </c>
      <c r="O2092">
        <v>179</v>
      </c>
      <c r="T2092">
        <v>0</v>
      </c>
      <c r="U2092">
        <v>15</v>
      </c>
      <c r="V2092">
        <v>0</v>
      </c>
      <c r="Y2092">
        <v>0</v>
      </c>
      <c r="Z2092">
        <v>8</v>
      </c>
      <c r="AA2092">
        <v>5</v>
      </c>
      <c r="AD2092">
        <v>19</v>
      </c>
      <c r="AE2092">
        <v>11</v>
      </c>
      <c r="AF2092">
        <v>9</v>
      </c>
      <c r="AI2092">
        <v>0</v>
      </c>
      <c r="AJ2092">
        <v>3</v>
      </c>
      <c r="AK2092">
        <v>16</v>
      </c>
      <c r="AX2092">
        <v>15</v>
      </c>
      <c r="AY2092">
        <v>19</v>
      </c>
      <c r="AZ2092">
        <v>34</v>
      </c>
      <c r="BA2092">
        <v>13</v>
      </c>
      <c r="BB2092">
        <v>14</v>
      </c>
      <c r="BC2092">
        <v>27</v>
      </c>
      <c r="BD2092">
        <v>39</v>
      </c>
      <c r="BE2092">
        <v>39</v>
      </c>
      <c r="BF2092">
        <v>78</v>
      </c>
      <c r="BG2092">
        <v>19</v>
      </c>
      <c r="BH2092">
        <v>14</v>
      </c>
      <c r="BI2092">
        <v>33</v>
      </c>
      <c r="BP2092">
        <v>56</v>
      </c>
      <c r="BR2092">
        <v>16</v>
      </c>
      <c r="BS2092">
        <v>3</v>
      </c>
      <c r="BT2092">
        <v>11</v>
      </c>
      <c r="BV2092">
        <v>0</v>
      </c>
      <c r="BW2092">
        <v>86</v>
      </c>
      <c r="BX2092" t="str">
        <f>IF(C2092=C2091,IF((CI2092-1)=CI2091,BW2091,"no data"))</f>
        <v>no data</v>
      </c>
      <c r="BY2092" s="5"/>
      <c r="BZ2092" s="6"/>
      <c r="CA2092" s="7">
        <v>44143</v>
      </c>
      <c r="CE2092">
        <v>35</v>
      </c>
      <c r="CF2092">
        <v>26</v>
      </c>
      <c r="CG2092">
        <v>17</v>
      </c>
      <c r="CH2092">
        <v>8</v>
      </c>
      <c r="CI2092">
        <f t="shared" si="218"/>
        <v>2020</v>
      </c>
      <c r="CJ2092" t="str">
        <f t="shared" si="219"/>
        <v>7257_2020</v>
      </c>
    </row>
    <row r="2093" spans="1:88" x14ac:dyDescent="0.25">
      <c r="A2093" t="s">
        <v>277</v>
      </c>
      <c r="B2093" t="s">
        <v>473</v>
      </c>
      <c r="C2093">
        <v>7257</v>
      </c>
      <c r="D2093">
        <v>-35.047131</v>
      </c>
      <c r="E2093">
        <v>138.61348599999999</v>
      </c>
      <c r="F2093">
        <v>4</v>
      </c>
      <c r="G2093" t="s">
        <v>787</v>
      </c>
      <c r="H2093">
        <v>93</v>
      </c>
      <c r="I2093">
        <v>273</v>
      </c>
      <c r="J2093">
        <v>132</v>
      </c>
      <c r="K2093">
        <v>312</v>
      </c>
      <c r="L2093">
        <v>248</v>
      </c>
      <c r="M2093">
        <v>68</v>
      </c>
      <c r="N2093">
        <v>359</v>
      </c>
      <c r="O2093">
        <v>179</v>
      </c>
      <c r="T2093">
        <v>1</v>
      </c>
      <c r="U2093">
        <v>21</v>
      </c>
      <c r="V2093">
        <v>0</v>
      </c>
      <c r="Y2093">
        <v>2</v>
      </c>
      <c r="Z2093">
        <v>10</v>
      </c>
      <c r="AA2093">
        <v>8</v>
      </c>
      <c r="AD2093">
        <v>23</v>
      </c>
      <c r="AE2093">
        <v>16</v>
      </c>
      <c r="AF2093">
        <v>3</v>
      </c>
      <c r="AI2093">
        <v>0</v>
      </c>
      <c r="AJ2093">
        <v>37</v>
      </c>
      <c r="AK2093">
        <v>12</v>
      </c>
      <c r="AX2093">
        <v>22</v>
      </c>
      <c r="AY2093">
        <v>25</v>
      </c>
      <c r="AZ2093">
        <v>47</v>
      </c>
      <c r="BA2093">
        <v>20</v>
      </c>
      <c r="BB2093">
        <v>54</v>
      </c>
      <c r="BC2093">
        <v>74</v>
      </c>
      <c r="BD2093">
        <v>42</v>
      </c>
      <c r="BE2093">
        <v>43</v>
      </c>
      <c r="BF2093">
        <v>85</v>
      </c>
      <c r="BG2093">
        <v>49</v>
      </c>
      <c r="BH2093">
        <v>11</v>
      </c>
      <c r="BI2093">
        <v>60</v>
      </c>
      <c r="BP2093">
        <v>82</v>
      </c>
      <c r="BR2093">
        <v>29</v>
      </c>
      <c r="BS2093">
        <v>7</v>
      </c>
      <c r="BT2093">
        <v>15</v>
      </c>
      <c r="BV2093">
        <v>0</v>
      </c>
      <c r="BW2093">
        <v>133</v>
      </c>
      <c r="BX2093">
        <f>IF(C2093=C2092,IF((CI2093-1)=CI2092,BW2092,"no data"))</f>
        <v>86</v>
      </c>
      <c r="BY2093" s="5">
        <f t="shared" si="221"/>
        <v>0.54651162790697672</v>
      </c>
      <c r="BZ2093" s="6">
        <f t="shared" si="220"/>
        <v>0.54651162790697672</v>
      </c>
      <c r="CA2093" s="7">
        <v>44528</v>
      </c>
      <c r="CE2093">
        <v>79</v>
      </c>
      <c r="CF2093">
        <v>30</v>
      </c>
      <c r="CG2093">
        <v>24</v>
      </c>
      <c r="CI2093">
        <f t="shared" si="218"/>
        <v>2021</v>
      </c>
      <c r="CJ2093" t="str">
        <f t="shared" si="219"/>
        <v>7257_2021</v>
      </c>
    </row>
    <row r="2094" spans="1:88" x14ac:dyDescent="0.25">
      <c r="A2094" t="s">
        <v>277</v>
      </c>
      <c r="B2094" t="s">
        <v>473</v>
      </c>
      <c r="C2094">
        <v>7257</v>
      </c>
      <c r="D2094">
        <v>-35.047131</v>
      </c>
      <c r="E2094">
        <v>138.61348599999999</v>
      </c>
      <c r="F2094">
        <v>4</v>
      </c>
      <c r="G2094" t="s">
        <v>787</v>
      </c>
      <c r="H2094">
        <v>93</v>
      </c>
      <c r="I2094">
        <v>273</v>
      </c>
      <c r="J2094">
        <v>132</v>
      </c>
      <c r="K2094">
        <v>312</v>
      </c>
      <c r="L2094">
        <v>248</v>
      </c>
      <c r="M2094">
        <v>68</v>
      </c>
      <c r="N2094">
        <v>359</v>
      </c>
      <c r="O2094">
        <v>179</v>
      </c>
      <c r="T2094">
        <v>20</v>
      </c>
      <c r="U2094">
        <v>0</v>
      </c>
      <c r="V2094">
        <v>0</v>
      </c>
      <c r="Y2094">
        <v>0</v>
      </c>
      <c r="Z2094">
        <v>0</v>
      </c>
      <c r="AA2094">
        <v>0</v>
      </c>
      <c r="AD2094">
        <v>0</v>
      </c>
      <c r="AE2094">
        <v>0</v>
      </c>
      <c r="AF2094">
        <v>0</v>
      </c>
      <c r="AI2094">
        <v>0</v>
      </c>
      <c r="AJ2094">
        <v>0</v>
      </c>
      <c r="AK2094">
        <v>0</v>
      </c>
      <c r="AX2094">
        <v>20</v>
      </c>
      <c r="AY2094">
        <v>0</v>
      </c>
      <c r="AZ2094">
        <v>20</v>
      </c>
      <c r="BA2094">
        <v>0</v>
      </c>
      <c r="BB2094">
        <v>20</v>
      </c>
      <c r="BC2094">
        <v>20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P2094">
        <v>20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20</v>
      </c>
      <c r="BX2094">
        <f>IF(C2094=C2093,IF((CI2094-1)=CI2093,BW2093,"no data"))</f>
        <v>133</v>
      </c>
      <c r="BY2094" s="5">
        <f t="shared" si="221"/>
        <v>-0.84962406015037595</v>
      </c>
      <c r="BZ2094" s="6">
        <f t="shared" si="220"/>
        <v>-0.84962406015037595</v>
      </c>
      <c r="CA2094" s="7">
        <v>44885</v>
      </c>
      <c r="CE2094">
        <v>20</v>
      </c>
      <c r="CF2094">
        <v>0</v>
      </c>
      <c r="CG2094">
        <v>0</v>
      </c>
      <c r="CI2094">
        <f t="shared" si="218"/>
        <v>2022</v>
      </c>
      <c r="CJ2094" t="str">
        <f t="shared" si="219"/>
        <v>7257_2022</v>
      </c>
    </row>
    <row r="2095" spans="1:88" x14ac:dyDescent="0.25">
      <c r="A2095" t="s">
        <v>140</v>
      </c>
      <c r="B2095" t="s">
        <v>161</v>
      </c>
      <c r="C2095">
        <v>7258</v>
      </c>
      <c r="D2095">
        <v>-32.056804</v>
      </c>
      <c r="E2095">
        <v>115.74948000000001</v>
      </c>
      <c r="F2095">
        <v>4</v>
      </c>
      <c r="G2095" t="s">
        <v>788</v>
      </c>
      <c r="H2095">
        <v>35</v>
      </c>
      <c r="I2095">
        <v>215</v>
      </c>
      <c r="J2095">
        <v>135</v>
      </c>
      <c r="K2095">
        <v>315</v>
      </c>
      <c r="L2095">
        <v>225</v>
      </c>
      <c r="M2095">
        <v>45</v>
      </c>
      <c r="N2095">
        <v>315</v>
      </c>
      <c r="O2095">
        <v>135</v>
      </c>
      <c r="T2095">
        <v>89</v>
      </c>
      <c r="U2095">
        <v>42</v>
      </c>
      <c r="V2095">
        <v>15</v>
      </c>
      <c r="Y2095">
        <v>111</v>
      </c>
      <c r="Z2095">
        <v>26</v>
      </c>
      <c r="AA2095">
        <v>262</v>
      </c>
      <c r="AD2095">
        <v>56</v>
      </c>
      <c r="AE2095">
        <v>9</v>
      </c>
      <c r="AF2095">
        <v>20</v>
      </c>
      <c r="AI2095">
        <v>26</v>
      </c>
      <c r="AJ2095">
        <v>119</v>
      </c>
      <c r="AK2095">
        <v>10</v>
      </c>
      <c r="AX2095">
        <v>146</v>
      </c>
      <c r="AY2095">
        <v>193</v>
      </c>
      <c r="AZ2095">
        <v>339</v>
      </c>
      <c r="BA2095">
        <v>399</v>
      </c>
      <c r="BB2095">
        <v>217</v>
      </c>
      <c r="BC2095">
        <v>616</v>
      </c>
      <c r="BD2095">
        <v>85</v>
      </c>
      <c r="BE2095">
        <v>78</v>
      </c>
      <c r="BF2095">
        <v>163</v>
      </c>
      <c r="BG2095">
        <v>155</v>
      </c>
      <c r="BH2095">
        <v>297</v>
      </c>
      <c r="BI2095">
        <v>452</v>
      </c>
      <c r="BP2095">
        <v>165</v>
      </c>
      <c r="BR2095">
        <v>615</v>
      </c>
      <c r="BS2095">
        <v>2</v>
      </c>
      <c r="BT2095">
        <v>3</v>
      </c>
      <c r="BV2095">
        <v>0</v>
      </c>
      <c r="BW2095">
        <v>785</v>
      </c>
      <c r="BX2095" t="s">
        <v>82</v>
      </c>
      <c r="BY2095" s="5"/>
      <c r="BZ2095" s="6"/>
      <c r="CA2095" s="7">
        <v>43443</v>
      </c>
      <c r="CE2095">
        <v>93</v>
      </c>
      <c r="CF2095">
        <v>179</v>
      </c>
      <c r="CG2095">
        <v>246</v>
      </c>
      <c r="CH2095">
        <v>267</v>
      </c>
      <c r="CI2095">
        <f t="shared" si="218"/>
        <v>2018</v>
      </c>
      <c r="CJ2095" t="str">
        <f t="shared" si="219"/>
        <v>7258_2018</v>
      </c>
    </row>
    <row r="2096" spans="1:88" x14ac:dyDescent="0.25">
      <c r="A2096" t="s">
        <v>140</v>
      </c>
      <c r="B2096" t="s">
        <v>161</v>
      </c>
      <c r="C2096">
        <v>7259</v>
      </c>
      <c r="D2096">
        <v>-32.063499999999998</v>
      </c>
      <c r="E2096">
        <v>115.759444</v>
      </c>
      <c r="F2096">
        <v>4</v>
      </c>
      <c r="G2096" t="s">
        <v>789</v>
      </c>
      <c r="H2096">
        <v>88</v>
      </c>
      <c r="I2096">
        <v>268</v>
      </c>
      <c r="J2096">
        <v>180</v>
      </c>
      <c r="K2096">
        <v>360</v>
      </c>
      <c r="L2096">
        <v>268</v>
      </c>
      <c r="M2096">
        <v>88</v>
      </c>
      <c r="N2096">
        <v>350</v>
      </c>
      <c r="O2096">
        <v>170</v>
      </c>
      <c r="T2096">
        <v>2</v>
      </c>
      <c r="U2096">
        <v>22</v>
      </c>
      <c r="V2096">
        <v>40</v>
      </c>
      <c r="Y2096">
        <v>1</v>
      </c>
      <c r="Z2096">
        <v>1</v>
      </c>
      <c r="AA2096">
        <v>30</v>
      </c>
      <c r="AD2096">
        <v>13</v>
      </c>
      <c r="AE2096">
        <v>1</v>
      </c>
      <c r="AF2096">
        <v>12</v>
      </c>
      <c r="AI2096">
        <v>35</v>
      </c>
      <c r="AJ2096">
        <v>19</v>
      </c>
      <c r="AK2096">
        <v>10</v>
      </c>
      <c r="AX2096">
        <v>64</v>
      </c>
      <c r="AY2096">
        <v>49</v>
      </c>
      <c r="AZ2096">
        <v>113</v>
      </c>
      <c r="BA2096">
        <v>32</v>
      </c>
      <c r="BB2096">
        <v>22</v>
      </c>
      <c r="BC2096">
        <v>54</v>
      </c>
      <c r="BD2096">
        <v>26</v>
      </c>
      <c r="BE2096">
        <v>33</v>
      </c>
      <c r="BF2096">
        <v>59</v>
      </c>
      <c r="BG2096">
        <v>64</v>
      </c>
      <c r="BH2096">
        <v>82</v>
      </c>
      <c r="BI2096">
        <v>146</v>
      </c>
      <c r="BP2096">
        <v>58</v>
      </c>
      <c r="BR2096">
        <v>108</v>
      </c>
      <c r="BS2096">
        <v>6</v>
      </c>
      <c r="BT2096">
        <v>9</v>
      </c>
      <c r="BV2096">
        <v>5</v>
      </c>
      <c r="BW2096">
        <v>186</v>
      </c>
      <c r="BX2096" t="s">
        <v>82</v>
      </c>
      <c r="BY2096" s="5"/>
      <c r="BZ2096" s="6"/>
      <c r="CA2096" s="7">
        <v>43415</v>
      </c>
      <c r="CE2096">
        <v>52</v>
      </c>
      <c r="CF2096">
        <v>40</v>
      </c>
      <c r="CG2096">
        <v>45</v>
      </c>
      <c r="CH2096">
        <v>49</v>
      </c>
      <c r="CI2096">
        <f t="shared" si="218"/>
        <v>2018</v>
      </c>
      <c r="CJ2096" t="str">
        <f t="shared" si="219"/>
        <v>7259_2018</v>
      </c>
    </row>
    <row r="2097" spans="1:88" x14ac:dyDescent="0.25">
      <c r="A2097" t="s">
        <v>277</v>
      </c>
      <c r="B2097" t="s">
        <v>790</v>
      </c>
      <c r="C2097">
        <v>7260</v>
      </c>
      <c r="D2097">
        <v>-34.995114000000001</v>
      </c>
      <c r="E2097">
        <v>138.54573400000001</v>
      </c>
      <c r="F2097">
        <v>2</v>
      </c>
      <c r="G2097" t="s">
        <v>791</v>
      </c>
      <c r="H2097">
        <v>175</v>
      </c>
      <c r="I2097">
        <v>355</v>
      </c>
      <c r="J2097">
        <v>355</v>
      </c>
      <c r="K2097">
        <v>175</v>
      </c>
      <c r="T2097">
        <v>152</v>
      </c>
      <c r="Y2097">
        <v>144</v>
      </c>
      <c r="AX2097">
        <v>152</v>
      </c>
      <c r="AY2097">
        <v>144</v>
      </c>
      <c r="AZ2097">
        <v>296</v>
      </c>
      <c r="BA2097">
        <v>144</v>
      </c>
      <c r="BB2097">
        <v>152</v>
      </c>
      <c r="BC2097">
        <v>296</v>
      </c>
      <c r="BP2097">
        <v>133</v>
      </c>
      <c r="BR2097">
        <v>147</v>
      </c>
      <c r="BS2097">
        <v>0</v>
      </c>
      <c r="BT2097">
        <v>16</v>
      </c>
      <c r="BV2097">
        <v>0</v>
      </c>
      <c r="BW2097">
        <v>296</v>
      </c>
      <c r="BX2097" t="s">
        <v>82</v>
      </c>
      <c r="BY2097" s="5"/>
      <c r="BZ2097" s="6"/>
      <c r="CA2097" s="7">
        <v>43443</v>
      </c>
      <c r="CE2097">
        <v>61</v>
      </c>
      <c r="CF2097">
        <v>98</v>
      </c>
      <c r="CG2097">
        <v>62</v>
      </c>
      <c r="CH2097">
        <v>75</v>
      </c>
      <c r="CI2097">
        <f t="shared" si="218"/>
        <v>2018</v>
      </c>
      <c r="CJ2097" t="str">
        <f t="shared" si="219"/>
        <v>7260_2018</v>
      </c>
    </row>
    <row r="2098" spans="1:88" x14ac:dyDescent="0.25">
      <c r="A2098" t="s">
        <v>277</v>
      </c>
      <c r="B2098" t="s">
        <v>790</v>
      </c>
      <c r="C2098">
        <v>7260</v>
      </c>
      <c r="D2098">
        <v>-34.995100000000001</v>
      </c>
      <c r="E2098">
        <v>138.54570000000001</v>
      </c>
      <c r="F2098">
        <v>2</v>
      </c>
      <c r="G2098" t="s">
        <v>791</v>
      </c>
      <c r="H2098">
        <v>175</v>
      </c>
      <c r="I2098">
        <v>355</v>
      </c>
      <c r="J2098">
        <v>355</v>
      </c>
      <c r="K2098">
        <v>175</v>
      </c>
      <c r="T2098">
        <v>40</v>
      </c>
      <c r="Y2098">
        <v>17</v>
      </c>
      <c r="AX2098">
        <v>40</v>
      </c>
      <c r="AY2098">
        <v>17</v>
      </c>
      <c r="AZ2098">
        <v>57</v>
      </c>
      <c r="BA2098">
        <v>17</v>
      </c>
      <c r="BB2098">
        <v>40</v>
      </c>
      <c r="BC2098">
        <v>57</v>
      </c>
      <c r="BP2098">
        <v>12</v>
      </c>
      <c r="BR2098">
        <v>13</v>
      </c>
      <c r="BS2098">
        <v>0</v>
      </c>
      <c r="BT2098">
        <v>3</v>
      </c>
      <c r="BV2098">
        <v>29</v>
      </c>
      <c r="BW2098">
        <v>57</v>
      </c>
      <c r="BX2098">
        <f>IF(C2098=C2097,IF((CI2098-1)=CI2097,BW2097,"no data"))</f>
        <v>296</v>
      </c>
      <c r="BY2098" s="5">
        <f t="shared" si="221"/>
        <v>-0.80743243243243246</v>
      </c>
      <c r="BZ2098" s="6">
        <f t="shared" si="220"/>
        <v>-0.80743243243243246</v>
      </c>
      <c r="CA2098" s="7">
        <v>43779</v>
      </c>
      <c r="CE2098">
        <v>10</v>
      </c>
      <c r="CF2098">
        <v>13</v>
      </c>
      <c r="CG2098">
        <v>22</v>
      </c>
      <c r="CH2098">
        <v>12</v>
      </c>
      <c r="CI2098">
        <f t="shared" si="218"/>
        <v>2019</v>
      </c>
      <c r="CJ2098" t="str">
        <f t="shared" si="219"/>
        <v>7260_2019</v>
      </c>
    </row>
    <row r="2099" spans="1:88" x14ac:dyDescent="0.25">
      <c r="A2099" t="s">
        <v>277</v>
      </c>
      <c r="B2099" t="s">
        <v>790</v>
      </c>
      <c r="C2099">
        <v>7261</v>
      </c>
      <c r="D2099">
        <v>-34.970635000000001</v>
      </c>
      <c r="E2099">
        <v>138.54842199999999</v>
      </c>
      <c r="F2099">
        <v>2</v>
      </c>
      <c r="G2099" t="s">
        <v>792</v>
      </c>
      <c r="H2099">
        <v>55</v>
      </c>
      <c r="I2099">
        <v>235</v>
      </c>
      <c r="J2099">
        <v>240</v>
      </c>
      <c r="K2099">
        <v>60</v>
      </c>
      <c r="T2099">
        <v>154</v>
      </c>
      <c r="Y2099">
        <v>159</v>
      </c>
      <c r="AX2099">
        <v>154</v>
      </c>
      <c r="AY2099">
        <v>159</v>
      </c>
      <c r="AZ2099">
        <v>313</v>
      </c>
      <c r="BA2099">
        <v>159</v>
      </c>
      <c r="BB2099">
        <v>154</v>
      </c>
      <c r="BC2099">
        <v>313</v>
      </c>
      <c r="BP2099">
        <v>250</v>
      </c>
      <c r="BR2099">
        <v>35</v>
      </c>
      <c r="BS2099">
        <v>19</v>
      </c>
      <c r="BT2099">
        <v>7</v>
      </c>
      <c r="BV2099">
        <v>2</v>
      </c>
      <c r="BW2099">
        <v>313</v>
      </c>
      <c r="BX2099" t="s">
        <v>82</v>
      </c>
      <c r="BY2099" s="5"/>
      <c r="BZ2099" s="6"/>
      <c r="CA2099" s="7">
        <v>43415</v>
      </c>
      <c r="CE2099">
        <v>107</v>
      </c>
      <c r="CF2099">
        <v>98</v>
      </c>
      <c r="CG2099">
        <v>71</v>
      </c>
      <c r="CH2099">
        <v>37</v>
      </c>
      <c r="CI2099">
        <f t="shared" si="218"/>
        <v>2018</v>
      </c>
      <c r="CJ2099" t="str">
        <f t="shared" si="219"/>
        <v>7261_2018</v>
      </c>
    </row>
    <row r="2100" spans="1:88" x14ac:dyDescent="0.25">
      <c r="A2100" t="s">
        <v>277</v>
      </c>
      <c r="B2100" t="s">
        <v>790</v>
      </c>
      <c r="C2100">
        <v>7261</v>
      </c>
      <c r="D2100">
        <v>-34.970599999999997</v>
      </c>
      <c r="E2100">
        <v>138.54839999999999</v>
      </c>
      <c r="F2100">
        <v>2</v>
      </c>
      <c r="G2100" t="s">
        <v>792</v>
      </c>
      <c r="H2100">
        <v>55</v>
      </c>
      <c r="I2100">
        <v>235</v>
      </c>
      <c r="J2100">
        <v>240</v>
      </c>
      <c r="K2100">
        <v>60</v>
      </c>
      <c r="T2100">
        <v>160</v>
      </c>
      <c r="Y2100">
        <v>161</v>
      </c>
      <c r="AX2100">
        <v>160</v>
      </c>
      <c r="AY2100">
        <v>161</v>
      </c>
      <c r="AZ2100">
        <v>321</v>
      </c>
      <c r="BA2100">
        <v>161</v>
      </c>
      <c r="BB2100">
        <v>160</v>
      </c>
      <c r="BC2100">
        <v>321</v>
      </c>
      <c r="BP2100">
        <v>232</v>
      </c>
      <c r="BR2100">
        <v>51</v>
      </c>
      <c r="BS2100">
        <v>24</v>
      </c>
      <c r="BT2100">
        <v>4</v>
      </c>
      <c r="BV2100">
        <v>10</v>
      </c>
      <c r="BW2100">
        <v>321</v>
      </c>
      <c r="BX2100">
        <f>IF(C2100=C2099,IF((CI2100-1)=CI2099,BW2099,"no data"))</f>
        <v>313</v>
      </c>
      <c r="BY2100" s="5">
        <f t="shared" si="221"/>
        <v>2.5559105431309903E-2</v>
      </c>
      <c r="BZ2100" s="6">
        <f t="shared" si="220"/>
        <v>2.5559105431309903E-2</v>
      </c>
      <c r="CA2100" s="7">
        <v>43779</v>
      </c>
      <c r="CE2100">
        <v>88</v>
      </c>
      <c r="CF2100">
        <v>81</v>
      </c>
      <c r="CG2100">
        <v>84</v>
      </c>
      <c r="CH2100">
        <v>68</v>
      </c>
      <c r="CI2100">
        <f t="shared" si="218"/>
        <v>2019</v>
      </c>
      <c r="CJ2100" t="str">
        <f t="shared" si="219"/>
        <v>7261_2019</v>
      </c>
    </row>
    <row r="2101" spans="1:88" x14ac:dyDescent="0.25">
      <c r="A2101" t="s">
        <v>277</v>
      </c>
      <c r="B2101" t="s">
        <v>790</v>
      </c>
      <c r="C2101">
        <v>7261</v>
      </c>
      <c r="D2101">
        <v>-34.970599999999997</v>
      </c>
      <c r="E2101">
        <v>138.54839999999999</v>
      </c>
      <c r="F2101">
        <v>2</v>
      </c>
      <c r="G2101" t="s">
        <v>792</v>
      </c>
      <c r="H2101">
        <v>55</v>
      </c>
      <c r="I2101">
        <v>235</v>
      </c>
      <c r="J2101">
        <v>240</v>
      </c>
      <c r="K2101">
        <v>60</v>
      </c>
      <c r="T2101">
        <v>237</v>
      </c>
      <c r="Y2101">
        <v>248</v>
      </c>
      <c r="AX2101">
        <v>237</v>
      </c>
      <c r="AY2101">
        <v>248</v>
      </c>
      <c r="AZ2101">
        <v>485</v>
      </c>
      <c r="BA2101">
        <v>248</v>
      </c>
      <c r="BB2101">
        <v>237</v>
      </c>
      <c r="BC2101">
        <v>485</v>
      </c>
      <c r="BP2101">
        <v>344</v>
      </c>
      <c r="BR2101">
        <v>99</v>
      </c>
      <c r="BS2101">
        <v>28</v>
      </c>
      <c r="BT2101">
        <v>10</v>
      </c>
      <c r="BV2101">
        <v>4</v>
      </c>
      <c r="BW2101">
        <v>485</v>
      </c>
      <c r="BX2101">
        <f>IF(C2101=C2100,IF((CI2101-1)=CI2100,BW2100,"no data"))</f>
        <v>321</v>
      </c>
      <c r="BY2101" s="5">
        <f t="shared" si="221"/>
        <v>0.5109034267912772</v>
      </c>
      <c r="BZ2101" s="6">
        <f t="shared" si="220"/>
        <v>0.5109034267912772</v>
      </c>
      <c r="CA2101" s="7">
        <v>44143</v>
      </c>
      <c r="CE2101">
        <v>160</v>
      </c>
      <c r="CF2101">
        <v>124</v>
      </c>
      <c r="CG2101">
        <v>122</v>
      </c>
      <c r="CH2101">
        <v>79</v>
      </c>
      <c r="CI2101">
        <f t="shared" si="218"/>
        <v>2020</v>
      </c>
      <c r="CJ2101" t="str">
        <f t="shared" si="219"/>
        <v>7261_2020</v>
      </c>
    </row>
    <row r="2102" spans="1:88" x14ac:dyDescent="0.25">
      <c r="A2102" t="s">
        <v>277</v>
      </c>
      <c r="B2102" t="s">
        <v>790</v>
      </c>
      <c r="C2102">
        <v>7261</v>
      </c>
      <c r="D2102">
        <v>-34.970635000000001</v>
      </c>
      <c r="E2102">
        <v>138.54842199999999</v>
      </c>
      <c r="F2102">
        <v>2</v>
      </c>
      <c r="G2102" t="s">
        <v>792</v>
      </c>
      <c r="H2102">
        <v>55</v>
      </c>
      <c r="I2102">
        <v>235</v>
      </c>
      <c r="J2102">
        <v>240</v>
      </c>
      <c r="K2102">
        <v>60</v>
      </c>
      <c r="T2102">
        <v>173</v>
      </c>
      <c r="Y2102">
        <v>160</v>
      </c>
      <c r="AX2102">
        <v>173</v>
      </c>
      <c r="AY2102">
        <v>160</v>
      </c>
      <c r="AZ2102">
        <v>333</v>
      </c>
      <c r="BA2102">
        <v>160</v>
      </c>
      <c r="BB2102">
        <v>173</v>
      </c>
      <c r="BC2102">
        <v>333</v>
      </c>
      <c r="BP2102">
        <v>241</v>
      </c>
      <c r="BR2102">
        <v>45</v>
      </c>
      <c r="BS2102">
        <v>40</v>
      </c>
      <c r="BT2102">
        <v>7</v>
      </c>
      <c r="BV2102">
        <v>0</v>
      </c>
      <c r="BW2102">
        <v>333</v>
      </c>
      <c r="BX2102">
        <f>IF(C2102=C2101,IF((CI2102-1)=CI2101,BW2101,"no data"))</f>
        <v>485</v>
      </c>
      <c r="BY2102" s="5">
        <f t="shared" si="221"/>
        <v>-0.3134020618556701</v>
      </c>
      <c r="BZ2102" s="6">
        <f t="shared" si="220"/>
        <v>-0.3134020618556701</v>
      </c>
      <c r="CA2102" s="7">
        <v>44528</v>
      </c>
      <c r="CE2102">
        <v>128</v>
      </c>
      <c r="CF2102">
        <v>116</v>
      </c>
      <c r="CG2102">
        <v>89</v>
      </c>
      <c r="CI2102">
        <f t="shared" si="218"/>
        <v>2021</v>
      </c>
      <c r="CJ2102" t="str">
        <f t="shared" si="219"/>
        <v>7261_2021</v>
      </c>
    </row>
    <row r="2103" spans="1:88" x14ac:dyDescent="0.25">
      <c r="A2103" t="s">
        <v>277</v>
      </c>
      <c r="B2103" t="s">
        <v>790</v>
      </c>
      <c r="C2103">
        <v>7261</v>
      </c>
      <c r="D2103">
        <v>-34.970635000000001</v>
      </c>
      <c r="E2103">
        <v>138.54842199999999</v>
      </c>
      <c r="F2103">
        <v>2</v>
      </c>
      <c r="G2103" t="s">
        <v>792</v>
      </c>
      <c r="H2103">
        <v>55</v>
      </c>
      <c r="I2103">
        <v>235</v>
      </c>
      <c r="J2103">
        <v>240</v>
      </c>
      <c r="K2103">
        <v>60</v>
      </c>
      <c r="T2103">
        <v>45</v>
      </c>
      <c r="Y2103">
        <v>54</v>
      </c>
      <c r="AX2103">
        <v>45</v>
      </c>
      <c r="AY2103">
        <v>54</v>
      </c>
      <c r="AZ2103">
        <v>99</v>
      </c>
      <c r="BA2103">
        <v>54</v>
      </c>
      <c r="BB2103">
        <v>45</v>
      </c>
      <c r="BC2103">
        <v>99</v>
      </c>
      <c r="BP2103">
        <v>49</v>
      </c>
      <c r="BR2103">
        <v>37</v>
      </c>
      <c r="BS2103">
        <v>6</v>
      </c>
      <c r="BT2103">
        <v>4</v>
      </c>
      <c r="BU2103">
        <v>0</v>
      </c>
      <c r="BV2103">
        <v>3</v>
      </c>
      <c r="BW2103">
        <v>99</v>
      </c>
      <c r="BX2103">
        <f>IF(C2103=C2102,IF((CI2103-1)=CI2102,BW2102,"no data"))</f>
        <v>333</v>
      </c>
      <c r="BY2103" s="5">
        <f t="shared" si="221"/>
        <v>-0.70270270270270274</v>
      </c>
      <c r="BZ2103" s="6">
        <f t="shared" si="220"/>
        <v>-0.70270270270270274</v>
      </c>
      <c r="CA2103" s="7">
        <v>44885</v>
      </c>
      <c r="CE2103">
        <v>39</v>
      </c>
      <c r="CF2103">
        <v>44</v>
      </c>
      <c r="CG2103">
        <v>16</v>
      </c>
      <c r="CI2103">
        <f t="shared" si="218"/>
        <v>2022</v>
      </c>
      <c r="CJ2103" t="str">
        <f t="shared" si="219"/>
        <v>7261_2022</v>
      </c>
    </row>
    <row r="2104" spans="1:88" x14ac:dyDescent="0.25">
      <c r="A2104" t="s">
        <v>79</v>
      </c>
      <c r="B2104" t="s">
        <v>91</v>
      </c>
      <c r="C2104">
        <v>7290</v>
      </c>
      <c r="D2104">
        <v>-33.906300000000002</v>
      </c>
      <c r="E2104">
        <v>151.2311</v>
      </c>
      <c r="F2104">
        <v>4</v>
      </c>
      <c r="G2104" t="s">
        <v>793</v>
      </c>
      <c r="H2104">
        <v>37</v>
      </c>
      <c r="I2104">
        <v>217</v>
      </c>
      <c r="J2104">
        <v>94</v>
      </c>
      <c r="K2104">
        <v>274</v>
      </c>
      <c r="L2104">
        <v>124</v>
      </c>
      <c r="M2104">
        <v>304</v>
      </c>
      <c r="N2104">
        <v>296</v>
      </c>
      <c r="O2104">
        <v>116</v>
      </c>
      <c r="T2104">
        <v>29</v>
      </c>
      <c r="U2104">
        <v>48</v>
      </c>
      <c r="V2104">
        <v>174</v>
      </c>
      <c r="Y2104">
        <v>8</v>
      </c>
      <c r="Z2104">
        <v>0</v>
      </c>
      <c r="AA2104">
        <v>3</v>
      </c>
      <c r="AD2104">
        <v>91</v>
      </c>
      <c r="AE2104">
        <v>2</v>
      </c>
      <c r="AF2104">
        <v>125</v>
      </c>
      <c r="AI2104">
        <v>258</v>
      </c>
      <c r="AJ2104">
        <v>13</v>
      </c>
      <c r="AK2104">
        <v>87</v>
      </c>
      <c r="AX2104">
        <v>251</v>
      </c>
      <c r="AY2104">
        <v>357</v>
      </c>
      <c r="AZ2104">
        <v>608</v>
      </c>
      <c r="BA2104">
        <v>11</v>
      </c>
      <c r="BB2104">
        <v>44</v>
      </c>
      <c r="BC2104">
        <v>55</v>
      </c>
      <c r="BD2104">
        <v>218</v>
      </c>
      <c r="BE2104">
        <v>135</v>
      </c>
      <c r="BF2104">
        <v>353</v>
      </c>
      <c r="BG2104">
        <v>358</v>
      </c>
      <c r="BH2104">
        <v>302</v>
      </c>
      <c r="BI2104">
        <v>660</v>
      </c>
      <c r="BP2104">
        <v>433</v>
      </c>
      <c r="BR2104">
        <v>280</v>
      </c>
      <c r="BS2104">
        <v>110</v>
      </c>
      <c r="BT2104">
        <v>14</v>
      </c>
      <c r="BV2104">
        <v>1</v>
      </c>
      <c r="BW2104">
        <v>838</v>
      </c>
      <c r="BX2104" t="s">
        <v>82</v>
      </c>
      <c r="BY2104" s="5"/>
      <c r="BZ2104" s="6"/>
      <c r="CA2104" s="7">
        <v>44143</v>
      </c>
      <c r="CE2104">
        <v>321</v>
      </c>
      <c r="CF2104">
        <v>193</v>
      </c>
      <c r="CG2104">
        <v>166</v>
      </c>
      <c r="CH2104">
        <v>158</v>
      </c>
      <c r="CI2104">
        <f t="shared" si="218"/>
        <v>2020</v>
      </c>
      <c r="CJ2104" t="str">
        <f t="shared" si="219"/>
        <v>7290_2020</v>
      </c>
    </row>
    <row r="2105" spans="1:88" x14ac:dyDescent="0.25">
      <c r="A2105" t="s">
        <v>79</v>
      </c>
      <c r="B2105" t="s">
        <v>91</v>
      </c>
      <c r="C2105">
        <v>7290</v>
      </c>
      <c r="D2105">
        <v>-33.906306000000001</v>
      </c>
      <c r="E2105">
        <v>151.2311</v>
      </c>
      <c r="F2105">
        <v>4</v>
      </c>
      <c r="G2105" t="s">
        <v>793</v>
      </c>
      <c r="H2105">
        <v>37</v>
      </c>
      <c r="I2105">
        <v>217</v>
      </c>
      <c r="J2105">
        <v>94</v>
      </c>
      <c r="K2105">
        <v>274</v>
      </c>
      <c r="L2105">
        <v>124</v>
      </c>
      <c r="M2105">
        <v>304</v>
      </c>
      <c r="N2105">
        <v>296</v>
      </c>
      <c r="O2105">
        <v>116</v>
      </c>
      <c r="T2105">
        <v>33</v>
      </c>
      <c r="U2105">
        <v>38</v>
      </c>
      <c r="V2105">
        <v>168</v>
      </c>
      <c r="Y2105">
        <v>48</v>
      </c>
      <c r="Z2105">
        <v>15</v>
      </c>
      <c r="AA2105">
        <v>39</v>
      </c>
      <c r="AD2105">
        <v>29</v>
      </c>
      <c r="AE2105">
        <v>6</v>
      </c>
      <c r="AF2105">
        <v>53</v>
      </c>
      <c r="AI2105">
        <v>236</v>
      </c>
      <c r="AJ2105">
        <v>28</v>
      </c>
      <c r="AK2105">
        <v>50</v>
      </c>
      <c r="AX2105">
        <v>239</v>
      </c>
      <c r="AY2105">
        <v>313</v>
      </c>
      <c r="AZ2105">
        <v>552</v>
      </c>
      <c r="BA2105">
        <v>102</v>
      </c>
      <c r="BB2105">
        <v>67</v>
      </c>
      <c r="BC2105">
        <v>169</v>
      </c>
      <c r="BD2105">
        <v>88</v>
      </c>
      <c r="BE2105">
        <v>103</v>
      </c>
      <c r="BF2105">
        <v>191</v>
      </c>
      <c r="BG2105">
        <v>314</v>
      </c>
      <c r="BH2105">
        <v>260</v>
      </c>
      <c r="BI2105">
        <v>574</v>
      </c>
      <c r="BP2105">
        <v>317</v>
      </c>
      <c r="BR2105">
        <v>251</v>
      </c>
      <c r="BS2105">
        <v>128</v>
      </c>
      <c r="BT2105">
        <v>31</v>
      </c>
      <c r="BV2105">
        <v>16</v>
      </c>
      <c r="BW2105">
        <v>743</v>
      </c>
      <c r="BX2105">
        <f>IF(C2105=C2104,IF((CI2105-1)=CI2104,BW2104,"no data"))</f>
        <v>838</v>
      </c>
      <c r="BY2105" s="5">
        <f t="shared" si="221"/>
        <v>-0.11336515513126491</v>
      </c>
      <c r="BZ2105" s="6">
        <f t="shared" si="220"/>
        <v>-0.11336515513126491</v>
      </c>
      <c r="CA2105" s="7">
        <v>44528</v>
      </c>
      <c r="CE2105">
        <v>267</v>
      </c>
      <c r="CF2105">
        <v>239</v>
      </c>
      <c r="CG2105">
        <v>237</v>
      </c>
      <c r="CI2105">
        <f t="shared" si="218"/>
        <v>2021</v>
      </c>
      <c r="CJ2105" t="str">
        <f t="shared" si="219"/>
        <v>7290_2021</v>
      </c>
    </row>
    <row r="2106" spans="1:88" x14ac:dyDescent="0.25">
      <c r="A2106" t="s">
        <v>79</v>
      </c>
      <c r="B2106" t="s">
        <v>91</v>
      </c>
      <c r="C2106">
        <v>7291</v>
      </c>
      <c r="D2106">
        <v>-33.904499999999999</v>
      </c>
      <c r="E2106">
        <v>151.22630000000001</v>
      </c>
      <c r="F2106">
        <v>3</v>
      </c>
      <c r="G2106" t="s">
        <v>794</v>
      </c>
      <c r="H2106">
        <v>113</v>
      </c>
      <c r="I2106">
        <v>293</v>
      </c>
      <c r="J2106">
        <v>186</v>
      </c>
      <c r="K2106">
        <v>6</v>
      </c>
      <c r="L2106">
        <v>316</v>
      </c>
      <c r="M2106">
        <v>136</v>
      </c>
      <c r="T2106">
        <v>175</v>
      </c>
      <c r="U2106">
        <v>33</v>
      </c>
      <c r="Y2106">
        <v>225</v>
      </c>
      <c r="Z2106">
        <v>110</v>
      </c>
      <c r="AD2106">
        <v>59</v>
      </c>
      <c r="AE2106">
        <v>52</v>
      </c>
      <c r="AX2106">
        <v>208</v>
      </c>
      <c r="AY2106">
        <v>284</v>
      </c>
      <c r="AZ2106">
        <v>492</v>
      </c>
      <c r="BA2106">
        <v>335</v>
      </c>
      <c r="BB2106">
        <v>227</v>
      </c>
      <c r="BC2106">
        <v>562</v>
      </c>
      <c r="BD2106">
        <v>111</v>
      </c>
      <c r="BE2106">
        <v>143</v>
      </c>
      <c r="BF2106">
        <v>254</v>
      </c>
      <c r="BP2106">
        <v>347</v>
      </c>
      <c r="BR2106">
        <v>236</v>
      </c>
      <c r="BS2106">
        <v>36</v>
      </c>
      <c r="BT2106">
        <v>26</v>
      </c>
      <c r="BV2106">
        <v>9</v>
      </c>
      <c r="BW2106">
        <v>654</v>
      </c>
      <c r="BX2106" t="s">
        <v>82</v>
      </c>
      <c r="BY2106" s="5"/>
      <c r="BZ2106" s="6"/>
      <c r="CA2106" s="7">
        <v>44164</v>
      </c>
      <c r="CE2106">
        <v>200</v>
      </c>
      <c r="CF2106">
        <v>181</v>
      </c>
      <c r="CG2106">
        <v>175</v>
      </c>
      <c r="CH2106">
        <v>98</v>
      </c>
      <c r="CI2106">
        <f t="shared" si="218"/>
        <v>2020</v>
      </c>
      <c r="CJ2106" t="str">
        <f t="shared" si="219"/>
        <v>7291_2020</v>
      </c>
    </row>
    <row r="2107" spans="1:88" x14ac:dyDescent="0.25">
      <c r="A2107" t="s">
        <v>79</v>
      </c>
      <c r="B2107" t="s">
        <v>91</v>
      </c>
      <c r="C2107">
        <v>7291</v>
      </c>
      <c r="D2107">
        <v>-33.904527999999999</v>
      </c>
      <c r="E2107">
        <v>151.22633300000001</v>
      </c>
      <c r="F2107">
        <v>3</v>
      </c>
      <c r="G2107" t="s">
        <v>794</v>
      </c>
      <c r="H2107">
        <v>113</v>
      </c>
      <c r="I2107">
        <v>293</v>
      </c>
      <c r="J2107">
        <v>186</v>
      </c>
      <c r="K2107">
        <v>6</v>
      </c>
      <c r="L2107">
        <v>316</v>
      </c>
      <c r="M2107">
        <v>136</v>
      </c>
      <c r="T2107">
        <v>127</v>
      </c>
      <c r="U2107">
        <v>35</v>
      </c>
      <c r="Y2107">
        <v>236</v>
      </c>
      <c r="Z2107">
        <v>76</v>
      </c>
      <c r="AD2107">
        <v>37</v>
      </c>
      <c r="AE2107">
        <v>77</v>
      </c>
      <c r="AX2107">
        <v>162</v>
      </c>
      <c r="AY2107">
        <v>273</v>
      </c>
      <c r="AZ2107">
        <v>435</v>
      </c>
      <c r="BA2107">
        <v>312</v>
      </c>
      <c r="BB2107">
        <v>204</v>
      </c>
      <c r="BC2107">
        <v>516</v>
      </c>
      <c r="BD2107">
        <v>114</v>
      </c>
      <c r="BE2107">
        <v>111</v>
      </c>
      <c r="BF2107">
        <v>225</v>
      </c>
      <c r="BP2107">
        <v>276</v>
      </c>
      <c r="BR2107">
        <v>216</v>
      </c>
      <c r="BS2107">
        <v>48</v>
      </c>
      <c r="BT2107">
        <v>42</v>
      </c>
      <c r="BV2107">
        <v>6</v>
      </c>
      <c r="BW2107">
        <v>588</v>
      </c>
      <c r="BX2107">
        <f>IF(C2107=C2106,IF((CI2107-1)=CI2106,BW2106,"no data"))</f>
        <v>654</v>
      </c>
      <c r="BY2107" s="5">
        <f t="shared" si="221"/>
        <v>-0.10091743119266056</v>
      </c>
      <c r="BZ2107" s="6">
        <f t="shared" si="220"/>
        <v>-0.10091743119266056</v>
      </c>
      <c r="CA2107" s="7">
        <v>44528</v>
      </c>
      <c r="CE2107">
        <v>227</v>
      </c>
      <c r="CF2107">
        <v>198</v>
      </c>
      <c r="CG2107">
        <v>163</v>
      </c>
      <c r="CI2107">
        <f t="shared" si="218"/>
        <v>2021</v>
      </c>
      <c r="CJ2107" t="str">
        <f t="shared" si="219"/>
        <v>7291_2021</v>
      </c>
    </row>
    <row r="2108" spans="1:88" x14ac:dyDescent="0.25">
      <c r="A2108" t="s">
        <v>79</v>
      </c>
      <c r="B2108" t="s">
        <v>91</v>
      </c>
      <c r="C2108">
        <v>7291</v>
      </c>
      <c r="D2108">
        <v>-33.904527999999999</v>
      </c>
      <c r="E2108">
        <v>151.22633300000001</v>
      </c>
      <c r="F2108">
        <v>3</v>
      </c>
      <c r="G2108" t="s">
        <v>794</v>
      </c>
      <c r="H2108">
        <v>113</v>
      </c>
      <c r="I2108">
        <v>293</v>
      </c>
      <c r="J2108">
        <v>186</v>
      </c>
      <c r="K2108">
        <v>6</v>
      </c>
      <c r="L2108">
        <v>316</v>
      </c>
      <c r="M2108">
        <v>136</v>
      </c>
      <c r="T2108">
        <v>131</v>
      </c>
      <c r="U2108">
        <v>36</v>
      </c>
      <c r="Y2108">
        <v>162</v>
      </c>
      <c r="Z2108">
        <v>75</v>
      </c>
      <c r="AD2108">
        <v>48</v>
      </c>
      <c r="AE2108">
        <v>36</v>
      </c>
      <c r="AX2108">
        <v>167</v>
      </c>
      <c r="AY2108">
        <v>210</v>
      </c>
      <c r="AZ2108">
        <v>377</v>
      </c>
      <c r="BA2108">
        <v>237</v>
      </c>
      <c r="BB2108">
        <v>167</v>
      </c>
      <c r="BC2108">
        <v>404</v>
      </c>
      <c r="BD2108">
        <v>84</v>
      </c>
      <c r="BE2108">
        <v>111</v>
      </c>
      <c r="BF2108">
        <v>195</v>
      </c>
      <c r="BP2108">
        <v>234</v>
      </c>
      <c r="BR2108">
        <v>167</v>
      </c>
      <c r="BS2108">
        <v>39</v>
      </c>
      <c r="BT2108">
        <v>46</v>
      </c>
      <c r="BU2108">
        <v>2</v>
      </c>
      <c r="BV2108">
        <v>0</v>
      </c>
      <c r="BW2108">
        <v>488</v>
      </c>
      <c r="BX2108">
        <f>IF(C2108=C2107,IF((CI2108-1)=CI2107,BW2107,"no data"))</f>
        <v>588</v>
      </c>
      <c r="BY2108" s="5">
        <f t="shared" si="221"/>
        <v>-0.17006802721088435</v>
      </c>
      <c r="BZ2108" s="6">
        <f t="shared" si="220"/>
        <v>-0.17006802721088435</v>
      </c>
      <c r="CA2108" s="7">
        <v>44885</v>
      </c>
      <c r="CE2108">
        <v>219</v>
      </c>
      <c r="CF2108">
        <v>168</v>
      </c>
      <c r="CG2108">
        <v>101</v>
      </c>
      <c r="CI2108">
        <f t="shared" si="218"/>
        <v>2022</v>
      </c>
      <c r="CJ2108" t="str">
        <f t="shared" si="219"/>
        <v>7291_2022</v>
      </c>
    </row>
    <row r="2109" spans="1:88" x14ac:dyDescent="0.25">
      <c r="A2109" t="s">
        <v>111</v>
      </c>
      <c r="B2109" t="s">
        <v>261</v>
      </c>
      <c r="C2109">
        <v>7296</v>
      </c>
      <c r="D2109">
        <v>-37.988399999999999</v>
      </c>
      <c r="E2109">
        <v>145.20699999999999</v>
      </c>
      <c r="F2109">
        <v>3</v>
      </c>
      <c r="G2109" t="s">
        <v>795</v>
      </c>
      <c r="H2109">
        <v>10</v>
      </c>
      <c r="I2109">
        <v>190</v>
      </c>
      <c r="J2109">
        <v>120</v>
      </c>
      <c r="K2109">
        <v>300</v>
      </c>
      <c r="L2109">
        <v>310</v>
      </c>
      <c r="M2109">
        <v>130</v>
      </c>
      <c r="T2109">
        <v>40</v>
      </c>
      <c r="U2109">
        <v>0</v>
      </c>
      <c r="Y2109">
        <v>8</v>
      </c>
      <c r="Z2109">
        <v>5</v>
      </c>
      <c r="AD2109">
        <v>4</v>
      </c>
      <c r="AE2109">
        <v>24</v>
      </c>
      <c r="AX2109">
        <v>40</v>
      </c>
      <c r="AY2109">
        <v>12</v>
      </c>
      <c r="AZ2109">
        <v>52</v>
      </c>
      <c r="BA2109">
        <v>13</v>
      </c>
      <c r="BB2109">
        <v>64</v>
      </c>
      <c r="BC2109">
        <v>77</v>
      </c>
      <c r="BD2109">
        <v>28</v>
      </c>
      <c r="BE2109">
        <v>5</v>
      </c>
      <c r="BF2109">
        <v>33</v>
      </c>
      <c r="BP2109">
        <v>6</v>
      </c>
      <c r="BR2109">
        <v>71</v>
      </c>
      <c r="BS2109">
        <v>2</v>
      </c>
      <c r="BT2109">
        <v>1</v>
      </c>
      <c r="BV2109">
        <v>1</v>
      </c>
      <c r="BW2109">
        <v>81</v>
      </c>
      <c r="BX2109" t="s">
        <v>82</v>
      </c>
      <c r="BY2109" s="5"/>
      <c r="BZ2109" s="6"/>
      <c r="CA2109" s="7">
        <v>43779</v>
      </c>
      <c r="CE2109">
        <v>39</v>
      </c>
      <c r="CF2109">
        <v>15</v>
      </c>
      <c r="CG2109">
        <v>9</v>
      </c>
      <c r="CH2109">
        <v>18</v>
      </c>
      <c r="CI2109">
        <f t="shared" si="218"/>
        <v>2019</v>
      </c>
      <c r="CJ2109" t="str">
        <f t="shared" si="219"/>
        <v>7296_2019</v>
      </c>
    </row>
    <row r="2110" spans="1:88" x14ac:dyDescent="0.25">
      <c r="A2110" t="s">
        <v>111</v>
      </c>
      <c r="B2110" t="s">
        <v>261</v>
      </c>
      <c r="C2110">
        <v>7298</v>
      </c>
      <c r="D2110">
        <v>-37.978299999999997</v>
      </c>
      <c r="E2110">
        <v>145.19239999999999</v>
      </c>
      <c r="F2110">
        <v>4</v>
      </c>
      <c r="G2110" t="s">
        <v>796</v>
      </c>
      <c r="H2110">
        <v>6</v>
      </c>
      <c r="I2110">
        <v>186</v>
      </c>
      <c r="J2110">
        <v>133</v>
      </c>
      <c r="K2110">
        <v>313</v>
      </c>
      <c r="L2110">
        <v>190</v>
      </c>
      <c r="M2110">
        <v>10</v>
      </c>
      <c r="N2110">
        <v>310</v>
      </c>
      <c r="O2110">
        <v>130</v>
      </c>
      <c r="T2110">
        <v>7</v>
      </c>
      <c r="U2110">
        <v>14</v>
      </c>
      <c r="V2110">
        <v>2</v>
      </c>
      <c r="Y2110">
        <v>4</v>
      </c>
      <c r="Z2110">
        <v>66</v>
      </c>
      <c r="AA2110">
        <v>28</v>
      </c>
      <c r="AD2110">
        <v>1</v>
      </c>
      <c r="AE2110">
        <v>22</v>
      </c>
      <c r="AF2110">
        <v>57</v>
      </c>
      <c r="AI2110">
        <v>6</v>
      </c>
      <c r="AJ2110">
        <v>22</v>
      </c>
      <c r="AK2110">
        <v>61</v>
      </c>
      <c r="AX2110">
        <v>23</v>
      </c>
      <c r="AY2110">
        <v>11</v>
      </c>
      <c r="AZ2110">
        <v>34</v>
      </c>
      <c r="BA2110">
        <v>98</v>
      </c>
      <c r="BB2110">
        <v>51</v>
      </c>
      <c r="BC2110">
        <v>149</v>
      </c>
      <c r="BD2110">
        <v>80</v>
      </c>
      <c r="BE2110">
        <v>141</v>
      </c>
      <c r="BF2110">
        <v>221</v>
      </c>
      <c r="BG2110">
        <v>89</v>
      </c>
      <c r="BH2110">
        <v>87</v>
      </c>
      <c r="BI2110">
        <v>176</v>
      </c>
      <c r="BP2110">
        <v>106</v>
      </c>
      <c r="BR2110">
        <v>173</v>
      </c>
      <c r="BS2110">
        <v>2</v>
      </c>
      <c r="BT2110">
        <v>9</v>
      </c>
      <c r="BV2110">
        <v>0</v>
      </c>
      <c r="BW2110">
        <v>290</v>
      </c>
      <c r="BX2110" t="s">
        <v>82</v>
      </c>
      <c r="BY2110" s="5"/>
      <c r="BZ2110" s="6"/>
      <c r="CA2110" s="7">
        <v>43779</v>
      </c>
      <c r="CE2110">
        <v>42</v>
      </c>
      <c r="CF2110">
        <v>37</v>
      </c>
      <c r="CG2110">
        <v>110</v>
      </c>
      <c r="CH2110">
        <v>101</v>
      </c>
      <c r="CI2110">
        <f t="shared" si="218"/>
        <v>2019</v>
      </c>
      <c r="CJ2110" t="str">
        <f t="shared" si="219"/>
        <v>7298_2019</v>
      </c>
    </row>
    <row r="2111" spans="1:88" x14ac:dyDescent="0.25">
      <c r="A2111" t="s">
        <v>111</v>
      </c>
      <c r="B2111" t="s">
        <v>261</v>
      </c>
      <c r="C2111">
        <v>7298</v>
      </c>
      <c r="D2111">
        <v>-37.978299999999997</v>
      </c>
      <c r="E2111">
        <v>145.19239999999999</v>
      </c>
      <c r="F2111">
        <v>4</v>
      </c>
      <c r="G2111" t="s">
        <v>796</v>
      </c>
      <c r="H2111">
        <v>6</v>
      </c>
      <c r="I2111">
        <v>186</v>
      </c>
      <c r="J2111">
        <v>133</v>
      </c>
      <c r="K2111">
        <v>313</v>
      </c>
      <c r="L2111">
        <v>190</v>
      </c>
      <c r="M2111">
        <v>10</v>
      </c>
      <c r="N2111">
        <v>310</v>
      </c>
      <c r="O2111">
        <v>130</v>
      </c>
      <c r="T2111">
        <v>11</v>
      </c>
      <c r="U2111">
        <v>25</v>
      </c>
      <c r="V2111">
        <v>8</v>
      </c>
      <c r="Y2111">
        <v>7</v>
      </c>
      <c r="Z2111">
        <v>104</v>
      </c>
      <c r="AA2111">
        <v>32</v>
      </c>
      <c r="AD2111">
        <v>16</v>
      </c>
      <c r="AE2111">
        <v>82</v>
      </c>
      <c r="AF2111">
        <v>6</v>
      </c>
      <c r="AI2111">
        <v>7</v>
      </c>
      <c r="AJ2111">
        <v>20</v>
      </c>
      <c r="AK2111">
        <v>12</v>
      </c>
      <c r="AX2111">
        <v>44</v>
      </c>
      <c r="AY2111">
        <v>30</v>
      </c>
      <c r="AZ2111">
        <v>74</v>
      </c>
      <c r="BA2111">
        <v>143</v>
      </c>
      <c r="BB2111">
        <v>113</v>
      </c>
      <c r="BC2111">
        <v>256</v>
      </c>
      <c r="BD2111">
        <v>104</v>
      </c>
      <c r="BE2111">
        <v>141</v>
      </c>
      <c r="BF2111">
        <v>245</v>
      </c>
      <c r="BG2111">
        <v>39</v>
      </c>
      <c r="BH2111">
        <v>46</v>
      </c>
      <c r="BI2111">
        <v>85</v>
      </c>
      <c r="BP2111">
        <v>208</v>
      </c>
      <c r="BR2111">
        <v>106</v>
      </c>
      <c r="BS2111">
        <v>5</v>
      </c>
      <c r="BT2111">
        <v>9</v>
      </c>
      <c r="BV2111">
        <v>2</v>
      </c>
      <c r="BW2111">
        <v>330</v>
      </c>
      <c r="BX2111">
        <f>IF(C2111=C2110,IF((CI2111-1)=CI2110,BW2110,"no data"))</f>
        <v>290</v>
      </c>
      <c r="BY2111" s="5">
        <f t="shared" si="221"/>
        <v>0.13793103448275862</v>
      </c>
      <c r="BZ2111" s="6">
        <f t="shared" si="220"/>
        <v>0.13793103448275862</v>
      </c>
      <c r="CA2111" s="7">
        <v>44143</v>
      </c>
      <c r="CE2111">
        <v>71</v>
      </c>
      <c r="CF2111">
        <v>84</v>
      </c>
      <c r="CG2111">
        <v>117</v>
      </c>
      <c r="CH2111">
        <v>58</v>
      </c>
      <c r="CI2111">
        <f t="shared" si="218"/>
        <v>2020</v>
      </c>
      <c r="CJ2111" t="str">
        <f t="shared" si="219"/>
        <v>7298_2020</v>
      </c>
    </row>
    <row r="2112" spans="1:88" x14ac:dyDescent="0.25">
      <c r="A2112" t="s">
        <v>111</v>
      </c>
      <c r="B2112" t="s">
        <v>261</v>
      </c>
      <c r="C2112">
        <v>7328</v>
      </c>
      <c r="D2112">
        <v>-37.966999999999999</v>
      </c>
      <c r="E2112">
        <v>145.1764</v>
      </c>
      <c r="F2112">
        <v>4</v>
      </c>
      <c r="G2112" t="s">
        <v>797</v>
      </c>
      <c r="H2112">
        <v>34</v>
      </c>
      <c r="I2112">
        <v>214</v>
      </c>
      <c r="J2112">
        <v>132</v>
      </c>
      <c r="K2112">
        <v>312</v>
      </c>
      <c r="L2112">
        <v>192</v>
      </c>
      <c r="M2112">
        <v>12</v>
      </c>
      <c r="N2112">
        <v>320</v>
      </c>
      <c r="O2112">
        <v>140</v>
      </c>
      <c r="T2112">
        <v>0</v>
      </c>
      <c r="U2112">
        <v>23</v>
      </c>
      <c r="V2112">
        <v>10</v>
      </c>
      <c r="Y2112">
        <v>3</v>
      </c>
      <c r="Z2112">
        <v>16</v>
      </c>
      <c r="AA2112">
        <v>90</v>
      </c>
      <c r="AD2112">
        <v>8</v>
      </c>
      <c r="AE2112">
        <v>9</v>
      </c>
      <c r="AF2112">
        <v>34</v>
      </c>
      <c r="AI2112">
        <v>2</v>
      </c>
      <c r="AJ2112">
        <v>46</v>
      </c>
      <c r="AK2112">
        <v>18</v>
      </c>
      <c r="AX2112">
        <v>33</v>
      </c>
      <c r="AY2112">
        <v>13</v>
      </c>
      <c r="AZ2112">
        <v>46</v>
      </c>
      <c r="BA2112">
        <v>109</v>
      </c>
      <c r="BB2112">
        <v>55</v>
      </c>
      <c r="BC2112">
        <v>164</v>
      </c>
      <c r="BD2112">
        <v>51</v>
      </c>
      <c r="BE2112">
        <v>57</v>
      </c>
      <c r="BF2112">
        <v>108</v>
      </c>
      <c r="BG2112">
        <v>66</v>
      </c>
      <c r="BH2112">
        <v>134</v>
      </c>
      <c r="BI2112">
        <v>200</v>
      </c>
      <c r="BP2112">
        <v>52</v>
      </c>
      <c r="BR2112">
        <v>195</v>
      </c>
      <c r="BS2112">
        <v>1</v>
      </c>
      <c r="BT2112">
        <v>3</v>
      </c>
      <c r="BV2112">
        <v>8</v>
      </c>
      <c r="BW2112">
        <v>259</v>
      </c>
      <c r="BX2112" t="s">
        <v>82</v>
      </c>
      <c r="BY2112" s="5"/>
      <c r="BZ2112" s="6"/>
      <c r="CA2112" s="7">
        <v>43779</v>
      </c>
      <c r="CE2112">
        <v>66</v>
      </c>
      <c r="CF2112">
        <v>49</v>
      </c>
      <c r="CG2112">
        <v>80</v>
      </c>
      <c r="CH2112">
        <v>64</v>
      </c>
      <c r="CI2112">
        <f t="shared" si="218"/>
        <v>2019</v>
      </c>
      <c r="CJ2112" t="str">
        <f t="shared" si="219"/>
        <v>7328_2019</v>
      </c>
    </row>
    <row r="2113" spans="1:88" x14ac:dyDescent="0.25">
      <c r="A2113" t="s">
        <v>111</v>
      </c>
      <c r="B2113" t="s">
        <v>261</v>
      </c>
      <c r="C2113">
        <v>7328</v>
      </c>
      <c r="D2113">
        <v>-37.966999999999999</v>
      </c>
      <c r="E2113">
        <v>145.1764</v>
      </c>
      <c r="F2113">
        <v>4</v>
      </c>
      <c r="G2113" t="s">
        <v>797</v>
      </c>
      <c r="H2113">
        <v>34</v>
      </c>
      <c r="I2113">
        <v>214</v>
      </c>
      <c r="J2113">
        <v>132</v>
      </c>
      <c r="K2113">
        <v>312</v>
      </c>
      <c r="L2113">
        <v>192</v>
      </c>
      <c r="M2113">
        <v>12</v>
      </c>
      <c r="N2113">
        <v>320</v>
      </c>
      <c r="O2113">
        <v>140</v>
      </c>
      <c r="T2113">
        <v>4</v>
      </c>
      <c r="U2113">
        <v>11</v>
      </c>
      <c r="V2113">
        <v>10</v>
      </c>
      <c r="Y2113">
        <v>33</v>
      </c>
      <c r="Z2113">
        <v>12</v>
      </c>
      <c r="AA2113">
        <v>18</v>
      </c>
      <c r="AD2113">
        <v>17</v>
      </c>
      <c r="AE2113">
        <v>11</v>
      </c>
      <c r="AF2113">
        <v>2</v>
      </c>
      <c r="AI2113">
        <v>14</v>
      </c>
      <c r="AJ2113">
        <v>15</v>
      </c>
      <c r="AK2113">
        <v>2</v>
      </c>
      <c r="AX2113">
        <v>25</v>
      </c>
      <c r="AY2113">
        <v>64</v>
      </c>
      <c r="AZ2113">
        <v>89</v>
      </c>
      <c r="BA2113">
        <v>63</v>
      </c>
      <c r="BB2113">
        <v>30</v>
      </c>
      <c r="BC2113">
        <v>93</v>
      </c>
      <c r="BD2113">
        <v>30</v>
      </c>
      <c r="BE2113">
        <v>25</v>
      </c>
      <c r="BF2113">
        <v>55</v>
      </c>
      <c r="BG2113">
        <v>31</v>
      </c>
      <c r="BH2113">
        <v>30</v>
      </c>
      <c r="BI2113">
        <v>61</v>
      </c>
      <c r="BP2113">
        <v>21</v>
      </c>
      <c r="BR2113">
        <v>120</v>
      </c>
      <c r="BS2113">
        <v>0</v>
      </c>
      <c r="BT2113">
        <v>3</v>
      </c>
      <c r="BV2113">
        <v>5</v>
      </c>
      <c r="BW2113">
        <v>149</v>
      </c>
      <c r="BX2113">
        <f>IF(C2113=C2112,IF((CI2113-1)=CI2112,BW2112,"no data"))</f>
        <v>259</v>
      </c>
      <c r="BY2113" s="5">
        <f t="shared" si="221"/>
        <v>-0.42471042471042469</v>
      </c>
      <c r="BZ2113" s="6">
        <f t="shared" si="220"/>
        <v>-0.42471042471042469</v>
      </c>
      <c r="CA2113" s="7">
        <v>44164</v>
      </c>
      <c r="CE2113">
        <v>21</v>
      </c>
      <c r="CF2113">
        <v>39</v>
      </c>
      <c r="CG2113">
        <v>40</v>
      </c>
      <c r="CH2113">
        <v>49</v>
      </c>
      <c r="CI2113">
        <f t="shared" si="218"/>
        <v>2020</v>
      </c>
      <c r="CJ2113" t="str">
        <f t="shared" si="219"/>
        <v>7328_2020</v>
      </c>
    </row>
    <row r="2114" spans="1:88" x14ac:dyDescent="0.25">
      <c r="A2114" t="s">
        <v>79</v>
      </c>
      <c r="B2114" t="s">
        <v>439</v>
      </c>
      <c r="C2114">
        <v>7342</v>
      </c>
      <c r="D2114">
        <v>-33.969299999999997</v>
      </c>
      <c r="E2114">
        <v>151.03149999999999</v>
      </c>
      <c r="F2114">
        <v>4</v>
      </c>
      <c r="G2114" t="s">
        <v>798</v>
      </c>
      <c r="H2114">
        <v>0</v>
      </c>
      <c r="I2114">
        <v>180</v>
      </c>
      <c r="J2114">
        <v>15</v>
      </c>
      <c r="K2114">
        <v>195</v>
      </c>
      <c r="L2114">
        <v>107</v>
      </c>
      <c r="M2114">
        <v>287</v>
      </c>
      <c r="N2114">
        <v>194</v>
      </c>
      <c r="O2114">
        <v>14</v>
      </c>
      <c r="T2114">
        <v>0</v>
      </c>
      <c r="U2114">
        <v>1</v>
      </c>
      <c r="V2114">
        <v>16</v>
      </c>
      <c r="Y2114">
        <v>0</v>
      </c>
      <c r="Z2114">
        <v>3</v>
      </c>
      <c r="AA2114">
        <v>4</v>
      </c>
      <c r="AD2114">
        <v>3</v>
      </c>
      <c r="AE2114">
        <v>2</v>
      </c>
      <c r="AF2114">
        <v>16</v>
      </c>
      <c r="AI2114">
        <v>33</v>
      </c>
      <c r="AJ2114">
        <v>2</v>
      </c>
      <c r="AK2114">
        <v>28</v>
      </c>
      <c r="AX2114">
        <v>17</v>
      </c>
      <c r="AY2114">
        <v>36</v>
      </c>
      <c r="AZ2114">
        <v>53</v>
      </c>
      <c r="BA2114">
        <v>7</v>
      </c>
      <c r="BB2114">
        <v>4</v>
      </c>
      <c r="BC2114">
        <v>11</v>
      </c>
      <c r="BD2114">
        <v>21</v>
      </c>
      <c r="BE2114">
        <v>32</v>
      </c>
      <c r="BF2114">
        <v>53</v>
      </c>
      <c r="BG2114">
        <v>63</v>
      </c>
      <c r="BH2114">
        <v>36</v>
      </c>
      <c r="BI2114">
        <v>99</v>
      </c>
      <c r="BP2114">
        <v>51</v>
      </c>
      <c r="BR2114">
        <v>45</v>
      </c>
      <c r="BS2114">
        <v>6</v>
      </c>
      <c r="BT2114">
        <v>6</v>
      </c>
      <c r="BV2114">
        <v>0</v>
      </c>
      <c r="BW2114">
        <v>108</v>
      </c>
      <c r="BX2114" t="s">
        <v>82</v>
      </c>
      <c r="BY2114" s="5"/>
      <c r="BZ2114" s="6"/>
      <c r="CA2114" s="7">
        <v>44143</v>
      </c>
      <c r="CE2114">
        <v>51</v>
      </c>
      <c r="CF2114">
        <v>23</v>
      </c>
      <c r="CG2114">
        <v>20</v>
      </c>
      <c r="CH2114">
        <v>14</v>
      </c>
      <c r="CI2114">
        <f t="shared" si="218"/>
        <v>2020</v>
      </c>
      <c r="CJ2114" t="str">
        <f t="shared" si="219"/>
        <v>7342_2020</v>
      </c>
    </row>
    <row r="2115" spans="1:88" x14ac:dyDescent="0.25">
      <c r="A2115" t="s">
        <v>79</v>
      </c>
      <c r="B2115" t="s">
        <v>439</v>
      </c>
      <c r="C2115">
        <v>7342</v>
      </c>
      <c r="D2115">
        <v>-33.969299999999997</v>
      </c>
      <c r="E2115">
        <v>151.03149999999999</v>
      </c>
      <c r="F2115">
        <v>4</v>
      </c>
      <c r="G2115" t="s">
        <v>798</v>
      </c>
      <c r="H2115">
        <v>0</v>
      </c>
      <c r="I2115">
        <v>180</v>
      </c>
      <c r="J2115">
        <v>15</v>
      </c>
      <c r="K2115">
        <v>195</v>
      </c>
      <c r="L2115">
        <v>107</v>
      </c>
      <c r="M2115">
        <v>287</v>
      </c>
      <c r="N2115">
        <v>194</v>
      </c>
      <c r="O2115">
        <v>14</v>
      </c>
      <c r="T2115">
        <v>0</v>
      </c>
      <c r="U2115">
        <v>0</v>
      </c>
      <c r="V2115">
        <v>8</v>
      </c>
      <c r="Y2115">
        <v>0</v>
      </c>
      <c r="Z2115">
        <v>0</v>
      </c>
      <c r="AA2115">
        <v>6</v>
      </c>
      <c r="AD2115">
        <v>0</v>
      </c>
      <c r="AE2115">
        <v>0</v>
      </c>
      <c r="AF2115">
        <v>6</v>
      </c>
      <c r="AI2115">
        <v>15</v>
      </c>
      <c r="AJ2115">
        <v>0</v>
      </c>
      <c r="AK2115">
        <v>23</v>
      </c>
      <c r="AX2115">
        <v>8</v>
      </c>
      <c r="AY2115">
        <v>15</v>
      </c>
      <c r="AZ2115">
        <v>23</v>
      </c>
      <c r="BA2115">
        <v>6</v>
      </c>
      <c r="BB2115">
        <v>0</v>
      </c>
      <c r="BC2115">
        <v>6</v>
      </c>
      <c r="BD2115">
        <v>6</v>
      </c>
      <c r="BE2115">
        <v>23</v>
      </c>
      <c r="BF2115">
        <v>29</v>
      </c>
      <c r="BG2115">
        <v>38</v>
      </c>
      <c r="BH2115">
        <v>20</v>
      </c>
      <c r="BI2115">
        <v>58</v>
      </c>
      <c r="BP2115">
        <v>31</v>
      </c>
      <c r="BR2115">
        <v>23</v>
      </c>
      <c r="BS2115">
        <v>1</v>
      </c>
      <c r="BT2115">
        <v>2</v>
      </c>
      <c r="BV2115">
        <v>1</v>
      </c>
      <c r="BW2115">
        <v>58</v>
      </c>
      <c r="BX2115">
        <f>IF(C2115=C2114,IF((CI2115-1)=CI2114,BW2114,"no data"))</f>
        <v>108</v>
      </c>
      <c r="BY2115" s="5">
        <f t="shared" si="221"/>
        <v>-0.46296296296296297</v>
      </c>
      <c r="BZ2115" s="6">
        <f t="shared" si="220"/>
        <v>-0.46296296296296297</v>
      </c>
      <c r="CA2115" s="7">
        <v>44528</v>
      </c>
      <c r="CE2115">
        <v>22</v>
      </c>
      <c r="CF2115">
        <v>28</v>
      </c>
      <c r="CG2115">
        <v>8</v>
      </c>
      <c r="CI2115">
        <f t="shared" ref="CI2115:CI2178" si="222">YEAR(CA2115)</f>
        <v>2021</v>
      </c>
      <c r="CJ2115" t="str">
        <f t="shared" ref="CJ2115:CJ2178" si="223">_xlfn.CONCAT(C2115,"_",CI2115)</f>
        <v>7342_2021</v>
      </c>
    </row>
    <row r="2116" spans="1:88" x14ac:dyDescent="0.25">
      <c r="A2116" t="s">
        <v>79</v>
      </c>
      <c r="B2116" t="s">
        <v>439</v>
      </c>
      <c r="C2116">
        <v>7342</v>
      </c>
      <c r="D2116">
        <v>-33.969347999999997</v>
      </c>
      <c r="E2116">
        <v>151.031485</v>
      </c>
      <c r="F2116">
        <v>4</v>
      </c>
      <c r="G2116" t="s">
        <v>798</v>
      </c>
      <c r="H2116">
        <v>0</v>
      </c>
      <c r="I2116">
        <v>180</v>
      </c>
      <c r="J2116">
        <v>15</v>
      </c>
      <c r="K2116">
        <v>195</v>
      </c>
      <c r="L2116">
        <v>107</v>
      </c>
      <c r="M2116">
        <v>287</v>
      </c>
      <c r="N2116">
        <v>194</v>
      </c>
      <c r="O2116">
        <v>14</v>
      </c>
      <c r="T2116">
        <v>0</v>
      </c>
      <c r="U2116">
        <v>0</v>
      </c>
      <c r="V2116">
        <v>9</v>
      </c>
      <c r="Y2116">
        <v>0</v>
      </c>
      <c r="Z2116">
        <v>4</v>
      </c>
      <c r="AA2116">
        <v>3</v>
      </c>
      <c r="AD2116">
        <v>3</v>
      </c>
      <c r="AE2116">
        <v>4</v>
      </c>
      <c r="AF2116">
        <v>10</v>
      </c>
      <c r="AI2116">
        <v>16</v>
      </c>
      <c r="AJ2116">
        <v>1</v>
      </c>
      <c r="AK2116">
        <v>9</v>
      </c>
      <c r="AX2116">
        <v>9</v>
      </c>
      <c r="AY2116">
        <v>19</v>
      </c>
      <c r="AZ2116">
        <v>28</v>
      </c>
      <c r="BA2116">
        <v>7</v>
      </c>
      <c r="BB2116">
        <v>5</v>
      </c>
      <c r="BC2116">
        <v>12</v>
      </c>
      <c r="BD2116">
        <v>17</v>
      </c>
      <c r="BE2116">
        <v>13</v>
      </c>
      <c r="BF2116">
        <v>30</v>
      </c>
      <c r="BG2116">
        <v>26</v>
      </c>
      <c r="BH2116">
        <v>22</v>
      </c>
      <c r="BI2116">
        <v>48</v>
      </c>
      <c r="BP2116">
        <v>36</v>
      </c>
      <c r="BR2116">
        <v>13</v>
      </c>
      <c r="BS2116">
        <v>3</v>
      </c>
      <c r="BT2116">
        <v>7</v>
      </c>
      <c r="BU2116">
        <v>0</v>
      </c>
      <c r="BV2116">
        <v>0</v>
      </c>
      <c r="BW2116">
        <v>59</v>
      </c>
      <c r="BX2116">
        <f>IF(C2116=C2115,IF((CI2116-1)=CI2115,BW2115,"no data"))</f>
        <v>58</v>
      </c>
      <c r="BY2116" s="5">
        <f t="shared" si="221"/>
        <v>1.7241379310344827E-2</v>
      </c>
      <c r="BZ2116" s="6">
        <f t="shared" si="220"/>
        <v>1.7241379310344827E-2</v>
      </c>
      <c r="CA2116" s="7">
        <v>44885</v>
      </c>
      <c r="CE2116">
        <v>35</v>
      </c>
      <c r="CF2116">
        <v>15</v>
      </c>
      <c r="CG2116">
        <v>9</v>
      </c>
      <c r="CI2116">
        <f t="shared" si="222"/>
        <v>2022</v>
      </c>
      <c r="CJ2116" t="str">
        <f t="shared" si="223"/>
        <v>7342_2022</v>
      </c>
    </row>
    <row r="2117" spans="1:88" x14ac:dyDescent="0.25">
      <c r="A2117" t="s">
        <v>140</v>
      </c>
      <c r="B2117" t="s">
        <v>799</v>
      </c>
      <c r="C2117">
        <v>7425</v>
      </c>
      <c r="D2117">
        <v>-31.809000000000001</v>
      </c>
      <c r="E2117">
        <v>115.7306</v>
      </c>
      <c r="F2117">
        <v>3</v>
      </c>
      <c r="G2117" t="s">
        <v>800</v>
      </c>
      <c r="H2117">
        <v>82</v>
      </c>
      <c r="I2117">
        <v>262</v>
      </c>
      <c r="J2117">
        <v>172</v>
      </c>
      <c r="K2117">
        <v>352</v>
      </c>
      <c r="L2117">
        <v>330</v>
      </c>
      <c r="M2117">
        <v>150</v>
      </c>
      <c r="T2117">
        <v>9</v>
      </c>
      <c r="U2117">
        <v>9</v>
      </c>
      <c r="Y2117">
        <v>4</v>
      </c>
      <c r="Z2117">
        <v>220</v>
      </c>
      <c r="AD2117">
        <v>7</v>
      </c>
      <c r="AE2117">
        <v>213</v>
      </c>
      <c r="AX2117">
        <v>18</v>
      </c>
      <c r="AY2117">
        <v>11</v>
      </c>
      <c r="AZ2117">
        <v>29</v>
      </c>
      <c r="BA2117">
        <v>224</v>
      </c>
      <c r="BB2117">
        <v>222</v>
      </c>
      <c r="BC2117">
        <v>446</v>
      </c>
      <c r="BD2117">
        <v>220</v>
      </c>
      <c r="BE2117">
        <v>229</v>
      </c>
      <c r="BF2117">
        <v>449</v>
      </c>
      <c r="BP2117">
        <v>234</v>
      </c>
      <c r="BR2117">
        <v>87</v>
      </c>
      <c r="BS2117">
        <v>120</v>
      </c>
      <c r="BT2117">
        <v>14</v>
      </c>
      <c r="BV2117">
        <v>7</v>
      </c>
      <c r="BW2117">
        <v>462</v>
      </c>
      <c r="BX2117" t="s">
        <v>82</v>
      </c>
      <c r="BY2117" s="5"/>
      <c r="BZ2117" s="6"/>
      <c r="CA2117" s="7">
        <v>43779</v>
      </c>
      <c r="CE2117">
        <v>181</v>
      </c>
      <c r="CF2117">
        <v>119</v>
      </c>
      <c r="CG2117">
        <v>101</v>
      </c>
      <c r="CH2117">
        <v>61</v>
      </c>
      <c r="CI2117">
        <f t="shared" si="222"/>
        <v>2019</v>
      </c>
      <c r="CJ2117" t="str">
        <f t="shared" si="223"/>
        <v>7425_2019</v>
      </c>
    </row>
    <row r="2118" spans="1:88" x14ac:dyDescent="0.25">
      <c r="A2118" t="s">
        <v>140</v>
      </c>
      <c r="B2118" t="s">
        <v>799</v>
      </c>
      <c r="C2118">
        <v>7426</v>
      </c>
      <c r="D2118">
        <v>-31.811399999999999</v>
      </c>
      <c r="E2118">
        <v>115.7967</v>
      </c>
      <c r="F2118">
        <v>4</v>
      </c>
      <c r="G2118" t="s">
        <v>801</v>
      </c>
      <c r="H2118">
        <v>1</v>
      </c>
      <c r="I2118">
        <v>181</v>
      </c>
      <c r="J2118">
        <v>90</v>
      </c>
      <c r="K2118">
        <v>270</v>
      </c>
      <c r="L2118">
        <v>115</v>
      </c>
      <c r="M2118">
        <v>295</v>
      </c>
      <c r="N2118">
        <v>270</v>
      </c>
      <c r="O2118">
        <v>90</v>
      </c>
      <c r="T2118">
        <v>8</v>
      </c>
      <c r="U2118">
        <v>0</v>
      </c>
      <c r="V2118">
        <v>46</v>
      </c>
      <c r="Y2118">
        <v>3</v>
      </c>
      <c r="Z2118">
        <v>0</v>
      </c>
      <c r="AA2118">
        <v>46</v>
      </c>
      <c r="AD2118">
        <v>0</v>
      </c>
      <c r="AE2118">
        <v>1</v>
      </c>
      <c r="AF2118">
        <v>8</v>
      </c>
      <c r="AI2118">
        <v>50</v>
      </c>
      <c r="AJ2118">
        <v>39</v>
      </c>
      <c r="AK2118">
        <v>1</v>
      </c>
      <c r="AX2118">
        <v>54</v>
      </c>
      <c r="AY2118">
        <v>53</v>
      </c>
      <c r="AZ2118">
        <v>107</v>
      </c>
      <c r="BA2118">
        <v>49</v>
      </c>
      <c r="BB2118">
        <v>48</v>
      </c>
      <c r="BC2118">
        <v>97</v>
      </c>
      <c r="BD2118">
        <v>9</v>
      </c>
      <c r="BE2118">
        <v>1</v>
      </c>
      <c r="BF2118">
        <v>10</v>
      </c>
      <c r="BG2118">
        <v>90</v>
      </c>
      <c r="BH2118">
        <v>100</v>
      </c>
      <c r="BI2118">
        <v>190</v>
      </c>
      <c r="BP2118">
        <v>54</v>
      </c>
      <c r="BR2118">
        <v>104</v>
      </c>
      <c r="BS2118">
        <v>6</v>
      </c>
      <c r="BT2118">
        <v>34</v>
      </c>
      <c r="BV2118">
        <v>4</v>
      </c>
      <c r="BW2118">
        <v>202</v>
      </c>
      <c r="BX2118" t="s">
        <v>82</v>
      </c>
      <c r="BY2118" s="5"/>
      <c r="BZ2118" s="6"/>
      <c r="CA2118" s="7">
        <v>43779</v>
      </c>
      <c r="CE2118">
        <v>43</v>
      </c>
      <c r="CF2118">
        <v>55</v>
      </c>
      <c r="CG2118">
        <v>44</v>
      </c>
      <c r="CH2118">
        <v>60</v>
      </c>
      <c r="CI2118">
        <f t="shared" si="222"/>
        <v>2019</v>
      </c>
      <c r="CJ2118" t="str">
        <f t="shared" si="223"/>
        <v>7426_2019</v>
      </c>
    </row>
    <row r="2119" spans="1:88" x14ac:dyDescent="0.25">
      <c r="A2119" t="s">
        <v>140</v>
      </c>
      <c r="B2119" t="s">
        <v>799</v>
      </c>
      <c r="C2119">
        <v>7427</v>
      </c>
      <c r="D2119">
        <v>-31.831700000000001</v>
      </c>
      <c r="E2119">
        <v>115.7467</v>
      </c>
      <c r="F2119">
        <v>4</v>
      </c>
      <c r="G2119" t="s">
        <v>802</v>
      </c>
      <c r="H2119">
        <v>130</v>
      </c>
      <c r="I2119">
        <v>310</v>
      </c>
      <c r="J2119">
        <v>142</v>
      </c>
      <c r="K2119">
        <v>322</v>
      </c>
      <c r="L2119">
        <v>340</v>
      </c>
      <c r="M2119">
        <v>160</v>
      </c>
      <c r="N2119">
        <v>350</v>
      </c>
      <c r="O2119">
        <v>170</v>
      </c>
      <c r="T2119">
        <v>11</v>
      </c>
      <c r="U2119">
        <v>5</v>
      </c>
      <c r="V2119">
        <v>41</v>
      </c>
      <c r="Y2119">
        <v>8</v>
      </c>
      <c r="Z2119">
        <v>149</v>
      </c>
      <c r="AA2119">
        <v>28</v>
      </c>
      <c r="AD2119">
        <v>12</v>
      </c>
      <c r="AE2119">
        <v>174</v>
      </c>
      <c r="AF2119">
        <v>18</v>
      </c>
      <c r="AI2119">
        <v>57</v>
      </c>
      <c r="AJ2119">
        <v>14</v>
      </c>
      <c r="AK2119">
        <v>3</v>
      </c>
      <c r="AX2119">
        <v>57</v>
      </c>
      <c r="AY2119">
        <v>77</v>
      </c>
      <c r="AZ2119">
        <v>134</v>
      </c>
      <c r="BA2119">
        <v>185</v>
      </c>
      <c r="BB2119">
        <v>199</v>
      </c>
      <c r="BC2119">
        <v>384</v>
      </c>
      <c r="BD2119">
        <v>204</v>
      </c>
      <c r="BE2119">
        <v>157</v>
      </c>
      <c r="BF2119">
        <v>361</v>
      </c>
      <c r="BG2119">
        <v>74</v>
      </c>
      <c r="BH2119">
        <v>87</v>
      </c>
      <c r="BI2119">
        <v>161</v>
      </c>
      <c r="BP2119">
        <v>98</v>
      </c>
      <c r="BR2119">
        <v>360</v>
      </c>
      <c r="BS2119">
        <v>16</v>
      </c>
      <c r="BT2119">
        <v>40</v>
      </c>
      <c r="BV2119">
        <v>6</v>
      </c>
      <c r="BW2119">
        <v>520</v>
      </c>
      <c r="BX2119" t="s">
        <v>82</v>
      </c>
      <c r="BY2119" s="5"/>
      <c r="BZ2119" s="6"/>
      <c r="CA2119" s="7">
        <v>43779</v>
      </c>
      <c r="CE2119">
        <v>248</v>
      </c>
      <c r="CF2119">
        <v>134</v>
      </c>
      <c r="CG2119">
        <v>97</v>
      </c>
      <c r="CH2119">
        <v>41</v>
      </c>
      <c r="CI2119">
        <f t="shared" si="222"/>
        <v>2019</v>
      </c>
      <c r="CJ2119" t="str">
        <f t="shared" si="223"/>
        <v>7427_2019</v>
      </c>
    </row>
    <row r="2120" spans="1:88" x14ac:dyDescent="0.25">
      <c r="A2120" t="s">
        <v>140</v>
      </c>
      <c r="B2120" t="s">
        <v>799</v>
      </c>
      <c r="C2120">
        <v>7428</v>
      </c>
      <c r="D2120">
        <v>-31.8385</v>
      </c>
      <c r="E2120">
        <v>115.7501</v>
      </c>
      <c r="F2120">
        <v>4</v>
      </c>
      <c r="G2120" t="s">
        <v>803</v>
      </c>
      <c r="H2120">
        <v>3</v>
      </c>
      <c r="I2120">
        <v>183</v>
      </c>
      <c r="J2120">
        <v>145</v>
      </c>
      <c r="K2120">
        <v>325</v>
      </c>
      <c r="L2120">
        <v>164</v>
      </c>
      <c r="M2120">
        <v>344</v>
      </c>
      <c r="N2120">
        <v>345</v>
      </c>
      <c r="O2120">
        <v>165</v>
      </c>
      <c r="T2120">
        <v>29</v>
      </c>
      <c r="U2120">
        <v>0</v>
      </c>
      <c r="V2120">
        <v>0</v>
      </c>
      <c r="Y2120">
        <v>22</v>
      </c>
      <c r="Z2120">
        <v>0</v>
      </c>
      <c r="AA2120">
        <v>0</v>
      </c>
      <c r="AD2120">
        <v>0</v>
      </c>
      <c r="AE2120">
        <v>0</v>
      </c>
      <c r="AF2120">
        <v>629</v>
      </c>
      <c r="AI2120">
        <v>0</v>
      </c>
      <c r="AJ2120">
        <v>0</v>
      </c>
      <c r="AK2120">
        <v>640</v>
      </c>
      <c r="AX2120">
        <v>29</v>
      </c>
      <c r="AY2120">
        <v>22</v>
      </c>
      <c r="AZ2120">
        <v>51</v>
      </c>
      <c r="BA2120">
        <v>22</v>
      </c>
      <c r="BB2120">
        <v>29</v>
      </c>
      <c r="BC2120">
        <v>51</v>
      </c>
      <c r="BD2120">
        <v>629</v>
      </c>
      <c r="BE2120">
        <v>640</v>
      </c>
      <c r="BF2120">
        <v>1269</v>
      </c>
      <c r="BG2120">
        <v>640</v>
      </c>
      <c r="BH2120">
        <v>629</v>
      </c>
      <c r="BI2120">
        <v>1269</v>
      </c>
      <c r="BP2120">
        <v>331</v>
      </c>
      <c r="BR2120">
        <v>760</v>
      </c>
      <c r="BS2120">
        <v>91</v>
      </c>
      <c r="BT2120">
        <v>85</v>
      </c>
      <c r="BV2120">
        <v>53</v>
      </c>
      <c r="BW2120">
        <v>1320</v>
      </c>
      <c r="BX2120" t="s">
        <v>82</v>
      </c>
      <c r="BY2120" s="5"/>
      <c r="BZ2120" s="6"/>
      <c r="CA2120" s="7">
        <v>43779</v>
      </c>
      <c r="CE2120">
        <v>363</v>
      </c>
      <c r="CF2120">
        <v>376</v>
      </c>
      <c r="CG2120">
        <v>281</v>
      </c>
      <c r="CH2120">
        <v>300</v>
      </c>
      <c r="CI2120">
        <f t="shared" si="222"/>
        <v>2019</v>
      </c>
      <c r="CJ2120" t="str">
        <f t="shared" si="223"/>
        <v>7428_2019</v>
      </c>
    </row>
    <row r="2121" spans="1:88" x14ac:dyDescent="0.25">
      <c r="A2121" t="s">
        <v>140</v>
      </c>
      <c r="B2121" t="s">
        <v>799</v>
      </c>
      <c r="C2121">
        <v>7429</v>
      </c>
      <c r="D2121">
        <v>-31.776399999999999</v>
      </c>
      <c r="E2121">
        <v>115.7936</v>
      </c>
      <c r="F2121">
        <v>4</v>
      </c>
      <c r="G2121" t="s">
        <v>804</v>
      </c>
      <c r="H2121">
        <v>38</v>
      </c>
      <c r="I2121">
        <v>218</v>
      </c>
      <c r="J2121">
        <v>110</v>
      </c>
      <c r="K2121">
        <v>290</v>
      </c>
      <c r="L2121">
        <v>206</v>
      </c>
      <c r="M2121">
        <v>26</v>
      </c>
      <c r="N2121">
        <v>290</v>
      </c>
      <c r="O2121">
        <v>110</v>
      </c>
      <c r="T2121">
        <v>4</v>
      </c>
      <c r="U2121">
        <v>23</v>
      </c>
      <c r="V2121">
        <v>5</v>
      </c>
      <c r="Y2121">
        <v>12</v>
      </c>
      <c r="Z2121">
        <v>6</v>
      </c>
      <c r="AA2121">
        <v>1</v>
      </c>
      <c r="AD2121">
        <v>18</v>
      </c>
      <c r="AE2121">
        <v>6</v>
      </c>
      <c r="AF2121">
        <v>0</v>
      </c>
      <c r="AI2121">
        <v>8</v>
      </c>
      <c r="AJ2121">
        <v>4</v>
      </c>
      <c r="AK2121">
        <v>4</v>
      </c>
      <c r="AX2121">
        <v>32</v>
      </c>
      <c r="AY2121">
        <v>38</v>
      </c>
      <c r="AZ2121">
        <v>70</v>
      </c>
      <c r="BA2121">
        <v>19</v>
      </c>
      <c r="BB2121">
        <v>14</v>
      </c>
      <c r="BC2121">
        <v>33</v>
      </c>
      <c r="BD2121">
        <v>24</v>
      </c>
      <c r="BE2121">
        <v>33</v>
      </c>
      <c r="BF2121">
        <v>57</v>
      </c>
      <c r="BG2121">
        <v>16</v>
      </c>
      <c r="BH2121">
        <v>6</v>
      </c>
      <c r="BI2121">
        <v>22</v>
      </c>
      <c r="BP2121">
        <v>70</v>
      </c>
      <c r="BR2121">
        <v>16</v>
      </c>
      <c r="BS2121">
        <v>0</v>
      </c>
      <c r="BT2121">
        <v>2</v>
      </c>
      <c r="BV2121">
        <v>3</v>
      </c>
      <c r="BW2121">
        <v>91</v>
      </c>
      <c r="BX2121" t="s">
        <v>82</v>
      </c>
      <c r="BY2121" s="5"/>
      <c r="BZ2121" s="6"/>
      <c r="CA2121" s="7">
        <v>43779</v>
      </c>
      <c r="CE2121">
        <v>36</v>
      </c>
      <c r="CF2121">
        <v>29</v>
      </c>
      <c r="CG2121">
        <v>16</v>
      </c>
      <c r="CH2121">
        <v>10</v>
      </c>
      <c r="CI2121">
        <f t="shared" si="222"/>
        <v>2019</v>
      </c>
      <c r="CJ2121" t="str">
        <f t="shared" si="223"/>
        <v>7429_2019</v>
      </c>
    </row>
    <row r="2122" spans="1:88" x14ac:dyDescent="0.25">
      <c r="A2122" t="s">
        <v>140</v>
      </c>
      <c r="B2122" t="s">
        <v>799</v>
      </c>
      <c r="C2122">
        <v>7430</v>
      </c>
      <c r="D2122">
        <v>-31.785799999999998</v>
      </c>
      <c r="E2122">
        <v>115.73439999999999</v>
      </c>
      <c r="F2122">
        <v>2</v>
      </c>
      <c r="G2122" t="s">
        <v>805</v>
      </c>
      <c r="H2122">
        <v>162</v>
      </c>
      <c r="I2122">
        <v>342</v>
      </c>
      <c r="J2122">
        <v>349</v>
      </c>
      <c r="K2122">
        <v>169</v>
      </c>
      <c r="T2122">
        <v>527</v>
      </c>
      <c r="Y2122">
        <v>648</v>
      </c>
      <c r="AX2122">
        <v>527</v>
      </c>
      <c r="AY2122">
        <v>648</v>
      </c>
      <c r="AZ2122">
        <v>1175</v>
      </c>
      <c r="BA2122">
        <v>648</v>
      </c>
      <c r="BB2122">
        <v>527</v>
      </c>
      <c r="BC2122">
        <v>1175</v>
      </c>
      <c r="BP2122">
        <v>240</v>
      </c>
      <c r="BR2122">
        <v>801</v>
      </c>
      <c r="BS2122">
        <v>25</v>
      </c>
      <c r="BT2122">
        <v>59</v>
      </c>
      <c r="BV2122">
        <v>50</v>
      </c>
      <c r="BW2122">
        <v>1175</v>
      </c>
      <c r="BX2122" t="s">
        <v>82</v>
      </c>
      <c r="BY2122" s="5"/>
      <c r="BZ2122" s="6"/>
      <c r="CA2122" s="7">
        <v>43779</v>
      </c>
      <c r="CE2122">
        <v>354</v>
      </c>
      <c r="CF2122">
        <v>377</v>
      </c>
      <c r="CG2122">
        <v>338</v>
      </c>
      <c r="CH2122">
        <v>106</v>
      </c>
      <c r="CI2122">
        <f t="shared" si="222"/>
        <v>2019</v>
      </c>
      <c r="CJ2122" t="str">
        <f t="shared" si="223"/>
        <v>7430_2019</v>
      </c>
    </row>
    <row r="2123" spans="1:88" x14ac:dyDescent="0.25">
      <c r="A2123" t="s">
        <v>140</v>
      </c>
      <c r="B2123" t="s">
        <v>799</v>
      </c>
      <c r="C2123">
        <v>7431</v>
      </c>
      <c r="D2123">
        <v>-31.799499999999998</v>
      </c>
      <c r="E2123">
        <v>115.733</v>
      </c>
      <c r="F2123">
        <v>3</v>
      </c>
      <c r="G2123" t="s">
        <v>806</v>
      </c>
      <c r="H2123">
        <v>1</v>
      </c>
      <c r="I2123">
        <v>181</v>
      </c>
      <c r="J2123">
        <v>68</v>
      </c>
      <c r="K2123">
        <v>248</v>
      </c>
      <c r="L2123">
        <v>204</v>
      </c>
      <c r="M2123">
        <v>24</v>
      </c>
      <c r="T2123">
        <v>16</v>
      </c>
      <c r="U2123">
        <v>72</v>
      </c>
      <c r="Y2123">
        <v>18</v>
      </c>
      <c r="Z2123">
        <v>28</v>
      </c>
      <c r="AD2123">
        <v>55</v>
      </c>
      <c r="AE2123">
        <v>13</v>
      </c>
      <c r="AX2123">
        <v>88</v>
      </c>
      <c r="AY2123">
        <v>73</v>
      </c>
      <c r="AZ2123">
        <v>161</v>
      </c>
      <c r="BA2123">
        <v>46</v>
      </c>
      <c r="BB2123">
        <v>29</v>
      </c>
      <c r="BC2123">
        <v>75</v>
      </c>
      <c r="BD2123">
        <v>68</v>
      </c>
      <c r="BE2123">
        <v>100</v>
      </c>
      <c r="BF2123">
        <v>168</v>
      </c>
      <c r="BP2123">
        <v>162</v>
      </c>
      <c r="BR2123">
        <v>25</v>
      </c>
      <c r="BS2123">
        <v>6</v>
      </c>
      <c r="BT2123">
        <v>5</v>
      </c>
      <c r="BV2123">
        <v>4</v>
      </c>
      <c r="BW2123">
        <v>202</v>
      </c>
      <c r="BX2123" t="s">
        <v>82</v>
      </c>
      <c r="BY2123" s="5"/>
      <c r="BZ2123" s="6"/>
      <c r="CA2123" s="7">
        <v>43779</v>
      </c>
      <c r="CE2123">
        <v>76</v>
      </c>
      <c r="CF2123">
        <v>79</v>
      </c>
      <c r="CG2123">
        <v>36</v>
      </c>
      <c r="CH2123">
        <v>11</v>
      </c>
      <c r="CI2123">
        <f t="shared" si="222"/>
        <v>2019</v>
      </c>
      <c r="CJ2123" t="str">
        <f t="shared" si="223"/>
        <v>7431_2019</v>
      </c>
    </row>
    <row r="2124" spans="1:88" x14ac:dyDescent="0.25">
      <c r="A2124" t="s">
        <v>140</v>
      </c>
      <c r="B2124" t="s">
        <v>799</v>
      </c>
      <c r="C2124">
        <v>7432</v>
      </c>
      <c r="D2124">
        <v>-31.845700000000001</v>
      </c>
      <c r="E2124">
        <v>115.7884</v>
      </c>
      <c r="F2124">
        <v>3</v>
      </c>
      <c r="G2124" t="s">
        <v>807</v>
      </c>
      <c r="H2124">
        <v>90</v>
      </c>
      <c r="I2124">
        <v>270</v>
      </c>
      <c r="J2124">
        <v>180</v>
      </c>
      <c r="K2124">
        <v>360</v>
      </c>
      <c r="L2124">
        <v>270</v>
      </c>
      <c r="M2124">
        <v>90</v>
      </c>
      <c r="T2124">
        <v>5</v>
      </c>
      <c r="U2124">
        <v>28</v>
      </c>
      <c r="Y2124">
        <v>2</v>
      </c>
      <c r="Z2124">
        <v>1</v>
      </c>
      <c r="AD2124">
        <v>35</v>
      </c>
      <c r="AE2124">
        <v>1</v>
      </c>
      <c r="AX2124">
        <v>33</v>
      </c>
      <c r="AY2124">
        <v>37</v>
      </c>
      <c r="AZ2124">
        <v>70</v>
      </c>
      <c r="BA2124">
        <v>3</v>
      </c>
      <c r="BB2124">
        <v>6</v>
      </c>
      <c r="BC2124">
        <v>9</v>
      </c>
      <c r="BD2124">
        <v>36</v>
      </c>
      <c r="BE2124">
        <v>29</v>
      </c>
      <c r="BF2124">
        <v>65</v>
      </c>
      <c r="BP2124">
        <v>32</v>
      </c>
      <c r="BR2124">
        <v>23</v>
      </c>
      <c r="BS2124">
        <v>4</v>
      </c>
      <c r="BT2124">
        <v>4</v>
      </c>
      <c r="BV2124">
        <v>9</v>
      </c>
      <c r="BW2124">
        <v>72</v>
      </c>
      <c r="BX2124" t="s">
        <v>82</v>
      </c>
      <c r="BY2124" s="5"/>
      <c r="BZ2124" s="6"/>
      <c r="CA2124" s="7">
        <v>43779</v>
      </c>
      <c r="CE2124">
        <v>14</v>
      </c>
      <c r="CF2124">
        <v>17</v>
      </c>
      <c r="CG2124">
        <v>30</v>
      </c>
      <c r="CH2124">
        <v>11</v>
      </c>
      <c r="CI2124">
        <f t="shared" si="222"/>
        <v>2019</v>
      </c>
      <c r="CJ2124" t="str">
        <f t="shared" si="223"/>
        <v>7432_2019</v>
      </c>
    </row>
    <row r="2125" spans="1:88" x14ac:dyDescent="0.25">
      <c r="A2125" t="s">
        <v>111</v>
      </c>
      <c r="B2125" t="s">
        <v>114</v>
      </c>
      <c r="C2125">
        <v>7433</v>
      </c>
      <c r="D2125">
        <v>-37.79</v>
      </c>
      <c r="E2125">
        <v>145.0429</v>
      </c>
      <c r="F2125">
        <v>4</v>
      </c>
      <c r="G2125" t="s">
        <v>808</v>
      </c>
      <c r="H2125">
        <v>16</v>
      </c>
      <c r="I2125">
        <v>196</v>
      </c>
      <c r="J2125">
        <v>97</v>
      </c>
      <c r="K2125">
        <v>277</v>
      </c>
      <c r="L2125">
        <v>224</v>
      </c>
      <c r="M2125">
        <v>44</v>
      </c>
      <c r="N2125">
        <v>270</v>
      </c>
      <c r="O2125">
        <v>90</v>
      </c>
      <c r="T2125">
        <v>76</v>
      </c>
      <c r="U2125">
        <v>91</v>
      </c>
      <c r="V2125">
        <v>94</v>
      </c>
      <c r="Y2125">
        <v>52</v>
      </c>
      <c r="Z2125">
        <v>25</v>
      </c>
      <c r="AA2125">
        <v>231</v>
      </c>
      <c r="AD2125">
        <v>149</v>
      </c>
      <c r="AE2125">
        <v>11</v>
      </c>
      <c r="AF2125">
        <v>45</v>
      </c>
      <c r="AI2125">
        <v>97</v>
      </c>
      <c r="AJ2125">
        <v>201</v>
      </c>
      <c r="AK2125">
        <v>76</v>
      </c>
      <c r="AX2125">
        <v>261</v>
      </c>
      <c r="AY2125">
        <v>298</v>
      </c>
      <c r="AZ2125">
        <v>559</v>
      </c>
      <c r="BA2125">
        <v>308</v>
      </c>
      <c r="BB2125">
        <v>288</v>
      </c>
      <c r="BC2125">
        <v>596</v>
      </c>
      <c r="BD2125">
        <v>205</v>
      </c>
      <c r="BE2125">
        <v>192</v>
      </c>
      <c r="BF2125">
        <v>397</v>
      </c>
      <c r="BG2125">
        <v>374</v>
      </c>
      <c r="BH2125">
        <v>370</v>
      </c>
      <c r="BI2125">
        <v>744</v>
      </c>
      <c r="BP2125">
        <v>694</v>
      </c>
      <c r="BR2125">
        <v>221</v>
      </c>
      <c r="BS2125">
        <v>142</v>
      </c>
      <c r="BT2125">
        <v>67</v>
      </c>
      <c r="BV2125">
        <v>24</v>
      </c>
      <c r="BW2125">
        <v>1148</v>
      </c>
      <c r="BX2125" t="s">
        <v>82</v>
      </c>
      <c r="BY2125" s="5"/>
      <c r="BZ2125" s="6"/>
      <c r="CA2125" s="7">
        <v>43779</v>
      </c>
      <c r="CE2125">
        <v>299</v>
      </c>
      <c r="CF2125">
        <v>292</v>
      </c>
      <c r="CG2125">
        <v>299</v>
      </c>
      <c r="CH2125">
        <v>258</v>
      </c>
      <c r="CI2125">
        <f t="shared" si="222"/>
        <v>2019</v>
      </c>
      <c r="CJ2125" t="str">
        <f t="shared" si="223"/>
        <v>7433_2019</v>
      </c>
    </row>
    <row r="2126" spans="1:88" x14ac:dyDescent="0.25">
      <c r="A2126" t="s">
        <v>111</v>
      </c>
      <c r="B2126" t="s">
        <v>114</v>
      </c>
      <c r="C2126">
        <v>7433</v>
      </c>
      <c r="D2126">
        <v>-37.79</v>
      </c>
      <c r="E2126">
        <v>145.0429</v>
      </c>
      <c r="F2126">
        <v>4</v>
      </c>
      <c r="G2126" t="s">
        <v>808</v>
      </c>
      <c r="H2126">
        <v>16</v>
      </c>
      <c r="I2126">
        <v>196</v>
      </c>
      <c r="J2126">
        <v>97</v>
      </c>
      <c r="K2126">
        <v>277</v>
      </c>
      <c r="L2126">
        <v>224</v>
      </c>
      <c r="M2126">
        <v>44</v>
      </c>
      <c r="N2126">
        <v>270</v>
      </c>
      <c r="O2126">
        <v>90</v>
      </c>
      <c r="T2126">
        <v>109</v>
      </c>
      <c r="U2126">
        <v>126</v>
      </c>
      <c r="V2126">
        <v>165</v>
      </c>
      <c r="Y2126">
        <v>78</v>
      </c>
      <c r="Z2126">
        <v>80</v>
      </c>
      <c r="AA2126">
        <v>313</v>
      </c>
      <c r="AD2126">
        <v>152</v>
      </c>
      <c r="AE2126">
        <v>58</v>
      </c>
      <c r="AF2126">
        <v>78</v>
      </c>
      <c r="AI2126">
        <v>143</v>
      </c>
      <c r="AJ2126">
        <v>381</v>
      </c>
      <c r="AK2126">
        <v>84</v>
      </c>
      <c r="AX2126">
        <v>400</v>
      </c>
      <c r="AY2126">
        <v>373</v>
      </c>
      <c r="AZ2126">
        <v>773</v>
      </c>
      <c r="BA2126">
        <v>471</v>
      </c>
      <c r="BB2126">
        <v>548</v>
      </c>
      <c r="BC2126">
        <v>1019</v>
      </c>
      <c r="BD2126">
        <v>288</v>
      </c>
      <c r="BE2126">
        <v>290</v>
      </c>
      <c r="BF2126">
        <v>578</v>
      </c>
      <c r="BG2126">
        <v>608</v>
      </c>
      <c r="BH2126">
        <v>556</v>
      </c>
      <c r="BI2126">
        <v>1164</v>
      </c>
      <c r="BP2126">
        <v>1130</v>
      </c>
      <c r="BR2126">
        <v>418</v>
      </c>
      <c r="BS2126">
        <v>140</v>
      </c>
      <c r="BT2126">
        <v>79</v>
      </c>
      <c r="BV2126">
        <v>0</v>
      </c>
      <c r="BW2126">
        <v>1767</v>
      </c>
      <c r="BX2126">
        <f>IF(C2126=C2125,IF((CI2126-1)=CI2125,BW2125,"no data"))</f>
        <v>1148</v>
      </c>
      <c r="BY2126" s="5">
        <f t="shared" ref="BY2126:BY2189" si="224">(BW2126-BX2126)/BX2126</f>
        <v>0.53919860627177696</v>
      </c>
      <c r="BZ2126" s="6">
        <f t="shared" ref="BZ2126:BZ2189" si="225">BY2126</f>
        <v>0.53919860627177696</v>
      </c>
      <c r="CA2126" s="7">
        <v>44143</v>
      </c>
      <c r="CE2126">
        <v>361</v>
      </c>
      <c r="CF2126">
        <v>425</v>
      </c>
      <c r="CG2126">
        <v>554</v>
      </c>
      <c r="CH2126">
        <v>427</v>
      </c>
      <c r="CI2126">
        <f t="shared" si="222"/>
        <v>2020</v>
      </c>
      <c r="CJ2126" t="str">
        <f t="shared" si="223"/>
        <v>7433_2020</v>
      </c>
    </row>
    <row r="2127" spans="1:88" x14ac:dyDescent="0.25">
      <c r="A2127" t="s">
        <v>111</v>
      </c>
      <c r="B2127" t="s">
        <v>114</v>
      </c>
      <c r="C2127">
        <v>7433</v>
      </c>
      <c r="D2127">
        <v>-37.790047000000001</v>
      </c>
      <c r="E2127">
        <v>145.04287500000001</v>
      </c>
      <c r="F2127">
        <v>4</v>
      </c>
      <c r="G2127" t="s">
        <v>808</v>
      </c>
      <c r="H2127">
        <v>16</v>
      </c>
      <c r="I2127">
        <v>196</v>
      </c>
      <c r="J2127">
        <v>97</v>
      </c>
      <c r="K2127">
        <v>277</v>
      </c>
      <c r="L2127">
        <v>224</v>
      </c>
      <c r="M2127">
        <v>44</v>
      </c>
      <c r="N2127">
        <v>270</v>
      </c>
      <c r="O2127">
        <v>90</v>
      </c>
      <c r="T2127">
        <v>15</v>
      </c>
      <c r="U2127">
        <v>65</v>
      </c>
      <c r="V2127">
        <v>22</v>
      </c>
      <c r="Y2127">
        <v>14</v>
      </c>
      <c r="Z2127">
        <v>71</v>
      </c>
      <c r="AA2127">
        <v>279</v>
      </c>
      <c r="AD2127">
        <v>94</v>
      </c>
      <c r="AE2127">
        <v>74</v>
      </c>
      <c r="AF2127">
        <v>38</v>
      </c>
      <c r="AI2127">
        <v>63</v>
      </c>
      <c r="AJ2127">
        <v>231</v>
      </c>
      <c r="AK2127">
        <v>56</v>
      </c>
      <c r="AX2127">
        <v>102</v>
      </c>
      <c r="AY2127">
        <v>171</v>
      </c>
      <c r="AZ2127">
        <v>273</v>
      </c>
      <c r="BA2127">
        <v>364</v>
      </c>
      <c r="BB2127">
        <v>320</v>
      </c>
      <c r="BC2127">
        <v>684</v>
      </c>
      <c r="BD2127">
        <v>206</v>
      </c>
      <c r="BE2127">
        <v>192</v>
      </c>
      <c r="BF2127">
        <v>398</v>
      </c>
      <c r="BG2127">
        <v>350</v>
      </c>
      <c r="BH2127">
        <v>339</v>
      </c>
      <c r="BI2127">
        <v>689</v>
      </c>
      <c r="BP2127">
        <v>540</v>
      </c>
      <c r="BR2127">
        <v>288</v>
      </c>
      <c r="BS2127">
        <v>123</v>
      </c>
      <c r="BT2127">
        <v>64</v>
      </c>
      <c r="BV2127">
        <v>7</v>
      </c>
      <c r="BW2127">
        <v>1022</v>
      </c>
      <c r="BX2127">
        <f>IF(C2127=C2126,IF((CI2127-1)=CI2126,BW2126,"no data"))</f>
        <v>1767</v>
      </c>
      <c r="BY2127" s="5">
        <f t="shared" si="224"/>
        <v>-0.42161856253537067</v>
      </c>
      <c r="BZ2127" s="6">
        <f t="shared" si="225"/>
        <v>-0.42161856253537067</v>
      </c>
      <c r="CA2127" s="7">
        <v>44528</v>
      </c>
      <c r="CE2127">
        <v>371</v>
      </c>
      <c r="CF2127">
        <v>300</v>
      </c>
      <c r="CG2127">
        <v>351</v>
      </c>
      <c r="CI2127">
        <f t="shared" si="222"/>
        <v>2021</v>
      </c>
      <c r="CJ2127" t="str">
        <f t="shared" si="223"/>
        <v>7433_2021</v>
      </c>
    </row>
    <row r="2128" spans="1:88" x14ac:dyDescent="0.25">
      <c r="A2128" t="s">
        <v>111</v>
      </c>
      <c r="B2128" t="s">
        <v>114</v>
      </c>
      <c r="C2128">
        <v>7433</v>
      </c>
      <c r="D2128">
        <v>-37.790047000000001</v>
      </c>
      <c r="E2128">
        <v>145.04287500000001</v>
      </c>
      <c r="F2128">
        <v>4</v>
      </c>
      <c r="G2128" t="s">
        <v>808</v>
      </c>
      <c r="H2128">
        <v>16</v>
      </c>
      <c r="I2128">
        <v>196</v>
      </c>
      <c r="J2128">
        <v>97</v>
      </c>
      <c r="K2128">
        <v>277</v>
      </c>
      <c r="L2128">
        <v>224</v>
      </c>
      <c r="M2128">
        <v>44</v>
      </c>
      <c r="N2128">
        <v>270</v>
      </c>
      <c r="O2128">
        <v>90</v>
      </c>
      <c r="T2128">
        <v>75</v>
      </c>
      <c r="U2128">
        <v>142</v>
      </c>
      <c r="V2128">
        <v>71</v>
      </c>
      <c r="Y2128">
        <v>51</v>
      </c>
      <c r="Z2128">
        <v>33</v>
      </c>
      <c r="AA2128">
        <v>82</v>
      </c>
      <c r="AD2128">
        <v>114</v>
      </c>
      <c r="AE2128">
        <v>21</v>
      </c>
      <c r="AF2128">
        <v>35</v>
      </c>
      <c r="AI2128">
        <v>69</v>
      </c>
      <c r="AJ2128">
        <v>64</v>
      </c>
      <c r="AK2128">
        <v>25</v>
      </c>
      <c r="AX2128">
        <v>288</v>
      </c>
      <c r="AY2128">
        <v>234</v>
      </c>
      <c r="AZ2128">
        <v>522</v>
      </c>
      <c r="BA2128">
        <v>166</v>
      </c>
      <c r="BB2128">
        <v>160</v>
      </c>
      <c r="BC2128">
        <v>326</v>
      </c>
      <c r="BD2128">
        <v>170</v>
      </c>
      <c r="BE2128">
        <v>200</v>
      </c>
      <c r="BF2128">
        <v>370</v>
      </c>
      <c r="BG2128">
        <v>158</v>
      </c>
      <c r="BH2128">
        <v>188</v>
      </c>
      <c r="BI2128">
        <v>346</v>
      </c>
      <c r="BP2128">
        <v>331</v>
      </c>
      <c r="BR2128">
        <v>235</v>
      </c>
      <c r="BS2128">
        <v>144</v>
      </c>
      <c r="BT2128">
        <v>51</v>
      </c>
      <c r="BU2128">
        <v>5</v>
      </c>
      <c r="BV2128">
        <v>16</v>
      </c>
      <c r="BW2128">
        <v>782</v>
      </c>
      <c r="BX2128">
        <f>IF(C2128=C2127,IF((CI2128-1)=CI2127,BW2127,"no data"))</f>
        <v>1022</v>
      </c>
      <c r="BY2128" s="5">
        <f t="shared" si="224"/>
        <v>-0.23483365949119372</v>
      </c>
      <c r="BZ2128" s="6">
        <f t="shared" si="225"/>
        <v>-0.23483365949119372</v>
      </c>
      <c r="CA2128" s="7">
        <v>44878</v>
      </c>
      <c r="CE2128">
        <v>217</v>
      </c>
      <c r="CF2128">
        <v>335</v>
      </c>
      <c r="CG2128">
        <v>230</v>
      </c>
      <c r="CI2128">
        <f t="shared" si="222"/>
        <v>2022</v>
      </c>
      <c r="CJ2128" t="str">
        <f t="shared" si="223"/>
        <v>7433_2022</v>
      </c>
    </row>
    <row r="2129" spans="1:88" x14ac:dyDescent="0.25">
      <c r="A2129" t="s">
        <v>277</v>
      </c>
      <c r="B2129" t="s">
        <v>473</v>
      </c>
      <c r="C2129">
        <v>7434</v>
      </c>
      <c r="D2129">
        <v>-35.036499999999997</v>
      </c>
      <c r="E2129">
        <v>138.6027</v>
      </c>
      <c r="F2129">
        <v>4</v>
      </c>
      <c r="G2129" t="s">
        <v>809</v>
      </c>
      <c r="H2129">
        <v>9</v>
      </c>
      <c r="I2129">
        <v>189</v>
      </c>
      <c r="J2129">
        <v>150</v>
      </c>
      <c r="K2129">
        <v>330</v>
      </c>
      <c r="L2129">
        <v>220</v>
      </c>
      <c r="M2129">
        <v>40</v>
      </c>
      <c r="N2129">
        <v>258</v>
      </c>
      <c r="O2129">
        <v>78</v>
      </c>
      <c r="T2129">
        <v>37</v>
      </c>
      <c r="U2129">
        <v>15</v>
      </c>
      <c r="V2129">
        <v>5</v>
      </c>
      <c r="Y2129">
        <v>20</v>
      </c>
      <c r="Z2129">
        <v>11</v>
      </c>
      <c r="AA2129">
        <v>6</v>
      </c>
      <c r="AD2129">
        <v>9</v>
      </c>
      <c r="AE2129">
        <v>1</v>
      </c>
      <c r="AF2129">
        <v>4</v>
      </c>
      <c r="AI2129">
        <v>37</v>
      </c>
      <c r="AJ2129">
        <v>8</v>
      </c>
      <c r="AK2129">
        <v>2</v>
      </c>
      <c r="AX2129">
        <v>57</v>
      </c>
      <c r="AY2129">
        <v>66</v>
      </c>
      <c r="AZ2129">
        <v>123</v>
      </c>
      <c r="BA2129">
        <v>37</v>
      </c>
      <c r="BB2129">
        <v>46</v>
      </c>
      <c r="BC2129">
        <v>83</v>
      </c>
      <c r="BD2129">
        <v>14</v>
      </c>
      <c r="BE2129">
        <v>28</v>
      </c>
      <c r="BF2129">
        <v>42</v>
      </c>
      <c r="BG2129">
        <v>47</v>
      </c>
      <c r="BH2129">
        <v>15</v>
      </c>
      <c r="BI2129">
        <v>62</v>
      </c>
      <c r="BP2129">
        <v>84</v>
      </c>
      <c r="BR2129">
        <v>48</v>
      </c>
      <c r="BS2129">
        <v>9</v>
      </c>
      <c r="BT2129">
        <v>13</v>
      </c>
      <c r="BV2129">
        <v>1</v>
      </c>
      <c r="BW2129">
        <v>155</v>
      </c>
      <c r="BX2129" t="s">
        <v>82</v>
      </c>
      <c r="BY2129" s="5"/>
      <c r="BZ2129" s="6"/>
      <c r="CA2129" s="7">
        <v>44143</v>
      </c>
      <c r="CE2129">
        <v>69</v>
      </c>
      <c r="CF2129">
        <v>51</v>
      </c>
      <c r="CG2129">
        <v>31</v>
      </c>
      <c r="CH2129">
        <v>4</v>
      </c>
      <c r="CI2129">
        <f t="shared" si="222"/>
        <v>2020</v>
      </c>
      <c r="CJ2129" t="str">
        <f t="shared" si="223"/>
        <v>7434_2020</v>
      </c>
    </row>
    <row r="2130" spans="1:88" x14ac:dyDescent="0.25">
      <c r="A2130" t="s">
        <v>277</v>
      </c>
      <c r="B2130" t="s">
        <v>473</v>
      </c>
      <c r="C2130">
        <v>7434</v>
      </c>
      <c r="D2130">
        <v>-35.036473999999998</v>
      </c>
      <c r="E2130">
        <v>138.602735</v>
      </c>
      <c r="F2130">
        <v>4</v>
      </c>
      <c r="G2130" t="s">
        <v>809</v>
      </c>
      <c r="H2130">
        <v>9</v>
      </c>
      <c r="I2130">
        <v>189</v>
      </c>
      <c r="J2130">
        <v>150</v>
      </c>
      <c r="K2130">
        <v>330</v>
      </c>
      <c r="L2130">
        <v>220</v>
      </c>
      <c r="M2130">
        <v>40</v>
      </c>
      <c r="N2130">
        <v>258</v>
      </c>
      <c r="O2130">
        <v>78</v>
      </c>
      <c r="T2130">
        <v>16</v>
      </c>
      <c r="U2130">
        <v>6</v>
      </c>
      <c r="V2130">
        <v>13</v>
      </c>
      <c r="Y2130">
        <v>26</v>
      </c>
      <c r="Z2130">
        <v>5</v>
      </c>
      <c r="AA2130">
        <v>6</v>
      </c>
      <c r="AD2130">
        <v>1</v>
      </c>
      <c r="AE2130">
        <v>7</v>
      </c>
      <c r="AF2130">
        <v>0</v>
      </c>
      <c r="AI2130">
        <v>8</v>
      </c>
      <c r="AJ2130">
        <v>6</v>
      </c>
      <c r="AK2130">
        <v>2</v>
      </c>
      <c r="AX2130">
        <v>35</v>
      </c>
      <c r="AY2130">
        <v>35</v>
      </c>
      <c r="AZ2130">
        <v>70</v>
      </c>
      <c r="BA2130">
        <v>37</v>
      </c>
      <c r="BB2130">
        <v>29</v>
      </c>
      <c r="BC2130">
        <v>66</v>
      </c>
      <c r="BD2130">
        <v>8</v>
      </c>
      <c r="BE2130">
        <v>13</v>
      </c>
      <c r="BF2130">
        <v>21</v>
      </c>
      <c r="BG2130">
        <v>16</v>
      </c>
      <c r="BH2130">
        <v>19</v>
      </c>
      <c r="BI2130">
        <v>35</v>
      </c>
      <c r="BP2130">
        <v>63</v>
      </c>
      <c r="BR2130">
        <v>16</v>
      </c>
      <c r="BS2130">
        <v>5</v>
      </c>
      <c r="BT2130">
        <v>12</v>
      </c>
      <c r="BV2130">
        <v>0</v>
      </c>
      <c r="BW2130">
        <v>96</v>
      </c>
      <c r="BX2130">
        <f>IF(C2130=C2129,IF((CI2130-1)=CI2129,BW2129,"no data"))</f>
        <v>155</v>
      </c>
      <c r="BY2130" s="5">
        <f t="shared" si="224"/>
        <v>-0.38064516129032255</v>
      </c>
      <c r="BZ2130" s="6">
        <f t="shared" si="225"/>
        <v>-0.38064516129032255</v>
      </c>
      <c r="CA2130" s="7">
        <v>44528</v>
      </c>
      <c r="CE2130">
        <v>30</v>
      </c>
      <c r="CF2130">
        <v>31</v>
      </c>
      <c r="CG2130">
        <v>35</v>
      </c>
      <c r="CI2130">
        <f t="shared" si="222"/>
        <v>2021</v>
      </c>
      <c r="CJ2130" t="str">
        <f t="shared" si="223"/>
        <v>7434_2021</v>
      </c>
    </row>
    <row r="2131" spans="1:88" x14ac:dyDescent="0.25">
      <c r="A2131" t="s">
        <v>277</v>
      </c>
      <c r="B2131" t="s">
        <v>473</v>
      </c>
      <c r="C2131">
        <v>7434</v>
      </c>
      <c r="D2131">
        <v>-35.036473999999998</v>
      </c>
      <c r="E2131">
        <v>138.602735</v>
      </c>
      <c r="F2131">
        <v>4</v>
      </c>
      <c r="G2131" t="s">
        <v>809</v>
      </c>
      <c r="H2131">
        <v>9</v>
      </c>
      <c r="I2131">
        <v>189</v>
      </c>
      <c r="J2131">
        <v>150</v>
      </c>
      <c r="K2131">
        <v>330</v>
      </c>
      <c r="L2131">
        <v>220</v>
      </c>
      <c r="M2131">
        <v>40</v>
      </c>
      <c r="N2131">
        <v>258</v>
      </c>
      <c r="O2131">
        <v>78</v>
      </c>
      <c r="T2131">
        <v>13</v>
      </c>
      <c r="U2131">
        <v>6</v>
      </c>
      <c r="V2131">
        <v>0</v>
      </c>
      <c r="Y2131">
        <v>15</v>
      </c>
      <c r="Z2131">
        <v>0</v>
      </c>
      <c r="AA2131">
        <v>21</v>
      </c>
      <c r="AD2131">
        <v>0</v>
      </c>
      <c r="AE2131">
        <v>5</v>
      </c>
      <c r="AF2131">
        <v>0</v>
      </c>
      <c r="AI2131">
        <v>4</v>
      </c>
      <c r="AJ2131">
        <v>3</v>
      </c>
      <c r="AK2131">
        <v>0</v>
      </c>
      <c r="AX2131">
        <v>19</v>
      </c>
      <c r="AY2131">
        <v>19</v>
      </c>
      <c r="AZ2131">
        <v>38</v>
      </c>
      <c r="BA2131">
        <v>36</v>
      </c>
      <c r="BB2131">
        <v>21</v>
      </c>
      <c r="BC2131">
        <v>57</v>
      </c>
      <c r="BD2131">
        <v>5</v>
      </c>
      <c r="BE2131">
        <v>6</v>
      </c>
      <c r="BF2131">
        <v>11</v>
      </c>
      <c r="BG2131">
        <v>7</v>
      </c>
      <c r="BH2131">
        <v>21</v>
      </c>
      <c r="BI2131">
        <v>28</v>
      </c>
      <c r="BP2131">
        <v>20</v>
      </c>
      <c r="BR2131">
        <v>32</v>
      </c>
      <c r="BS2131">
        <v>3</v>
      </c>
      <c r="BT2131">
        <v>12</v>
      </c>
      <c r="BU2131">
        <v>0</v>
      </c>
      <c r="BV2131">
        <v>0</v>
      </c>
      <c r="BW2131">
        <v>67</v>
      </c>
      <c r="BX2131">
        <f>IF(C2131=C2130,IF((CI2131-1)=CI2130,BW2130,"no data"))</f>
        <v>96</v>
      </c>
      <c r="BY2131" s="5">
        <f t="shared" si="224"/>
        <v>-0.30208333333333331</v>
      </c>
      <c r="BZ2131" s="6">
        <f t="shared" si="225"/>
        <v>-0.30208333333333331</v>
      </c>
      <c r="CA2131" s="7">
        <v>44885</v>
      </c>
      <c r="CE2131">
        <v>25</v>
      </c>
      <c r="CF2131">
        <v>38</v>
      </c>
      <c r="CG2131">
        <v>4</v>
      </c>
      <c r="CI2131">
        <f t="shared" si="222"/>
        <v>2022</v>
      </c>
      <c r="CJ2131" t="str">
        <f t="shared" si="223"/>
        <v>7434_2022</v>
      </c>
    </row>
    <row r="2132" spans="1:88" x14ac:dyDescent="0.25">
      <c r="A2132" t="s">
        <v>277</v>
      </c>
      <c r="B2132" t="s">
        <v>473</v>
      </c>
      <c r="C2132">
        <v>7435</v>
      </c>
      <c r="D2132">
        <v>-35.024900000000002</v>
      </c>
      <c r="E2132">
        <v>138.5641</v>
      </c>
      <c r="F2132">
        <v>3</v>
      </c>
      <c r="G2132" t="s">
        <v>810</v>
      </c>
      <c r="H2132">
        <v>8</v>
      </c>
      <c r="I2132">
        <v>188</v>
      </c>
      <c r="J2132">
        <v>109</v>
      </c>
      <c r="K2132">
        <v>289</v>
      </c>
      <c r="L2132">
        <v>173</v>
      </c>
      <c r="M2132">
        <v>353</v>
      </c>
      <c r="T2132">
        <v>7</v>
      </c>
      <c r="U2132">
        <v>26</v>
      </c>
      <c r="Y2132">
        <v>7</v>
      </c>
      <c r="Z2132">
        <v>0</v>
      </c>
      <c r="AD2132">
        <v>22</v>
      </c>
      <c r="AE2132">
        <v>5</v>
      </c>
      <c r="AX2132">
        <v>33</v>
      </c>
      <c r="AY2132">
        <v>29</v>
      </c>
      <c r="AZ2132">
        <v>62</v>
      </c>
      <c r="BA2132">
        <v>7</v>
      </c>
      <c r="BB2132">
        <v>12</v>
      </c>
      <c r="BC2132">
        <v>19</v>
      </c>
      <c r="BD2132">
        <v>27</v>
      </c>
      <c r="BE2132">
        <v>26</v>
      </c>
      <c r="BF2132">
        <v>53</v>
      </c>
      <c r="BP2132">
        <v>9</v>
      </c>
      <c r="BR2132">
        <v>42</v>
      </c>
      <c r="BS2132">
        <v>0</v>
      </c>
      <c r="BT2132">
        <v>16</v>
      </c>
      <c r="BV2132">
        <v>0</v>
      </c>
      <c r="BW2132">
        <v>67</v>
      </c>
      <c r="BX2132" t="s">
        <v>82</v>
      </c>
      <c r="BY2132" s="5"/>
      <c r="BZ2132" s="6"/>
      <c r="CA2132" s="7">
        <v>44143</v>
      </c>
      <c r="CE2132">
        <v>17</v>
      </c>
      <c r="CF2132">
        <v>26</v>
      </c>
      <c r="CG2132">
        <v>17</v>
      </c>
      <c r="CH2132">
        <v>7</v>
      </c>
      <c r="CI2132">
        <f t="shared" si="222"/>
        <v>2020</v>
      </c>
      <c r="CJ2132" t="str">
        <f t="shared" si="223"/>
        <v>7435_2020</v>
      </c>
    </row>
    <row r="2133" spans="1:88" x14ac:dyDescent="0.25">
      <c r="A2133" t="s">
        <v>277</v>
      </c>
      <c r="B2133" t="s">
        <v>473</v>
      </c>
      <c r="C2133">
        <v>7435</v>
      </c>
      <c r="D2133">
        <v>-35.024864000000001</v>
      </c>
      <c r="E2133">
        <v>138.564098</v>
      </c>
      <c r="F2133">
        <v>3</v>
      </c>
      <c r="G2133" t="s">
        <v>810</v>
      </c>
      <c r="H2133">
        <v>8</v>
      </c>
      <c r="I2133">
        <v>188</v>
      </c>
      <c r="J2133">
        <v>109</v>
      </c>
      <c r="K2133">
        <v>289</v>
      </c>
      <c r="L2133">
        <v>173</v>
      </c>
      <c r="M2133">
        <v>353</v>
      </c>
      <c r="T2133">
        <v>4</v>
      </c>
      <c r="U2133">
        <v>26</v>
      </c>
      <c r="Y2133">
        <v>0</v>
      </c>
      <c r="Z2133">
        <v>0</v>
      </c>
      <c r="AD2133">
        <v>20</v>
      </c>
      <c r="AE2133">
        <v>3</v>
      </c>
      <c r="AX2133">
        <v>30</v>
      </c>
      <c r="AY2133">
        <v>20</v>
      </c>
      <c r="AZ2133">
        <v>50</v>
      </c>
      <c r="BA2133">
        <v>0</v>
      </c>
      <c r="BB2133">
        <v>7</v>
      </c>
      <c r="BC2133">
        <v>7</v>
      </c>
      <c r="BD2133">
        <v>23</v>
      </c>
      <c r="BE2133">
        <v>26</v>
      </c>
      <c r="BF2133">
        <v>49</v>
      </c>
      <c r="BP2133">
        <v>13</v>
      </c>
      <c r="BR2133">
        <v>34</v>
      </c>
      <c r="BS2133">
        <v>1</v>
      </c>
      <c r="BT2133">
        <v>5</v>
      </c>
      <c r="BV2133">
        <v>0</v>
      </c>
      <c r="BW2133">
        <v>53</v>
      </c>
      <c r="BX2133">
        <f>IF(C2133=C2132,IF((CI2133-1)=CI2132,BW2132,"no data"))</f>
        <v>67</v>
      </c>
      <c r="BY2133" s="5">
        <f t="shared" si="224"/>
        <v>-0.20895522388059701</v>
      </c>
      <c r="BZ2133" s="6">
        <f t="shared" si="225"/>
        <v>-0.20895522388059701</v>
      </c>
      <c r="CA2133" s="7">
        <v>44528</v>
      </c>
      <c r="CE2133">
        <v>17</v>
      </c>
      <c r="CF2133">
        <v>14</v>
      </c>
      <c r="CG2133">
        <v>22</v>
      </c>
      <c r="CI2133">
        <f t="shared" si="222"/>
        <v>2021</v>
      </c>
      <c r="CJ2133" t="str">
        <f t="shared" si="223"/>
        <v>7435_2021</v>
      </c>
    </row>
    <row r="2134" spans="1:88" x14ac:dyDescent="0.25">
      <c r="A2134" t="s">
        <v>277</v>
      </c>
      <c r="B2134" t="s">
        <v>473</v>
      </c>
      <c r="C2134">
        <v>7435</v>
      </c>
      <c r="D2134">
        <v>-35.024864000000001</v>
      </c>
      <c r="E2134">
        <v>138.564098</v>
      </c>
      <c r="F2134">
        <v>3</v>
      </c>
      <c r="G2134" t="s">
        <v>810</v>
      </c>
      <c r="H2134">
        <v>8</v>
      </c>
      <c r="I2134">
        <v>188</v>
      </c>
      <c r="J2134">
        <v>109</v>
      </c>
      <c r="K2134">
        <v>289</v>
      </c>
      <c r="L2134">
        <v>173</v>
      </c>
      <c r="M2134">
        <v>353</v>
      </c>
      <c r="T2134">
        <v>28</v>
      </c>
      <c r="U2134">
        <v>0</v>
      </c>
      <c r="Y2134">
        <v>0</v>
      </c>
      <c r="Z2134">
        <v>0</v>
      </c>
      <c r="AD2134">
        <v>0</v>
      </c>
      <c r="AE2134">
        <v>0</v>
      </c>
      <c r="AX2134">
        <v>28</v>
      </c>
      <c r="AY2134">
        <v>0</v>
      </c>
      <c r="AZ2134">
        <v>28</v>
      </c>
      <c r="BA2134">
        <v>0</v>
      </c>
      <c r="BB2134">
        <v>28</v>
      </c>
      <c r="BC2134">
        <v>28</v>
      </c>
      <c r="BD2134">
        <v>0</v>
      </c>
      <c r="BE2134">
        <v>0</v>
      </c>
      <c r="BF2134">
        <v>0</v>
      </c>
      <c r="BP2134">
        <v>0</v>
      </c>
      <c r="BR2134">
        <v>20</v>
      </c>
      <c r="BS2134">
        <v>0</v>
      </c>
      <c r="BT2134">
        <v>8</v>
      </c>
      <c r="BU2134">
        <v>0</v>
      </c>
      <c r="BV2134">
        <v>0</v>
      </c>
      <c r="BW2134">
        <v>28</v>
      </c>
      <c r="BX2134">
        <f>IF(C2134=C2133,IF((CI2134-1)=CI2133,BW2133,"no data"))</f>
        <v>53</v>
      </c>
      <c r="BY2134" s="5">
        <f t="shared" si="224"/>
        <v>-0.47169811320754718</v>
      </c>
      <c r="BZ2134" s="6">
        <f t="shared" si="225"/>
        <v>-0.47169811320754718</v>
      </c>
      <c r="CA2134" s="7">
        <v>44885</v>
      </c>
      <c r="CE2134">
        <v>11</v>
      </c>
      <c r="CF2134">
        <v>17</v>
      </c>
      <c r="CG2134">
        <v>0</v>
      </c>
      <c r="CI2134">
        <f t="shared" si="222"/>
        <v>2022</v>
      </c>
      <c r="CJ2134" t="str">
        <f t="shared" si="223"/>
        <v>7435_2022</v>
      </c>
    </row>
    <row r="2135" spans="1:88" x14ac:dyDescent="0.25">
      <c r="A2135" t="s">
        <v>111</v>
      </c>
      <c r="B2135" t="s">
        <v>261</v>
      </c>
      <c r="C2135">
        <v>7436</v>
      </c>
      <c r="D2135">
        <v>-37.994100000000003</v>
      </c>
      <c r="E2135">
        <v>145.2097</v>
      </c>
      <c r="F2135">
        <v>4</v>
      </c>
      <c r="G2135" t="s">
        <v>811</v>
      </c>
      <c r="H2135">
        <v>7</v>
      </c>
      <c r="I2135">
        <v>187</v>
      </c>
      <c r="J2135">
        <v>85</v>
      </c>
      <c r="K2135">
        <v>265</v>
      </c>
      <c r="L2135">
        <v>188</v>
      </c>
      <c r="M2135">
        <v>8</v>
      </c>
      <c r="N2135">
        <v>286</v>
      </c>
      <c r="O2135">
        <v>106</v>
      </c>
      <c r="T2135">
        <v>3</v>
      </c>
      <c r="U2135">
        <v>15</v>
      </c>
      <c r="V2135">
        <v>0</v>
      </c>
      <c r="Y2135">
        <v>1</v>
      </c>
      <c r="Z2135">
        <v>3</v>
      </c>
      <c r="AA2135">
        <v>7</v>
      </c>
      <c r="AD2135">
        <v>13</v>
      </c>
      <c r="AE2135">
        <v>2</v>
      </c>
      <c r="AF2135">
        <v>10</v>
      </c>
      <c r="AI2135">
        <v>0</v>
      </c>
      <c r="AJ2135">
        <v>12</v>
      </c>
      <c r="AK2135">
        <v>5</v>
      </c>
      <c r="AX2135">
        <v>18</v>
      </c>
      <c r="AY2135">
        <v>14</v>
      </c>
      <c r="AZ2135">
        <v>32</v>
      </c>
      <c r="BA2135">
        <v>11</v>
      </c>
      <c r="BB2135">
        <v>17</v>
      </c>
      <c r="BC2135">
        <v>28</v>
      </c>
      <c r="BD2135">
        <v>25</v>
      </c>
      <c r="BE2135">
        <v>23</v>
      </c>
      <c r="BF2135">
        <v>48</v>
      </c>
      <c r="BG2135">
        <v>17</v>
      </c>
      <c r="BH2135">
        <v>17</v>
      </c>
      <c r="BI2135">
        <v>34</v>
      </c>
      <c r="BP2135">
        <v>29</v>
      </c>
      <c r="BR2135">
        <v>40</v>
      </c>
      <c r="BS2135">
        <v>0</v>
      </c>
      <c r="BT2135">
        <v>2</v>
      </c>
      <c r="BV2135">
        <v>0</v>
      </c>
      <c r="BW2135">
        <v>71</v>
      </c>
      <c r="BX2135" t="s">
        <v>82</v>
      </c>
      <c r="BY2135" s="5"/>
      <c r="BZ2135" s="6"/>
      <c r="CA2135" s="7">
        <v>43779</v>
      </c>
      <c r="CE2135">
        <v>0</v>
      </c>
      <c r="CF2135">
        <v>0</v>
      </c>
      <c r="CG2135">
        <v>37</v>
      </c>
      <c r="CH2135">
        <v>34</v>
      </c>
      <c r="CI2135">
        <f t="shared" si="222"/>
        <v>2019</v>
      </c>
      <c r="CJ2135" t="str">
        <f t="shared" si="223"/>
        <v>7436_2019</v>
      </c>
    </row>
    <row r="2136" spans="1:88" x14ac:dyDescent="0.25">
      <c r="A2136" t="s">
        <v>111</v>
      </c>
      <c r="B2136" t="s">
        <v>261</v>
      </c>
      <c r="C2136">
        <v>7437</v>
      </c>
      <c r="D2136">
        <v>-37.964399999999998</v>
      </c>
      <c r="E2136">
        <v>145.20590000000001</v>
      </c>
      <c r="F2136">
        <v>3</v>
      </c>
      <c r="G2136" t="s">
        <v>812</v>
      </c>
      <c r="H2136">
        <v>8</v>
      </c>
      <c r="I2136">
        <v>188</v>
      </c>
      <c r="J2136">
        <v>96</v>
      </c>
      <c r="K2136">
        <v>276</v>
      </c>
      <c r="L2136">
        <v>188</v>
      </c>
      <c r="M2136">
        <v>8</v>
      </c>
      <c r="T2136">
        <v>25</v>
      </c>
      <c r="U2136">
        <v>8</v>
      </c>
      <c r="Y2136">
        <v>18</v>
      </c>
      <c r="Z2136">
        <v>5</v>
      </c>
      <c r="AD2136">
        <v>6</v>
      </c>
      <c r="AE2136">
        <v>4</v>
      </c>
      <c r="AX2136">
        <v>33</v>
      </c>
      <c r="AY2136">
        <v>24</v>
      </c>
      <c r="AZ2136">
        <v>57</v>
      </c>
      <c r="BA2136">
        <v>23</v>
      </c>
      <c r="BB2136">
        <v>29</v>
      </c>
      <c r="BC2136">
        <v>52</v>
      </c>
      <c r="BD2136">
        <v>10</v>
      </c>
      <c r="BE2136">
        <v>13</v>
      </c>
      <c r="BF2136">
        <v>23</v>
      </c>
      <c r="BP2136">
        <v>4</v>
      </c>
      <c r="BR2136">
        <v>53</v>
      </c>
      <c r="BS2136">
        <v>0</v>
      </c>
      <c r="BT2136">
        <v>8</v>
      </c>
      <c r="BV2136">
        <v>1</v>
      </c>
      <c r="BW2136">
        <v>66</v>
      </c>
      <c r="BX2136" t="s">
        <v>82</v>
      </c>
      <c r="BY2136" s="5"/>
      <c r="BZ2136" s="6"/>
      <c r="CA2136" s="7">
        <v>43779</v>
      </c>
      <c r="CE2136">
        <v>19</v>
      </c>
      <c r="CF2136">
        <v>20</v>
      </c>
      <c r="CG2136">
        <v>7</v>
      </c>
      <c r="CH2136">
        <v>20</v>
      </c>
      <c r="CI2136">
        <f t="shared" si="222"/>
        <v>2019</v>
      </c>
      <c r="CJ2136" t="str">
        <f t="shared" si="223"/>
        <v>7437_2019</v>
      </c>
    </row>
    <row r="2137" spans="1:88" x14ac:dyDescent="0.25">
      <c r="A2137" t="s">
        <v>111</v>
      </c>
      <c r="B2137" t="s">
        <v>261</v>
      </c>
      <c r="C2137">
        <v>7438</v>
      </c>
      <c r="D2137">
        <v>-37.9696</v>
      </c>
      <c r="E2137">
        <v>145.21119999999999</v>
      </c>
      <c r="F2137">
        <v>4</v>
      </c>
      <c r="G2137" t="s">
        <v>813</v>
      </c>
      <c r="H2137">
        <v>7</v>
      </c>
      <c r="I2137">
        <v>187</v>
      </c>
      <c r="J2137">
        <v>98</v>
      </c>
      <c r="K2137">
        <v>278</v>
      </c>
      <c r="L2137">
        <v>188</v>
      </c>
      <c r="M2137">
        <v>8</v>
      </c>
      <c r="N2137">
        <v>278</v>
      </c>
      <c r="O2137">
        <v>98</v>
      </c>
      <c r="T2137">
        <v>21</v>
      </c>
      <c r="U2137">
        <v>11</v>
      </c>
      <c r="V2137">
        <v>3</v>
      </c>
      <c r="Y2137">
        <v>22</v>
      </c>
      <c r="Z2137">
        <v>10</v>
      </c>
      <c r="AA2137">
        <v>8</v>
      </c>
      <c r="AD2137">
        <v>15</v>
      </c>
      <c r="AE2137">
        <v>4</v>
      </c>
      <c r="AF2137">
        <v>3</v>
      </c>
      <c r="AI2137">
        <v>7</v>
      </c>
      <c r="AJ2137">
        <v>13</v>
      </c>
      <c r="AK2137">
        <v>2</v>
      </c>
      <c r="AX2137">
        <v>35</v>
      </c>
      <c r="AY2137">
        <v>44</v>
      </c>
      <c r="AZ2137">
        <v>79</v>
      </c>
      <c r="BA2137">
        <v>40</v>
      </c>
      <c r="BB2137">
        <v>38</v>
      </c>
      <c r="BC2137">
        <v>78</v>
      </c>
      <c r="BD2137">
        <v>22</v>
      </c>
      <c r="BE2137">
        <v>23</v>
      </c>
      <c r="BF2137">
        <v>45</v>
      </c>
      <c r="BG2137">
        <v>22</v>
      </c>
      <c r="BH2137">
        <v>14</v>
      </c>
      <c r="BI2137">
        <v>36</v>
      </c>
      <c r="BP2137">
        <v>7</v>
      </c>
      <c r="BR2137">
        <v>103</v>
      </c>
      <c r="BS2137">
        <v>2</v>
      </c>
      <c r="BT2137">
        <v>6</v>
      </c>
      <c r="BV2137">
        <v>1</v>
      </c>
      <c r="BW2137">
        <v>119</v>
      </c>
      <c r="BX2137" t="s">
        <v>82</v>
      </c>
      <c r="BY2137" s="5"/>
      <c r="BZ2137" s="6"/>
      <c r="CA2137" s="7">
        <v>43779</v>
      </c>
      <c r="CE2137">
        <v>31</v>
      </c>
      <c r="CF2137">
        <v>31</v>
      </c>
      <c r="CG2137">
        <v>40</v>
      </c>
      <c r="CH2137">
        <v>17</v>
      </c>
      <c r="CI2137">
        <f t="shared" si="222"/>
        <v>2019</v>
      </c>
      <c r="CJ2137" t="str">
        <f t="shared" si="223"/>
        <v>7438_2019</v>
      </c>
    </row>
    <row r="2138" spans="1:88" x14ac:dyDescent="0.25">
      <c r="A2138" t="s">
        <v>111</v>
      </c>
      <c r="B2138" t="s">
        <v>261</v>
      </c>
      <c r="C2138">
        <v>7439</v>
      </c>
      <c r="D2138">
        <v>-37.983400000000003</v>
      </c>
      <c r="E2138">
        <v>145.19460000000001</v>
      </c>
      <c r="F2138">
        <v>4</v>
      </c>
      <c r="G2138" t="s">
        <v>814</v>
      </c>
      <c r="H2138">
        <v>0</v>
      </c>
      <c r="I2138">
        <v>180</v>
      </c>
      <c r="J2138">
        <v>104</v>
      </c>
      <c r="K2138">
        <v>284</v>
      </c>
      <c r="L2138">
        <v>211</v>
      </c>
      <c r="M2138">
        <v>31</v>
      </c>
      <c r="N2138">
        <v>310</v>
      </c>
      <c r="O2138">
        <v>130</v>
      </c>
      <c r="T2138">
        <v>15</v>
      </c>
      <c r="U2138">
        <v>3</v>
      </c>
      <c r="V2138">
        <v>32</v>
      </c>
      <c r="Y2138">
        <v>6</v>
      </c>
      <c r="Z2138">
        <v>1</v>
      </c>
      <c r="AA2138">
        <v>2</v>
      </c>
      <c r="AD2138">
        <v>0</v>
      </c>
      <c r="AE2138">
        <v>0</v>
      </c>
      <c r="AF2138">
        <v>0</v>
      </c>
      <c r="AI2138">
        <v>11</v>
      </c>
      <c r="AJ2138">
        <v>3</v>
      </c>
      <c r="AK2138">
        <v>0</v>
      </c>
      <c r="AX2138">
        <v>50</v>
      </c>
      <c r="AY2138">
        <v>17</v>
      </c>
      <c r="AZ2138">
        <v>67</v>
      </c>
      <c r="BA2138">
        <v>9</v>
      </c>
      <c r="BB2138">
        <v>18</v>
      </c>
      <c r="BC2138">
        <v>27</v>
      </c>
      <c r="BD2138">
        <v>0</v>
      </c>
      <c r="BE2138">
        <v>4</v>
      </c>
      <c r="BF2138">
        <v>4</v>
      </c>
      <c r="BG2138">
        <v>14</v>
      </c>
      <c r="BH2138">
        <v>34</v>
      </c>
      <c r="BI2138">
        <v>48</v>
      </c>
      <c r="BP2138">
        <v>49</v>
      </c>
      <c r="BR2138">
        <v>16</v>
      </c>
      <c r="BS2138">
        <v>2</v>
      </c>
      <c r="BT2138">
        <v>6</v>
      </c>
      <c r="BV2138">
        <v>0</v>
      </c>
      <c r="BW2138">
        <v>73</v>
      </c>
      <c r="BX2138" t="s">
        <v>82</v>
      </c>
      <c r="BY2138" s="5"/>
      <c r="BZ2138" s="6"/>
      <c r="CA2138" s="7">
        <v>43779</v>
      </c>
      <c r="CE2138">
        <v>18</v>
      </c>
      <c r="CF2138">
        <v>10</v>
      </c>
      <c r="CG2138">
        <v>19</v>
      </c>
      <c r="CH2138">
        <v>26</v>
      </c>
      <c r="CI2138">
        <f t="shared" si="222"/>
        <v>2019</v>
      </c>
      <c r="CJ2138" t="str">
        <f t="shared" si="223"/>
        <v>7439_2019</v>
      </c>
    </row>
    <row r="2139" spans="1:88" x14ac:dyDescent="0.25">
      <c r="A2139" t="s">
        <v>140</v>
      </c>
      <c r="B2139" t="s">
        <v>143</v>
      </c>
      <c r="C2139">
        <v>7440</v>
      </c>
      <c r="D2139">
        <v>-32.0976</v>
      </c>
      <c r="E2139">
        <v>115.83540000000001</v>
      </c>
      <c r="F2139">
        <v>5</v>
      </c>
      <c r="G2139" t="s">
        <v>815</v>
      </c>
      <c r="H2139">
        <v>10</v>
      </c>
      <c r="I2139">
        <v>190</v>
      </c>
      <c r="J2139">
        <v>40</v>
      </c>
      <c r="K2139">
        <v>220</v>
      </c>
      <c r="L2139">
        <v>112</v>
      </c>
      <c r="M2139">
        <v>292</v>
      </c>
      <c r="N2139">
        <v>205</v>
      </c>
      <c r="O2139">
        <v>25</v>
      </c>
      <c r="P2139">
        <v>240</v>
      </c>
      <c r="Q2139">
        <v>60</v>
      </c>
      <c r="AG2139">
        <v>10</v>
      </c>
      <c r="AL2139">
        <v>1</v>
      </c>
      <c r="AQ2139">
        <v>0</v>
      </c>
      <c r="BD2139">
        <v>10</v>
      </c>
      <c r="BE2139">
        <v>0</v>
      </c>
      <c r="BF2139">
        <v>10</v>
      </c>
      <c r="BG2139">
        <v>1</v>
      </c>
      <c r="BH2139">
        <v>0</v>
      </c>
      <c r="BI2139">
        <v>1</v>
      </c>
      <c r="BJ2139">
        <v>0</v>
      </c>
      <c r="BK2139">
        <v>11</v>
      </c>
      <c r="BL2139">
        <v>11</v>
      </c>
      <c r="BP2139">
        <v>0</v>
      </c>
      <c r="BR2139">
        <v>9</v>
      </c>
      <c r="BS2139">
        <v>0</v>
      </c>
      <c r="BT2139">
        <v>1</v>
      </c>
      <c r="BV2139">
        <v>1</v>
      </c>
      <c r="BW2139">
        <v>11</v>
      </c>
      <c r="BX2139" t="s">
        <v>82</v>
      </c>
      <c r="BY2139" s="5"/>
      <c r="BZ2139" s="6"/>
      <c r="CA2139" s="7">
        <v>43779</v>
      </c>
      <c r="CC2139">
        <v>1</v>
      </c>
      <c r="CD2139">
        <v>2</v>
      </c>
      <c r="CE2139">
        <v>0</v>
      </c>
      <c r="CF2139">
        <v>8</v>
      </c>
      <c r="CI2139">
        <f t="shared" si="222"/>
        <v>2019</v>
      </c>
      <c r="CJ2139" t="str">
        <f t="shared" si="223"/>
        <v>7440_2019</v>
      </c>
    </row>
    <row r="2140" spans="1:88" x14ac:dyDescent="0.25">
      <c r="A2140" t="s">
        <v>140</v>
      </c>
      <c r="B2140" t="s">
        <v>143</v>
      </c>
      <c r="C2140">
        <v>7440</v>
      </c>
      <c r="D2140">
        <v>-32.0976</v>
      </c>
      <c r="E2140">
        <v>115.83540000000001</v>
      </c>
      <c r="F2140">
        <v>5</v>
      </c>
      <c r="G2140" t="s">
        <v>815</v>
      </c>
      <c r="H2140">
        <v>10</v>
      </c>
      <c r="I2140">
        <v>190</v>
      </c>
      <c r="J2140">
        <v>40</v>
      </c>
      <c r="K2140">
        <v>220</v>
      </c>
      <c r="L2140">
        <v>112</v>
      </c>
      <c r="M2140">
        <v>292</v>
      </c>
      <c r="N2140">
        <v>205</v>
      </c>
      <c r="O2140">
        <v>25</v>
      </c>
      <c r="P2140">
        <v>240</v>
      </c>
      <c r="Q2140">
        <v>60</v>
      </c>
      <c r="T2140">
        <v>0</v>
      </c>
      <c r="U2140">
        <v>7</v>
      </c>
      <c r="V2140">
        <v>0</v>
      </c>
      <c r="W2140">
        <v>127</v>
      </c>
      <c r="Y2140">
        <v>0</v>
      </c>
      <c r="Z2140">
        <v>7</v>
      </c>
      <c r="AA2140">
        <v>4</v>
      </c>
      <c r="AB2140">
        <v>4</v>
      </c>
      <c r="AD2140">
        <v>17</v>
      </c>
      <c r="AE2140">
        <v>2</v>
      </c>
      <c r="AF2140">
        <v>2</v>
      </c>
      <c r="AG2140">
        <v>1</v>
      </c>
      <c r="AI2140">
        <v>0</v>
      </c>
      <c r="AJ2140">
        <v>12</v>
      </c>
      <c r="AK2140">
        <v>0</v>
      </c>
      <c r="AL2140">
        <v>1</v>
      </c>
      <c r="AN2140">
        <v>319</v>
      </c>
      <c r="AO2140">
        <v>2</v>
      </c>
      <c r="AP2140">
        <v>5</v>
      </c>
      <c r="AQ2140">
        <v>0</v>
      </c>
      <c r="AX2140">
        <v>134</v>
      </c>
      <c r="AY2140">
        <v>336</v>
      </c>
      <c r="AZ2140">
        <v>470</v>
      </c>
      <c r="BA2140">
        <v>15</v>
      </c>
      <c r="BB2140">
        <v>16</v>
      </c>
      <c r="BC2140">
        <v>31</v>
      </c>
      <c r="BD2140">
        <v>22</v>
      </c>
      <c r="BE2140">
        <v>19</v>
      </c>
      <c r="BF2140">
        <v>41</v>
      </c>
      <c r="BG2140">
        <v>13</v>
      </c>
      <c r="BH2140">
        <v>6</v>
      </c>
      <c r="BI2140">
        <v>19</v>
      </c>
      <c r="BJ2140">
        <v>326</v>
      </c>
      <c r="BK2140">
        <v>133</v>
      </c>
      <c r="BL2140">
        <v>459</v>
      </c>
      <c r="BP2140">
        <v>90</v>
      </c>
      <c r="BR2140">
        <v>208</v>
      </c>
      <c r="BS2140">
        <v>145</v>
      </c>
      <c r="BT2140">
        <v>42</v>
      </c>
      <c r="BV2140">
        <v>25</v>
      </c>
      <c r="BW2140">
        <v>510</v>
      </c>
      <c r="BX2140">
        <f>IF(C2140=C2139,IF((CI2140-1)=CI2139,BW2139,"no data"))</f>
        <v>11</v>
      </c>
      <c r="BY2140" s="5">
        <f t="shared" si="224"/>
        <v>45.363636363636367</v>
      </c>
      <c r="BZ2140" s="6">
        <f t="shared" si="225"/>
        <v>45.363636363636367</v>
      </c>
      <c r="CA2140" s="7">
        <v>44143</v>
      </c>
      <c r="CC2140">
        <v>93</v>
      </c>
      <c r="CD2140">
        <v>205</v>
      </c>
      <c r="CE2140">
        <v>124</v>
      </c>
      <c r="CF2140">
        <v>88</v>
      </c>
      <c r="CI2140">
        <f t="shared" si="222"/>
        <v>2020</v>
      </c>
      <c r="CJ2140" t="str">
        <f t="shared" si="223"/>
        <v>7440_2020</v>
      </c>
    </row>
    <row r="2141" spans="1:88" x14ac:dyDescent="0.25">
      <c r="A2141" t="s">
        <v>140</v>
      </c>
      <c r="B2141" t="s">
        <v>143</v>
      </c>
      <c r="C2141">
        <v>7440</v>
      </c>
      <c r="D2141">
        <v>-32.097647000000002</v>
      </c>
      <c r="E2141">
        <v>115.835399</v>
      </c>
      <c r="F2141">
        <v>5</v>
      </c>
      <c r="G2141" t="s">
        <v>815</v>
      </c>
      <c r="H2141">
        <v>10</v>
      </c>
      <c r="I2141">
        <v>190</v>
      </c>
      <c r="J2141">
        <v>40</v>
      </c>
      <c r="K2141">
        <v>220</v>
      </c>
      <c r="L2141">
        <v>112</v>
      </c>
      <c r="M2141">
        <v>292</v>
      </c>
      <c r="N2141">
        <v>205</v>
      </c>
      <c r="O2141">
        <v>25</v>
      </c>
      <c r="P2141">
        <v>240</v>
      </c>
      <c r="Q2141">
        <v>60</v>
      </c>
      <c r="T2141">
        <v>0</v>
      </c>
      <c r="U2141">
        <v>5</v>
      </c>
      <c r="V2141">
        <v>0</v>
      </c>
      <c r="W2141">
        <v>67</v>
      </c>
      <c r="Y2141">
        <v>0</v>
      </c>
      <c r="Z2141">
        <v>3</v>
      </c>
      <c r="AA2141">
        <v>6</v>
      </c>
      <c r="AB2141">
        <v>0</v>
      </c>
      <c r="AD2141">
        <v>1</v>
      </c>
      <c r="AE2141">
        <v>0</v>
      </c>
      <c r="AF2141">
        <v>0</v>
      </c>
      <c r="AG2141">
        <v>8</v>
      </c>
      <c r="AI2141">
        <v>0</v>
      </c>
      <c r="AJ2141">
        <v>0</v>
      </c>
      <c r="AK2141">
        <v>0</v>
      </c>
      <c r="AL2141">
        <v>0</v>
      </c>
      <c r="AN2141">
        <v>104</v>
      </c>
      <c r="AO2141">
        <v>0</v>
      </c>
      <c r="AP2141">
        <v>8</v>
      </c>
      <c r="AQ2141">
        <v>0</v>
      </c>
      <c r="AX2141">
        <v>72</v>
      </c>
      <c r="AY2141">
        <v>105</v>
      </c>
      <c r="AZ2141">
        <v>177</v>
      </c>
      <c r="BA2141">
        <v>9</v>
      </c>
      <c r="BB2141">
        <v>0</v>
      </c>
      <c r="BC2141">
        <v>9</v>
      </c>
      <c r="BD2141">
        <v>9</v>
      </c>
      <c r="BE2141">
        <v>16</v>
      </c>
      <c r="BF2141">
        <v>25</v>
      </c>
      <c r="BG2141">
        <v>0</v>
      </c>
      <c r="BH2141">
        <v>6</v>
      </c>
      <c r="BI2141">
        <v>6</v>
      </c>
      <c r="BJ2141">
        <v>112</v>
      </c>
      <c r="BK2141">
        <v>75</v>
      </c>
      <c r="BL2141">
        <v>187</v>
      </c>
      <c r="BP2141">
        <v>57</v>
      </c>
      <c r="BR2141">
        <v>85</v>
      </c>
      <c r="BS2141">
        <v>38</v>
      </c>
      <c r="BT2141">
        <v>15</v>
      </c>
      <c r="BV2141">
        <v>7</v>
      </c>
      <c r="BW2141">
        <v>202</v>
      </c>
      <c r="BX2141">
        <f>IF(C2141=C2140,IF((CI2141-1)=CI2140,BW2140,"no data"))</f>
        <v>510</v>
      </c>
      <c r="BY2141" s="5">
        <f t="shared" si="224"/>
        <v>-0.60392156862745094</v>
      </c>
      <c r="BZ2141" s="6">
        <f t="shared" si="225"/>
        <v>-0.60392156862745094</v>
      </c>
      <c r="CA2141" s="7">
        <v>44528</v>
      </c>
      <c r="CC2141">
        <v>57</v>
      </c>
      <c r="CD2141">
        <v>68</v>
      </c>
      <c r="CE2141">
        <v>77</v>
      </c>
      <c r="CI2141">
        <f t="shared" si="222"/>
        <v>2021</v>
      </c>
      <c r="CJ2141" t="str">
        <f t="shared" si="223"/>
        <v>7440_2021</v>
      </c>
    </row>
    <row r="2142" spans="1:88" x14ac:dyDescent="0.25">
      <c r="A2142" t="s">
        <v>111</v>
      </c>
      <c r="B2142" t="s">
        <v>220</v>
      </c>
      <c r="C2142">
        <v>7441</v>
      </c>
      <c r="D2142">
        <v>-37.987299999999998</v>
      </c>
      <c r="E2142">
        <v>145.0565</v>
      </c>
      <c r="F2142">
        <v>4</v>
      </c>
      <c r="G2142" t="s">
        <v>816</v>
      </c>
      <c r="H2142">
        <v>110</v>
      </c>
      <c r="I2142">
        <v>290</v>
      </c>
      <c r="J2142">
        <v>127</v>
      </c>
      <c r="K2142">
        <v>307</v>
      </c>
      <c r="L2142">
        <v>290</v>
      </c>
      <c r="M2142">
        <v>110</v>
      </c>
      <c r="N2142">
        <v>312</v>
      </c>
      <c r="O2142">
        <v>132</v>
      </c>
      <c r="T2142">
        <v>0</v>
      </c>
      <c r="U2142">
        <v>0</v>
      </c>
      <c r="V2142">
        <v>1423</v>
      </c>
      <c r="Y2142">
        <v>0</v>
      </c>
      <c r="Z2142">
        <v>67</v>
      </c>
      <c r="AA2142">
        <v>0</v>
      </c>
      <c r="AD2142">
        <v>1</v>
      </c>
      <c r="AE2142">
        <v>89</v>
      </c>
      <c r="AF2142">
        <v>0</v>
      </c>
      <c r="AI2142">
        <v>1403</v>
      </c>
      <c r="AJ2142">
        <v>0</v>
      </c>
      <c r="AK2142">
        <v>0</v>
      </c>
      <c r="AX2142">
        <v>1423</v>
      </c>
      <c r="AY2142">
        <v>1404</v>
      </c>
      <c r="AZ2142">
        <v>2827</v>
      </c>
      <c r="BA2142">
        <v>67</v>
      </c>
      <c r="BB2142">
        <v>89</v>
      </c>
      <c r="BC2142">
        <v>156</v>
      </c>
      <c r="BD2142">
        <v>90</v>
      </c>
      <c r="BE2142">
        <v>67</v>
      </c>
      <c r="BF2142">
        <v>157</v>
      </c>
      <c r="BG2142">
        <v>1403</v>
      </c>
      <c r="BH2142">
        <v>1423</v>
      </c>
      <c r="BI2142">
        <v>2826</v>
      </c>
      <c r="BP2142">
        <v>2787</v>
      </c>
      <c r="BR2142">
        <v>90</v>
      </c>
      <c r="BS2142">
        <v>62</v>
      </c>
      <c r="BT2142">
        <v>33</v>
      </c>
      <c r="BV2142">
        <v>11</v>
      </c>
      <c r="BW2142">
        <v>2983</v>
      </c>
      <c r="BX2142" t="s">
        <v>82</v>
      </c>
      <c r="BY2142" s="5"/>
      <c r="BZ2142" s="6"/>
      <c r="CA2142" s="7">
        <v>43779</v>
      </c>
      <c r="CC2142">
        <v>736</v>
      </c>
      <c r="CD2142">
        <v>1122</v>
      </c>
      <c r="CE2142">
        <v>693</v>
      </c>
      <c r="CF2142">
        <v>432</v>
      </c>
      <c r="CI2142">
        <f t="shared" si="222"/>
        <v>2019</v>
      </c>
      <c r="CJ2142" t="str">
        <f t="shared" si="223"/>
        <v>7441_2019</v>
      </c>
    </row>
    <row r="2143" spans="1:88" x14ac:dyDescent="0.25">
      <c r="A2143" t="s">
        <v>111</v>
      </c>
      <c r="B2143" t="s">
        <v>220</v>
      </c>
      <c r="C2143">
        <v>7441</v>
      </c>
      <c r="D2143">
        <v>-37.987299999999998</v>
      </c>
      <c r="E2143">
        <v>145.0565</v>
      </c>
      <c r="F2143">
        <v>4</v>
      </c>
      <c r="G2143" t="s">
        <v>816</v>
      </c>
      <c r="H2143">
        <v>110</v>
      </c>
      <c r="I2143">
        <v>290</v>
      </c>
      <c r="J2143">
        <v>127</v>
      </c>
      <c r="K2143">
        <v>307</v>
      </c>
      <c r="L2143">
        <v>290</v>
      </c>
      <c r="M2143">
        <v>110</v>
      </c>
      <c r="N2143">
        <v>312</v>
      </c>
      <c r="O2143">
        <v>132</v>
      </c>
      <c r="T2143">
        <v>0</v>
      </c>
      <c r="U2143">
        <v>0</v>
      </c>
      <c r="V2143">
        <v>2863</v>
      </c>
      <c r="Y2143">
        <v>0</v>
      </c>
      <c r="Z2143">
        <v>310</v>
      </c>
      <c r="AA2143">
        <v>0</v>
      </c>
      <c r="AD2143">
        <v>0</v>
      </c>
      <c r="AE2143">
        <v>307</v>
      </c>
      <c r="AF2143">
        <v>0</v>
      </c>
      <c r="AI2143">
        <v>2421</v>
      </c>
      <c r="AJ2143">
        <v>0</v>
      </c>
      <c r="AK2143">
        <v>0</v>
      </c>
      <c r="AX2143">
        <v>2863</v>
      </c>
      <c r="AY2143">
        <v>2421</v>
      </c>
      <c r="AZ2143">
        <v>5284</v>
      </c>
      <c r="BA2143">
        <v>310</v>
      </c>
      <c r="BB2143">
        <v>307</v>
      </c>
      <c r="BC2143">
        <v>617</v>
      </c>
      <c r="BD2143">
        <v>307</v>
      </c>
      <c r="BE2143">
        <v>310</v>
      </c>
      <c r="BF2143">
        <v>617</v>
      </c>
      <c r="BG2143">
        <v>2421</v>
      </c>
      <c r="BH2143">
        <v>2863</v>
      </c>
      <c r="BI2143">
        <v>5284</v>
      </c>
      <c r="BP2143">
        <v>5500</v>
      </c>
      <c r="BR2143">
        <v>189</v>
      </c>
      <c r="BS2143">
        <v>169</v>
      </c>
      <c r="BT2143">
        <v>36</v>
      </c>
      <c r="BV2143">
        <v>7</v>
      </c>
      <c r="BW2143">
        <v>5901</v>
      </c>
      <c r="BX2143">
        <f>IF(C2143=C2142,IF((CI2143-1)=CI2142,BW2142,"no data"))</f>
        <v>2983</v>
      </c>
      <c r="BY2143" s="5">
        <f t="shared" si="224"/>
        <v>0.97820985584981557</v>
      </c>
      <c r="BZ2143" s="6">
        <f t="shared" si="225"/>
        <v>0.97820985584981557</v>
      </c>
      <c r="CA2143" s="7">
        <v>44143</v>
      </c>
      <c r="CC2143">
        <v>1213</v>
      </c>
      <c r="CD2143">
        <v>1814</v>
      </c>
      <c r="CE2143">
        <v>1653</v>
      </c>
      <c r="CF2143">
        <v>1221</v>
      </c>
      <c r="CI2143">
        <f t="shared" si="222"/>
        <v>2020</v>
      </c>
      <c r="CJ2143" t="str">
        <f t="shared" si="223"/>
        <v>7441_2020</v>
      </c>
    </row>
    <row r="2144" spans="1:88" x14ac:dyDescent="0.25">
      <c r="A2144" t="s">
        <v>111</v>
      </c>
      <c r="B2144" t="s">
        <v>220</v>
      </c>
      <c r="C2144">
        <v>7441</v>
      </c>
      <c r="D2144">
        <v>-37.987321999999999</v>
      </c>
      <c r="E2144">
        <v>145.05652900000001</v>
      </c>
      <c r="F2144">
        <v>4</v>
      </c>
      <c r="G2144" t="s">
        <v>816</v>
      </c>
      <c r="H2144">
        <v>110</v>
      </c>
      <c r="I2144">
        <v>290</v>
      </c>
      <c r="J2144">
        <v>127</v>
      </c>
      <c r="K2144">
        <v>307</v>
      </c>
      <c r="L2144">
        <v>290</v>
      </c>
      <c r="M2144">
        <v>110</v>
      </c>
      <c r="N2144">
        <v>312</v>
      </c>
      <c r="O2144">
        <v>132</v>
      </c>
      <c r="T2144">
        <v>0</v>
      </c>
      <c r="U2144">
        <v>0</v>
      </c>
      <c r="V2144">
        <v>825</v>
      </c>
      <c r="Y2144">
        <v>0</v>
      </c>
      <c r="Z2144">
        <v>224</v>
      </c>
      <c r="AA2144">
        <v>0</v>
      </c>
      <c r="AD2144">
        <v>0</v>
      </c>
      <c r="AE2144">
        <v>166</v>
      </c>
      <c r="AF2144">
        <v>0</v>
      </c>
      <c r="AI2144">
        <v>923</v>
      </c>
      <c r="AJ2144">
        <v>0</v>
      </c>
      <c r="AK2144">
        <v>0</v>
      </c>
      <c r="AX2144">
        <v>825</v>
      </c>
      <c r="AY2144">
        <v>923</v>
      </c>
      <c r="AZ2144">
        <v>1748</v>
      </c>
      <c r="BA2144">
        <v>224</v>
      </c>
      <c r="BB2144">
        <v>166</v>
      </c>
      <c r="BC2144">
        <v>390</v>
      </c>
      <c r="BD2144">
        <v>166</v>
      </c>
      <c r="BE2144">
        <v>224</v>
      </c>
      <c r="BF2144">
        <v>390</v>
      </c>
      <c r="BG2144">
        <v>923</v>
      </c>
      <c r="BH2144">
        <v>825</v>
      </c>
      <c r="BI2144">
        <v>1748</v>
      </c>
      <c r="BP2144">
        <v>1833</v>
      </c>
      <c r="BR2144">
        <v>148</v>
      </c>
      <c r="BS2144">
        <v>119</v>
      </c>
      <c r="BT2144">
        <v>37</v>
      </c>
      <c r="BV2144">
        <v>1</v>
      </c>
      <c r="BW2144">
        <v>2138</v>
      </c>
      <c r="BX2144">
        <f>IF(C2144=C2143,IF((CI2144-1)=CI2143,BW2143,"no data"))</f>
        <v>5901</v>
      </c>
      <c r="BY2144" s="5">
        <f t="shared" si="224"/>
        <v>-0.63768852736824266</v>
      </c>
      <c r="BZ2144" s="6">
        <f t="shared" si="225"/>
        <v>-0.63768852736824266</v>
      </c>
      <c r="CA2144" s="7">
        <v>44528</v>
      </c>
      <c r="CC2144">
        <v>522</v>
      </c>
      <c r="CD2144">
        <v>909</v>
      </c>
      <c r="CE2144">
        <v>707</v>
      </c>
      <c r="CI2144">
        <f t="shared" si="222"/>
        <v>2021</v>
      </c>
      <c r="CJ2144" t="str">
        <f t="shared" si="223"/>
        <v>7441_2021</v>
      </c>
    </row>
    <row r="2145" spans="1:88" x14ac:dyDescent="0.25">
      <c r="A2145" t="s">
        <v>111</v>
      </c>
      <c r="B2145" t="s">
        <v>220</v>
      </c>
      <c r="C2145">
        <v>7441</v>
      </c>
      <c r="D2145">
        <v>-37.987321999999999</v>
      </c>
      <c r="E2145">
        <v>145.05652900000001</v>
      </c>
      <c r="F2145">
        <v>4</v>
      </c>
      <c r="G2145" t="s">
        <v>816</v>
      </c>
      <c r="H2145">
        <v>110</v>
      </c>
      <c r="I2145">
        <v>290</v>
      </c>
      <c r="J2145">
        <v>127</v>
      </c>
      <c r="K2145">
        <v>307</v>
      </c>
      <c r="L2145">
        <v>290</v>
      </c>
      <c r="M2145">
        <v>110</v>
      </c>
      <c r="N2145">
        <v>312</v>
      </c>
      <c r="O2145">
        <v>132</v>
      </c>
      <c r="T2145">
        <v>0</v>
      </c>
      <c r="U2145">
        <v>0</v>
      </c>
      <c r="V2145">
        <v>276</v>
      </c>
      <c r="Y2145">
        <v>0</v>
      </c>
      <c r="Z2145">
        <v>182</v>
      </c>
      <c r="AA2145">
        <v>0</v>
      </c>
      <c r="AD2145">
        <v>0</v>
      </c>
      <c r="AE2145">
        <v>157</v>
      </c>
      <c r="AF2145">
        <v>1</v>
      </c>
      <c r="AI2145">
        <v>380</v>
      </c>
      <c r="AJ2145">
        <v>0</v>
      </c>
      <c r="AK2145">
        <v>0</v>
      </c>
      <c r="AX2145">
        <v>276</v>
      </c>
      <c r="AY2145">
        <v>380</v>
      </c>
      <c r="AZ2145">
        <v>656</v>
      </c>
      <c r="BA2145">
        <v>182</v>
      </c>
      <c r="BB2145">
        <v>157</v>
      </c>
      <c r="BC2145">
        <v>339</v>
      </c>
      <c r="BD2145">
        <v>158</v>
      </c>
      <c r="BE2145">
        <v>182</v>
      </c>
      <c r="BF2145">
        <v>340</v>
      </c>
      <c r="BG2145">
        <v>380</v>
      </c>
      <c r="BH2145">
        <v>277</v>
      </c>
      <c r="BI2145">
        <v>657</v>
      </c>
      <c r="BP2145">
        <v>701</v>
      </c>
      <c r="BR2145">
        <v>128</v>
      </c>
      <c r="BS2145">
        <v>140</v>
      </c>
      <c r="BT2145">
        <v>25</v>
      </c>
      <c r="BU2145">
        <v>0</v>
      </c>
      <c r="BV2145">
        <v>2</v>
      </c>
      <c r="BW2145">
        <v>996</v>
      </c>
      <c r="BX2145">
        <f>IF(C2145=C2144,IF((CI2145-1)=CI2144,BW2144,"no data"))</f>
        <v>2138</v>
      </c>
      <c r="BY2145" s="5">
        <f t="shared" si="224"/>
        <v>-0.53414405986903646</v>
      </c>
      <c r="BZ2145" s="6">
        <f t="shared" si="225"/>
        <v>-0.53414405986903646</v>
      </c>
      <c r="CA2145" s="7">
        <v>44885</v>
      </c>
      <c r="CE2145">
        <v>431</v>
      </c>
      <c r="CI2145">
        <f t="shared" si="222"/>
        <v>2022</v>
      </c>
      <c r="CJ2145" t="str">
        <f t="shared" si="223"/>
        <v>7441_2022</v>
      </c>
    </row>
    <row r="2146" spans="1:88" x14ac:dyDescent="0.25">
      <c r="A2146" t="s">
        <v>140</v>
      </c>
      <c r="B2146" t="s">
        <v>143</v>
      </c>
      <c r="C2146">
        <v>7442</v>
      </c>
      <c r="D2146">
        <v>-32.0929</v>
      </c>
      <c r="E2146">
        <v>115.8373</v>
      </c>
      <c r="F2146">
        <v>5</v>
      </c>
      <c r="G2146" t="s">
        <v>817</v>
      </c>
      <c r="H2146">
        <v>60</v>
      </c>
      <c r="I2146">
        <v>240</v>
      </c>
      <c r="J2146">
        <v>113</v>
      </c>
      <c r="K2146">
        <v>293</v>
      </c>
      <c r="L2146">
        <v>185</v>
      </c>
      <c r="M2146">
        <v>5</v>
      </c>
      <c r="N2146">
        <v>310</v>
      </c>
      <c r="O2146">
        <v>130</v>
      </c>
      <c r="P2146">
        <v>342</v>
      </c>
      <c r="Q2146">
        <v>162</v>
      </c>
      <c r="T2146">
        <v>6</v>
      </c>
      <c r="U2146">
        <v>8</v>
      </c>
      <c r="V2146">
        <v>9</v>
      </c>
      <c r="W2146">
        <v>2</v>
      </c>
      <c r="Y2146">
        <v>1</v>
      </c>
      <c r="Z2146">
        <v>2</v>
      </c>
      <c r="AA2146">
        <v>1</v>
      </c>
      <c r="AB2146">
        <v>46</v>
      </c>
      <c r="AD2146">
        <v>20</v>
      </c>
      <c r="AE2146">
        <v>0</v>
      </c>
      <c r="AF2146">
        <v>181</v>
      </c>
      <c r="AG2146">
        <v>0</v>
      </c>
      <c r="AI2146">
        <v>7</v>
      </c>
      <c r="AJ2146">
        <v>0</v>
      </c>
      <c r="AK2146">
        <v>167</v>
      </c>
      <c r="AL2146">
        <v>0</v>
      </c>
      <c r="AN2146">
        <v>8</v>
      </c>
      <c r="AO2146">
        <v>32</v>
      </c>
      <c r="AP2146">
        <v>0</v>
      </c>
      <c r="AQ2146">
        <v>0</v>
      </c>
      <c r="AX2146">
        <v>25</v>
      </c>
      <c r="AY2146">
        <v>36</v>
      </c>
      <c r="AZ2146">
        <v>61</v>
      </c>
      <c r="BA2146">
        <v>50</v>
      </c>
      <c r="BB2146">
        <v>38</v>
      </c>
      <c r="BC2146">
        <v>88</v>
      </c>
      <c r="BD2146">
        <v>201</v>
      </c>
      <c r="BE2146">
        <v>177</v>
      </c>
      <c r="BF2146">
        <v>378</v>
      </c>
      <c r="BG2146">
        <v>174</v>
      </c>
      <c r="BH2146">
        <v>191</v>
      </c>
      <c r="BI2146">
        <v>365</v>
      </c>
      <c r="BJ2146">
        <v>40</v>
      </c>
      <c r="BK2146">
        <v>48</v>
      </c>
      <c r="BL2146">
        <v>88</v>
      </c>
      <c r="BP2146">
        <v>164</v>
      </c>
      <c r="BR2146">
        <v>209</v>
      </c>
      <c r="BS2146">
        <v>57</v>
      </c>
      <c r="BT2146">
        <v>47</v>
      </c>
      <c r="BV2146">
        <v>13</v>
      </c>
      <c r="BW2146">
        <v>490</v>
      </c>
      <c r="BX2146" t="s">
        <v>82</v>
      </c>
      <c r="BY2146" s="5"/>
      <c r="BZ2146" s="6"/>
      <c r="CA2146" s="7">
        <v>43779</v>
      </c>
      <c r="CC2146">
        <v>84</v>
      </c>
      <c r="CD2146">
        <v>144</v>
      </c>
      <c r="CE2146">
        <v>108</v>
      </c>
      <c r="CF2146">
        <v>154</v>
      </c>
      <c r="CI2146">
        <f t="shared" si="222"/>
        <v>2019</v>
      </c>
      <c r="CJ2146" t="str">
        <f t="shared" si="223"/>
        <v>7442_2019</v>
      </c>
    </row>
    <row r="2147" spans="1:88" x14ac:dyDescent="0.25">
      <c r="A2147" t="s">
        <v>140</v>
      </c>
      <c r="B2147" t="s">
        <v>143</v>
      </c>
      <c r="C2147">
        <v>7442</v>
      </c>
      <c r="D2147">
        <v>-32.0929</v>
      </c>
      <c r="E2147">
        <v>115.8373</v>
      </c>
      <c r="F2147">
        <v>5</v>
      </c>
      <c r="G2147" t="s">
        <v>817</v>
      </c>
      <c r="H2147">
        <v>60</v>
      </c>
      <c r="I2147">
        <v>240</v>
      </c>
      <c r="J2147">
        <v>113</v>
      </c>
      <c r="K2147">
        <v>293</v>
      </c>
      <c r="L2147">
        <v>185</v>
      </c>
      <c r="M2147">
        <v>5</v>
      </c>
      <c r="N2147">
        <v>310</v>
      </c>
      <c r="O2147">
        <v>130</v>
      </c>
      <c r="P2147">
        <v>342</v>
      </c>
      <c r="Q2147">
        <v>162</v>
      </c>
      <c r="T2147">
        <v>4</v>
      </c>
      <c r="U2147">
        <v>21</v>
      </c>
      <c r="V2147">
        <v>10</v>
      </c>
      <c r="W2147">
        <v>5</v>
      </c>
      <c r="Y2147">
        <v>6</v>
      </c>
      <c r="Z2147">
        <v>0</v>
      </c>
      <c r="AA2147">
        <v>2</v>
      </c>
      <c r="AB2147">
        <v>7</v>
      </c>
      <c r="AD2147">
        <v>19</v>
      </c>
      <c r="AE2147">
        <v>4</v>
      </c>
      <c r="AF2147">
        <v>267</v>
      </c>
      <c r="AG2147">
        <v>0</v>
      </c>
      <c r="AI2147">
        <v>8</v>
      </c>
      <c r="AJ2147">
        <v>5</v>
      </c>
      <c r="AK2147">
        <v>123</v>
      </c>
      <c r="AL2147">
        <v>0</v>
      </c>
      <c r="AN2147">
        <v>14</v>
      </c>
      <c r="AO2147">
        <v>1</v>
      </c>
      <c r="AP2147">
        <v>0</v>
      </c>
      <c r="AQ2147">
        <v>0</v>
      </c>
      <c r="AX2147">
        <v>40</v>
      </c>
      <c r="AY2147">
        <v>47</v>
      </c>
      <c r="AZ2147">
        <v>87</v>
      </c>
      <c r="BA2147">
        <v>15</v>
      </c>
      <c r="BB2147">
        <v>14</v>
      </c>
      <c r="BC2147">
        <v>29</v>
      </c>
      <c r="BD2147">
        <v>290</v>
      </c>
      <c r="BE2147">
        <v>144</v>
      </c>
      <c r="BF2147">
        <v>434</v>
      </c>
      <c r="BG2147">
        <v>136</v>
      </c>
      <c r="BH2147">
        <v>279</v>
      </c>
      <c r="BI2147">
        <v>415</v>
      </c>
      <c r="BJ2147">
        <v>15</v>
      </c>
      <c r="BK2147">
        <v>12</v>
      </c>
      <c r="BL2147">
        <v>27</v>
      </c>
      <c r="BP2147">
        <v>88</v>
      </c>
      <c r="BR2147">
        <v>269</v>
      </c>
      <c r="BS2147">
        <v>77</v>
      </c>
      <c r="BT2147">
        <v>45</v>
      </c>
      <c r="BV2147">
        <v>17</v>
      </c>
      <c r="BW2147">
        <v>496</v>
      </c>
      <c r="BX2147">
        <f>IF(C2147=C2146,IF((CI2147-1)=CI2146,BW2146,"no data"))</f>
        <v>490</v>
      </c>
      <c r="BY2147" s="5">
        <f t="shared" si="224"/>
        <v>1.2244897959183673E-2</v>
      </c>
      <c r="BZ2147" s="6">
        <f t="shared" si="225"/>
        <v>1.2244897959183673E-2</v>
      </c>
      <c r="CA2147" s="7">
        <v>44143</v>
      </c>
      <c r="CC2147">
        <v>93</v>
      </c>
      <c r="CD2147">
        <v>202</v>
      </c>
      <c r="CE2147">
        <v>129</v>
      </c>
      <c r="CF2147">
        <v>72</v>
      </c>
      <c r="CI2147">
        <f t="shared" si="222"/>
        <v>2020</v>
      </c>
      <c r="CJ2147" t="str">
        <f t="shared" si="223"/>
        <v>7442_2020</v>
      </c>
    </row>
    <row r="2148" spans="1:88" x14ac:dyDescent="0.25">
      <c r="A2148" t="s">
        <v>140</v>
      </c>
      <c r="B2148" t="s">
        <v>143</v>
      </c>
      <c r="C2148">
        <v>7442</v>
      </c>
      <c r="D2148">
        <v>-32.092908999999999</v>
      </c>
      <c r="E2148">
        <v>115.837312</v>
      </c>
      <c r="F2148">
        <v>5</v>
      </c>
      <c r="G2148" t="s">
        <v>817</v>
      </c>
      <c r="H2148">
        <v>60</v>
      </c>
      <c r="I2148">
        <v>240</v>
      </c>
      <c r="J2148">
        <v>113</v>
      </c>
      <c r="K2148">
        <v>293</v>
      </c>
      <c r="L2148">
        <v>185</v>
      </c>
      <c r="M2148">
        <v>5</v>
      </c>
      <c r="N2148">
        <v>310</v>
      </c>
      <c r="O2148">
        <v>130</v>
      </c>
      <c r="P2148">
        <v>342</v>
      </c>
      <c r="Q2148">
        <v>162</v>
      </c>
      <c r="T2148">
        <v>0</v>
      </c>
      <c r="U2148">
        <v>8</v>
      </c>
      <c r="V2148">
        <v>2</v>
      </c>
      <c r="W2148">
        <v>1</v>
      </c>
      <c r="Y2148">
        <v>0</v>
      </c>
      <c r="Z2148">
        <v>0</v>
      </c>
      <c r="AA2148">
        <v>0</v>
      </c>
      <c r="AB2148">
        <v>1</v>
      </c>
      <c r="AD2148">
        <v>4</v>
      </c>
      <c r="AE2148">
        <v>0</v>
      </c>
      <c r="AF2148">
        <v>90</v>
      </c>
      <c r="AG2148">
        <v>0</v>
      </c>
      <c r="AI2148">
        <v>11</v>
      </c>
      <c r="AJ2148">
        <v>0</v>
      </c>
      <c r="AK2148">
        <v>71</v>
      </c>
      <c r="AL2148">
        <v>0</v>
      </c>
      <c r="AN2148">
        <v>2</v>
      </c>
      <c r="AO2148">
        <v>10</v>
      </c>
      <c r="AP2148">
        <v>0</v>
      </c>
      <c r="AQ2148">
        <v>0</v>
      </c>
      <c r="AX2148">
        <v>11</v>
      </c>
      <c r="AY2148">
        <v>17</v>
      </c>
      <c r="AZ2148">
        <v>28</v>
      </c>
      <c r="BA2148">
        <v>1</v>
      </c>
      <c r="BB2148">
        <v>10</v>
      </c>
      <c r="BC2148">
        <v>11</v>
      </c>
      <c r="BD2148">
        <v>94</v>
      </c>
      <c r="BE2148">
        <v>79</v>
      </c>
      <c r="BF2148">
        <v>173</v>
      </c>
      <c r="BG2148">
        <v>82</v>
      </c>
      <c r="BH2148">
        <v>92</v>
      </c>
      <c r="BI2148">
        <v>174</v>
      </c>
      <c r="BJ2148">
        <v>12</v>
      </c>
      <c r="BK2148">
        <v>2</v>
      </c>
      <c r="BL2148">
        <v>14</v>
      </c>
      <c r="BP2148">
        <v>59</v>
      </c>
      <c r="BR2148">
        <v>84</v>
      </c>
      <c r="BS2148">
        <v>43</v>
      </c>
      <c r="BT2148">
        <v>12</v>
      </c>
      <c r="BV2148">
        <v>2</v>
      </c>
      <c r="BW2148">
        <v>200</v>
      </c>
      <c r="BX2148">
        <f>IF(C2148=C2147,IF((CI2148-1)=CI2147,BW2147,"no data"))</f>
        <v>496</v>
      </c>
      <c r="BY2148" s="5">
        <f t="shared" si="224"/>
        <v>-0.59677419354838712</v>
      </c>
      <c r="BZ2148" s="6">
        <f t="shared" si="225"/>
        <v>-0.59677419354838712</v>
      </c>
      <c r="CA2148" s="7">
        <v>44528</v>
      </c>
      <c r="CC2148">
        <v>65</v>
      </c>
      <c r="CD2148">
        <v>65</v>
      </c>
      <c r="CE2148">
        <v>70</v>
      </c>
      <c r="CI2148">
        <f t="shared" si="222"/>
        <v>2021</v>
      </c>
      <c r="CJ2148" t="str">
        <f t="shared" si="223"/>
        <v>7442_2021</v>
      </c>
    </row>
    <row r="2149" spans="1:88" x14ac:dyDescent="0.25">
      <c r="A2149" t="s">
        <v>111</v>
      </c>
      <c r="B2149" t="s">
        <v>220</v>
      </c>
      <c r="C2149">
        <v>7443</v>
      </c>
      <c r="D2149">
        <v>-37.987499999999997</v>
      </c>
      <c r="E2149">
        <v>145.0557</v>
      </c>
      <c r="F2149">
        <v>3</v>
      </c>
      <c r="G2149" t="s">
        <v>818</v>
      </c>
      <c r="H2149">
        <v>15</v>
      </c>
      <c r="I2149">
        <v>195</v>
      </c>
      <c r="J2149">
        <v>115</v>
      </c>
      <c r="K2149">
        <v>295</v>
      </c>
      <c r="L2149">
        <v>296</v>
      </c>
      <c r="M2149">
        <v>116</v>
      </c>
      <c r="T2149">
        <v>124</v>
      </c>
      <c r="U2149">
        <v>41</v>
      </c>
      <c r="Y2149">
        <v>29</v>
      </c>
      <c r="Z2149">
        <v>241</v>
      </c>
      <c r="AD2149">
        <v>35</v>
      </c>
      <c r="AE2149">
        <v>354</v>
      </c>
      <c r="AX2149">
        <v>165</v>
      </c>
      <c r="AY2149">
        <v>64</v>
      </c>
      <c r="AZ2149">
        <v>229</v>
      </c>
      <c r="BA2149">
        <v>270</v>
      </c>
      <c r="BB2149">
        <v>478</v>
      </c>
      <c r="BC2149">
        <v>748</v>
      </c>
      <c r="BD2149">
        <v>389</v>
      </c>
      <c r="BE2149">
        <v>282</v>
      </c>
      <c r="BF2149">
        <v>671</v>
      </c>
      <c r="BP2149">
        <v>12</v>
      </c>
      <c r="BR2149">
        <v>564</v>
      </c>
      <c r="BS2149">
        <v>160</v>
      </c>
      <c r="BT2149">
        <v>88</v>
      </c>
      <c r="BV2149">
        <v>0</v>
      </c>
      <c r="BW2149">
        <v>824</v>
      </c>
      <c r="BX2149" t="s">
        <v>82</v>
      </c>
      <c r="BY2149" s="5"/>
      <c r="BZ2149" s="6"/>
      <c r="CA2149" s="7">
        <v>43779</v>
      </c>
      <c r="CC2149">
        <v>77</v>
      </c>
      <c r="CD2149">
        <v>140</v>
      </c>
      <c r="CE2149">
        <v>244</v>
      </c>
      <c r="CF2149">
        <v>363</v>
      </c>
      <c r="CI2149">
        <f t="shared" si="222"/>
        <v>2019</v>
      </c>
      <c r="CJ2149" t="str">
        <f t="shared" si="223"/>
        <v>7443_2019</v>
      </c>
    </row>
    <row r="2150" spans="1:88" x14ac:dyDescent="0.25">
      <c r="A2150" t="s">
        <v>111</v>
      </c>
      <c r="B2150" t="s">
        <v>220</v>
      </c>
      <c r="C2150">
        <v>7443</v>
      </c>
      <c r="D2150">
        <v>-37.987499999999997</v>
      </c>
      <c r="E2150">
        <v>145.0557</v>
      </c>
      <c r="F2150">
        <v>3</v>
      </c>
      <c r="G2150" t="s">
        <v>818</v>
      </c>
      <c r="H2150">
        <v>15</v>
      </c>
      <c r="I2150">
        <v>195</v>
      </c>
      <c r="J2150">
        <v>115</v>
      </c>
      <c r="K2150">
        <v>295</v>
      </c>
      <c r="L2150">
        <v>296</v>
      </c>
      <c r="M2150">
        <v>116</v>
      </c>
      <c r="T2150">
        <v>161</v>
      </c>
      <c r="U2150">
        <v>35</v>
      </c>
      <c r="Y2150">
        <v>97</v>
      </c>
      <c r="Z2150">
        <v>321</v>
      </c>
      <c r="AD2150">
        <v>18</v>
      </c>
      <c r="AE2150">
        <v>327</v>
      </c>
      <c r="AX2150">
        <v>196</v>
      </c>
      <c r="AY2150">
        <v>115</v>
      </c>
      <c r="AZ2150">
        <v>311</v>
      </c>
      <c r="BA2150">
        <v>418</v>
      </c>
      <c r="BB2150">
        <v>488</v>
      </c>
      <c r="BC2150">
        <v>906</v>
      </c>
      <c r="BD2150">
        <v>345</v>
      </c>
      <c r="BE2150">
        <v>356</v>
      </c>
      <c r="BF2150">
        <v>701</v>
      </c>
      <c r="BP2150">
        <v>12</v>
      </c>
      <c r="BR2150">
        <v>601</v>
      </c>
      <c r="BS2150">
        <v>199</v>
      </c>
      <c r="BT2150">
        <v>137</v>
      </c>
      <c r="BV2150">
        <v>10</v>
      </c>
      <c r="BW2150">
        <v>959</v>
      </c>
      <c r="BX2150">
        <f>IF(C2150=C2149,IF((CI2150-1)=CI2149,BW2149,"no data"))</f>
        <v>824</v>
      </c>
      <c r="BY2150" s="5">
        <f t="shared" si="224"/>
        <v>0.16383495145631069</v>
      </c>
      <c r="BZ2150" s="6">
        <f t="shared" si="225"/>
        <v>0.16383495145631069</v>
      </c>
      <c r="CA2150" s="7">
        <v>44143</v>
      </c>
      <c r="CC2150">
        <v>121</v>
      </c>
      <c r="CD2150">
        <v>213</v>
      </c>
      <c r="CE2150">
        <v>295</v>
      </c>
      <c r="CF2150">
        <v>330</v>
      </c>
      <c r="CI2150">
        <f t="shared" si="222"/>
        <v>2020</v>
      </c>
      <c r="CJ2150" t="str">
        <f t="shared" si="223"/>
        <v>7443_2020</v>
      </c>
    </row>
    <row r="2151" spans="1:88" x14ac:dyDescent="0.25">
      <c r="A2151" t="s">
        <v>111</v>
      </c>
      <c r="B2151" t="s">
        <v>220</v>
      </c>
      <c r="C2151">
        <v>7443</v>
      </c>
      <c r="D2151">
        <v>-37.987482999999997</v>
      </c>
      <c r="E2151">
        <v>145.05565300000001</v>
      </c>
      <c r="F2151">
        <v>3</v>
      </c>
      <c r="G2151" t="s">
        <v>818</v>
      </c>
      <c r="H2151">
        <v>15</v>
      </c>
      <c r="I2151">
        <v>195</v>
      </c>
      <c r="J2151">
        <v>115</v>
      </c>
      <c r="K2151">
        <v>295</v>
      </c>
      <c r="L2151">
        <v>296</v>
      </c>
      <c r="M2151">
        <v>116</v>
      </c>
      <c r="T2151">
        <v>77</v>
      </c>
      <c r="U2151">
        <v>39</v>
      </c>
      <c r="Y2151">
        <v>34</v>
      </c>
      <c r="Z2151">
        <v>125</v>
      </c>
      <c r="AD2151">
        <v>25</v>
      </c>
      <c r="AE2151">
        <v>127</v>
      </c>
      <c r="AX2151">
        <v>116</v>
      </c>
      <c r="AY2151">
        <v>59</v>
      </c>
      <c r="AZ2151">
        <v>175</v>
      </c>
      <c r="BA2151">
        <v>159</v>
      </c>
      <c r="BB2151">
        <v>204</v>
      </c>
      <c r="BC2151">
        <v>363</v>
      </c>
      <c r="BD2151">
        <v>152</v>
      </c>
      <c r="BE2151">
        <v>164</v>
      </c>
      <c r="BF2151">
        <v>316</v>
      </c>
      <c r="BP2151">
        <v>1</v>
      </c>
      <c r="BR2151">
        <v>202</v>
      </c>
      <c r="BS2151">
        <v>18</v>
      </c>
      <c r="BT2151">
        <v>206</v>
      </c>
      <c r="BV2151">
        <v>0</v>
      </c>
      <c r="BW2151">
        <v>427</v>
      </c>
      <c r="BX2151">
        <f>IF(C2151=C2150,IF((CI2151-1)=CI2150,BW2150,"no data"))</f>
        <v>959</v>
      </c>
      <c r="BY2151" s="5">
        <f t="shared" si="224"/>
        <v>-0.55474452554744524</v>
      </c>
      <c r="BZ2151" s="6">
        <f t="shared" si="225"/>
        <v>-0.55474452554744524</v>
      </c>
      <c r="CA2151" s="7">
        <v>44528</v>
      </c>
      <c r="CC2151">
        <v>56</v>
      </c>
      <c r="CD2151">
        <v>167</v>
      </c>
      <c r="CE2151">
        <v>204</v>
      </c>
      <c r="CI2151">
        <f t="shared" si="222"/>
        <v>2021</v>
      </c>
      <c r="CJ2151" t="str">
        <f t="shared" si="223"/>
        <v>7443_2021</v>
      </c>
    </row>
    <row r="2152" spans="1:88" x14ac:dyDescent="0.25">
      <c r="A2152" t="s">
        <v>111</v>
      </c>
      <c r="B2152" t="s">
        <v>220</v>
      </c>
      <c r="C2152">
        <v>7443</v>
      </c>
      <c r="D2152">
        <v>-37.987482999999997</v>
      </c>
      <c r="E2152">
        <v>145.05565300000001</v>
      </c>
      <c r="F2152">
        <v>3</v>
      </c>
      <c r="G2152" t="s">
        <v>818</v>
      </c>
      <c r="H2152">
        <v>15</v>
      </c>
      <c r="I2152">
        <v>195</v>
      </c>
      <c r="J2152">
        <v>115</v>
      </c>
      <c r="K2152">
        <v>295</v>
      </c>
      <c r="L2152">
        <v>296</v>
      </c>
      <c r="M2152">
        <v>116</v>
      </c>
      <c r="T2152">
        <v>58</v>
      </c>
      <c r="U2152">
        <v>30</v>
      </c>
      <c r="Y2152">
        <v>50</v>
      </c>
      <c r="Z2152">
        <v>93</v>
      </c>
      <c r="AD2152">
        <v>21</v>
      </c>
      <c r="AE2152">
        <v>130</v>
      </c>
      <c r="AX2152">
        <v>88</v>
      </c>
      <c r="AY2152">
        <v>71</v>
      </c>
      <c r="AZ2152">
        <v>159</v>
      </c>
      <c r="BA2152">
        <v>143</v>
      </c>
      <c r="BB2152">
        <v>188</v>
      </c>
      <c r="BC2152">
        <v>331</v>
      </c>
      <c r="BD2152">
        <v>151</v>
      </c>
      <c r="BE2152">
        <v>123</v>
      </c>
      <c r="BF2152">
        <v>274</v>
      </c>
      <c r="BP2152">
        <v>0</v>
      </c>
      <c r="BR2152">
        <v>187</v>
      </c>
      <c r="BS2152">
        <v>22</v>
      </c>
      <c r="BT2152">
        <v>171</v>
      </c>
      <c r="BU2152">
        <v>0</v>
      </c>
      <c r="BV2152">
        <v>2</v>
      </c>
      <c r="BW2152">
        <v>382</v>
      </c>
      <c r="BX2152">
        <f>IF(C2152=C2151,IF((CI2152-1)=CI2151,BW2151,"no data"))</f>
        <v>427</v>
      </c>
      <c r="BY2152" s="5">
        <f t="shared" si="224"/>
        <v>-0.1053864168618267</v>
      </c>
      <c r="BZ2152" s="6">
        <f t="shared" si="225"/>
        <v>-0.1053864168618267</v>
      </c>
      <c r="CA2152" s="7">
        <v>44878</v>
      </c>
      <c r="CE2152">
        <v>178</v>
      </c>
      <c r="CI2152">
        <f t="shared" si="222"/>
        <v>2022</v>
      </c>
      <c r="CJ2152" t="str">
        <f t="shared" si="223"/>
        <v>7443_2022</v>
      </c>
    </row>
    <row r="2153" spans="1:88" x14ac:dyDescent="0.25">
      <c r="A2153" t="s">
        <v>140</v>
      </c>
      <c r="B2153" t="s">
        <v>143</v>
      </c>
      <c r="C2153">
        <v>7444</v>
      </c>
      <c r="D2153">
        <v>-32.088700000000003</v>
      </c>
      <c r="E2153">
        <v>115.7876</v>
      </c>
      <c r="F2153">
        <v>5</v>
      </c>
      <c r="G2153" t="s">
        <v>819</v>
      </c>
      <c r="H2153">
        <v>68</v>
      </c>
      <c r="I2153">
        <v>248</v>
      </c>
      <c r="J2153">
        <v>115</v>
      </c>
      <c r="K2153">
        <v>295</v>
      </c>
      <c r="L2153">
        <v>169</v>
      </c>
      <c r="M2153">
        <v>349</v>
      </c>
      <c r="N2153">
        <v>255</v>
      </c>
      <c r="O2153">
        <v>75</v>
      </c>
      <c r="P2153">
        <v>307</v>
      </c>
      <c r="Q2153">
        <v>127</v>
      </c>
      <c r="T2153">
        <v>4</v>
      </c>
      <c r="U2153">
        <v>3</v>
      </c>
      <c r="V2153">
        <v>9</v>
      </c>
      <c r="W2153">
        <v>2</v>
      </c>
      <c r="Y2153">
        <v>8</v>
      </c>
      <c r="Z2153">
        <v>5</v>
      </c>
      <c r="AA2153">
        <v>9</v>
      </c>
      <c r="AB2153">
        <v>2</v>
      </c>
      <c r="AD2153">
        <v>5</v>
      </c>
      <c r="AE2153">
        <v>1</v>
      </c>
      <c r="AF2153">
        <v>0</v>
      </c>
      <c r="AG2153">
        <v>1</v>
      </c>
      <c r="AI2153">
        <v>6</v>
      </c>
      <c r="AJ2153">
        <v>5</v>
      </c>
      <c r="AK2153">
        <v>2</v>
      </c>
      <c r="AL2153">
        <v>3</v>
      </c>
      <c r="AN2153">
        <v>3</v>
      </c>
      <c r="AO2153">
        <v>0</v>
      </c>
      <c r="AP2153">
        <v>1</v>
      </c>
      <c r="AQ2153">
        <v>0</v>
      </c>
      <c r="AX2153">
        <v>18</v>
      </c>
      <c r="AY2153">
        <v>22</v>
      </c>
      <c r="AZ2153">
        <v>40</v>
      </c>
      <c r="BA2153">
        <v>24</v>
      </c>
      <c r="BB2153">
        <v>10</v>
      </c>
      <c r="BC2153">
        <v>34</v>
      </c>
      <c r="BD2153">
        <v>7</v>
      </c>
      <c r="BE2153">
        <v>11</v>
      </c>
      <c r="BF2153">
        <v>18</v>
      </c>
      <c r="BG2153">
        <v>16</v>
      </c>
      <c r="BH2153">
        <v>18</v>
      </c>
      <c r="BI2153">
        <v>34</v>
      </c>
      <c r="BJ2153">
        <v>4</v>
      </c>
      <c r="BK2153">
        <v>8</v>
      </c>
      <c r="BL2153">
        <v>12</v>
      </c>
      <c r="BP2153">
        <v>10</v>
      </c>
      <c r="BR2153">
        <v>37</v>
      </c>
      <c r="BS2153">
        <v>0</v>
      </c>
      <c r="BT2153">
        <v>20</v>
      </c>
      <c r="BV2153">
        <v>2</v>
      </c>
      <c r="BW2153">
        <v>69</v>
      </c>
      <c r="BX2153" t="s">
        <v>82</v>
      </c>
      <c r="BY2153" s="5"/>
      <c r="BZ2153" s="6"/>
      <c r="CA2153" s="7">
        <v>43779</v>
      </c>
      <c r="CC2153">
        <v>1</v>
      </c>
      <c r="CD2153">
        <v>21</v>
      </c>
      <c r="CE2153">
        <v>30</v>
      </c>
      <c r="CF2153">
        <v>17</v>
      </c>
      <c r="CI2153">
        <f t="shared" si="222"/>
        <v>2019</v>
      </c>
      <c r="CJ2153" t="str">
        <f t="shared" si="223"/>
        <v>7444_2019</v>
      </c>
    </row>
    <row r="2154" spans="1:88" x14ac:dyDescent="0.25">
      <c r="A2154" t="s">
        <v>140</v>
      </c>
      <c r="B2154" t="s">
        <v>143</v>
      </c>
      <c r="C2154">
        <v>7444</v>
      </c>
      <c r="D2154">
        <v>-32.088700000000003</v>
      </c>
      <c r="E2154">
        <v>115.7876</v>
      </c>
      <c r="F2154">
        <v>5</v>
      </c>
      <c r="G2154" t="s">
        <v>819</v>
      </c>
      <c r="H2154">
        <v>68</v>
      </c>
      <c r="I2154">
        <v>248</v>
      </c>
      <c r="J2154">
        <v>115</v>
      </c>
      <c r="K2154">
        <v>295</v>
      </c>
      <c r="L2154">
        <v>169</v>
      </c>
      <c r="M2154">
        <v>349</v>
      </c>
      <c r="N2154">
        <v>255</v>
      </c>
      <c r="O2154">
        <v>75</v>
      </c>
      <c r="P2154">
        <v>307</v>
      </c>
      <c r="Q2154">
        <v>127</v>
      </c>
      <c r="T2154">
        <v>8</v>
      </c>
      <c r="U2154">
        <v>3</v>
      </c>
      <c r="V2154">
        <v>8</v>
      </c>
      <c r="W2154">
        <v>2</v>
      </c>
      <c r="Y2154">
        <v>3</v>
      </c>
      <c r="Z2154">
        <v>1</v>
      </c>
      <c r="AA2154">
        <v>3</v>
      </c>
      <c r="AB2154">
        <v>3</v>
      </c>
      <c r="AD2154">
        <v>2</v>
      </c>
      <c r="AE2154">
        <v>4</v>
      </c>
      <c r="AF2154">
        <v>1</v>
      </c>
      <c r="AG2154">
        <v>1</v>
      </c>
      <c r="AI2154">
        <v>1</v>
      </c>
      <c r="AJ2154">
        <v>6</v>
      </c>
      <c r="AK2154">
        <v>0</v>
      </c>
      <c r="AL2154">
        <v>0</v>
      </c>
      <c r="AN2154">
        <v>4</v>
      </c>
      <c r="AO2154">
        <v>13</v>
      </c>
      <c r="AP2154">
        <v>2</v>
      </c>
      <c r="AQ2154">
        <v>3</v>
      </c>
      <c r="AX2154">
        <v>21</v>
      </c>
      <c r="AY2154">
        <v>10</v>
      </c>
      <c r="AZ2154">
        <v>31</v>
      </c>
      <c r="BA2154">
        <v>10</v>
      </c>
      <c r="BB2154">
        <v>31</v>
      </c>
      <c r="BC2154">
        <v>41</v>
      </c>
      <c r="BD2154">
        <v>8</v>
      </c>
      <c r="BE2154">
        <v>6</v>
      </c>
      <c r="BF2154">
        <v>14</v>
      </c>
      <c r="BG2154">
        <v>7</v>
      </c>
      <c r="BH2154">
        <v>15</v>
      </c>
      <c r="BI2154">
        <v>22</v>
      </c>
      <c r="BJ2154">
        <v>22</v>
      </c>
      <c r="BK2154">
        <v>6</v>
      </c>
      <c r="BL2154">
        <v>28</v>
      </c>
      <c r="BP2154">
        <v>10</v>
      </c>
      <c r="BR2154">
        <v>42</v>
      </c>
      <c r="BS2154">
        <v>0</v>
      </c>
      <c r="BT2154">
        <v>12</v>
      </c>
      <c r="BV2154">
        <v>4</v>
      </c>
      <c r="BW2154">
        <v>68</v>
      </c>
      <c r="BX2154">
        <f>IF(C2154=C2153,IF((CI2154-1)=CI2153,BW2153,"no data"))</f>
        <v>69</v>
      </c>
      <c r="BY2154" s="5">
        <f t="shared" si="224"/>
        <v>-1.4492753623188406E-2</v>
      </c>
      <c r="BZ2154" s="6">
        <f t="shared" si="225"/>
        <v>-1.4492753623188406E-2</v>
      </c>
      <c r="CA2154" s="7">
        <v>44143</v>
      </c>
      <c r="CC2154">
        <v>31</v>
      </c>
      <c r="CD2154">
        <v>15</v>
      </c>
      <c r="CE2154">
        <v>14</v>
      </c>
      <c r="CF2154">
        <v>8</v>
      </c>
      <c r="CI2154">
        <f t="shared" si="222"/>
        <v>2020</v>
      </c>
      <c r="CJ2154" t="str">
        <f t="shared" si="223"/>
        <v>7444_2020</v>
      </c>
    </row>
    <row r="2155" spans="1:88" x14ac:dyDescent="0.25">
      <c r="A2155" t="s">
        <v>140</v>
      </c>
      <c r="B2155" t="s">
        <v>143</v>
      </c>
      <c r="C2155">
        <v>7444</v>
      </c>
      <c r="D2155">
        <v>-32.088656999999998</v>
      </c>
      <c r="E2155">
        <v>115.78758000000001</v>
      </c>
      <c r="F2155">
        <v>5</v>
      </c>
      <c r="G2155" t="s">
        <v>819</v>
      </c>
      <c r="H2155">
        <v>68</v>
      </c>
      <c r="I2155">
        <v>248</v>
      </c>
      <c r="J2155">
        <v>115</v>
      </c>
      <c r="K2155">
        <v>295</v>
      </c>
      <c r="L2155">
        <v>169</v>
      </c>
      <c r="M2155">
        <v>349</v>
      </c>
      <c r="N2155">
        <v>255</v>
      </c>
      <c r="O2155">
        <v>75</v>
      </c>
      <c r="P2155">
        <v>307</v>
      </c>
      <c r="Q2155">
        <v>127</v>
      </c>
      <c r="T2155">
        <v>5</v>
      </c>
      <c r="U2155">
        <v>2</v>
      </c>
      <c r="V2155">
        <v>6</v>
      </c>
      <c r="W2155">
        <v>1</v>
      </c>
      <c r="Y2155">
        <v>0</v>
      </c>
      <c r="Z2155">
        <v>0</v>
      </c>
      <c r="AA2155">
        <v>0</v>
      </c>
      <c r="AB2155">
        <v>2</v>
      </c>
      <c r="AD2155">
        <v>2</v>
      </c>
      <c r="AE2155">
        <v>0</v>
      </c>
      <c r="AF2155">
        <v>0</v>
      </c>
      <c r="AG2155">
        <v>2</v>
      </c>
      <c r="AI2155">
        <v>4</v>
      </c>
      <c r="AJ2155">
        <v>0</v>
      </c>
      <c r="AK2155">
        <v>0</v>
      </c>
      <c r="AL2155">
        <v>0</v>
      </c>
      <c r="AN2155">
        <v>4</v>
      </c>
      <c r="AO2155">
        <v>2</v>
      </c>
      <c r="AP2155">
        <v>3</v>
      </c>
      <c r="AQ2155">
        <v>2</v>
      </c>
      <c r="AX2155">
        <v>14</v>
      </c>
      <c r="AY2155">
        <v>10</v>
      </c>
      <c r="AZ2155">
        <v>24</v>
      </c>
      <c r="BA2155">
        <v>2</v>
      </c>
      <c r="BB2155">
        <v>7</v>
      </c>
      <c r="BC2155">
        <v>9</v>
      </c>
      <c r="BD2155">
        <v>4</v>
      </c>
      <c r="BE2155">
        <v>5</v>
      </c>
      <c r="BF2155">
        <v>9</v>
      </c>
      <c r="BG2155">
        <v>4</v>
      </c>
      <c r="BH2155">
        <v>8</v>
      </c>
      <c r="BI2155">
        <v>12</v>
      </c>
      <c r="BJ2155">
        <v>11</v>
      </c>
      <c r="BK2155">
        <v>5</v>
      </c>
      <c r="BL2155">
        <v>16</v>
      </c>
      <c r="BP2155">
        <v>9</v>
      </c>
      <c r="BR2155">
        <v>13</v>
      </c>
      <c r="BS2155">
        <v>0</v>
      </c>
      <c r="BT2155">
        <v>11</v>
      </c>
      <c r="BV2155">
        <v>2</v>
      </c>
      <c r="BW2155">
        <v>35</v>
      </c>
      <c r="BX2155">
        <f>IF(C2155=C2154,IF((CI2155-1)=CI2154,BW2154,"no data"))</f>
        <v>68</v>
      </c>
      <c r="BY2155" s="5">
        <f t="shared" si="224"/>
        <v>-0.48529411764705882</v>
      </c>
      <c r="BZ2155" s="6">
        <f t="shared" si="225"/>
        <v>-0.48529411764705882</v>
      </c>
      <c r="CA2155" s="7">
        <v>44528</v>
      </c>
      <c r="CC2155">
        <v>16</v>
      </c>
      <c r="CD2155">
        <v>17</v>
      </c>
      <c r="CE2155">
        <v>2</v>
      </c>
      <c r="CI2155">
        <f t="shared" si="222"/>
        <v>2021</v>
      </c>
      <c r="CJ2155" t="str">
        <f t="shared" si="223"/>
        <v>7444_2021</v>
      </c>
    </row>
    <row r="2156" spans="1:88" x14ac:dyDescent="0.25">
      <c r="A2156" t="s">
        <v>111</v>
      </c>
      <c r="B2156" t="s">
        <v>220</v>
      </c>
      <c r="C2156">
        <v>7445</v>
      </c>
      <c r="D2156">
        <v>-38.027000000000001</v>
      </c>
      <c r="E2156">
        <v>145.102</v>
      </c>
      <c r="F2156">
        <v>4</v>
      </c>
      <c r="G2156" t="s">
        <v>820</v>
      </c>
      <c r="H2156">
        <v>138</v>
      </c>
      <c r="I2156">
        <v>318</v>
      </c>
      <c r="J2156">
        <v>165</v>
      </c>
      <c r="K2156">
        <v>345</v>
      </c>
      <c r="L2156">
        <v>319</v>
      </c>
      <c r="M2156">
        <v>139</v>
      </c>
      <c r="N2156">
        <v>345</v>
      </c>
      <c r="O2156">
        <v>165</v>
      </c>
      <c r="T2156">
        <v>0</v>
      </c>
      <c r="U2156">
        <v>2</v>
      </c>
      <c r="V2156">
        <v>180</v>
      </c>
      <c r="Y2156">
        <v>0</v>
      </c>
      <c r="Z2156">
        <v>473</v>
      </c>
      <c r="AA2156">
        <v>0</v>
      </c>
      <c r="AD2156">
        <v>0</v>
      </c>
      <c r="AE2156">
        <v>486</v>
      </c>
      <c r="AF2156">
        <v>0</v>
      </c>
      <c r="AI2156">
        <v>222</v>
      </c>
      <c r="AJ2156">
        <v>2</v>
      </c>
      <c r="AK2156">
        <v>2</v>
      </c>
      <c r="AX2156">
        <v>182</v>
      </c>
      <c r="AY2156">
        <v>222</v>
      </c>
      <c r="AZ2156">
        <v>404</v>
      </c>
      <c r="BA2156">
        <v>473</v>
      </c>
      <c r="BB2156">
        <v>488</v>
      </c>
      <c r="BC2156">
        <v>961</v>
      </c>
      <c r="BD2156">
        <v>486</v>
      </c>
      <c r="BE2156">
        <v>477</v>
      </c>
      <c r="BF2156">
        <v>963</v>
      </c>
      <c r="BG2156">
        <v>226</v>
      </c>
      <c r="BH2156">
        <v>180</v>
      </c>
      <c r="BI2156">
        <v>406</v>
      </c>
      <c r="BP2156">
        <v>1367</v>
      </c>
      <c r="BR2156">
        <v>0</v>
      </c>
      <c r="BS2156">
        <v>0</v>
      </c>
      <c r="BT2156">
        <v>0</v>
      </c>
      <c r="BV2156">
        <v>0</v>
      </c>
      <c r="BW2156">
        <v>1367</v>
      </c>
      <c r="BX2156" t="s">
        <v>82</v>
      </c>
      <c r="BY2156" s="5"/>
      <c r="BZ2156" s="6"/>
      <c r="CA2156" s="7">
        <v>43779</v>
      </c>
      <c r="CC2156">
        <v>375</v>
      </c>
      <c r="CD2156">
        <v>509</v>
      </c>
      <c r="CE2156">
        <v>301</v>
      </c>
      <c r="CF2156">
        <v>182</v>
      </c>
      <c r="CI2156">
        <f t="shared" si="222"/>
        <v>2019</v>
      </c>
      <c r="CJ2156" t="str">
        <f t="shared" si="223"/>
        <v>7445_2019</v>
      </c>
    </row>
    <row r="2157" spans="1:88" x14ac:dyDescent="0.25">
      <c r="A2157" t="s">
        <v>111</v>
      </c>
      <c r="B2157" t="s">
        <v>220</v>
      </c>
      <c r="C2157">
        <v>7445</v>
      </c>
      <c r="D2157">
        <v>-38.027000000000001</v>
      </c>
      <c r="E2157">
        <v>145.102</v>
      </c>
      <c r="F2157">
        <v>4</v>
      </c>
      <c r="G2157" t="s">
        <v>820</v>
      </c>
      <c r="H2157">
        <v>138</v>
      </c>
      <c r="I2157">
        <v>318</v>
      </c>
      <c r="J2157">
        <v>165</v>
      </c>
      <c r="K2157">
        <v>345</v>
      </c>
      <c r="L2157">
        <v>319</v>
      </c>
      <c r="M2157">
        <v>139</v>
      </c>
      <c r="N2157">
        <v>345</v>
      </c>
      <c r="O2157">
        <v>165</v>
      </c>
      <c r="T2157">
        <v>3</v>
      </c>
      <c r="U2157">
        <v>4</v>
      </c>
      <c r="V2157">
        <v>131</v>
      </c>
      <c r="Y2157">
        <v>2</v>
      </c>
      <c r="Z2157">
        <v>1102</v>
      </c>
      <c r="AA2157">
        <v>36</v>
      </c>
      <c r="AD2157">
        <v>7</v>
      </c>
      <c r="AE2157">
        <v>879</v>
      </c>
      <c r="AF2157">
        <v>65</v>
      </c>
      <c r="AI2157">
        <v>291</v>
      </c>
      <c r="AJ2157">
        <v>29</v>
      </c>
      <c r="AK2157">
        <v>60</v>
      </c>
      <c r="AX2157">
        <v>138</v>
      </c>
      <c r="AY2157">
        <v>300</v>
      </c>
      <c r="AZ2157">
        <v>438</v>
      </c>
      <c r="BA2157">
        <v>1140</v>
      </c>
      <c r="BB2157">
        <v>911</v>
      </c>
      <c r="BC2157">
        <v>2051</v>
      </c>
      <c r="BD2157">
        <v>951</v>
      </c>
      <c r="BE2157">
        <v>1166</v>
      </c>
      <c r="BF2157">
        <v>2117</v>
      </c>
      <c r="BG2157">
        <v>380</v>
      </c>
      <c r="BH2157">
        <v>232</v>
      </c>
      <c r="BI2157">
        <v>612</v>
      </c>
      <c r="BP2157">
        <v>2322</v>
      </c>
      <c r="BR2157">
        <v>171</v>
      </c>
      <c r="BS2157">
        <v>29</v>
      </c>
      <c r="BT2157">
        <v>55</v>
      </c>
      <c r="BV2157">
        <v>32</v>
      </c>
      <c r="BW2157">
        <v>2609</v>
      </c>
      <c r="BX2157">
        <f>IF(C2157=C2156,IF((CI2157-1)=CI2156,BW2156,"no data"))</f>
        <v>1367</v>
      </c>
      <c r="BY2157" s="5">
        <f t="shared" si="224"/>
        <v>0.90855888807607899</v>
      </c>
      <c r="BZ2157" s="6">
        <f t="shared" si="225"/>
        <v>0.90855888807607899</v>
      </c>
      <c r="CA2157" s="7">
        <v>44143</v>
      </c>
      <c r="CC2157">
        <v>543</v>
      </c>
      <c r="CD2157">
        <v>1005</v>
      </c>
      <c r="CE2157">
        <v>637</v>
      </c>
      <c r="CF2157">
        <v>424</v>
      </c>
      <c r="CI2157">
        <f t="shared" si="222"/>
        <v>2020</v>
      </c>
      <c r="CJ2157" t="str">
        <f t="shared" si="223"/>
        <v>7445_2020</v>
      </c>
    </row>
    <row r="2158" spans="1:88" x14ac:dyDescent="0.25">
      <c r="A2158" t="s">
        <v>111</v>
      </c>
      <c r="B2158" t="s">
        <v>220</v>
      </c>
      <c r="C2158">
        <v>7445</v>
      </c>
      <c r="D2158">
        <v>-38.027048000000001</v>
      </c>
      <c r="E2158">
        <v>145.10201000000001</v>
      </c>
      <c r="F2158">
        <v>4</v>
      </c>
      <c r="G2158" t="s">
        <v>820</v>
      </c>
      <c r="H2158">
        <v>138</v>
      </c>
      <c r="I2158">
        <v>318</v>
      </c>
      <c r="J2158">
        <v>165</v>
      </c>
      <c r="K2158">
        <v>345</v>
      </c>
      <c r="L2158">
        <v>319</v>
      </c>
      <c r="M2158">
        <v>139</v>
      </c>
      <c r="N2158">
        <v>345</v>
      </c>
      <c r="O2158">
        <v>165</v>
      </c>
      <c r="T2158">
        <v>0</v>
      </c>
      <c r="U2158">
        <v>0</v>
      </c>
      <c r="V2158">
        <v>0</v>
      </c>
      <c r="Y2158">
        <v>0</v>
      </c>
      <c r="Z2158">
        <v>428</v>
      </c>
      <c r="AA2158">
        <v>2</v>
      </c>
      <c r="AD2158">
        <v>6</v>
      </c>
      <c r="AE2158">
        <v>435</v>
      </c>
      <c r="AF2158">
        <v>6</v>
      </c>
      <c r="AI2158">
        <v>0</v>
      </c>
      <c r="AJ2158">
        <v>0</v>
      </c>
      <c r="AK2158">
        <v>0</v>
      </c>
      <c r="AX2158">
        <v>0</v>
      </c>
      <c r="AY2158">
        <v>6</v>
      </c>
      <c r="AZ2158">
        <v>6</v>
      </c>
      <c r="BA2158">
        <v>430</v>
      </c>
      <c r="BB2158">
        <v>435</v>
      </c>
      <c r="BC2158">
        <v>865</v>
      </c>
      <c r="BD2158">
        <v>447</v>
      </c>
      <c r="BE2158">
        <v>428</v>
      </c>
      <c r="BF2158">
        <v>875</v>
      </c>
      <c r="BG2158">
        <v>0</v>
      </c>
      <c r="BH2158">
        <v>8</v>
      </c>
      <c r="BI2158">
        <v>8</v>
      </c>
      <c r="BP2158">
        <v>877</v>
      </c>
      <c r="BR2158">
        <v>0</v>
      </c>
      <c r="BS2158">
        <v>0</v>
      </c>
      <c r="BT2158">
        <v>0</v>
      </c>
      <c r="BV2158">
        <v>0</v>
      </c>
      <c r="BW2158">
        <v>877</v>
      </c>
      <c r="BX2158">
        <f>IF(C2158=C2157,IF((CI2158-1)=CI2157,BW2157,"no data"))</f>
        <v>2609</v>
      </c>
      <c r="BY2158" s="5">
        <f t="shared" si="224"/>
        <v>-0.66385588348026059</v>
      </c>
      <c r="BZ2158" s="6">
        <f t="shared" si="225"/>
        <v>-0.66385588348026059</v>
      </c>
      <c r="CA2158" s="7">
        <v>44528</v>
      </c>
      <c r="CC2158">
        <v>247</v>
      </c>
      <c r="CD2158">
        <v>342</v>
      </c>
      <c r="CE2158">
        <v>288</v>
      </c>
      <c r="CI2158">
        <f t="shared" si="222"/>
        <v>2021</v>
      </c>
      <c r="CJ2158" t="str">
        <f t="shared" si="223"/>
        <v>7445_2021</v>
      </c>
    </row>
    <row r="2159" spans="1:88" x14ac:dyDescent="0.25">
      <c r="A2159" t="s">
        <v>111</v>
      </c>
      <c r="B2159" t="s">
        <v>220</v>
      </c>
      <c r="C2159">
        <v>7445</v>
      </c>
      <c r="D2159">
        <v>-38.027048000000001</v>
      </c>
      <c r="E2159">
        <v>145.10201000000001</v>
      </c>
      <c r="F2159">
        <v>4</v>
      </c>
      <c r="G2159" t="s">
        <v>820</v>
      </c>
      <c r="H2159">
        <v>138</v>
      </c>
      <c r="I2159">
        <v>318</v>
      </c>
      <c r="J2159">
        <v>165</v>
      </c>
      <c r="K2159">
        <v>345</v>
      </c>
      <c r="L2159">
        <v>319</v>
      </c>
      <c r="M2159">
        <v>139</v>
      </c>
      <c r="N2159">
        <v>345</v>
      </c>
      <c r="O2159">
        <v>165</v>
      </c>
      <c r="T2159">
        <v>0</v>
      </c>
      <c r="U2159">
        <v>1</v>
      </c>
      <c r="V2159">
        <v>54</v>
      </c>
      <c r="Y2159">
        <v>3</v>
      </c>
      <c r="Z2159">
        <v>292</v>
      </c>
      <c r="AA2159">
        <v>6</v>
      </c>
      <c r="AD2159">
        <v>7</v>
      </c>
      <c r="AE2159">
        <v>306</v>
      </c>
      <c r="AF2159">
        <v>10</v>
      </c>
      <c r="AI2159">
        <v>74</v>
      </c>
      <c r="AJ2159">
        <v>1</v>
      </c>
      <c r="AK2159">
        <v>3</v>
      </c>
      <c r="AX2159">
        <v>55</v>
      </c>
      <c r="AY2159">
        <v>84</v>
      </c>
      <c r="AZ2159">
        <v>139</v>
      </c>
      <c r="BA2159">
        <v>301</v>
      </c>
      <c r="BB2159">
        <v>307</v>
      </c>
      <c r="BC2159">
        <v>608</v>
      </c>
      <c r="BD2159">
        <v>323</v>
      </c>
      <c r="BE2159">
        <v>296</v>
      </c>
      <c r="BF2159">
        <v>619</v>
      </c>
      <c r="BG2159">
        <v>78</v>
      </c>
      <c r="BH2159">
        <v>70</v>
      </c>
      <c r="BI2159">
        <v>148</v>
      </c>
      <c r="BP2159">
        <v>757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757</v>
      </c>
      <c r="BX2159">
        <f>IF(C2159=C2158,IF((CI2159-1)=CI2158,BW2158,"no data"))</f>
        <v>877</v>
      </c>
      <c r="BY2159" s="5">
        <f t="shared" si="224"/>
        <v>-0.13683010262257697</v>
      </c>
      <c r="BZ2159" s="6">
        <f t="shared" si="225"/>
        <v>-0.13683010262257697</v>
      </c>
      <c r="CA2159" s="7">
        <v>44878</v>
      </c>
      <c r="CE2159">
        <v>264</v>
      </c>
      <c r="CI2159">
        <f t="shared" si="222"/>
        <v>2022</v>
      </c>
      <c r="CJ2159" t="str">
        <f t="shared" si="223"/>
        <v>7445_2022</v>
      </c>
    </row>
    <row r="2160" spans="1:88" x14ac:dyDescent="0.25">
      <c r="A2160" t="s">
        <v>140</v>
      </c>
      <c r="B2160" t="s">
        <v>143</v>
      </c>
      <c r="C2160">
        <v>7446</v>
      </c>
      <c r="D2160">
        <v>-32.090800000000002</v>
      </c>
      <c r="E2160">
        <v>115.79179999999999</v>
      </c>
      <c r="F2160">
        <v>4</v>
      </c>
      <c r="G2160" t="s">
        <v>821</v>
      </c>
      <c r="H2160">
        <v>123</v>
      </c>
      <c r="I2160">
        <v>303</v>
      </c>
      <c r="J2160">
        <v>160</v>
      </c>
      <c r="K2160">
        <v>340</v>
      </c>
      <c r="L2160">
        <v>293</v>
      </c>
      <c r="M2160">
        <v>113</v>
      </c>
      <c r="N2160">
        <v>339</v>
      </c>
      <c r="O2160">
        <v>159</v>
      </c>
      <c r="T2160">
        <v>1</v>
      </c>
      <c r="U2160">
        <v>1</v>
      </c>
      <c r="V2160">
        <v>6</v>
      </c>
      <c r="Y2160">
        <v>2</v>
      </c>
      <c r="Z2160">
        <v>2</v>
      </c>
      <c r="AA2160">
        <v>15</v>
      </c>
      <c r="AD2160">
        <v>11</v>
      </c>
      <c r="AE2160">
        <v>0</v>
      </c>
      <c r="AF2160">
        <v>9</v>
      </c>
      <c r="AI2160">
        <v>15</v>
      </c>
      <c r="AJ2160">
        <v>14</v>
      </c>
      <c r="AK2160">
        <v>7</v>
      </c>
      <c r="AX2160">
        <v>8</v>
      </c>
      <c r="AY2160">
        <v>28</v>
      </c>
      <c r="AZ2160">
        <v>36</v>
      </c>
      <c r="BA2160">
        <v>19</v>
      </c>
      <c r="BB2160">
        <v>15</v>
      </c>
      <c r="BC2160">
        <v>34</v>
      </c>
      <c r="BD2160">
        <v>20</v>
      </c>
      <c r="BE2160">
        <v>10</v>
      </c>
      <c r="BF2160">
        <v>30</v>
      </c>
      <c r="BG2160">
        <v>36</v>
      </c>
      <c r="BH2160">
        <v>30</v>
      </c>
      <c r="BI2160">
        <v>66</v>
      </c>
      <c r="BP2160">
        <v>10</v>
      </c>
      <c r="BR2160">
        <v>59</v>
      </c>
      <c r="BS2160">
        <v>0</v>
      </c>
      <c r="BT2160">
        <v>10</v>
      </c>
      <c r="BV2160">
        <v>4</v>
      </c>
      <c r="BW2160">
        <v>83</v>
      </c>
      <c r="BX2160" t="s">
        <v>82</v>
      </c>
      <c r="BY2160" s="5"/>
      <c r="BZ2160" s="6"/>
      <c r="CA2160" s="7">
        <v>43779</v>
      </c>
      <c r="CC2160">
        <v>14</v>
      </c>
      <c r="CD2160">
        <v>18</v>
      </c>
      <c r="CE2160">
        <v>24</v>
      </c>
      <c r="CF2160">
        <v>27</v>
      </c>
      <c r="CI2160">
        <f t="shared" si="222"/>
        <v>2019</v>
      </c>
      <c r="CJ2160" t="str">
        <f t="shared" si="223"/>
        <v>7446_2019</v>
      </c>
    </row>
    <row r="2161" spans="1:88" x14ac:dyDescent="0.25">
      <c r="A2161" t="s">
        <v>140</v>
      </c>
      <c r="B2161" t="s">
        <v>143</v>
      </c>
      <c r="C2161">
        <v>7446</v>
      </c>
      <c r="D2161">
        <v>-32.090800000000002</v>
      </c>
      <c r="E2161">
        <v>115.79179999999999</v>
      </c>
      <c r="F2161">
        <v>4</v>
      </c>
      <c r="G2161" t="s">
        <v>821</v>
      </c>
      <c r="H2161">
        <v>123</v>
      </c>
      <c r="I2161">
        <v>303</v>
      </c>
      <c r="J2161">
        <v>160</v>
      </c>
      <c r="K2161">
        <v>340</v>
      </c>
      <c r="L2161">
        <v>293</v>
      </c>
      <c r="M2161">
        <v>113</v>
      </c>
      <c r="N2161">
        <v>339</v>
      </c>
      <c r="O2161">
        <v>159</v>
      </c>
      <c r="T2161">
        <v>1</v>
      </c>
      <c r="U2161">
        <v>9</v>
      </c>
      <c r="V2161">
        <v>7</v>
      </c>
      <c r="Y2161">
        <v>0</v>
      </c>
      <c r="Z2161">
        <v>5</v>
      </c>
      <c r="AA2161">
        <v>27</v>
      </c>
      <c r="AD2161">
        <v>3</v>
      </c>
      <c r="AE2161">
        <v>7</v>
      </c>
      <c r="AF2161">
        <v>6</v>
      </c>
      <c r="AI2161">
        <v>4</v>
      </c>
      <c r="AJ2161">
        <v>18</v>
      </c>
      <c r="AK2161">
        <v>8</v>
      </c>
      <c r="AX2161">
        <v>17</v>
      </c>
      <c r="AY2161">
        <v>7</v>
      </c>
      <c r="AZ2161">
        <v>24</v>
      </c>
      <c r="BA2161">
        <v>32</v>
      </c>
      <c r="BB2161">
        <v>26</v>
      </c>
      <c r="BC2161">
        <v>58</v>
      </c>
      <c r="BD2161">
        <v>16</v>
      </c>
      <c r="BE2161">
        <v>22</v>
      </c>
      <c r="BF2161">
        <v>38</v>
      </c>
      <c r="BG2161">
        <v>30</v>
      </c>
      <c r="BH2161">
        <v>40</v>
      </c>
      <c r="BI2161">
        <v>70</v>
      </c>
      <c r="BP2161">
        <v>18</v>
      </c>
      <c r="BR2161">
        <v>54</v>
      </c>
      <c r="BS2161">
        <v>0</v>
      </c>
      <c r="BT2161">
        <v>19</v>
      </c>
      <c r="BV2161">
        <v>4</v>
      </c>
      <c r="BW2161">
        <v>95</v>
      </c>
      <c r="BX2161">
        <f>IF(C2161=C2160,IF((CI2161-1)=CI2160,BW2160,"no data"))</f>
        <v>83</v>
      </c>
      <c r="BY2161" s="5">
        <f t="shared" si="224"/>
        <v>0.14457831325301204</v>
      </c>
      <c r="BZ2161" s="6">
        <f t="shared" si="225"/>
        <v>0.14457831325301204</v>
      </c>
      <c r="CA2161" s="7">
        <v>44143</v>
      </c>
      <c r="CC2161">
        <v>31</v>
      </c>
      <c r="CD2161">
        <v>25</v>
      </c>
      <c r="CE2161">
        <v>22</v>
      </c>
      <c r="CF2161">
        <v>17</v>
      </c>
      <c r="CI2161">
        <f t="shared" si="222"/>
        <v>2020</v>
      </c>
      <c r="CJ2161" t="str">
        <f t="shared" si="223"/>
        <v>7446_2020</v>
      </c>
    </row>
    <row r="2162" spans="1:88" x14ac:dyDescent="0.25">
      <c r="A2162" t="s">
        <v>140</v>
      </c>
      <c r="B2162" t="s">
        <v>143</v>
      </c>
      <c r="C2162">
        <v>7446</v>
      </c>
      <c r="D2162">
        <v>-32.090812</v>
      </c>
      <c r="E2162">
        <v>115.79181</v>
      </c>
      <c r="F2162">
        <v>4</v>
      </c>
      <c r="G2162" t="s">
        <v>821</v>
      </c>
      <c r="H2162">
        <v>123</v>
      </c>
      <c r="I2162">
        <v>303</v>
      </c>
      <c r="J2162">
        <v>160</v>
      </c>
      <c r="K2162">
        <v>340</v>
      </c>
      <c r="L2162">
        <v>293</v>
      </c>
      <c r="M2162">
        <v>113</v>
      </c>
      <c r="N2162">
        <v>339</v>
      </c>
      <c r="O2162">
        <v>159</v>
      </c>
      <c r="T2162">
        <v>0</v>
      </c>
      <c r="U2162">
        <v>1</v>
      </c>
      <c r="V2162">
        <v>2</v>
      </c>
      <c r="Y2162">
        <v>0</v>
      </c>
      <c r="Z2162">
        <v>3</v>
      </c>
      <c r="AA2162">
        <v>6</v>
      </c>
      <c r="AD2162">
        <v>5</v>
      </c>
      <c r="AE2162">
        <v>1</v>
      </c>
      <c r="AF2162">
        <v>5</v>
      </c>
      <c r="AI2162">
        <v>1</v>
      </c>
      <c r="AJ2162">
        <v>14</v>
      </c>
      <c r="AK2162">
        <v>3</v>
      </c>
      <c r="AX2162">
        <v>3</v>
      </c>
      <c r="AY2162">
        <v>6</v>
      </c>
      <c r="AZ2162">
        <v>9</v>
      </c>
      <c r="BA2162">
        <v>9</v>
      </c>
      <c r="BB2162">
        <v>15</v>
      </c>
      <c r="BC2162">
        <v>24</v>
      </c>
      <c r="BD2162">
        <v>11</v>
      </c>
      <c r="BE2162">
        <v>7</v>
      </c>
      <c r="BF2162">
        <v>18</v>
      </c>
      <c r="BG2162">
        <v>18</v>
      </c>
      <c r="BH2162">
        <v>13</v>
      </c>
      <c r="BI2162">
        <v>31</v>
      </c>
      <c r="BP2162">
        <v>9</v>
      </c>
      <c r="BR2162">
        <v>19</v>
      </c>
      <c r="BS2162">
        <v>1</v>
      </c>
      <c r="BT2162">
        <v>9</v>
      </c>
      <c r="BV2162">
        <v>3</v>
      </c>
      <c r="BW2162">
        <v>41</v>
      </c>
      <c r="BX2162">
        <f>IF(C2162=C2161,IF((CI2162-1)=CI2161,BW2161,"no data"))</f>
        <v>95</v>
      </c>
      <c r="BY2162" s="5">
        <f t="shared" si="224"/>
        <v>-0.56842105263157894</v>
      </c>
      <c r="BZ2162" s="6">
        <f t="shared" si="225"/>
        <v>-0.56842105263157894</v>
      </c>
      <c r="CA2162" s="7">
        <v>44528</v>
      </c>
      <c r="CC2162">
        <v>24</v>
      </c>
      <c r="CD2162">
        <v>5</v>
      </c>
      <c r="CE2162">
        <v>12</v>
      </c>
      <c r="CI2162">
        <f t="shared" si="222"/>
        <v>2021</v>
      </c>
      <c r="CJ2162" t="str">
        <f t="shared" si="223"/>
        <v>7446_2021</v>
      </c>
    </row>
    <row r="2163" spans="1:88" x14ac:dyDescent="0.25">
      <c r="A2163" t="s">
        <v>111</v>
      </c>
      <c r="B2163" t="s">
        <v>259</v>
      </c>
      <c r="C2163">
        <v>7447</v>
      </c>
      <c r="D2163">
        <v>-37.927500000000002</v>
      </c>
      <c r="E2163">
        <v>145.1242</v>
      </c>
      <c r="F2163">
        <v>3</v>
      </c>
      <c r="G2163" t="s">
        <v>822</v>
      </c>
      <c r="H2163">
        <v>46</v>
      </c>
      <c r="I2163">
        <v>226</v>
      </c>
      <c r="J2163">
        <v>133</v>
      </c>
      <c r="K2163">
        <v>313</v>
      </c>
      <c r="L2163">
        <v>310</v>
      </c>
      <c r="M2163">
        <v>130</v>
      </c>
      <c r="T2163">
        <v>1</v>
      </c>
      <c r="U2163">
        <v>16</v>
      </c>
      <c r="Y2163">
        <v>3</v>
      </c>
      <c r="Z2163">
        <v>121</v>
      </c>
      <c r="AD2163">
        <v>15</v>
      </c>
      <c r="AE2163">
        <v>61</v>
      </c>
      <c r="AX2163">
        <v>17</v>
      </c>
      <c r="AY2163">
        <v>18</v>
      </c>
      <c r="AZ2163">
        <v>35</v>
      </c>
      <c r="BA2163">
        <v>124</v>
      </c>
      <c r="BB2163">
        <v>62</v>
      </c>
      <c r="BC2163">
        <v>186</v>
      </c>
      <c r="BD2163">
        <v>76</v>
      </c>
      <c r="BE2163">
        <v>137</v>
      </c>
      <c r="BF2163">
        <v>213</v>
      </c>
      <c r="BP2163">
        <v>71</v>
      </c>
      <c r="BR2163">
        <v>127</v>
      </c>
      <c r="BS2163">
        <v>8</v>
      </c>
      <c r="BT2163">
        <v>3</v>
      </c>
      <c r="BV2163">
        <v>8</v>
      </c>
      <c r="BW2163">
        <v>217</v>
      </c>
      <c r="BX2163" t="s">
        <v>82</v>
      </c>
      <c r="BY2163" s="5"/>
      <c r="BZ2163" s="6"/>
      <c r="CA2163" s="7">
        <v>43779</v>
      </c>
      <c r="CE2163">
        <v>38</v>
      </c>
      <c r="CF2163">
        <v>77</v>
      </c>
      <c r="CG2163">
        <v>41</v>
      </c>
      <c r="CH2163">
        <v>61</v>
      </c>
      <c r="CI2163">
        <f t="shared" si="222"/>
        <v>2019</v>
      </c>
      <c r="CJ2163" t="str">
        <f t="shared" si="223"/>
        <v>7447_2019</v>
      </c>
    </row>
    <row r="2164" spans="1:88" x14ac:dyDescent="0.25">
      <c r="A2164" t="s">
        <v>111</v>
      </c>
      <c r="B2164" t="s">
        <v>259</v>
      </c>
      <c r="C2164">
        <v>7447</v>
      </c>
      <c r="D2164">
        <v>-37.927500000000002</v>
      </c>
      <c r="E2164">
        <v>145.1242</v>
      </c>
      <c r="F2164">
        <v>3</v>
      </c>
      <c r="G2164" t="s">
        <v>822</v>
      </c>
      <c r="H2164">
        <v>46</v>
      </c>
      <c r="I2164">
        <v>226</v>
      </c>
      <c r="J2164">
        <v>133</v>
      </c>
      <c r="K2164">
        <v>313</v>
      </c>
      <c r="L2164">
        <v>310</v>
      </c>
      <c r="M2164">
        <v>130</v>
      </c>
      <c r="T2164">
        <v>29</v>
      </c>
      <c r="U2164">
        <v>10</v>
      </c>
      <c r="Y2164">
        <v>26</v>
      </c>
      <c r="Z2164">
        <v>181</v>
      </c>
      <c r="AD2164">
        <v>7</v>
      </c>
      <c r="AE2164">
        <v>120</v>
      </c>
      <c r="AX2164">
        <v>39</v>
      </c>
      <c r="AY2164">
        <v>33</v>
      </c>
      <c r="AZ2164">
        <v>72</v>
      </c>
      <c r="BA2164">
        <v>207</v>
      </c>
      <c r="BB2164">
        <v>149</v>
      </c>
      <c r="BC2164">
        <v>356</v>
      </c>
      <c r="BD2164">
        <v>127</v>
      </c>
      <c r="BE2164">
        <v>191</v>
      </c>
      <c r="BF2164">
        <v>318</v>
      </c>
      <c r="BP2164">
        <v>219</v>
      </c>
      <c r="BR2164">
        <v>85</v>
      </c>
      <c r="BS2164">
        <v>51</v>
      </c>
      <c r="BT2164">
        <v>5</v>
      </c>
      <c r="BV2164">
        <v>13</v>
      </c>
      <c r="BW2164">
        <v>373</v>
      </c>
      <c r="BX2164">
        <f>IF(C2164=C2163,IF((CI2164-1)=CI2163,BW2163,"no data"))</f>
        <v>217</v>
      </c>
      <c r="BY2164" s="5">
        <f t="shared" si="224"/>
        <v>0.71889400921658986</v>
      </c>
      <c r="BZ2164" s="6">
        <f t="shared" si="225"/>
        <v>0.71889400921658986</v>
      </c>
      <c r="CA2164" s="7">
        <v>44143</v>
      </c>
      <c r="CE2164">
        <v>95</v>
      </c>
      <c r="CF2164">
        <v>93</v>
      </c>
      <c r="CG2164">
        <v>98</v>
      </c>
      <c r="CH2164">
        <v>87</v>
      </c>
      <c r="CI2164">
        <f t="shared" si="222"/>
        <v>2020</v>
      </c>
      <c r="CJ2164" t="str">
        <f t="shared" si="223"/>
        <v>7447_2020</v>
      </c>
    </row>
    <row r="2165" spans="1:88" x14ac:dyDescent="0.25">
      <c r="A2165" t="s">
        <v>111</v>
      </c>
      <c r="B2165" t="s">
        <v>259</v>
      </c>
      <c r="C2165">
        <v>7447</v>
      </c>
      <c r="D2165">
        <v>-37.927539000000003</v>
      </c>
      <c r="E2165">
        <v>145.124168</v>
      </c>
      <c r="F2165">
        <v>3</v>
      </c>
      <c r="G2165" t="s">
        <v>822</v>
      </c>
      <c r="H2165">
        <v>46</v>
      </c>
      <c r="I2165">
        <v>226</v>
      </c>
      <c r="J2165">
        <v>133</v>
      </c>
      <c r="K2165">
        <v>313</v>
      </c>
      <c r="L2165">
        <v>310</v>
      </c>
      <c r="M2165">
        <v>130</v>
      </c>
      <c r="T2165">
        <v>3</v>
      </c>
      <c r="U2165">
        <v>4</v>
      </c>
      <c r="Y2165">
        <v>3</v>
      </c>
      <c r="Z2165">
        <v>80</v>
      </c>
      <c r="AD2165">
        <v>10</v>
      </c>
      <c r="AE2165">
        <v>58</v>
      </c>
      <c r="AX2165">
        <v>7</v>
      </c>
      <c r="AY2165">
        <v>13</v>
      </c>
      <c r="AZ2165">
        <v>20</v>
      </c>
      <c r="BA2165">
        <v>83</v>
      </c>
      <c r="BB2165">
        <v>61</v>
      </c>
      <c r="BC2165">
        <v>144</v>
      </c>
      <c r="BD2165">
        <v>68</v>
      </c>
      <c r="BE2165">
        <v>84</v>
      </c>
      <c r="BF2165">
        <v>152</v>
      </c>
      <c r="BP2165">
        <v>102</v>
      </c>
      <c r="BR2165">
        <v>44</v>
      </c>
      <c r="BS2165">
        <v>4</v>
      </c>
      <c r="BT2165">
        <v>3</v>
      </c>
      <c r="BV2165">
        <v>5</v>
      </c>
      <c r="BW2165">
        <v>158</v>
      </c>
      <c r="BX2165">
        <f>IF(C2165=C2164,IF((CI2165-1)=CI2164,BW2164,"no data"))</f>
        <v>373</v>
      </c>
      <c r="BY2165" s="5">
        <f t="shared" si="224"/>
        <v>-0.57640750670241292</v>
      </c>
      <c r="BZ2165" s="6">
        <f t="shared" si="225"/>
        <v>-0.57640750670241292</v>
      </c>
      <c r="CA2165" s="7">
        <v>44528</v>
      </c>
      <c r="CE2165">
        <v>66</v>
      </c>
      <c r="CF2165">
        <v>48</v>
      </c>
      <c r="CG2165">
        <v>44</v>
      </c>
      <c r="CI2165">
        <f t="shared" si="222"/>
        <v>2021</v>
      </c>
      <c r="CJ2165" t="str">
        <f t="shared" si="223"/>
        <v>7447_2021</v>
      </c>
    </row>
    <row r="2166" spans="1:88" x14ac:dyDescent="0.25">
      <c r="A2166" t="s">
        <v>111</v>
      </c>
      <c r="B2166" t="s">
        <v>259</v>
      </c>
      <c r="C2166">
        <v>7447</v>
      </c>
      <c r="D2166">
        <v>-37.927539000000003</v>
      </c>
      <c r="E2166">
        <v>145.124168</v>
      </c>
      <c r="F2166">
        <v>3</v>
      </c>
      <c r="G2166" t="s">
        <v>822</v>
      </c>
      <c r="H2166">
        <v>46</v>
      </c>
      <c r="I2166">
        <v>226</v>
      </c>
      <c r="J2166">
        <v>133</v>
      </c>
      <c r="K2166">
        <v>313</v>
      </c>
      <c r="L2166">
        <v>310</v>
      </c>
      <c r="M2166">
        <v>130</v>
      </c>
      <c r="T2166">
        <v>3</v>
      </c>
      <c r="U2166">
        <v>11</v>
      </c>
      <c r="Y2166">
        <v>8</v>
      </c>
      <c r="Z2166">
        <v>100</v>
      </c>
      <c r="AD2166">
        <v>9</v>
      </c>
      <c r="AE2166">
        <v>97</v>
      </c>
      <c r="AX2166">
        <v>14</v>
      </c>
      <c r="AY2166">
        <v>17</v>
      </c>
      <c r="AZ2166">
        <v>31</v>
      </c>
      <c r="BA2166">
        <v>108</v>
      </c>
      <c r="BB2166">
        <v>100</v>
      </c>
      <c r="BC2166">
        <v>208</v>
      </c>
      <c r="BD2166">
        <v>106</v>
      </c>
      <c r="BE2166">
        <v>111</v>
      </c>
      <c r="BF2166">
        <v>217</v>
      </c>
      <c r="BP2166">
        <v>141</v>
      </c>
      <c r="BR2166">
        <v>67</v>
      </c>
      <c r="BS2166">
        <v>7</v>
      </c>
      <c r="BT2166">
        <v>5</v>
      </c>
      <c r="BU2166">
        <v>8</v>
      </c>
      <c r="BV2166">
        <v>0</v>
      </c>
      <c r="BW2166">
        <v>228</v>
      </c>
      <c r="BX2166">
        <f>IF(C2166=C2165,IF((CI2166-1)=CI2165,BW2165,"no data"))</f>
        <v>158</v>
      </c>
      <c r="BY2166" s="5">
        <f t="shared" si="224"/>
        <v>0.44303797468354428</v>
      </c>
      <c r="BZ2166" s="6">
        <f t="shared" si="225"/>
        <v>0.44303797468354428</v>
      </c>
      <c r="CA2166" s="7">
        <v>44878</v>
      </c>
      <c r="CE2166">
        <v>95</v>
      </c>
      <c r="CF2166">
        <v>65</v>
      </c>
      <c r="CG2166">
        <v>68</v>
      </c>
      <c r="CI2166">
        <f t="shared" si="222"/>
        <v>2022</v>
      </c>
      <c r="CJ2166" t="str">
        <f t="shared" si="223"/>
        <v>7447_2022</v>
      </c>
    </row>
    <row r="2167" spans="1:88" x14ac:dyDescent="0.25">
      <c r="A2167" t="s">
        <v>111</v>
      </c>
      <c r="B2167" t="s">
        <v>259</v>
      </c>
      <c r="C2167">
        <v>7448</v>
      </c>
      <c r="D2167">
        <v>-37.920499999999997</v>
      </c>
      <c r="E2167">
        <v>145.11529999999999</v>
      </c>
      <c r="F2167">
        <v>3</v>
      </c>
      <c r="G2167" t="s">
        <v>823</v>
      </c>
      <c r="H2167">
        <v>40</v>
      </c>
      <c r="I2167">
        <v>220</v>
      </c>
      <c r="J2167">
        <v>222</v>
      </c>
      <c r="K2167">
        <v>42</v>
      </c>
      <c r="L2167">
        <v>314</v>
      </c>
      <c r="M2167">
        <v>134</v>
      </c>
      <c r="T2167">
        <v>6</v>
      </c>
      <c r="U2167">
        <v>19</v>
      </c>
      <c r="Y2167">
        <v>49</v>
      </c>
      <c r="Z2167">
        <v>20</v>
      </c>
      <c r="AD2167">
        <v>17</v>
      </c>
      <c r="AE2167">
        <v>38</v>
      </c>
      <c r="AX2167">
        <v>25</v>
      </c>
      <c r="AY2167">
        <v>66</v>
      </c>
      <c r="AZ2167">
        <v>91</v>
      </c>
      <c r="BA2167">
        <v>69</v>
      </c>
      <c r="BB2167">
        <v>44</v>
      </c>
      <c r="BC2167">
        <v>113</v>
      </c>
      <c r="BD2167">
        <v>55</v>
      </c>
      <c r="BE2167">
        <v>39</v>
      </c>
      <c r="BF2167">
        <v>94</v>
      </c>
      <c r="BP2167">
        <v>82</v>
      </c>
      <c r="BR2167">
        <v>56</v>
      </c>
      <c r="BS2167">
        <v>9</v>
      </c>
      <c r="BT2167">
        <v>0</v>
      </c>
      <c r="BV2167">
        <v>2</v>
      </c>
      <c r="BW2167">
        <v>149</v>
      </c>
      <c r="BX2167" t="s">
        <v>82</v>
      </c>
      <c r="BY2167" s="5"/>
      <c r="BZ2167" s="6"/>
      <c r="CA2167" s="7">
        <v>43779</v>
      </c>
      <c r="CE2167">
        <v>31</v>
      </c>
      <c r="CF2167">
        <v>37</v>
      </c>
      <c r="CG2167">
        <v>49</v>
      </c>
      <c r="CH2167">
        <v>32</v>
      </c>
      <c r="CI2167">
        <f t="shared" si="222"/>
        <v>2019</v>
      </c>
      <c r="CJ2167" t="str">
        <f t="shared" si="223"/>
        <v>7448_2019</v>
      </c>
    </row>
    <row r="2168" spans="1:88" x14ac:dyDescent="0.25">
      <c r="A2168" t="s">
        <v>111</v>
      </c>
      <c r="B2168" t="s">
        <v>259</v>
      </c>
      <c r="C2168">
        <v>7448</v>
      </c>
      <c r="D2168">
        <v>-37.920524999999998</v>
      </c>
      <c r="E2168">
        <v>145.11528899999999</v>
      </c>
      <c r="F2168">
        <v>3</v>
      </c>
      <c r="G2168" t="s">
        <v>823</v>
      </c>
      <c r="H2168">
        <v>40</v>
      </c>
      <c r="I2168">
        <v>220</v>
      </c>
      <c r="J2168">
        <v>222</v>
      </c>
      <c r="K2168">
        <v>42</v>
      </c>
      <c r="L2168">
        <v>314</v>
      </c>
      <c r="M2168">
        <v>134</v>
      </c>
      <c r="T2168">
        <v>9</v>
      </c>
      <c r="U2168">
        <v>4</v>
      </c>
      <c r="Y2168">
        <v>13</v>
      </c>
      <c r="Z2168">
        <v>73</v>
      </c>
      <c r="AD2168">
        <v>1</v>
      </c>
      <c r="AE2168">
        <v>64</v>
      </c>
      <c r="AX2168">
        <v>13</v>
      </c>
      <c r="AY2168">
        <v>14</v>
      </c>
      <c r="AZ2168">
        <v>27</v>
      </c>
      <c r="BA2168">
        <v>86</v>
      </c>
      <c r="BB2168">
        <v>73</v>
      </c>
      <c r="BC2168">
        <v>159</v>
      </c>
      <c r="BD2168">
        <v>65</v>
      </c>
      <c r="BE2168">
        <v>77</v>
      </c>
      <c r="BF2168">
        <v>142</v>
      </c>
      <c r="BP2168">
        <v>107</v>
      </c>
      <c r="BR2168">
        <v>39</v>
      </c>
      <c r="BS2168">
        <v>9</v>
      </c>
      <c r="BT2168">
        <v>3</v>
      </c>
      <c r="BV2168">
        <v>6</v>
      </c>
      <c r="BW2168">
        <v>164</v>
      </c>
      <c r="BX2168" t="str">
        <f>IF(C2168=C2167,IF((CI2168-1)=CI2167,BW2167,"no data"))</f>
        <v>no data</v>
      </c>
      <c r="BY2168" s="5"/>
      <c r="BZ2168" s="6"/>
      <c r="CA2168" s="7">
        <v>44528</v>
      </c>
      <c r="CE2168">
        <v>66</v>
      </c>
      <c r="CF2168">
        <v>56</v>
      </c>
      <c r="CG2168">
        <v>42</v>
      </c>
      <c r="CI2168">
        <f t="shared" si="222"/>
        <v>2021</v>
      </c>
      <c r="CJ2168" t="str">
        <f t="shared" si="223"/>
        <v>7448_2021</v>
      </c>
    </row>
    <row r="2169" spans="1:88" x14ac:dyDescent="0.25">
      <c r="A2169" t="s">
        <v>140</v>
      </c>
      <c r="B2169" t="s">
        <v>143</v>
      </c>
      <c r="C2169">
        <v>7449</v>
      </c>
      <c r="D2169">
        <v>-32.086300000000001</v>
      </c>
      <c r="E2169">
        <v>115.84480000000001</v>
      </c>
      <c r="F2169">
        <v>4</v>
      </c>
      <c r="G2169" t="s">
        <v>824</v>
      </c>
      <c r="H2169">
        <v>124</v>
      </c>
      <c r="I2169">
        <v>304</v>
      </c>
      <c r="J2169">
        <v>194</v>
      </c>
      <c r="K2169">
        <v>14</v>
      </c>
      <c r="L2169">
        <v>300</v>
      </c>
      <c r="M2169">
        <v>120</v>
      </c>
      <c r="N2169">
        <v>330</v>
      </c>
      <c r="O2169">
        <v>150</v>
      </c>
      <c r="T2169">
        <v>0</v>
      </c>
      <c r="U2169">
        <v>6</v>
      </c>
      <c r="V2169">
        <v>4</v>
      </c>
      <c r="Y2169">
        <v>0</v>
      </c>
      <c r="Z2169">
        <v>3</v>
      </c>
      <c r="AA2169">
        <v>3</v>
      </c>
      <c r="AD2169">
        <v>3</v>
      </c>
      <c r="AE2169">
        <v>2</v>
      </c>
      <c r="AF2169">
        <v>46</v>
      </c>
      <c r="AI2169">
        <v>5</v>
      </c>
      <c r="AJ2169">
        <v>3</v>
      </c>
      <c r="AK2169">
        <v>37</v>
      </c>
      <c r="AX2169">
        <v>10</v>
      </c>
      <c r="AY2169">
        <v>8</v>
      </c>
      <c r="AZ2169">
        <v>18</v>
      </c>
      <c r="BA2169">
        <v>6</v>
      </c>
      <c r="BB2169">
        <v>5</v>
      </c>
      <c r="BC2169">
        <v>11</v>
      </c>
      <c r="BD2169">
        <v>51</v>
      </c>
      <c r="BE2169">
        <v>46</v>
      </c>
      <c r="BF2169">
        <v>97</v>
      </c>
      <c r="BG2169">
        <v>45</v>
      </c>
      <c r="BH2169">
        <v>53</v>
      </c>
      <c r="BI2169">
        <v>98</v>
      </c>
      <c r="BP2169">
        <v>97</v>
      </c>
      <c r="BR2169">
        <v>10</v>
      </c>
      <c r="BS2169">
        <v>1</v>
      </c>
      <c r="BT2169">
        <v>4</v>
      </c>
      <c r="BV2169">
        <v>0</v>
      </c>
      <c r="BW2169">
        <v>112</v>
      </c>
      <c r="BX2169" t="s">
        <v>82</v>
      </c>
      <c r="BY2169" s="5"/>
      <c r="BZ2169" s="6"/>
      <c r="CA2169" s="7">
        <v>43779</v>
      </c>
      <c r="CC2169">
        <v>35</v>
      </c>
      <c r="CD2169">
        <v>19</v>
      </c>
      <c r="CE2169">
        <v>39</v>
      </c>
      <c r="CF2169">
        <v>19</v>
      </c>
      <c r="CI2169">
        <f t="shared" si="222"/>
        <v>2019</v>
      </c>
      <c r="CJ2169" t="str">
        <f t="shared" si="223"/>
        <v>7449_2019</v>
      </c>
    </row>
    <row r="2170" spans="1:88" x14ac:dyDescent="0.25">
      <c r="A2170" t="s">
        <v>140</v>
      </c>
      <c r="B2170" t="s">
        <v>143</v>
      </c>
      <c r="C2170">
        <v>7449</v>
      </c>
      <c r="D2170">
        <v>-32.086300000000001</v>
      </c>
      <c r="E2170">
        <v>115.84480000000001</v>
      </c>
      <c r="F2170">
        <v>4</v>
      </c>
      <c r="G2170" t="s">
        <v>824</v>
      </c>
      <c r="H2170">
        <v>124</v>
      </c>
      <c r="I2170">
        <v>304</v>
      </c>
      <c r="J2170">
        <v>194</v>
      </c>
      <c r="K2170">
        <v>14</v>
      </c>
      <c r="L2170">
        <v>300</v>
      </c>
      <c r="M2170">
        <v>120</v>
      </c>
      <c r="N2170">
        <v>330</v>
      </c>
      <c r="O2170">
        <v>150</v>
      </c>
      <c r="T2170">
        <v>0</v>
      </c>
      <c r="U2170">
        <v>2</v>
      </c>
      <c r="V2170">
        <v>124</v>
      </c>
      <c r="Y2170">
        <v>1</v>
      </c>
      <c r="Z2170">
        <v>2</v>
      </c>
      <c r="AA2170">
        <v>1</v>
      </c>
      <c r="AD2170">
        <v>1</v>
      </c>
      <c r="AE2170">
        <v>4</v>
      </c>
      <c r="AF2170">
        <v>25</v>
      </c>
      <c r="AI2170">
        <v>210</v>
      </c>
      <c r="AJ2170">
        <v>2</v>
      </c>
      <c r="AK2170">
        <v>20</v>
      </c>
      <c r="AX2170">
        <v>126</v>
      </c>
      <c r="AY2170">
        <v>212</v>
      </c>
      <c r="AZ2170">
        <v>338</v>
      </c>
      <c r="BA2170">
        <v>4</v>
      </c>
      <c r="BB2170">
        <v>6</v>
      </c>
      <c r="BC2170">
        <v>10</v>
      </c>
      <c r="BD2170">
        <v>30</v>
      </c>
      <c r="BE2170">
        <v>24</v>
      </c>
      <c r="BF2170">
        <v>54</v>
      </c>
      <c r="BG2170">
        <v>232</v>
      </c>
      <c r="BH2170">
        <v>150</v>
      </c>
      <c r="BI2170">
        <v>382</v>
      </c>
      <c r="BP2170">
        <v>324</v>
      </c>
      <c r="BR2170">
        <v>3</v>
      </c>
      <c r="BS2170">
        <v>4</v>
      </c>
      <c r="BT2170">
        <v>1</v>
      </c>
      <c r="BV2170">
        <v>60</v>
      </c>
      <c r="BW2170">
        <v>392</v>
      </c>
      <c r="BX2170">
        <f>IF(C2170=C2169,IF((CI2170-1)=CI2169,BW2169,"no data"))</f>
        <v>112</v>
      </c>
      <c r="BY2170" s="5">
        <f t="shared" si="224"/>
        <v>2.5</v>
      </c>
      <c r="BZ2170" s="6">
        <f t="shared" si="225"/>
        <v>2.5</v>
      </c>
      <c r="CA2170" s="7">
        <v>44143</v>
      </c>
      <c r="CC2170">
        <v>72</v>
      </c>
      <c r="CD2170">
        <v>212</v>
      </c>
      <c r="CE2170">
        <v>61</v>
      </c>
      <c r="CF2170">
        <v>47</v>
      </c>
      <c r="CI2170">
        <f t="shared" si="222"/>
        <v>2020</v>
      </c>
      <c r="CJ2170" t="str">
        <f t="shared" si="223"/>
        <v>7449_2020</v>
      </c>
    </row>
    <row r="2171" spans="1:88" x14ac:dyDescent="0.25">
      <c r="A2171" t="s">
        <v>140</v>
      </c>
      <c r="B2171" t="s">
        <v>143</v>
      </c>
      <c r="C2171">
        <v>7449</v>
      </c>
      <c r="D2171">
        <v>-32.086633999999997</v>
      </c>
      <c r="E2171">
        <v>115.84504</v>
      </c>
      <c r="F2171">
        <v>6</v>
      </c>
      <c r="G2171" t="s">
        <v>825</v>
      </c>
      <c r="H2171">
        <v>120</v>
      </c>
      <c r="I2171">
        <v>300</v>
      </c>
      <c r="J2171">
        <v>140</v>
      </c>
      <c r="K2171">
        <v>320</v>
      </c>
      <c r="L2171">
        <v>199</v>
      </c>
      <c r="M2171">
        <v>19</v>
      </c>
      <c r="N2171">
        <v>277</v>
      </c>
      <c r="O2171">
        <v>97</v>
      </c>
      <c r="P2171">
        <v>295</v>
      </c>
      <c r="Q2171">
        <v>115</v>
      </c>
      <c r="R2171">
        <v>327</v>
      </c>
      <c r="S2171">
        <v>147</v>
      </c>
      <c r="T2171">
        <v>6</v>
      </c>
      <c r="U2171">
        <v>0</v>
      </c>
      <c r="V2171">
        <v>8</v>
      </c>
      <c r="W2171">
        <v>0</v>
      </c>
      <c r="X2171">
        <v>172</v>
      </c>
      <c r="Y2171">
        <v>0</v>
      </c>
      <c r="Z2171">
        <v>0</v>
      </c>
      <c r="AA2171">
        <v>0</v>
      </c>
      <c r="AB2171">
        <v>9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8</v>
      </c>
      <c r="AJ2171">
        <v>0</v>
      </c>
      <c r="AK2171">
        <v>0</v>
      </c>
      <c r="AL2171">
        <v>0</v>
      </c>
      <c r="AM2171">
        <v>12</v>
      </c>
      <c r="AN2171">
        <v>2</v>
      </c>
      <c r="AO2171">
        <v>1</v>
      </c>
      <c r="AP2171">
        <v>0</v>
      </c>
      <c r="AQ2171">
        <v>0</v>
      </c>
      <c r="AR2171">
        <v>0</v>
      </c>
      <c r="AS2171">
        <v>151</v>
      </c>
      <c r="AT2171">
        <v>0</v>
      </c>
      <c r="AU2171">
        <v>0</v>
      </c>
      <c r="AV2171">
        <v>29</v>
      </c>
      <c r="AW2171">
        <v>0</v>
      </c>
      <c r="AX2171">
        <v>186</v>
      </c>
      <c r="AY2171">
        <v>161</v>
      </c>
      <c r="AZ2171">
        <v>347</v>
      </c>
      <c r="BA2171">
        <v>9</v>
      </c>
      <c r="BB2171">
        <v>7</v>
      </c>
      <c r="BC2171">
        <v>16</v>
      </c>
      <c r="BD2171">
        <v>0</v>
      </c>
      <c r="BE2171">
        <v>0</v>
      </c>
      <c r="BF2171">
        <v>0</v>
      </c>
      <c r="BG2171">
        <v>20</v>
      </c>
      <c r="BH2171">
        <v>37</v>
      </c>
      <c r="BI2171">
        <v>57</v>
      </c>
      <c r="BJ2171">
        <v>3</v>
      </c>
      <c r="BK2171">
        <v>9</v>
      </c>
      <c r="BL2171">
        <v>12</v>
      </c>
      <c r="BM2171">
        <v>180</v>
      </c>
      <c r="BN2171">
        <v>184</v>
      </c>
      <c r="BO2171">
        <v>364</v>
      </c>
      <c r="BP2171">
        <v>368</v>
      </c>
      <c r="BR2171">
        <v>21</v>
      </c>
      <c r="BS2171">
        <v>4</v>
      </c>
      <c r="BT2171">
        <v>5</v>
      </c>
      <c r="BV2171">
        <v>0</v>
      </c>
      <c r="BW2171">
        <v>398</v>
      </c>
      <c r="BX2171">
        <f>IF(C2171=C2170,IF((CI2171-1)=CI2170,BW2170,"no data"))</f>
        <v>392</v>
      </c>
      <c r="BY2171" s="5">
        <f t="shared" si="224"/>
        <v>1.5306122448979591E-2</v>
      </c>
      <c r="BZ2171" s="6">
        <f t="shared" si="225"/>
        <v>1.5306122448979591E-2</v>
      </c>
      <c r="CA2171" s="7">
        <v>44542</v>
      </c>
      <c r="CC2171">
        <v>187</v>
      </c>
      <c r="CD2171">
        <v>164</v>
      </c>
      <c r="CE2171">
        <v>47</v>
      </c>
      <c r="CI2171">
        <f t="shared" si="222"/>
        <v>2021</v>
      </c>
      <c r="CJ2171" t="str">
        <f t="shared" si="223"/>
        <v>7449_2021</v>
      </c>
    </row>
    <row r="2172" spans="1:88" x14ac:dyDescent="0.25">
      <c r="A2172" t="s">
        <v>111</v>
      </c>
      <c r="B2172" t="s">
        <v>259</v>
      </c>
      <c r="C2172">
        <v>7450</v>
      </c>
      <c r="D2172">
        <v>-37.8979</v>
      </c>
      <c r="E2172">
        <v>145.08420000000001</v>
      </c>
      <c r="F2172">
        <v>4</v>
      </c>
      <c r="G2172" t="s">
        <v>826</v>
      </c>
      <c r="H2172">
        <v>9</v>
      </c>
      <c r="I2172">
        <v>189</v>
      </c>
      <c r="J2172">
        <v>120</v>
      </c>
      <c r="K2172">
        <v>300</v>
      </c>
      <c r="L2172">
        <v>183</v>
      </c>
      <c r="M2172">
        <v>3</v>
      </c>
      <c r="N2172">
        <v>300</v>
      </c>
      <c r="O2172">
        <v>120</v>
      </c>
      <c r="T2172">
        <v>10</v>
      </c>
      <c r="U2172">
        <v>49</v>
      </c>
      <c r="V2172">
        <v>48</v>
      </c>
      <c r="Y2172">
        <v>10</v>
      </c>
      <c r="Z2172">
        <v>0</v>
      </c>
      <c r="AA2172">
        <v>65</v>
      </c>
      <c r="AD2172">
        <v>34</v>
      </c>
      <c r="AE2172">
        <v>5</v>
      </c>
      <c r="AF2172">
        <v>39</v>
      </c>
      <c r="AI2172">
        <v>63</v>
      </c>
      <c r="AJ2172">
        <v>112</v>
      </c>
      <c r="AK2172">
        <v>20</v>
      </c>
      <c r="AX2172">
        <v>107</v>
      </c>
      <c r="AY2172">
        <v>107</v>
      </c>
      <c r="AZ2172">
        <v>214</v>
      </c>
      <c r="BA2172">
        <v>75</v>
      </c>
      <c r="BB2172">
        <v>127</v>
      </c>
      <c r="BC2172">
        <v>202</v>
      </c>
      <c r="BD2172">
        <v>78</v>
      </c>
      <c r="BE2172">
        <v>69</v>
      </c>
      <c r="BF2172">
        <v>147</v>
      </c>
      <c r="BG2172">
        <v>195</v>
      </c>
      <c r="BH2172">
        <v>152</v>
      </c>
      <c r="BI2172">
        <v>347</v>
      </c>
      <c r="BP2172">
        <v>186</v>
      </c>
      <c r="BR2172">
        <v>189</v>
      </c>
      <c r="BS2172">
        <v>24</v>
      </c>
      <c r="BT2172">
        <v>37</v>
      </c>
      <c r="BV2172">
        <v>19</v>
      </c>
      <c r="BW2172">
        <v>455</v>
      </c>
      <c r="BX2172" t="s">
        <v>82</v>
      </c>
      <c r="BY2172" s="5"/>
      <c r="BZ2172" s="6"/>
      <c r="CA2172" s="7">
        <v>43779</v>
      </c>
      <c r="CE2172">
        <v>132</v>
      </c>
      <c r="CF2172">
        <v>134</v>
      </c>
      <c r="CG2172">
        <v>133</v>
      </c>
      <c r="CH2172">
        <v>56</v>
      </c>
      <c r="CI2172">
        <f t="shared" si="222"/>
        <v>2019</v>
      </c>
      <c r="CJ2172" t="str">
        <f t="shared" si="223"/>
        <v>7450_2019</v>
      </c>
    </row>
    <row r="2173" spans="1:88" x14ac:dyDescent="0.25">
      <c r="A2173" t="s">
        <v>111</v>
      </c>
      <c r="B2173" t="s">
        <v>259</v>
      </c>
      <c r="C2173">
        <v>7450</v>
      </c>
      <c r="D2173">
        <v>-37.8979</v>
      </c>
      <c r="E2173">
        <v>145.08420000000001</v>
      </c>
      <c r="F2173">
        <v>4</v>
      </c>
      <c r="G2173" t="s">
        <v>826</v>
      </c>
      <c r="H2173">
        <v>9</v>
      </c>
      <c r="I2173">
        <v>189</v>
      </c>
      <c r="J2173">
        <v>120</v>
      </c>
      <c r="K2173">
        <v>300</v>
      </c>
      <c r="L2173">
        <v>183</v>
      </c>
      <c r="M2173">
        <v>3</v>
      </c>
      <c r="N2173">
        <v>300</v>
      </c>
      <c r="O2173">
        <v>120</v>
      </c>
      <c r="T2173">
        <v>2</v>
      </c>
      <c r="U2173">
        <v>38</v>
      </c>
      <c r="V2173">
        <v>86</v>
      </c>
      <c r="Y2173">
        <v>6</v>
      </c>
      <c r="Z2173">
        <v>12</v>
      </c>
      <c r="AA2173">
        <v>223</v>
      </c>
      <c r="AD2173">
        <v>38</v>
      </c>
      <c r="AE2173">
        <v>7</v>
      </c>
      <c r="AF2173">
        <v>62</v>
      </c>
      <c r="AI2173">
        <v>54</v>
      </c>
      <c r="AJ2173">
        <v>293</v>
      </c>
      <c r="AK2173">
        <v>48</v>
      </c>
      <c r="AX2173">
        <v>126</v>
      </c>
      <c r="AY2173">
        <v>98</v>
      </c>
      <c r="AZ2173">
        <v>224</v>
      </c>
      <c r="BA2173">
        <v>241</v>
      </c>
      <c r="BB2173">
        <v>302</v>
      </c>
      <c r="BC2173">
        <v>543</v>
      </c>
      <c r="BD2173">
        <v>107</v>
      </c>
      <c r="BE2173">
        <v>98</v>
      </c>
      <c r="BF2173">
        <v>205</v>
      </c>
      <c r="BG2173">
        <v>395</v>
      </c>
      <c r="BH2173">
        <v>371</v>
      </c>
      <c r="BI2173">
        <v>766</v>
      </c>
      <c r="BP2173">
        <v>418</v>
      </c>
      <c r="BR2173">
        <v>305</v>
      </c>
      <c r="BS2173">
        <v>68</v>
      </c>
      <c r="BT2173">
        <v>54</v>
      </c>
      <c r="BV2173">
        <v>24</v>
      </c>
      <c r="BW2173">
        <v>869</v>
      </c>
      <c r="BX2173">
        <f>IF(C2173=C2172,IF((CI2173-1)=CI2172,BW2172,"no data"))</f>
        <v>455</v>
      </c>
      <c r="BY2173" s="5">
        <f t="shared" si="224"/>
        <v>0.90989010989010988</v>
      </c>
      <c r="BZ2173" s="6">
        <f t="shared" si="225"/>
        <v>0.90989010989010988</v>
      </c>
      <c r="CA2173" s="7">
        <v>44143</v>
      </c>
      <c r="CE2173">
        <v>198</v>
      </c>
      <c r="CF2173">
        <v>278</v>
      </c>
      <c r="CG2173">
        <v>198</v>
      </c>
      <c r="CH2173">
        <v>195</v>
      </c>
      <c r="CI2173">
        <f t="shared" si="222"/>
        <v>2020</v>
      </c>
      <c r="CJ2173" t="str">
        <f t="shared" si="223"/>
        <v>7450_2020</v>
      </c>
    </row>
    <row r="2174" spans="1:88" x14ac:dyDescent="0.25">
      <c r="A2174" t="s">
        <v>111</v>
      </c>
      <c r="B2174" t="s">
        <v>259</v>
      </c>
      <c r="C2174">
        <v>7450</v>
      </c>
      <c r="D2174">
        <v>-37.897944000000003</v>
      </c>
      <c r="E2174">
        <v>145.08422300000001</v>
      </c>
      <c r="F2174">
        <v>4</v>
      </c>
      <c r="G2174" t="s">
        <v>826</v>
      </c>
      <c r="H2174">
        <v>9</v>
      </c>
      <c r="I2174">
        <v>189</v>
      </c>
      <c r="J2174">
        <v>120</v>
      </c>
      <c r="K2174">
        <v>300</v>
      </c>
      <c r="L2174">
        <v>183</v>
      </c>
      <c r="M2174">
        <v>3</v>
      </c>
      <c r="N2174">
        <v>300</v>
      </c>
      <c r="O2174">
        <v>120</v>
      </c>
      <c r="T2174">
        <v>6</v>
      </c>
      <c r="U2174">
        <v>17</v>
      </c>
      <c r="V2174">
        <v>47</v>
      </c>
      <c r="Y2174">
        <v>8</v>
      </c>
      <c r="Z2174">
        <v>6</v>
      </c>
      <c r="AA2174">
        <v>127</v>
      </c>
      <c r="AD2174">
        <v>37</v>
      </c>
      <c r="AE2174">
        <v>4</v>
      </c>
      <c r="AF2174">
        <v>36</v>
      </c>
      <c r="AI2174">
        <v>21</v>
      </c>
      <c r="AJ2174">
        <v>158</v>
      </c>
      <c r="AK2174">
        <v>25</v>
      </c>
      <c r="AX2174">
        <v>70</v>
      </c>
      <c r="AY2174">
        <v>66</v>
      </c>
      <c r="AZ2174">
        <v>136</v>
      </c>
      <c r="BA2174">
        <v>141</v>
      </c>
      <c r="BB2174">
        <v>168</v>
      </c>
      <c r="BC2174">
        <v>309</v>
      </c>
      <c r="BD2174">
        <v>77</v>
      </c>
      <c r="BE2174">
        <v>48</v>
      </c>
      <c r="BF2174">
        <v>125</v>
      </c>
      <c r="BG2174">
        <v>204</v>
      </c>
      <c r="BH2174">
        <v>210</v>
      </c>
      <c r="BI2174">
        <v>414</v>
      </c>
      <c r="BP2174">
        <v>233</v>
      </c>
      <c r="BR2174">
        <v>170</v>
      </c>
      <c r="BS2174">
        <v>42</v>
      </c>
      <c r="BT2174">
        <v>34</v>
      </c>
      <c r="BV2174">
        <v>13</v>
      </c>
      <c r="BW2174">
        <v>492</v>
      </c>
      <c r="BX2174">
        <f>IF(C2174=C2173,IF((CI2174-1)=CI2173,BW2173,"no data"))</f>
        <v>869</v>
      </c>
      <c r="BY2174" s="5">
        <f t="shared" si="224"/>
        <v>-0.43383199079401613</v>
      </c>
      <c r="BZ2174" s="6">
        <f t="shared" si="225"/>
        <v>-0.43383199079401613</v>
      </c>
      <c r="CA2174" s="7">
        <v>44528</v>
      </c>
      <c r="CE2174">
        <v>141</v>
      </c>
      <c r="CF2174">
        <v>157</v>
      </c>
      <c r="CG2174">
        <v>194</v>
      </c>
      <c r="CI2174">
        <f t="shared" si="222"/>
        <v>2021</v>
      </c>
      <c r="CJ2174" t="str">
        <f t="shared" si="223"/>
        <v>7450_2021</v>
      </c>
    </row>
    <row r="2175" spans="1:88" x14ac:dyDescent="0.25">
      <c r="A2175" t="s">
        <v>111</v>
      </c>
      <c r="B2175" t="s">
        <v>259</v>
      </c>
      <c r="C2175">
        <v>7450</v>
      </c>
      <c r="D2175">
        <v>-37.897944000000003</v>
      </c>
      <c r="E2175">
        <v>145.08422300000001</v>
      </c>
      <c r="F2175">
        <v>4</v>
      </c>
      <c r="G2175" t="s">
        <v>826</v>
      </c>
      <c r="H2175">
        <v>9</v>
      </c>
      <c r="I2175">
        <v>189</v>
      </c>
      <c r="J2175">
        <v>120</v>
      </c>
      <c r="K2175">
        <v>300</v>
      </c>
      <c r="L2175">
        <v>183</v>
      </c>
      <c r="M2175">
        <v>3</v>
      </c>
      <c r="N2175">
        <v>300</v>
      </c>
      <c r="O2175">
        <v>120</v>
      </c>
      <c r="T2175">
        <v>5</v>
      </c>
      <c r="U2175">
        <v>29</v>
      </c>
      <c r="V2175">
        <v>34</v>
      </c>
      <c r="Y2175">
        <v>10</v>
      </c>
      <c r="Z2175">
        <v>6</v>
      </c>
      <c r="AA2175">
        <v>119</v>
      </c>
      <c r="AD2175">
        <v>16</v>
      </c>
      <c r="AE2175">
        <v>0</v>
      </c>
      <c r="AF2175">
        <v>28</v>
      </c>
      <c r="AI2175">
        <v>49</v>
      </c>
      <c r="AJ2175">
        <v>128</v>
      </c>
      <c r="AK2175">
        <v>23</v>
      </c>
      <c r="AX2175">
        <v>68</v>
      </c>
      <c r="AY2175">
        <v>75</v>
      </c>
      <c r="AZ2175">
        <v>143</v>
      </c>
      <c r="BA2175">
        <v>135</v>
      </c>
      <c r="BB2175">
        <v>133</v>
      </c>
      <c r="BC2175">
        <v>268</v>
      </c>
      <c r="BD2175">
        <v>44</v>
      </c>
      <c r="BE2175">
        <v>58</v>
      </c>
      <c r="BF2175">
        <v>102</v>
      </c>
      <c r="BG2175">
        <v>200</v>
      </c>
      <c r="BH2175">
        <v>181</v>
      </c>
      <c r="BI2175">
        <v>381</v>
      </c>
      <c r="BP2175">
        <v>173</v>
      </c>
      <c r="BR2175">
        <v>175</v>
      </c>
      <c r="BS2175">
        <v>35</v>
      </c>
      <c r="BT2175">
        <v>50</v>
      </c>
      <c r="BU2175">
        <v>2</v>
      </c>
      <c r="BV2175">
        <v>12</v>
      </c>
      <c r="BW2175">
        <v>447</v>
      </c>
      <c r="BX2175">
        <f>IF(C2175=C2174,IF((CI2175-1)=CI2174,BW2174,"no data"))</f>
        <v>492</v>
      </c>
      <c r="BY2175" s="5">
        <f t="shared" si="224"/>
        <v>-9.1463414634146339E-2</v>
      </c>
      <c r="BZ2175" s="6">
        <f t="shared" si="225"/>
        <v>-9.1463414634146339E-2</v>
      </c>
      <c r="CA2175" s="7">
        <v>44878</v>
      </c>
      <c r="CE2175">
        <v>154</v>
      </c>
      <c r="CF2175">
        <v>163</v>
      </c>
      <c r="CG2175">
        <v>130</v>
      </c>
      <c r="CI2175">
        <f t="shared" si="222"/>
        <v>2022</v>
      </c>
      <c r="CJ2175" t="str">
        <f t="shared" si="223"/>
        <v>7450_2022</v>
      </c>
    </row>
    <row r="2176" spans="1:88" x14ac:dyDescent="0.25">
      <c r="A2176" t="s">
        <v>140</v>
      </c>
      <c r="B2176" t="s">
        <v>143</v>
      </c>
      <c r="C2176">
        <v>7451</v>
      </c>
      <c r="D2176">
        <v>-32.0991</v>
      </c>
      <c r="E2176">
        <v>115.7829</v>
      </c>
      <c r="F2176">
        <v>3</v>
      </c>
      <c r="G2176" t="s">
        <v>827</v>
      </c>
      <c r="H2176">
        <v>90</v>
      </c>
      <c r="I2176">
        <v>270</v>
      </c>
      <c r="J2176">
        <v>180</v>
      </c>
      <c r="K2176">
        <v>360</v>
      </c>
      <c r="L2176">
        <v>359</v>
      </c>
      <c r="M2176">
        <v>179</v>
      </c>
      <c r="T2176">
        <v>30</v>
      </c>
      <c r="U2176">
        <v>12</v>
      </c>
      <c r="Y2176">
        <v>12</v>
      </c>
      <c r="Z2176">
        <v>23</v>
      </c>
      <c r="AD2176">
        <v>15</v>
      </c>
      <c r="AE2176">
        <v>17</v>
      </c>
      <c r="AX2176">
        <v>42</v>
      </c>
      <c r="AY2176">
        <v>27</v>
      </c>
      <c r="AZ2176">
        <v>69</v>
      </c>
      <c r="BA2176">
        <v>35</v>
      </c>
      <c r="BB2176">
        <v>47</v>
      </c>
      <c r="BC2176">
        <v>82</v>
      </c>
      <c r="BD2176">
        <v>32</v>
      </c>
      <c r="BE2176">
        <v>35</v>
      </c>
      <c r="BF2176">
        <v>67</v>
      </c>
      <c r="BP2176">
        <v>82</v>
      </c>
      <c r="BR2176">
        <v>17</v>
      </c>
      <c r="BS2176">
        <v>5</v>
      </c>
      <c r="BT2176">
        <v>5</v>
      </c>
      <c r="BV2176">
        <v>0</v>
      </c>
      <c r="BW2176">
        <v>109</v>
      </c>
      <c r="BX2176" t="s">
        <v>82</v>
      </c>
      <c r="BY2176" s="5"/>
      <c r="BZ2176" s="6"/>
      <c r="CA2176" s="7">
        <v>43779</v>
      </c>
      <c r="CC2176">
        <v>28</v>
      </c>
      <c r="CD2176">
        <v>47</v>
      </c>
      <c r="CE2176">
        <v>10</v>
      </c>
      <c r="CF2176">
        <v>24</v>
      </c>
      <c r="CI2176">
        <f t="shared" si="222"/>
        <v>2019</v>
      </c>
      <c r="CJ2176" t="str">
        <f t="shared" si="223"/>
        <v>7451_2019</v>
      </c>
    </row>
    <row r="2177" spans="1:88" x14ac:dyDescent="0.25">
      <c r="A2177" t="s">
        <v>140</v>
      </c>
      <c r="B2177" t="s">
        <v>143</v>
      </c>
      <c r="C2177">
        <v>7451</v>
      </c>
      <c r="D2177">
        <v>-32.0991</v>
      </c>
      <c r="E2177">
        <v>115.7829</v>
      </c>
      <c r="F2177">
        <v>3</v>
      </c>
      <c r="G2177" t="s">
        <v>827</v>
      </c>
      <c r="H2177">
        <v>90</v>
      </c>
      <c r="I2177">
        <v>270</v>
      </c>
      <c r="J2177">
        <v>180</v>
      </c>
      <c r="K2177">
        <v>360</v>
      </c>
      <c r="L2177">
        <v>359</v>
      </c>
      <c r="M2177">
        <v>179</v>
      </c>
      <c r="T2177">
        <v>7</v>
      </c>
      <c r="U2177">
        <v>8</v>
      </c>
      <c r="Y2177">
        <v>1</v>
      </c>
      <c r="Z2177">
        <v>28</v>
      </c>
      <c r="AD2177">
        <v>2</v>
      </c>
      <c r="AE2177">
        <v>27</v>
      </c>
      <c r="AX2177">
        <v>15</v>
      </c>
      <c r="AY2177">
        <v>3</v>
      </c>
      <c r="AZ2177">
        <v>18</v>
      </c>
      <c r="BA2177">
        <v>29</v>
      </c>
      <c r="BB2177">
        <v>34</v>
      </c>
      <c r="BC2177">
        <v>63</v>
      </c>
      <c r="BD2177">
        <v>29</v>
      </c>
      <c r="BE2177">
        <v>36</v>
      </c>
      <c r="BF2177">
        <v>65</v>
      </c>
      <c r="BP2177">
        <v>7</v>
      </c>
      <c r="BR2177">
        <v>61</v>
      </c>
      <c r="BS2177">
        <v>0</v>
      </c>
      <c r="BT2177">
        <v>1</v>
      </c>
      <c r="BV2177">
        <v>4</v>
      </c>
      <c r="BW2177">
        <v>73</v>
      </c>
      <c r="BX2177">
        <f>IF(C2177=C2176,IF((CI2177-1)=CI2176,BW2176,"no data"))</f>
        <v>109</v>
      </c>
      <c r="BY2177" s="5">
        <f t="shared" si="224"/>
        <v>-0.33027522935779818</v>
      </c>
      <c r="BZ2177" s="6">
        <f t="shared" si="225"/>
        <v>-0.33027522935779818</v>
      </c>
      <c r="CA2177" s="7">
        <v>44143</v>
      </c>
      <c r="CC2177">
        <v>16</v>
      </c>
      <c r="CD2177">
        <v>22</v>
      </c>
      <c r="CE2177">
        <v>13</v>
      </c>
      <c r="CF2177">
        <v>22</v>
      </c>
      <c r="CI2177">
        <f t="shared" si="222"/>
        <v>2020</v>
      </c>
      <c r="CJ2177" t="str">
        <f t="shared" si="223"/>
        <v>7451_2020</v>
      </c>
    </row>
    <row r="2178" spans="1:88" x14ac:dyDescent="0.25">
      <c r="A2178" t="s">
        <v>140</v>
      </c>
      <c r="B2178" t="s">
        <v>143</v>
      </c>
      <c r="C2178">
        <v>7451</v>
      </c>
      <c r="D2178">
        <v>-32.099125999999998</v>
      </c>
      <c r="E2178">
        <v>115.7829</v>
      </c>
      <c r="F2178">
        <v>3</v>
      </c>
      <c r="G2178" t="s">
        <v>827</v>
      </c>
      <c r="H2178">
        <v>90</v>
      </c>
      <c r="I2178">
        <v>270</v>
      </c>
      <c r="J2178">
        <v>180</v>
      </c>
      <c r="K2178">
        <v>360</v>
      </c>
      <c r="L2178">
        <v>359</v>
      </c>
      <c r="M2178">
        <v>179</v>
      </c>
      <c r="T2178">
        <v>2</v>
      </c>
      <c r="U2178">
        <v>8</v>
      </c>
      <c r="Y2178">
        <v>2</v>
      </c>
      <c r="Z2178">
        <v>2</v>
      </c>
      <c r="AD2178">
        <v>3</v>
      </c>
      <c r="AE2178">
        <v>6</v>
      </c>
      <c r="AX2178">
        <v>10</v>
      </c>
      <c r="AY2178">
        <v>5</v>
      </c>
      <c r="AZ2178">
        <v>15</v>
      </c>
      <c r="BA2178">
        <v>4</v>
      </c>
      <c r="BB2178">
        <v>8</v>
      </c>
      <c r="BC2178">
        <v>12</v>
      </c>
      <c r="BD2178">
        <v>9</v>
      </c>
      <c r="BE2178">
        <v>10</v>
      </c>
      <c r="BF2178">
        <v>19</v>
      </c>
      <c r="BP2178">
        <v>2</v>
      </c>
      <c r="BR2178">
        <v>19</v>
      </c>
      <c r="BS2178">
        <v>0</v>
      </c>
      <c r="BT2178">
        <v>2</v>
      </c>
      <c r="BV2178">
        <v>0</v>
      </c>
      <c r="BW2178">
        <v>23</v>
      </c>
      <c r="BX2178">
        <f>IF(C2178=C2177,IF((CI2178-1)=CI2177,BW2177,"no data"))</f>
        <v>73</v>
      </c>
      <c r="BY2178" s="5">
        <f t="shared" si="224"/>
        <v>-0.68493150684931503</v>
      </c>
      <c r="BZ2178" s="6">
        <f t="shared" si="225"/>
        <v>-0.68493150684931503</v>
      </c>
      <c r="CA2178" s="7">
        <v>44528</v>
      </c>
      <c r="CC2178">
        <v>10</v>
      </c>
      <c r="CD2178">
        <v>4</v>
      </c>
      <c r="CE2178">
        <v>9</v>
      </c>
      <c r="CI2178">
        <f t="shared" si="222"/>
        <v>2021</v>
      </c>
      <c r="CJ2178" t="str">
        <f t="shared" si="223"/>
        <v>7451_2021</v>
      </c>
    </row>
    <row r="2179" spans="1:88" x14ac:dyDescent="0.25">
      <c r="A2179" t="s">
        <v>140</v>
      </c>
      <c r="B2179" t="s">
        <v>143</v>
      </c>
      <c r="C2179">
        <v>7452</v>
      </c>
      <c r="D2179">
        <v>-32.093499999999999</v>
      </c>
      <c r="E2179">
        <v>115.78270000000001</v>
      </c>
      <c r="F2179">
        <v>4</v>
      </c>
      <c r="G2179" t="s">
        <v>828</v>
      </c>
      <c r="H2179">
        <v>90</v>
      </c>
      <c r="I2179">
        <v>270</v>
      </c>
      <c r="J2179">
        <v>180</v>
      </c>
      <c r="K2179">
        <v>360</v>
      </c>
      <c r="L2179">
        <v>270</v>
      </c>
      <c r="M2179">
        <v>90</v>
      </c>
      <c r="N2179">
        <v>359</v>
      </c>
      <c r="O2179">
        <v>179</v>
      </c>
      <c r="T2179">
        <v>2</v>
      </c>
      <c r="U2179">
        <v>2</v>
      </c>
      <c r="V2179">
        <v>1</v>
      </c>
      <c r="Y2179">
        <v>0</v>
      </c>
      <c r="Z2179">
        <v>0</v>
      </c>
      <c r="AA2179">
        <v>1</v>
      </c>
      <c r="AD2179">
        <v>0</v>
      </c>
      <c r="AE2179">
        <v>0</v>
      </c>
      <c r="AF2179">
        <v>2</v>
      </c>
      <c r="AI2179">
        <v>1</v>
      </c>
      <c r="AJ2179">
        <v>1</v>
      </c>
      <c r="AK2179">
        <v>0</v>
      </c>
      <c r="AX2179">
        <v>5</v>
      </c>
      <c r="AY2179">
        <v>1</v>
      </c>
      <c r="AZ2179">
        <v>6</v>
      </c>
      <c r="BA2179">
        <v>1</v>
      </c>
      <c r="BB2179">
        <v>3</v>
      </c>
      <c r="BC2179">
        <v>4</v>
      </c>
      <c r="BD2179">
        <v>2</v>
      </c>
      <c r="BE2179">
        <v>2</v>
      </c>
      <c r="BF2179">
        <v>4</v>
      </c>
      <c r="BG2179">
        <v>2</v>
      </c>
      <c r="BH2179">
        <v>4</v>
      </c>
      <c r="BI2179">
        <v>6</v>
      </c>
      <c r="BP2179">
        <v>6</v>
      </c>
      <c r="BR2179">
        <v>4</v>
      </c>
      <c r="BS2179">
        <v>0</v>
      </c>
      <c r="BT2179">
        <v>0</v>
      </c>
      <c r="BV2179">
        <v>0</v>
      </c>
      <c r="BW2179">
        <v>10</v>
      </c>
      <c r="BX2179" t="s">
        <v>82</v>
      </c>
      <c r="BY2179" s="5"/>
      <c r="BZ2179" s="6"/>
      <c r="CA2179" s="7">
        <v>43779</v>
      </c>
      <c r="CC2179">
        <v>0</v>
      </c>
      <c r="CD2179">
        <v>0</v>
      </c>
      <c r="CE2179">
        <v>10</v>
      </c>
      <c r="CF2179">
        <v>0</v>
      </c>
      <c r="CI2179">
        <f t="shared" ref="CI2179:CI2242" si="226">YEAR(CA2179)</f>
        <v>2019</v>
      </c>
      <c r="CJ2179" t="str">
        <f t="shared" ref="CJ2179:CJ2242" si="227">_xlfn.CONCAT(C2179,"_",CI2179)</f>
        <v>7452_2019</v>
      </c>
    </row>
    <row r="2180" spans="1:88" x14ac:dyDescent="0.25">
      <c r="A2180" t="s">
        <v>140</v>
      </c>
      <c r="B2180" t="s">
        <v>143</v>
      </c>
      <c r="C2180">
        <v>7452</v>
      </c>
      <c r="D2180">
        <v>-32.093499999999999</v>
      </c>
      <c r="E2180">
        <v>115.78270000000001</v>
      </c>
      <c r="F2180">
        <v>4</v>
      </c>
      <c r="G2180" t="s">
        <v>828</v>
      </c>
      <c r="H2180">
        <v>90</v>
      </c>
      <c r="I2180">
        <v>270</v>
      </c>
      <c r="J2180">
        <v>180</v>
      </c>
      <c r="K2180">
        <v>360</v>
      </c>
      <c r="L2180">
        <v>270</v>
      </c>
      <c r="M2180">
        <v>90</v>
      </c>
      <c r="N2180">
        <v>359</v>
      </c>
      <c r="O2180">
        <v>179</v>
      </c>
      <c r="T2180">
        <v>7</v>
      </c>
      <c r="U2180">
        <v>4</v>
      </c>
      <c r="V2180">
        <v>2</v>
      </c>
      <c r="Y2180">
        <v>0</v>
      </c>
      <c r="Z2180">
        <v>3</v>
      </c>
      <c r="AA2180">
        <v>0</v>
      </c>
      <c r="AD2180">
        <v>3</v>
      </c>
      <c r="AE2180">
        <v>5</v>
      </c>
      <c r="AF2180">
        <v>2</v>
      </c>
      <c r="AI2180">
        <v>0</v>
      </c>
      <c r="AJ2180">
        <v>7</v>
      </c>
      <c r="AK2180">
        <v>4</v>
      </c>
      <c r="AX2180">
        <v>13</v>
      </c>
      <c r="AY2180">
        <v>3</v>
      </c>
      <c r="AZ2180">
        <v>16</v>
      </c>
      <c r="BA2180">
        <v>3</v>
      </c>
      <c r="BB2180">
        <v>19</v>
      </c>
      <c r="BC2180">
        <v>22</v>
      </c>
      <c r="BD2180">
        <v>10</v>
      </c>
      <c r="BE2180">
        <v>11</v>
      </c>
      <c r="BF2180">
        <v>21</v>
      </c>
      <c r="BG2180">
        <v>11</v>
      </c>
      <c r="BH2180">
        <v>4</v>
      </c>
      <c r="BI2180">
        <v>15</v>
      </c>
      <c r="BP2180">
        <v>8</v>
      </c>
      <c r="BR2180">
        <v>22</v>
      </c>
      <c r="BS2180">
        <v>2</v>
      </c>
      <c r="BT2180">
        <v>5</v>
      </c>
      <c r="BV2180">
        <v>0</v>
      </c>
      <c r="BW2180">
        <v>37</v>
      </c>
      <c r="BX2180">
        <f>IF(C2180=C2179,IF((CI2180-1)=CI2179,BW2179,"no data"))</f>
        <v>10</v>
      </c>
      <c r="BY2180" s="5">
        <f t="shared" si="224"/>
        <v>2.7</v>
      </c>
      <c r="BZ2180" s="6">
        <f t="shared" si="225"/>
        <v>2.7</v>
      </c>
      <c r="CA2180" s="7">
        <v>44143</v>
      </c>
      <c r="CC2180">
        <v>5</v>
      </c>
      <c r="CD2180">
        <v>10</v>
      </c>
      <c r="CE2180">
        <v>8</v>
      </c>
      <c r="CF2180">
        <v>14</v>
      </c>
      <c r="CI2180">
        <f t="shared" si="226"/>
        <v>2020</v>
      </c>
      <c r="CJ2180" t="str">
        <f t="shared" si="227"/>
        <v>7452_2020</v>
      </c>
    </row>
    <row r="2181" spans="1:88" x14ac:dyDescent="0.25">
      <c r="A2181" t="s">
        <v>140</v>
      </c>
      <c r="B2181" t="s">
        <v>143</v>
      </c>
      <c r="C2181">
        <v>7452</v>
      </c>
      <c r="D2181">
        <v>-32.093477</v>
      </c>
      <c r="E2181">
        <v>115.78266000000001</v>
      </c>
      <c r="F2181">
        <v>4</v>
      </c>
      <c r="G2181" t="s">
        <v>828</v>
      </c>
      <c r="H2181">
        <v>90</v>
      </c>
      <c r="I2181">
        <v>270</v>
      </c>
      <c r="J2181">
        <v>180</v>
      </c>
      <c r="K2181">
        <v>360</v>
      </c>
      <c r="L2181">
        <v>270</v>
      </c>
      <c r="M2181">
        <v>90</v>
      </c>
      <c r="N2181">
        <v>359</v>
      </c>
      <c r="O2181">
        <v>179</v>
      </c>
      <c r="T2181">
        <v>6</v>
      </c>
      <c r="U2181">
        <v>3</v>
      </c>
      <c r="V2181">
        <v>1</v>
      </c>
      <c r="Y2181">
        <v>0</v>
      </c>
      <c r="Z2181">
        <v>1</v>
      </c>
      <c r="AA2181">
        <v>2</v>
      </c>
      <c r="AD2181">
        <v>4</v>
      </c>
      <c r="AE2181">
        <v>0</v>
      </c>
      <c r="AF2181">
        <v>1</v>
      </c>
      <c r="AI2181">
        <v>1</v>
      </c>
      <c r="AJ2181">
        <v>2</v>
      </c>
      <c r="AK2181">
        <v>2</v>
      </c>
      <c r="AX2181">
        <v>10</v>
      </c>
      <c r="AY2181">
        <v>5</v>
      </c>
      <c r="AZ2181">
        <v>15</v>
      </c>
      <c r="BA2181">
        <v>3</v>
      </c>
      <c r="BB2181">
        <v>8</v>
      </c>
      <c r="BC2181">
        <v>11</v>
      </c>
      <c r="BD2181">
        <v>5</v>
      </c>
      <c r="BE2181">
        <v>6</v>
      </c>
      <c r="BF2181">
        <v>11</v>
      </c>
      <c r="BG2181">
        <v>5</v>
      </c>
      <c r="BH2181">
        <v>4</v>
      </c>
      <c r="BI2181">
        <v>9</v>
      </c>
      <c r="BP2181">
        <v>5</v>
      </c>
      <c r="BR2181">
        <v>15</v>
      </c>
      <c r="BS2181">
        <v>2</v>
      </c>
      <c r="BT2181">
        <v>1</v>
      </c>
      <c r="BV2181">
        <v>0</v>
      </c>
      <c r="BW2181">
        <v>23</v>
      </c>
      <c r="BX2181">
        <f>IF(C2181=C2180,IF((CI2181-1)=CI2180,BW2180,"no data"))</f>
        <v>37</v>
      </c>
      <c r="BY2181" s="5">
        <f t="shared" si="224"/>
        <v>-0.3783783783783784</v>
      </c>
      <c r="BZ2181" s="6">
        <f t="shared" si="225"/>
        <v>-0.3783783783783784</v>
      </c>
      <c r="CA2181" s="7">
        <v>44528</v>
      </c>
      <c r="CC2181">
        <v>5</v>
      </c>
      <c r="CD2181">
        <v>11</v>
      </c>
      <c r="CE2181">
        <v>7</v>
      </c>
      <c r="CI2181">
        <f t="shared" si="226"/>
        <v>2021</v>
      </c>
      <c r="CJ2181" t="str">
        <f t="shared" si="227"/>
        <v>7452_2021</v>
      </c>
    </row>
    <row r="2182" spans="1:88" x14ac:dyDescent="0.25">
      <c r="A2182" t="s">
        <v>111</v>
      </c>
      <c r="B2182" t="s">
        <v>259</v>
      </c>
      <c r="C2182">
        <v>7453</v>
      </c>
      <c r="D2182">
        <v>-37.895699999999998</v>
      </c>
      <c r="E2182">
        <v>145.07910000000001</v>
      </c>
      <c r="F2182">
        <v>3</v>
      </c>
      <c r="G2182" t="s">
        <v>829</v>
      </c>
      <c r="H2182">
        <v>120</v>
      </c>
      <c r="I2182">
        <v>300</v>
      </c>
      <c r="J2182">
        <v>180</v>
      </c>
      <c r="K2182">
        <v>360</v>
      </c>
      <c r="L2182">
        <v>300</v>
      </c>
      <c r="M2182">
        <v>120</v>
      </c>
      <c r="T2182">
        <v>14</v>
      </c>
      <c r="U2182">
        <v>121</v>
      </c>
      <c r="Y2182">
        <v>20</v>
      </c>
      <c r="Z2182">
        <v>58</v>
      </c>
      <c r="AD2182">
        <v>139</v>
      </c>
      <c r="AE2182">
        <v>71</v>
      </c>
      <c r="AX2182">
        <v>135</v>
      </c>
      <c r="AY2182">
        <v>159</v>
      </c>
      <c r="AZ2182">
        <v>294</v>
      </c>
      <c r="BA2182">
        <v>78</v>
      </c>
      <c r="BB2182">
        <v>85</v>
      </c>
      <c r="BC2182">
        <v>163</v>
      </c>
      <c r="BD2182">
        <v>210</v>
      </c>
      <c r="BE2182">
        <v>179</v>
      </c>
      <c r="BF2182">
        <v>389</v>
      </c>
      <c r="BP2182">
        <v>176</v>
      </c>
      <c r="BR2182">
        <v>175</v>
      </c>
      <c r="BS2182">
        <v>25</v>
      </c>
      <c r="BT2182">
        <v>33</v>
      </c>
      <c r="BV2182">
        <v>14</v>
      </c>
      <c r="BW2182">
        <v>423</v>
      </c>
      <c r="BX2182" t="s">
        <v>82</v>
      </c>
      <c r="BY2182" s="5"/>
      <c r="BZ2182" s="6"/>
      <c r="CA2182" s="7">
        <v>43779</v>
      </c>
      <c r="CE2182">
        <v>104</v>
      </c>
      <c r="CF2182">
        <v>127</v>
      </c>
      <c r="CG2182">
        <v>119</v>
      </c>
      <c r="CH2182">
        <v>73</v>
      </c>
      <c r="CI2182">
        <f t="shared" si="226"/>
        <v>2019</v>
      </c>
      <c r="CJ2182" t="str">
        <f t="shared" si="227"/>
        <v>7453_2019</v>
      </c>
    </row>
    <row r="2183" spans="1:88" x14ac:dyDescent="0.25">
      <c r="A2183" t="s">
        <v>111</v>
      </c>
      <c r="B2183" t="s">
        <v>259</v>
      </c>
      <c r="C2183">
        <v>7453</v>
      </c>
      <c r="D2183">
        <v>-37.895681000000003</v>
      </c>
      <c r="E2183">
        <v>145.07907399999999</v>
      </c>
      <c r="F2183">
        <v>3</v>
      </c>
      <c r="G2183" t="s">
        <v>829</v>
      </c>
      <c r="H2183">
        <v>120</v>
      </c>
      <c r="I2183">
        <v>300</v>
      </c>
      <c r="J2183">
        <v>180</v>
      </c>
      <c r="K2183">
        <v>360</v>
      </c>
      <c r="L2183">
        <v>300</v>
      </c>
      <c r="M2183">
        <v>120</v>
      </c>
      <c r="T2183">
        <v>0</v>
      </c>
      <c r="U2183">
        <v>180</v>
      </c>
      <c r="Y2183">
        <v>0</v>
      </c>
      <c r="Z2183">
        <v>76</v>
      </c>
      <c r="AD2183">
        <v>212</v>
      </c>
      <c r="AE2183">
        <v>37</v>
      </c>
      <c r="AX2183">
        <v>180</v>
      </c>
      <c r="AY2183">
        <v>212</v>
      </c>
      <c r="AZ2183">
        <v>392</v>
      </c>
      <c r="BA2183">
        <v>76</v>
      </c>
      <c r="BB2183">
        <v>37</v>
      </c>
      <c r="BC2183">
        <v>113</v>
      </c>
      <c r="BD2183">
        <v>249</v>
      </c>
      <c r="BE2183">
        <v>256</v>
      </c>
      <c r="BF2183">
        <v>505</v>
      </c>
      <c r="BP2183">
        <v>210</v>
      </c>
      <c r="BR2183">
        <v>198</v>
      </c>
      <c r="BS2183">
        <v>37</v>
      </c>
      <c r="BT2183">
        <v>43</v>
      </c>
      <c r="BV2183">
        <v>17</v>
      </c>
      <c r="BW2183">
        <v>505</v>
      </c>
      <c r="BX2183" t="str">
        <f>IF(C2183=C2182,IF((CI2183-1)=CI2182,BW2182,"no data"))</f>
        <v>no data</v>
      </c>
      <c r="BY2183" s="5"/>
      <c r="BZ2183" s="6"/>
      <c r="CA2183" s="7">
        <v>44528</v>
      </c>
      <c r="CE2183">
        <v>154</v>
      </c>
      <c r="CF2183">
        <v>178</v>
      </c>
      <c r="CG2183">
        <v>173</v>
      </c>
      <c r="CI2183">
        <f t="shared" si="226"/>
        <v>2021</v>
      </c>
      <c r="CJ2183" t="str">
        <f t="shared" si="227"/>
        <v>7453_2021</v>
      </c>
    </row>
    <row r="2184" spans="1:88" x14ac:dyDescent="0.25">
      <c r="A2184" t="s">
        <v>140</v>
      </c>
      <c r="B2184" t="s">
        <v>143</v>
      </c>
      <c r="C2184">
        <v>7454</v>
      </c>
      <c r="D2184">
        <v>-32.083199999999998</v>
      </c>
      <c r="E2184">
        <v>115.77200000000001</v>
      </c>
      <c r="F2184">
        <v>4</v>
      </c>
      <c r="G2184" t="s">
        <v>830</v>
      </c>
      <c r="H2184">
        <v>76</v>
      </c>
      <c r="I2184">
        <v>256</v>
      </c>
      <c r="J2184">
        <v>123</v>
      </c>
      <c r="K2184">
        <v>303</v>
      </c>
      <c r="L2184">
        <v>235</v>
      </c>
      <c r="M2184">
        <v>55</v>
      </c>
      <c r="N2184">
        <v>296</v>
      </c>
      <c r="O2184">
        <v>116</v>
      </c>
      <c r="T2184">
        <v>5</v>
      </c>
      <c r="U2184">
        <v>4</v>
      </c>
      <c r="V2184">
        <v>5</v>
      </c>
      <c r="Y2184">
        <v>2</v>
      </c>
      <c r="Z2184">
        <v>1</v>
      </c>
      <c r="AA2184">
        <v>22</v>
      </c>
      <c r="AD2184">
        <v>1</v>
      </c>
      <c r="AE2184">
        <v>6</v>
      </c>
      <c r="AF2184">
        <v>9</v>
      </c>
      <c r="AI2184">
        <v>0</v>
      </c>
      <c r="AJ2184">
        <v>14</v>
      </c>
      <c r="AK2184">
        <v>7</v>
      </c>
      <c r="AX2184">
        <v>14</v>
      </c>
      <c r="AY2184">
        <v>3</v>
      </c>
      <c r="AZ2184">
        <v>17</v>
      </c>
      <c r="BA2184">
        <v>25</v>
      </c>
      <c r="BB2184">
        <v>25</v>
      </c>
      <c r="BC2184">
        <v>50</v>
      </c>
      <c r="BD2184">
        <v>16</v>
      </c>
      <c r="BE2184">
        <v>12</v>
      </c>
      <c r="BF2184">
        <v>28</v>
      </c>
      <c r="BG2184">
        <v>21</v>
      </c>
      <c r="BH2184">
        <v>36</v>
      </c>
      <c r="BI2184">
        <v>57</v>
      </c>
      <c r="BP2184">
        <v>26</v>
      </c>
      <c r="BR2184">
        <v>35</v>
      </c>
      <c r="BS2184">
        <v>7</v>
      </c>
      <c r="BT2184">
        <v>6</v>
      </c>
      <c r="BV2184">
        <v>2</v>
      </c>
      <c r="BW2184">
        <v>76</v>
      </c>
      <c r="BX2184" t="s">
        <v>82</v>
      </c>
      <c r="BY2184" s="5"/>
      <c r="BZ2184" s="6"/>
      <c r="CA2184" s="7">
        <v>43779</v>
      </c>
      <c r="CC2184">
        <v>22</v>
      </c>
      <c r="CD2184">
        <v>22</v>
      </c>
      <c r="CE2184">
        <v>14</v>
      </c>
      <c r="CF2184">
        <v>18</v>
      </c>
      <c r="CI2184">
        <f t="shared" si="226"/>
        <v>2019</v>
      </c>
      <c r="CJ2184" t="str">
        <f t="shared" si="227"/>
        <v>7454_2019</v>
      </c>
    </row>
    <row r="2185" spans="1:88" x14ac:dyDescent="0.25">
      <c r="A2185" t="s">
        <v>140</v>
      </c>
      <c r="B2185" t="s">
        <v>143</v>
      </c>
      <c r="C2185">
        <v>7454</v>
      </c>
      <c r="D2185">
        <v>-32.083199999999998</v>
      </c>
      <c r="E2185">
        <v>115.77200000000001</v>
      </c>
      <c r="F2185">
        <v>4</v>
      </c>
      <c r="G2185" t="s">
        <v>830</v>
      </c>
      <c r="H2185">
        <v>76</v>
      </c>
      <c r="I2185">
        <v>256</v>
      </c>
      <c r="J2185">
        <v>123</v>
      </c>
      <c r="K2185">
        <v>303</v>
      </c>
      <c r="L2185">
        <v>235</v>
      </c>
      <c r="M2185">
        <v>55</v>
      </c>
      <c r="N2185">
        <v>296</v>
      </c>
      <c r="O2185">
        <v>116</v>
      </c>
      <c r="T2185">
        <v>7</v>
      </c>
      <c r="U2185">
        <v>10</v>
      </c>
      <c r="V2185">
        <v>9</v>
      </c>
      <c r="Y2185">
        <v>3</v>
      </c>
      <c r="Z2185">
        <v>7</v>
      </c>
      <c r="AA2185">
        <v>13</v>
      </c>
      <c r="AD2185">
        <v>7</v>
      </c>
      <c r="AE2185">
        <v>2</v>
      </c>
      <c r="AF2185">
        <v>7</v>
      </c>
      <c r="AI2185">
        <v>8</v>
      </c>
      <c r="AJ2185">
        <v>9</v>
      </c>
      <c r="AK2185">
        <v>4</v>
      </c>
      <c r="AX2185">
        <v>26</v>
      </c>
      <c r="AY2185">
        <v>18</v>
      </c>
      <c r="AZ2185">
        <v>44</v>
      </c>
      <c r="BA2185">
        <v>23</v>
      </c>
      <c r="BB2185">
        <v>18</v>
      </c>
      <c r="BC2185">
        <v>41</v>
      </c>
      <c r="BD2185">
        <v>16</v>
      </c>
      <c r="BE2185">
        <v>21</v>
      </c>
      <c r="BF2185">
        <v>37</v>
      </c>
      <c r="BG2185">
        <v>21</v>
      </c>
      <c r="BH2185">
        <v>29</v>
      </c>
      <c r="BI2185">
        <v>50</v>
      </c>
      <c r="BP2185">
        <v>29</v>
      </c>
      <c r="BR2185">
        <v>45</v>
      </c>
      <c r="BS2185">
        <v>3</v>
      </c>
      <c r="BT2185">
        <v>5</v>
      </c>
      <c r="BV2185">
        <v>4</v>
      </c>
      <c r="BW2185">
        <v>86</v>
      </c>
      <c r="BX2185">
        <f>IF(C2185=C2184,IF((CI2185-1)=CI2184,BW2184,"no data"))</f>
        <v>76</v>
      </c>
      <c r="BY2185" s="5">
        <f t="shared" si="224"/>
        <v>0.13157894736842105</v>
      </c>
      <c r="BZ2185" s="6">
        <f t="shared" si="225"/>
        <v>0.13157894736842105</v>
      </c>
      <c r="CA2185" s="7">
        <v>44143</v>
      </c>
      <c r="CC2185">
        <v>16</v>
      </c>
      <c r="CD2185">
        <v>27</v>
      </c>
      <c r="CE2185">
        <v>21</v>
      </c>
      <c r="CF2185">
        <v>22</v>
      </c>
      <c r="CI2185">
        <f t="shared" si="226"/>
        <v>2020</v>
      </c>
      <c r="CJ2185" t="str">
        <f t="shared" si="227"/>
        <v>7454_2020</v>
      </c>
    </row>
    <row r="2186" spans="1:88" x14ac:dyDescent="0.25">
      <c r="A2186" t="s">
        <v>140</v>
      </c>
      <c r="B2186" t="s">
        <v>143</v>
      </c>
      <c r="C2186">
        <v>7454</v>
      </c>
      <c r="D2186">
        <v>-32.083174</v>
      </c>
      <c r="E2186">
        <v>115.77200000000001</v>
      </c>
      <c r="F2186">
        <v>4</v>
      </c>
      <c r="G2186" t="s">
        <v>830</v>
      </c>
      <c r="H2186">
        <v>76</v>
      </c>
      <c r="I2186">
        <v>256</v>
      </c>
      <c r="J2186">
        <v>123</v>
      </c>
      <c r="K2186">
        <v>303</v>
      </c>
      <c r="L2186">
        <v>235</v>
      </c>
      <c r="M2186">
        <v>55</v>
      </c>
      <c r="N2186">
        <v>296</v>
      </c>
      <c r="O2186">
        <v>116</v>
      </c>
      <c r="T2186">
        <v>4</v>
      </c>
      <c r="U2186">
        <v>1</v>
      </c>
      <c r="V2186">
        <v>5</v>
      </c>
      <c r="Y2186">
        <v>4</v>
      </c>
      <c r="Z2186">
        <v>3</v>
      </c>
      <c r="AA2186">
        <v>15</v>
      </c>
      <c r="AD2186">
        <v>4</v>
      </c>
      <c r="AE2186">
        <v>4</v>
      </c>
      <c r="AF2186">
        <v>3</v>
      </c>
      <c r="AI2186">
        <v>19</v>
      </c>
      <c r="AJ2186">
        <v>12</v>
      </c>
      <c r="AK2186">
        <v>4</v>
      </c>
      <c r="AX2186">
        <v>10</v>
      </c>
      <c r="AY2186">
        <v>27</v>
      </c>
      <c r="AZ2186">
        <v>37</v>
      </c>
      <c r="BA2186">
        <v>22</v>
      </c>
      <c r="BB2186">
        <v>20</v>
      </c>
      <c r="BC2186">
        <v>42</v>
      </c>
      <c r="BD2186">
        <v>11</v>
      </c>
      <c r="BE2186">
        <v>8</v>
      </c>
      <c r="BF2186">
        <v>19</v>
      </c>
      <c r="BG2186">
        <v>35</v>
      </c>
      <c r="BH2186">
        <v>23</v>
      </c>
      <c r="BI2186">
        <v>58</v>
      </c>
      <c r="BP2186">
        <v>49</v>
      </c>
      <c r="BR2186">
        <v>20</v>
      </c>
      <c r="BS2186">
        <v>3</v>
      </c>
      <c r="BT2186">
        <v>4</v>
      </c>
      <c r="BV2186">
        <v>2</v>
      </c>
      <c r="BW2186">
        <v>78</v>
      </c>
      <c r="BX2186">
        <f>IF(C2186=C2185,IF((CI2186-1)=CI2185,BW2185,"no data"))</f>
        <v>86</v>
      </c>
      <c r="BY2186" s="5">
        <f t="shared" si="224"/>
        <v>-9.3023255813953487E-2</v>
      </c>
      <c r="BZ2186" s="6">
        <f t="shared" si="225"/>
        <v>-9.3023255813953487E-2</v>
      </c>
      <c r="CA2186" s="7">
        <v>44528</v>
      </c>
      <c r="CC2186">
        <v>32</v>
      </c>
      <c r="CD2186">
        <v>26</v>
      </c>
      <c r="CE2186">
        <v>20</v>
      </c>
      <c r="CI2186">
        <f t="shared" si="226"/>
        <v>2021</v>
      </c>
      <c r="CJ2186" t="str">
        <f t="shared" si="227"/>
        <v>7454_2021</v>
      </c>
    </row>
    <row r="2187" spans="1:88" x14ac:dyDescent="0.25">
      <c r="A2187" t="s">
        <v>140</v>
      </c>
      <c r="B2187" t="s">
        <v>143</v>
      </c>
      <c r="C2187">
        <v>7455</v>
      </c>
      <c r="D2187">
        <v>-32.078299999999999</v>
      </c>
      <c r="E2187">
        <v>115.76139999999999</v>
      </c>
      <c r="F2187">
        <v>4</v>
      </c>
      <c r="G2187" t="s">
        <v>831</v>
      </c>
      <c r="H2187">
        <v>115</v>
      </c>
      <c r="I2187">
        <v>295</v>
      </c>
      <c r="J2187">
        <v>180</v>
      </c>
      <c r="K2187">
        <v>360</v>
      </c>
      <c r="L2187">
        <v>270</v>
      </c>
      <c r="M2187">
        <v>90</v>
      </c>
      <c r="N2187">
        <v>359</v>
      </c>
      <c r="O2187">
        <v>179</v>
      </c>
      <c r="T2187">
        <v>8</v>
      </c>
      <c r="U2187">
        <v>45</v>
      </c>
      <c r="V2187">
        <v>21</v>
      </c>
      <c r="Y2187">
        <v>10</v>
      </c>
      <c r="Z2187">
        <v>8</v>
      </c>
      <c r="AA2187">
        <v>24</v>
      </c>
      <c r="AD2187">
        <v>32</v>
      </c>
      <c r="AE2187">
        <v>14</v>
      </c>
      <c r="AF2187">
        <v>6</v>
      </c>
      <c r="AI2187">
        <v>10</v>
      </c>
      <c r="AJ2187">
        <v>25</v>
      </c>
      <c r="AK2187">
        <v>17</v>
      </c>
      <c r="AX2187">
        <v>74</v>
      </c>
      <c r="AY2187">
        <v>52</v>
      </c>
      <c r="AZ2187">
        <v>126</v>
      </c>
      <c r="BA2187">
        <v>42</v>
      </c>
      <c r="BB2187">
        <v>47</v>
      </c>
      <c r="BC2187">
        <v>89</v>
      </c>
      <c r="BD2187">
        <v>52</v>
      </c>
      <c r="BE2187">
        <v>70</v>
      </c>
      <c r="BF2187">
        <v>122</v>
      </c>
      <c r="BG2187">
        <v>52</v>
      </c>
      <c r="BH2187">
        <v>51</v>
      </c>
      <c r="BI2187">
        <v>103</v>
      </c>
      <c r="BP2187">
        <v>125</v>
      </c>
      <c r="BR2187">
        <v>57</v>
      </c>
      <c r="BS2187">
        <v>20</v>
      </c>
      <c r="BT2187">
        <v>17</v>
      </c>
      <c r="BV2187">
        <v>1</v>
      </c>
      <c r="BW2187">
        <v>220</v>
      </c>
      <c r="BX2187" t="s">
        <v>82</v>
      </c>
      <c r="BY2187" s="5"/>
      <c r="BZ2187" s="6"/>
      <c r="CA2187" s="7">
        <v>43779</v>
      </c>
      <c r="CC2187">
        <v>74</v>
      </c>
      <c r="CD2187">
        <v>50</v>
      </c>
      <c r="CE2187">
        <v>40</v>
      </c>
      <c r="CF2187">
        <v>56</v>
      </c>
      <c r="CI2187">
        <f t="shared" si="226"/>
        <v>2019</v>
      </c>
      <c r="CJ2187" t="str">
        <f t="shared" si="227"/>
        <v>7455_2019</v>
      </c>
    </row>
    <row r="2188" spans="1:88" x14ac:dyDescent="0.25">
      <c r="A2188" t="s">
        <v>140</v>
      </c>
      <c r="B2188" t="s">
        <v>143</v>
      </c>
      <c r="C2188">
        <v>7455</v>
      </c>
      <c r="D2188">
        <v>-32.078299999999999</v>
      </c>
      <c r="E2188">
        <v>115.76139999999999</v>
      </c>
      <c r="F2188">
        <v>4</v>
      </c>
      <c r="G2188" t="s">
        <v>831</v>
      </c>
      <c r="H2188">
        <v>115</v>
      </c>
      <c r="I2188">
        <v>295</v>
      </c>
      <c r="J2188">
        <v>180</v>
      </c>
      <c r="K2188">
        <v>360</v>
      </c>
      <c r="L2188">
        <v>270</v>
      </c>
      <c r="M2188">
        <v>90</v>
      </c>
      <c r="N2188">
        <v>359</v>
      </c>
      <c r="O2188">
        <v>179</v>
      </c>
      <c r="T2188">
        <v>12</v>
      </c>
      <c r="U2188">
        <v>62</v>
      </c>
      <c r="V2188">
        <v>5</v>
      </c>
      <c r="Y2188">
        <v>5</v>
      </c>
      <c r="Z2188">
        <v>7</v>
      </c>
      <c r="AA2188">
        <v>28</v>
      </c>
      <c r="AD2188">
        <v>50</v>
      </c>
      <c r="AE2188">
        <v>14</v>
      </c>
      <c r="AF2188">
        <v>15</v>
      </c>
      <c r="AI2188">
        <v>10</v>
      </c>
      <c r="AJ2188">
        <v>17</v>
      </c>
      <c r="AK2188">
        <v>28</v>
      </c>
      <c r="AX2188">
        <v>79</v>
      </c>
      <c r="AY2188">
        <v>65</v>
      </c>
      <c r="AZ2188">
        <v>144</v>
      </c>
      <c r="BA2188">
        <v>40</v>
      </c>
      <c r="BB2188">
        <v>43</v>
      </c>
      <c r="BC2188">
        <v>83</v>
      </c>
      <c r="BD2188">
        <v>79</v>
      </c>
      <c r="BE2188">
        <v>97</v>
      </c>
      <c r="BF2188">
        <v>176</v>
      </c>
      <c r="BG2188">
        <v>55</v>
      </c>
      <c r="BH2188">
        <v>48</v>
      </c>
      <c r="BI2188">
        <v>103</v>
      </c>
      <c r="BP2188">
        <v>158</v>
      </c>
      <c r="BR2188">
        <v>59</v>
      </c>
      <c r="BS2188">
        <v>14</v>
      </c>
      <c r="BT2188">
        <v>14</v>
      </c>
      <c r="BV2188">
        <v>8</v>
      </c>
      <c r="BW2188">
        <v>253</v>
      </c>
      <c r="BX2188">
        <f>IF(C2188=C2187,IF((CI2188-1)=CI2187,BW2187,"no data"))</f>
        <v>220</v>
      </c>
      <c r="BY2188" s="5">
        <f t="shared" si="224"/>
        <v>0.15</v>
      </c>
      <c r="BZ2188" s="6">
        <f t="shared" si="225"/>
        <v>0.15</v>
      </c>
      <c r="CA2188" s="7">
        <v>44143</v>
      </c>
      <c r="CC2188">
        <v>61</v>
      </c>
      <c r="CD2188">
        <v>74</v>
      </c>
      <c r="CE2188">
        <v>64</v>
      </c>
      <c r="CF2188">
        <v>54</v>
      </c>
      <c r="CI2188">
        <f t="shared" si="226"/>
        <v>2020</v>
      </c>
      <c r="CJ2188" t="str">
        <f t="shared" si="227"/>
        <v>7455_2020</v>
      </c>
    </row>
    <row r="2189" spans="1:88" x14ac:dyDescent="0.25">
      <c r="A2189" t="s">
        <v>140</v>
      </c>
      <c r="B2189" t="s">
        <v>143</v>
      </c>
      <c r="C2189">
        <v>7455</v>
      </c>
      <c r="D2189">
        <v>-32.078347000000001</v>
      </c>
      <c r="E2189">
        <v>115.76136200000001</v>
      </c>
      <c r="F2189">
        <v>4</v>
      </c>
      <c r="G2189" t="s">
        <v>831</v>
      </c>
      <c r="H2189">
        <v>115</v>
      </c>
      <c r="I2189">
        <v>295</v>
      </c>
      <c r="J2189">
        <v>180</v>
      </c>
      <c r="K2189">
        <v>360</v>
      </c>
      <c r="L2189">
        <v>270</v>
      </c>
      <c r="M2189">
        <v>90</v>
      </c>
      <c r="N2189">
        <v>359</v>
      </c>
      <c r="O2189">
        <v>179</v>
      </c>
      <c r="T2189">
        <v>1</v>
      </c>
      <c r="U2189">
        <v>54</v>
      </c>
      <c r="V2189">
        <v>7</v>
      </c>
      <c r="Y2189">
        <v>1</v>
      </c>
      <c r="Z2189">
        <v>7</v>
      </c>
      <c r="AA2189">
        <v>21</v>
      </c>
      <c r="AD2189">
        <v>39</v>
      </c>
      <c r="AE2189">
        <v>10</v>
      </c>
      <c r="AF2189">
        <v>6</v>
      </c>
      <c r="AI2189">
        <v>12</v>
      </c>
      <c r="AJ2189">
        <v>17</v>
      </c>
      <c r="AK2189">
        <v>14</v>
      </c>
      <c r="AX2189">
        <v>62</v>
      </c>
      <c r="AY2189">
        <v>52</v>
      </c>
      <c r="AZ2189">
        <v>114</v>
      </c>
      <c r="BA2189">
        <v>29</v>
      </c>
      <c r="BB2189">
        <v>28</v>
      </c>
      <c r="BC2189">
        <v>57</v>
      </c>
      <c r="BD2189">
        <v>55</v>
      </c>
      <c r="BE2189">
        <v>75</v>
      </c>
      <c r="BF2189">
        <v>130</v>
      </c>
      <c r="BG2189">
        <v>43</v>
      </c>
      <c r="BH2189">
        <v>34</v>
      </c>
      <c r="BI2189">
        <v>77</v>
      </c>
      <c r="BP2189">
        <v>126</v>
      </c>
      <c r="BR2189">
        <v>39</v>
      </c>
      <c r="BS2189">
        <v>9</v>
      </c>
      <c r="BT2189">
        <v>8</v>
      </c>
      <c r="BV2189">
        <v>7</v>
      </c>
      <c r="BW2189">
        <v>189</v>
      </c>
      <c r="BX2189">
        <f>IF(C2189=C2188,IF((CI2189-1)=CI2188,BW2188,"no data"))</f>
        <v>253</v>
      </c>
      <c r="BY2189" s="5">
        <f t="shared" si="224"/>
        <v>-0.25296442687747034</v>
      </c>
      <c r="BZ2189" s="6">
        <f t="shared" si="225"/>
        <v>-0.25296442687747034</v>
      </c>
      <c r="CA2189" s="7">
        <v>44528</v>
      </c>
      <c r="CC2189">
        <v>73</v>
      </c>
      <c r="CD2189">
        <v>54</v>
      </c>
      <c r="CE2189">
        <v>62</v>
      </c>
      <c r="CI2189">
        <f t="shared" si="226"/>
        <v>2021</v>
      </c>
      <c r="CJ2189" t="str">
        <f t="shared" si="227"/>
        <v>7455_2021</v>
      </c>
    </row>
    <row r="2190" spans="1:88" x14ac:dyDescent="0.25">
      <c r="A2190" t="s">
        <v>111</v>
      </c>
      <c r="B2190" t="s">
        <v>418</v>
      </c>
      <c r="C2190">
        <v>7456</v>
      </c>
      <c r="D2190">
        <v>-37.776400000000002</v>
      </c>
      <c r="E2190">
        <v>144.86060000000001</v>
      </c>
      <c r="F2190">
        <v>3</v>
      </c>
      <c r="G2190" t="s">
        <v>832</v>
      </c>
      <c r="H2190">
        <v>64</v>
      </c>
      <c r="I2190">
        <v>244</v>
      </c>
      <c r="J2190">
        <v>245</v>
      </c>
      <c r="K2190">
        <v>65</v>
      </c>
      <c r="L2190">
        <v>278</v>
      </c>
      <c r="M2190">
        <v>98</v>
      </c>
      <c r="T2190">
        <v>29</v>
      </c>
      <c r="U2190">
        <v>2</v>
      </c>
      <c r="Y2190">
        <v>21</v>
      </c>
      <c r="Z2190">
        <v>13</v>
      </c>
      <c r="AD2190">
        <v>3</v>
      </c>
      <c r="AE2190">
        <v>16</v>
      </c>
      <c r="AX2190">
        <v>31</v>
      </c>
      <c r="AY2190">
        <v>24</v>
      </c>
      <c r="AZ2190">
        <v>55</v>
      </c>
      <c r="BA2190">
        <v>34</v>
      </c>
      <c r="BB2190">
        <v>45</v>
      </c>
      <c r="BC2190">
        <v>79</v>
      </c>
      <c r="BD2190">
        <v>19</v>
      </c>
      <c r="BE2190">
        <v>15</v>
      </c>
      <c r="BF2190">
        <v>34</v>
      </c>
      <c r="BP2190">
        <v>2</v>
      </c>
      <c r="BR2190">
        <v>49</v>
      </c>
      <c r="BS2190">
        <v>11</v>
      </c>
      <c r="BT2190">
        <v>22</v>
      </c>
      <c r="BV2190">
        <v>0</v>
      </c>
      <c r="BW2190">
        <v>84</v>
      </c>
      <c r="BX2190" t="s">
        <v>82</v>
      </c>
      <c r="BY2190" s="5"/>
      <c r="BZ2190" s="6"/>
      <c r="CA2190" s="7">
        <v>43779</v>
      </c>
      <c r="CE2190">
        <v>18</v>
      </c>
      <c r="CF2190">
        <v>25</v>
      </c>
      <c r="CG2190">
        <v>31</v>
      </c>
      <c r="CH2190">
        <v>10</v>
      </c>
      <c r="CI2190">
        <f t="shared" si="226"/>
        <v>2019</v>
      </c>
      <c r="CJ2190" t="str">
        <f t="shared" si="227"/>
        <v>7456_2019</v>
      </c>
    </row>
    <row r="2191" spans="1:88" x14ac:dyDescent="0.25">
      <c r="A2191" t="s">
        <v>111</v>
      </c>
      <c r="B2191" t="s">
        <v>418</v>
      </c>
      <c r="C2191">
        <v>7456</v>
      </c>
      <c r="D2191">
        <v>-37.776400000000002</v>
      </c>
      <c r="E2191">
        <v>144.86060000000001</v>
      </c>
      <c r="F2191">
        <v>3</v>
      </c>
      <c r="G2191" t="s">
        <v>832</v>
      </c>
      <c r="H2191">
        <v>64</v>
      </c>
      <c r="I2191">
        <v>244</v>
      </c>
      <c r="J2191">
        <v>245</v>
      </c>
      <c r="K2191">
        <v>65</v>
      </c>
      <c r="L2191">
        <v>278</v>
      </c>
      <c r="M2191">
        <v>98</v>
      </c>
      <c r="T2191">
        <v>28</v>
      </c>
      <c r="U2191">
        <v>74</v>
      </c>
      <c r="Y2191">
        <v>49</v>
      </c>
      <c r="Z2191">
        <v>62</v>
      </c>
      <c r="AD2191">
        <v>89</v>
      </c>
      <c r="AE2191">
        <v>70</v>
      </c>
      <c r="AX2191">
        <v>102</v>
      </c>
      <c r="AY2191">
        <v>138</v>
      </c>
      <c r="AZ2191">
        <v>240</v>
      </c>
      <c r="BA2191">
        <v>111</v>
      </c>
      <c r="BB2191">
        <v>98</v>
      </c>
      <c r="BC2191">
        <v>209</v>
      </c>
      <c r="BD2191">
        <v>159</v>
      </c>
      <c r="BE2191">
        <v>136</v>
      </c>
      <c r="BF2191">
        <v>295</v>
      </c>
      <c r="BP2191">
        <v>128</v>
      </c>
      <c r="BR2191">
        <v>146</v>
      </c>
      <c r="BS2191">
        <v>59</v>
      </c>
      <c r="BT2191">
        <v>39</v>
      </c>
      <c r="BV2191">
        <v>0</v>
      </c>
      <c r="BW2191">
        <v>372</v>
      </c>
      <c r="BX2191">
        <f>IF(C2191=C2190,IF((CI2191-1)=CI2190,BW2190,"no data"))</f>
        <v>84</v>
      </c>
      <c r="BY2191" s="5">
        <f t="shared" ref="BY2191:BY2250" si="228">(BW2191-BX2191)/BX2191</f>
        <v>3.4285714285714284</v>
      </c>
      <c r="BZ2191" s="6">
        <f t="shared" ref="BZ2191:BZ2241" si="229">BY2191</f>
        <v>3.4285714285714284</v>
      </c>
      <c r="CA2191" s="7">
        <v>44143</v>
      </c>
      <c r="CE2191">
        <v>114</v>
      </c>
      <c r="CF2191">
        <v>89</v>
      </c>
      <c r="CG2191">
        <v>92</v>
      </c>
      <c r="CH2191">
        <v>77</v>
      </c>
      <c r="CI2191">
        <f t="shared" si="226"/>
        <v>2020</v>
      </c>
      <c r="CJ2191" t="str">
        <f t="shared" si="227"/>
        <v>7456_2020</v>
      </c>
    </row>
    <row r="2192" spans="1:88" x14ac:dyDescent="0.25">
      <c r="A2192" t="s">
        <v>111</v>
      </c>
      <c r="B2192" t="s">
        <v>418</v>
      </c>
      <c r="C2192">
        <v>7456</v>
      </c>
      <c r="D2192">
        <v>-37.776392000000001</v>
      </c>
      <c r="E2192">
        <v>144.86060000000001</v>
      </c>
      <c r="F2192">
        <v>3</v>
      </c>
      <c r="G2192" t="s">
        <v>832</v>
      </c>
      <c r="H2192">
        <v>64</v>
      </c>
      <c r="I2192">
        <v>244</v>
      </c>
      <c r="J2192">
        <v>245</v>
      </c>
      <c r="K2192">
        <v>65</v>
      </c>
      <c r="L2192">
        <v>278</v>
      </c>
      <c r="M2192">
        <v>98</v>
      </c>
      <c r="T2192">
        <v>26</v>
      </c>
      <c r="U2192">
        <v>23</v>
      </c>
      <c r="Y2192">
        <v>28</v>
      </c>
      <c r="Z2192">
        <v>28</v>
      </c>
      <c r="AD2192">
        <v>14</v>
      </c>
      <c r="AE2192">
        <v>17</v>
      </c>
      <c r="AX2192">
        <v>49</v>
      </c>
      <c r="AY2192">
        <v>42</v>
      </c>
      <c r="AZ2192">
        <v>91</v>
      </c>
      <c r="BA2192">
        <v>56</v>
      </c>
      <c r="BB2192">
        <v>43</v>
      </c>
      <c r="BC2192">
        <v>99</v>
      </c>
      <c r="BD2192">
        <v>31</v>
      </c>
      <c r="BE2192">
        <v>51</v>
      </c>
      <c r="BF2192">
        <v>82</v>
      </c>
      <c r="BP2192">
        <v>22</v>
      </c>
      <c r="BR2192">
        <v>79</v>
      </c>
      <c r="BS2192">
        <v>12</v>
      </c>
      <c r="BT2192">
        <v>20</v>
      </c>
      <c r="BV2192">
        <v>3</v>
      </c>
      <c r="BW2192">
        <v>136</v>
      </c>
      <c r="BX2192">
        <f>IF(C2192=C2191,IF((CI2192-1)=CI2191,BW2191,"no data"))</f>
        <v>372</v>
      </c>
      <c r="BY2192" s="5">
        <f t="shared" si="228"/>
        <v>-0.63440860215053763</v>
      </c>
      <c r="BZ2192" s="6">
        <f t="shared" si="229"/>
        <v>-0.63440860215053763</v>
      </c>
      <c r="CA2192" s="7">
        <v>44528</v>
      </c>
      <c r="CE2192">
        <v>40</v>
      </c>
      <c r="CF2192">
        <v>33</v>
      </c>
      <c r="CG2192">
        <v>63</v>
      </c>
      <c r="CI2192">
        <f t="shared" si="226"/>
        <v>2021</v>
      </c>
      <c r="CJ2192" t="str">
        <f t="shared" si="227"/>
        <v>7456_2021</v>
      </c>
    </row>
    <row r="2193" spans="1:88" x14ac:dyDescent="0.25">
      <c r="A2193" t="s">
        <v>111</v>
      </c>
      <c r="B2193" t="s">
        <v>418</v>
      </c>
      <c r="C2193">
        <v>7456</v>
      </c>
      <c r="D2193">
        <v>-37.776392000000001</v>
      </c>
      <c r="E2193">
        <v>144.86060000000001</v>
      </c>
      <c r="F2193">
        <v>3</v>
      </c>
      <c r="G2193" t="s">
        <v>832</v>
      </c>
      <c r="H2193">
        <v>64</v>
      </c>
      <c r="I2193">
        <v>244</v>
      </c>
      <c r="J2193">
        <v>245</v>
      </c>
      <c r="K2193">
        <v>65</v>
      </c>
      <c r="L2193">
        <v>278</v>
      </c>
      <c r="M2193">
        <v>98</v>
      </c>
      <c r="T2193">
        <v>44</v>
      </c>
      <c r="U2193">
        <v>11</v>
      </c>
      <c r="Y2193">
        <v>28</v>
      </c>
      <c r="Z2193">
        <v>9</v>
      </c>
      <c r="AD2193">
        <v>6</v>
      </c>
      <c r="AE2193">
        <v>7</v>
      </c>
      <c r="AX2193">
        <v>55</v>
      </c>
      <c r="AY2193">
        <v>34</v>
      </c>
      <c r="AZ2193">
        <v>89</v>
      </c>
      <c r="BA2193">
        <v>37</v>
      </c>
      <c r="BB2193">
        <v>51</v>
      </c>
      <c r="BC2193">
        <v>88</v>
      </c>
      <c r="BD2193">
        <v>13</v>
      </c>
      <c r="BE2193">
        <v>20</v>
      </c>
      <c r="BF2193">
        <v>33</v>
      </c>
      <c r="BP2193">
        <v>19</v>
      </c>
      <c r="BR2193">
        <v>52</v>
      </c>
      <c r="BS2193">
        <v>17</v>
      </c>
      <c r="BT2193">
        <v>17</v>
      </c>
      <c r="BU2193">
        <v>0</v>
      </c>
      <c r="BV2193">
        <v>0</v>
      </c>
      <c r="BW2193">
        <v>105</v>
      </c>
      <c r="BX2193">
        <f>IF(C2193=C2192,IF((CI2193-1)=CI2192,BW2192,"no data"))</f>
        <v>136</v>
      </c>
      <c r="BY2193" s="5">
        <f t="shared" si="228"/>
        <v>-0.22794117647058823</v>
      </c>
      <c r="BZ2193" s="6">
        <f t="shared" si="229"/>
        <v>-0.22794117647058823</v>
      </c>
      <c r="CA2193" s="7">
        <v>44878</v>
      </c>
      <c r="CE2193">
        <v>47</v>
      </c>
      <c r="CF2193">
        <v>30</v>
      </c>
      <c r="CG2193">
        <v>28</v>
      </c>
      <c r="CI2193">
        <f t="shared" si="226"/>
        <v>2022</v>
      </c>
      <c r="CJ2193" t="str">
        <f t="shared" si="227"/>
        <v>7456_2022</v>
      </c>
    </row>
    <row r="2194" spans="1:88" x14ac:dyDescent="0.25">
      <c r="A2194" t="s">
        <v>79</v>
      </c>
      <c r="B2194" t="s">
        <v>833</v>
      </c>
      <c r="C2194">
        <v>7457</v>
      </c>
      <c r="D2194">
        <v>-33.325088999999998</v>
      </c>
      <c r="E2194">
        <v>149.086085</v>
      </c>
      <c r="F2194">
        <v>4</v>
      </c>
      <c r="G2194" t="s">
        <v>834</v>
      </c>
      <c r="H2194">
        <v>0</v>
      </c>
      <c r="I2194">
        <v>180</v>
      </c>
      <c r="J2194">
        <v>83</v>
      </c>
      <c r="K2194">
        <v>263</v>
      </c>
      <c r="L2194">
        <v>180</v>
      </c>
      <c r="M2194">
        <v>360</v>
      </c>
      <c r="N2194">
        <v>260</v>
      </c>
      <c r="O2194">
        <v>80</v>
      </c>
      <c r="T2194">
        <v>0</v>
      </c>
      <c r="U2194">
        <v>3</v>
      </c>
      <c r="V2194">
        <v>0</v>
      </c>
      <c r="Y2194">
        <v>4</v>
      </c>
      <c r="Z2194">
        <v>1</v>
      </c>
      <c r="AA2194">
        <v>8</v>
      </c>
      <c r="AD2194">
        <v>5</v>
      </c>
      <c r="AE2194">
        <v>1</v>
      </c>
      <c r="AF2194">
        <v>1</v>
      </c>
      <c r="AI2194">
        <v>0</v>
      </c>
      <c r="AJ2194">
        <v>1</v>
      </c>
      <c r="AK2194">
        <v>4</v>
      </c>
      <c r="AX2194">
        <v>3</v>
      </c>
      <c r="AY2194">
        <v>9</v>
      </c>
      <c r="AZ2194">
        <v>12</v>
      </c>
      <c r="BA2194">
        <v>13</v>
      </c>
      <c r="BB2194">
        <v>2</v>
      </c>
      <c r="BC2194">
        <v>15</v>
      </c>
      <c r="BD2194">
        <v>7</v>
      </c>
      <c r="BE2194">
        <v>8</v>
      </c>
      <c r="BF2194">
        <v>15</v>
      </c>
      <c r="BG2194">
        <v>5</v>
      </c>
      <c r="BH2194">
        <v>9</v>
      </c>
      <c r="BI2194">
        <v>14</v>
      </c>
      <c r="BP2194">
        <v>16</v>
      </c>
      <c r="BR2194">
        <v>11</v>
      </c>
      <c r="BS2194">
        <v>0</v>
      </c>
      <c r="BT2194">
        <v>1</v>
      </c>
      <c r="BV2194">
        <v>0</v>
      </c>
      <c r="BW2194">
        <v>28</v>
      </c>
      <c r="BX2194" t="s">
        <v>82</v>
      </c>
      <c r="BY2194" s="5"/>
      <c r="BZ2194" s="6"/>
      <c r="CA2194" s="7">
        <v>43779</v>
      </c>
      <c r="CE2194">
        <v>14</v>
      </c>
      <c r="CF2194">
        <v>10</v>
      </c>
      <c r="CG2194">
        <v>1</v>
      </c>
      <c r="CH2194">
        <v>3</v>
      </c>
      <c r="CI2194">
        <f t="shared" si="226"/>
        <v>2019</v>
      </c>
      <c r="CJ2194" t="str">
        <f t="shared" si="227"/>
        <v>7457_2019</v>
      </c>
    </row>
    <row r="2195" spans="1:88" x14ac:dyDescent="0.25">
      <c r="A2195" t="s">
        <v>79</v>
      </c>
      <c r="B2195" t="s">
        <v>833</v>
      </c>
      <c r="C2195">
        <v>7457</v>
      </c>
      <c r="D2195">
        <v>-33.325088999999998</v>
      </c>
      <c r="E2195">
        <v>149.086085</v>
      </c>
      <c r="F2195">
        <v>4</v>
      </c>
      <c r="G2195" t="s">
        <v>834</v>
      </c>
      <c r="H2195">
        <v>0</v>
      </c>
      <c r="I2195">
        <v>180</v>
      </c>
      <c r="J2195">
        <v>83</v>
      </c>
      <c r="K2195">
        <v>263</v>
      </c>
      <c r="L2195">
        <v>180</v>
      </c>
      <c r="M2195">
        <v>360</v>
      </c>
      <c r="N2195">
        <v>260</v>
      </c>
      <c r="O2195">
        <v>80</v>
      </c>
      <c r="T2195">
        <v>1</v>
      </c>
      <c r="U2195">
        <v>23</v>
      </c>
      <c r="V2195">
        <v>0</v>
      </c>
      <c r="Y2195">
        <v>3</v>
      </c>
      <c r="Z2195">
        <v>0</v>
      </c>
      <c r="AA2195">
        <v>0</v>
      </c>
      <c r="AD2195">
        <v>7</v>
      </c>
      <c r="AE2195">
        <v>1</v>
      </c>
      <c r="AF2195">
        <v>0</v>
      </c>
      <c r="AI2195">
        <v>1</v>
      </c>
      <c r="AJ2195">
        <v>1</v>
      </c>
      <c r="AK2195">
        <v>36</v>
      </c>
      <c r="AX2195">
        <v>24</v>
      </c>
      <c r="AY2195">
        <v>11</v>
      </c>
      <c r="AZ2195">
        <v>35</v>
      </c>
      <c r="BA2195">
        <v>3</v>
      </c>
      <c r="BB2195">
        <v>3</v>
      </c>
      <c r="BC2195">
        <v>6</v>
      </c>
      <c r="BD2195">
        <v>8</v>
      </c>
      <c r="BE2195">
        <v>59</v>
      </c>
      <c r="BF2195">
        <v>67</v>
      </c>
      <c r="BG2195">
        <v>38</v>
      </c>
      <c r="BH2195">
        <v>0</v>
      </c>
      <c r="BI2195">
        <v>38</v>
      </c>
      <c r="BP2195">
        <v>9</v>
      </c>
      <c r="BR2195">
        <v>51</v>
      </c>
      <c r="BS2195">
        <v>6</v>
      </c>
      <c r="BT2195">
        <v>5</v>
      </c>
      <c r="BU2195">
        <v>1</v>
      </c>
      <c r="BV2195">
        <v>1</v>
      </c>
      <c r="BW2195">
        <v>73</v>
      </c>
      <c r="BX2195" t="str">
        <f>IF(C2195=C2194,IF((CI2195-1)=CI2194,BW2194,"no data"))</f>
        <v>no data</v>
      </c>
      <c r="BY2195" s="5"/>
      <c r="BZ2195" s="6"/>
      <c r="CA2195" s="7">
        <v>44892</v>
      </c>
      <c r="CE2195">
        <v>42</v>
      </c>
      <c r="CF2195">
        <v>9</v>
      </c>
      <c r="CG2195">
        <v>22</v>
      </c>
      <c r="CI2195">
        <f t="shared" si="226"/>
        <v>2022</v>
      </c>
      <c r="CJ2195" t="str">
        <f t="shared" si="227"/>
        <v>7457_2022</v>
      </c>
    </row>
    <row r="2196" spans="1:88" x14ac:dyDescent="0.25">
      <c r="A2196" t="s">
        <v>79</v>
      </c>
      <c r="B2196" t="s">
        <v>833</v>
      </c>
      <c r="C2196">
        <v>7458</v>
      </c>
      <c r="D2196">
        <v>-33.306950000000001</v>
      </c>
      <c r="E2196">
        <v>149.09869</v>
      </c>
      <c r="F2196">
        <v>4</v>
      </c>
      <c r="G2196" t="s">
        <v>835</v>
      </c>
      <c r="H2196">
        <v>25</v>
      </c>
      <c r="I2196">
        <v>205</v>
      </c>
      <c r="J2196">
        <v>75</v>
      </c>
      <c r="K2196">
        <v>255</v>
      </c>
      <c r="L2196">
        <v>212</v>
      </c>
      <c r="M2196">
        <v>32</v>
      </c>
      <c r="N2196">
        <v>302</v>
      </c>
      <c r="O2196">
        <v>122</v>
      </c>
      <c r="T2196">
        <v>2</v>
      </c>
      <c r="U2196">
        <v>6</v>
      </c>
      <c r="V2196">
        <v>0</v>
      </c>
      <c r="Y2196">
        <v>4</v>
      </c>
      <c r="Z2196">
        <v>2</v>
      </c>
      <c r="AA2196">
        <v>13</v>
      </c>
      <c r="AD2196">
        <v>10</v>
      </c>
      <c r="AE2196">
        <v>2</v>
      </c>
      <c r="AF2196">
        <v>5</v>
      </c>
      <c r="AI2196">
        <v>3</v>
      </c>
      <c r="AJ2196">
        <v>1</v>
      </c>
      <c r="AK2196">
        <v>0</v>
      </c>
      <c r="AX2196">
        <v>8</v>
      </c>
      <c r="AY2196">
        <v>17</v>
      </c>
      <c r="AZ2196">
        <v>25</v>
      </c>
      <c r="BA2196">
        <v>19</v>
      </c>
      <c r="BB2196">
        <v>5</v>
      </c>
      <c r="BC2196">
        <v>24</v>
      </c>
      <c r="BD2196">
        <v>17</v>
      </c>
      <c r="BE2196">
        <v>8</v>
      </c>
      <c r="BF2196">
        <v>25</v>
      </c>
      <c r="BG2196">
        <v>4</v>
      </c>
      <c r="BH2196">
        <v>18</v>
      </c>
      <c r="BI2196">
        <v>22</v>
      </c>
      <c r="BP2196">
        <v>37</v>
      </c>
      <c r="BR2196">
        <v>9</v>
      </c>
      <c r="BS2196">
        <v>0</v>
      </c>
      <c r="BT2196">
        <v>2</v>
      </c>
      <c r="BV2196">
        <v>0</v>
      </c>
      <c r="BW2196">
        <v>48</v>
      </c>
      <c r="BX2196" t="s">
        <v>82</v>
      </c>
      <c r="BY2196" s="5"/>
      <c r="BZ2196" s="6"/>
      <c r="CA2196" s="7">
        <v>43779</v>
      </c>
      <c r="CE2196">
        <v>19</v>
      </c>
      <c r="CF2196">
        <v>20</v>
      </c>
      <c r="CG2196">
        <v>4</v>
      </c>
      <c r="CH2196">
        <v>5</v>
      </c>
      <c r="CI2196">
        <f t="shared" si="226"/>
        <v>2019</v>
      </c>
      <c r="CJ2196" t="str">
        <f t="shared" si="227"/>
        <v>7458_2019</v>
      </c>
    </row>
    <row r="2197" spans="1:88" x14ac:dyDescent="0.25">
      <c r="A2197" t="s">
        <v>79</v>
      </c>
      <c r="B2197" t="s">
        <v>833</v>
      </c>
      <c r="C2197">
        <v>7458</v>
      </c>
      <c r="D2197">
        <v>-33.306950000000001</v>
      </c>
      <c r="E2197">
        <v>149.09869</v>
      </c>
      <c r="F2197">
        <v>4</v>
      </c>
      <c r="G2197" t="s">
        <v>835</v>
      </c>
      <c r="H2197">
        <v>25</v>
      </c>
      <c r="I2197">
        <v>205</v>
      </c>
      <c r="J2197">
        <v>75</v>
      </c>
      <c r="K2197">
        <v>255</v>
      </c>
      <c r="L2197">
        <v>212</v>
      </c>
      <c r="M2197">
        <v>32</v>
      </c>
      <c r="N2197">
        <v>302</v>
      </c>
      <c r="O2197">
        <v>122</v>
      </c>
      <c r="T2197">
        <v>1</v>
      </c>
      <c r="U2197">
        <v>1</v>
      </c>
      <c r="V2197">
        <v>0</v>
      </c>
      <c r="Y2197">
        <v>8</v>
      </c>
      <c r="Z2197">
        <v>10</v>
      </c>
      <c r="AA2197">
        <v>6</v>
      </c>
      <c r="AD2197">
        <v>2</v>
      </c>
      <c r="AE2197">
        <v>9</v>
      </c>
      <c r="AF2197">
        <v>7</v>
      </c>
      <c r="AI2197">
        <v>3</v>
      </c>
      <c r="AJ2197">
        <v>2</v>
      </c>
      <c r="AK2197">
        <v>3</v>
      </c>
      <c r="AX2197">
        <v>2</v>
      </c>
      <c r="AY2197">
        <v>13</v>
      </c>
      <c r="AZ2197">
        <v>15</v>
      </c>
      <c r="BA2197">
        <v>24</v>
      </c>
      <c r="BB2197">
        <v>12</v>
      </c>
      <c r="BC2197">
        <v>36</v>
      </c>
      <c r="BD2197">
        <v>18</v>
      </c>
      <c r="BE2197">
        <v>14</v>
      </c>
      <c r="BF2197">
        <v>32</v>
      </c>
      <c r="BG2197">
        <v>8</v>
      </c>
      <c r="BH2197">
        <v>13</v>
      </c>
      <c r="BI2197">
        <v>21</v>
      </c>
      <c r="BP2197">
        <v>34</v>
      </c>
      <c r="BR2197">
        <v>9</v>
      </c>
      <c r="BS2197">
        <v>6</v>
      </c>
      <c r="BT2197">
        <v>3</v>
      </c>
      <c r="BU2197">
        <v>0</v>
      </c>
      <c r="BV2197">
        <v>0</v>
      </c>
      <c r="BW2197">
        <v>52</v>
      </c>
      <c r="BX2197" t="str">
        <f>IF(C2197=C2196,IF((CI2197-1)=CI2196,BW2196,"no data"))</f>
        <v>no data</v>
      </c>
      <c r="BY2197" s="5"/>
      <c r="BZ2197" s="6"/>
      <c r="CA2197" s="7">
        <v>44892</v>
      </c>
      <c r="CE2197">
        <v>37</v>
      </c>
      <c r="CF2197">
        <v>11</v>
      </c>
      <c r="CG2197">
        <v>4</v>
      </c>
      <c r="CI2197">
        <f t="shared" si="226"/>
        <v>2022</v>
      </c>
      <c r="CJ2197" t="str">
        <f t="shared" si="227"/>
        <v>7458_2022</v>
      </c>
    </row>
    <row r="2198" spans="1:88" x14ac:dyDescent="0.25">
      <c r="A2198" t="s">
        <v>79</v>
      </c>
      <c r="B2198" t="s">
        <v>833</v>
      </c>
      <c r="C2198">
        <v>7459</v>
      </c>
      <c r="D2198">
        <v>-33.298104000000002</v>
      </c>
      <c r="E2198">
        <v>149.09192300000001</v>
      </c>
      <c r="F2198">
        <v>3</v>
      </c>
      <c r="G2198" t="s">
        <v>836</v>
      </c>
      <c r="H2198">
        <v>90</v>
      </c>
      <c r="I2198">
        <v>270</v>
      </c>
      <c r="J2198">
        <v>180</v>
      </c>
      <c r="K2198">
        <v>360</v>
      </c>
      <c r="L2198">
        <v>303</v>
      </c>
      <c r="M2198">
        <v>123</v>
      </c>
      <c r="T2198">
        <v>2</v>
      </c>
      <c r="U2198">
        <v>5</v>
      </c>
      <c r="Y2198">
        <v>3</v>
      </c>
      <c r="Z2198">
        <v>4</v>
      </c>
      <c r="AD2198">
        <v>2</v>
      </c>
      <c r="AE2198">
        <v>5</v>
      </c>
      <c r="AX2198">
        <v>7</v>
      </c>
      <c r="AY2198">
        <v>5</v>
      </c>
      <c r="AZ2198">
        <v>12</v>
      </c>
      <c r="BA2198">
        <v>7</v>
      </c>
      <c r="BB2198">
        <v>7</v>
      </c>
      <c r="BC2198">
        <v>14</v>
      </c>
      <c r="BD2198">
        <v>7</v>
      </c>
      <c r="BE2198">
        <v>9</v>
      </c>
      <c r="BF2198">
        <v>16</v>
      </c>
      <c r="BP2198">
        <v>6</v>
      </c>
      <c r="BR2198">
        <v>10</v>
      </c>
      <c r="BS2198">
        <v>0</v>
      </c>
      <c r="BT2198">
        <v>5</v>
      </c>
      <c r="BV2198">
        <v>0</v>
      </c>
      <c r="BW2198">
        <v>21</v>
      </c>
      <c r="BX2198" t="s">
        <v>82</v>
      </c>
      <c r="BY2198" s="5"/>
      <c r="BZ2198" s="6"/>
      <c r="CA2198" s="7">
        <v>43779</v>
      </c>
      <c r="CE2198">
        <v>6</v>
      </c>
      <c r="CF2198">
        <v>2</v>
      </c>
      <c r="CG2198">
        <v>6</v>
      </c>
      <c r="CH2198">
        <v>7</v>
      </c>
      <c r="CI2198">
        <f t="shared" si="226"/>
        <v>2019</v>
      </c>
      <c r="CJ2198" t="str">
        <f t="shared" si="227"/>
        <v>7459_2019</v>
      </c>
    </row>
    <row r="2199" spans="1:88" x14ac:dyDescent="0.25">
      <c r="A2199" t="s">
        <v>79</v>
      </c>
      <c r="B2199" t="s">
        <v>833</v>
      </c>
      <c r="C2199">
        <v>7459</v>
      </c>
      <c r="D2199">
        <v>-33.298104000000002</v>
      </c>
      <c r="E2199">
        <v>149.09192300000001</v>
      </c>
      <c r="F2199">
        <v>3</v>
      </c>
      <c r="G2199" t="s">
        <v>836</v>
      </c>
      <c r="H2199">
        <v>90</v>
      </c>
      <c r="I2199">
        <v>270</v>
      </c>
      <c r="J2199">
        <v>180</v>
      </c>
      <c r="K2199">
        <v>360</v>
      </c>
      <c r="L2199">
        <v>303</v>
      </c>
      <c r="M2199">
        <v>123</v>
      </c>
      <c r="T2199">
        <v>0</v>
      </c>
      <c r="U2199">
        <v>4</v>
      </c>
      <c r="Y2199">
        <v>11</v>
      </c>
      <c r="Z2199">
        <v>4</v>
      </c>
      <c r="AD2199">
        <v>8</v>
      </c>
      <c r="AE2199">
        <v>11</v>
      </c>
      <c r="AX2199">
        <v>4</v>
      </c>
      <c r="AY2199">
        <v>19</v>
      </c>
      <c r="AZ2199">
        <v>23</v>
      </c>
      <c r="BA2199">
        <v>15</v>
      </c>
      <c r="BB2199">
        <v>11</v>
      </c>
      <c r="BC2199">
        <v>26</v>
      </c>
      <c r="BD2199">
        <v>19</v>
      </c>
      <c r="BE2199">
        <v>8</v>
      </c>
      <c r="BF2199">
        <v>27</v>
      </c>
      <c r="BP2199">
        <v>5</v>
      </c>
      <c r="BR2199">
        <v>25</v>
      </c>
      <c r="BS2199">
        <v>0</v>
      </c>
      <c r="BT2199">
        <v>8</v>
      </c>
      <c r="BU2199">
        <v>0</v>
      </c>
      <c r="BV2199">
        <v>0</v>
      </c>
      <c r="BW2199">
        <v>38</v>
      </c>
      <c r="BX2199" t="str">
        <f>IF(C2199=C2198,IF((CI2199-1)=CI2198,BW2198,"no data"))</f>
        <v>no data</v>
      </c>
      <c r="BY2199" s="5"/>
      <c r="BZ2199" s="6"/>
      <c r="CA2199" s="7">
        <v>44892</v>
      </c>
      <c r="CE2199">
        <v>24</v>
      </c>
      <c r="CF2199">
        <v>7</v>
      </c>
      <c r="CG2199">
        <v>7</v>
      </c>
      <c r="CI2199">
        <f t="shared" si="226"/>
        <v>2022</v>
      </c>
      <c r="CJ2199" t="str">
        <f t="shared" si="227"/>
        <v>7459_2022</v>
      </c>
    </row>
    <row r="2200" spans="1:88" x14ac:dyDescent="0.25">
      <c r="A2200" t="s">
        <v>79</v>
      </c>
      <c r="B2200" t="s">
        <v>833</v>
      </c>
      <c r="C2200">
        <v>7460</v>
      </c>
      <c r="D2200">
        <v>-33.288386000000003</v>
      </c>
      <c r="E2200">
        <v>149.09594899999999</v>
      </c>
      <c r="F2200">
        <v>3</v>
      </c>
      <c r="G2200" t="s">
        <v>837</v>
      </c>
      <c r="H2200">
        <v>93</v>
      </c>
      <c r="I2200">
        <v>273</v>
      </c>
      <c r="J2200">
        <v>200</v>
      </c>
      <c r="K2200">
        <v>20</v>
      </c>
      <c r="L2200">
        <v>272</v>
      </c>
      <c r="M2200">
        <v>92</v>
      </c>
      <c r="T2200">
        <v>8</v>
      </c>
      <c r="U2200">
        <v>36</v>
      </c>
      <c r="Y2200">
        <v>16</v>
      </c>
      <c r="Z2200">
        <v>0</v>
      </c>
      <c r="AD2200">
        <v>34</v>
      </c>
      <c r="AE2200">
        <v>10</v>
      </c>
      <c r="AX2200">
        <v>44</v>
      </c>
      <c r="AY2200">
        <v>50</v>
      </c>
      <c r="AZ2200">
        <v>94</v>
      </c>
      <c r="BA2200">
        <v>16</v>
      </c>
      <c r="BB2200">
        <v>18</v>
      </c>
      <c r="BC2200">
        <v>34</v>
      </c>
      <c r="BD2200">
        <v>44</v>
      </c>
      <c r="BE2200">
        <v>36</v>
      </c>
      <c r="BF2200">
        <v>80</v>
      </c>
      <c r="BP2200">
        <v>35</v>
      </c>
      <c r="BR2200">
        <v>44</v>
      </c>
      <c r="BS2200">
        <v>7</v>
      </c>
      <c r="BT2200">
        <v>13</v>
      </c>
      <c r="BV2200">
        <v>5</v>
      </c>
      <c r="BW2200">
        <v>104</v>
      </c>
      <c r="BX2200" t="s">
        <v>82</v>
      </c>
      <c r="BY2200" s="5"/>
      <c r="BZ2200" s="6"/>
      <c r="CA2200" s="7">
        <v>43779</v>
      </c>
      <c r="CE2200">
        <v>20</v>
      </c>
      <c r="CF2200">
        <v>40</v>
      </c>
      <c r="CG2200">
        <v>33</v>
      </c>
      <c r="CH2200">
        <v>11</v>
      </c>
      <c r="CI2200">
        <f t="shared" si="226"/>
        <v>2019</v>
      </c>
      <c r="CJ2200" t="str">
        <f t="shared" si="227"/>
        <v>7460_2019</v>
      </c>
    </row>
    <row r="2201" spans="1:88" x14ac:dyDescent="0.25">
      <c r="A2201" t="s">
        <v>79</v>
      </c>
      <c r="B2201" t="s">
        <v>833</v>
      </c>
      <c r="C2201">
        <v>7460</v>
      </c>
      <c r="D2201">
        <v>-33.288386000000003</v>
      </c>
      <c r="E2201">
        <v>149.09594899999999</v>
      </c>
      <c r="F2201">
        <v>3</v>
      </c>
      <c r="G2201" t="s">
        <v>837</v>
      </c>
      <c r="H2201">
        <v>93</v>
      </c>
      <c r="I2201">
        <v>273</v>
      </c>
      <c r="J2201">
        <v>200</v>
      </c>
      <c r="K2201">
        <v>20</v>
      </c>
      <c r="L2201">
        <v>272</v>
      </c>
      <c r="M2201">
        <v>92</v>
      </c>
      <c r="T2201">
        <v>0</v>
      </c>
      <c r="U2201">
        <v>28</v>
      </c>
      <c r="Y2201">
        <v>3</v>
      </c>
      <c r="Z2201">
        <v>1</v>
      </c>
      <c r="AD2201">
        <v>65</v>
      </c>
      <c r="AE2201">
        <v>1</v>
      </c>
      <c r="AX2201">
        <v>28</v>
      </c>
      <c r="AY2201">
        <v>68</v>
      </c>
      <c r="AZ2201">
        <v>96</v>
      </c>
      <c r="BA2201">
        <v>4</v>
      </c>
      <c r="BB2201">
        <v>1</v>
      </c>
      <c r="BC2201">
        <v>5</v>
      </c>
      <c r="BD2201">
        <v>66</v>
      </c>
      <c r="BE2201">
        <v>29</v>
      </c>
      <c r="BF2201">
        <v>95</v>
      </c>
      <c r="BP2201">
        <v>22</v>
      </c>
      <c r="BR2201">
        <v>49</v>
      </c>
      <c r="BS2201">
        <v>6</v>
      </c>
      <c r="BT2201">
        <v>19</v>
      </c>
      <c r="BU2201">
        <v>2</v>
      </c>
      <c r="BV2201">
        <v>0</v>
      </c>
      <c r="BW2201">
        <v>98</v>
      </c>
      <c r="BX2201" t="str">
        <f>IF(C2201=C2200,IF((CI2201-1)=CI2200,BW2200,"no data"))</f>
        <v>no data</v>
      </c>
      <c r="BY2201" s="5"/>
      <c r="BZ2201" s="6"/>
      <c r="CA2201" s="7">
        <v>44906</v>
      </c>
      <c r="CE2201">
        <v>39</v>
      </c>
      <c r="CF2201">
        <v>39</v>
      </c>
      <c r="CG2201">
        <v>20</v>
      </c>
      <c r="CI2201">
        <f t="shared" si="226"/>
        <v>2022</v>
      </c>
      <c r="CJ2201" t="str">
        <f t="shared" si="227"/>
        <v>7460_2022</v>
      </c>
    </row>
    <row r="2202" spans="1:88" x14ac:dyDescent="0.25">
      <c r="A2202" t="s">
        <v>111</v>
      </c>
      <c r="B2202" t="s">
        <v>135</v>
      </c>
      <c r="C2202">
        <v>7461</v>
      </c>
      <c r="D2202">
        <v>-37.768354000000002</v>
      </c>
      <c r="E2202">
        <v>144.87202300000001</v>
      </c>
      <c r="F2202">
        <v>3</v>
      </c>
      <c r="G2202" t="s">
        <v>838</v>
      </c>
      <c r="H2202">
        <v>112</v>
      </c>
      <c r="I2202">
        <v>292</v>
      </c>
      <c r="J2202">
        <v>198</v>
      </c>
      <c r="K2202">
        <v>18</v>
      </c>
      <c r="L2202">
        <v>330</v>
      </c>
      <c r="M2202">
        <v>150</v>
      </c>
      <c r="T2202">
        <v>41</v>
      </c>
      <c r="U2202">
        <v>52</v>
      </c>
      <c r="Y2202">
        <v>15</v>
      </c>
      <c r="Z2202">
        <v>34</v>
      </c>
      <c r="AD2202">
        <v>58</v>
      </c>
      <c r="AE2202">
        <v>36</v>
      </c>
      <c r="AX2202">
        <v>93</v>
      </c>
      <c r="AY2202">
        <v>73</v>
      </c>
      <c r="AZ2202">
        <v>166</v>
      </c>
      <c r="BA2202">
        <v>49</v>
      </c>
      <c r="BB2202">
        <v>77</v>
      </c>
      <c r="BC2202">
        <v>126</v>
      </c>
      <c r="BD2202">
        <v>94</v>
      </c>
      <c r="BE2202">
        <v>86</v>
      </c>
      <c r="BF2202">
        <v>180</v>
      </c>
      <c r="BP2202">
        <v>76</v>
      </c>
      <c r="BR2202">
        <v>94</v>
      </c>
      <c r="BS2202">
        <v>38</v>
      </c>
      <c r="BT2202">
        <v>27</v>
      </c>
      <c r="BV2202">
        <v>1</v>
      </c>
      <c r="BW2202">
        <v>236</v>
      </c>
      <c r="BX2202" t="s">
        <v>82</v>
      </c>
      <c r="BY2202" s="5"/>
      <c r="BZ2202" s="6"/>
      <c r="CA2202" s="7">
        <v>43779</v>
      </c>
      <c r="CE2202">
        <v>70</v>
      </c>
      <c r="CF2202">
        <v>61</v>
      </c>
      <c r="CG2202">
        <v>47</v>
      </c>
      <c r="CH2202">
        <v>58</v>
      </c>
      <c r="CI2202">
        <f t="shared" si="226"/>
        <v>2019</v>
      </c>
      <c r="CJ2202" t="str">
        <f t="shared" si="227"/>
        <v>7461_2019</v>
      </c>
    </row>
    <row r="2203" spans="1:88" x14ac:dyDescent="0.25">
      <c r="A2203" t="s">
        <v>111</v>
      </c>
      <c r="B2203" t="s">
        <v>135</v>
      </c>
      <c r="C2203">
        <v>7461</v>
      </c>
      <c r="D2203">
        <v>-37.7684</v>
      </c>
      <c r="E2203">
        <v>144.87200000000001</v>
      </c>
      <c r="F2203">
        <v>3</v>
      </c>
      <c r="G2203" t="s">
        <v>838</v>
      </c>
      <c r="H2203">
        <v>112</v>
      </c>
      <c r="I2203">
        <v>292</v>
      </c>
      <c r="J2203">
        <v>198</v>
      </c>
      <c r="K2203">
        <v>18</v>
      </c>
      <c r="L2203">
        <v>330</v>
      </c>
      <c r="M2203">
        <v>150</v>
      </c>
      <c r="T2203">
        <v>66</v>
      </c>
      <c r="U2203">
        <v>248</v>
      </c>
      <c r="Y2203">
        <v>66</v>
      </c>
      <c r="Z2203">
        <v>98</v>
      </c>
      <c r="AD2203">
        <v>200</v>
      </c>
      <c r="AE2203">
        <v>101</v>
      </c>
      <c r="AX2203">
        <v>314</v>
      </c>
      <c r="AY2203">
        <v>266</v>
      </c>
      <c r="AZ2203">
        <v>580</v>
      </c>
      <c r="BA2203">
        <v>164</v>
      </c>
      <c r="BB2203">
        <v>167</v>
      </c>
      <c r="BC2203">
        <v>331</v>
      </c>
      <c r="BD2203">
        <v>301</v>
      </c>
      <c r="BE2203">
        <v>346</v>
      </c>
      <c r="BF2203">
        <v>647</v>
      </c>
      <c r="BP2203">
        <v>407</v>
      </c>
      <c r="BR2203">
        <v>258</v>
      </c>
      <c r="BS2203">
        <v>70</v>
      </c>
      <c r="BT2203">
        <v>43</v>
      </c>
      <c r="BV2203">
        <v>1</v>
      </c>
      <c r="BW2203">
        <v>779</v>
      </c>
      <c r="BX2203">
        <f>IF(C2203=C2202,IF((CI2203-1)=CI2202,BW2202,"no data"))</f>
        <v>236</v>
      </c>
      <c r="BY2203" s="5">
        <f t="shared" si="228"/>
        <v>2.3008474576271185</v>
      </c>
      <c r="BZ2203" s="6">
        <f t="shared" si="229"/>
        <v>2.3008474576271185</v>
      </c>
      <c r="CA2203" s="7">
        <v>44143</v>
      </c>
      <c r="CE2203">
        <v>176</v>
      </c>
      <c r="CF2203">
        <v>224</v>
      </c>
      <c r="CG2203">
        <v>196</v>
      </c>
      <c r="CH2203">
        <v>183</v>
      </c>
      <c r="CI2203">
        <f t="shared" si="226"/>
        <v>2020</v>
      </c>
      <c r="CJ2203" t="str">
        <f t="shared" si="227"/>
        <v>7461_2020</v>
      </c>
    </row>
    <row r="2204" spans="1:88" x14ac:dyDescent="0.25">
      <c r="A2204" t="s">
        <v>111</v>
      </c>
      <c r="B2204" t="s">
        <v>135</v>
      </c>
      <c r="C2204">
        <v>7461</v>
      </c>
      <c r="D2204">
        <v>-37.768354000000002</v>
      </c>
      <c r="E2204">
        <v>144.87202300000001</v>
      </c>
      <c r="F2204">
        <v>3</v>
      </c>
      <c r="G2204" t="s">
        <v>838</v>
      </c>
      <c r="H2204">
        <v>112</v>
      </c>
      <c r="I2204">
        <v>292</v>
      </c>
      <c r="J2204">
        <v>198</v>
      </c>
      <c r="K2204">
        <v>18</v>
      </c>
      <c r="L2204">
        <v>330</v>
      </c>
      <c r="M2204">
        <v>150</v>
      </c>
      <c r="T2204">
        <v>21</v>
      </c>
      <c r="U2204">
        <v>66</v>
      </c>
      <c r="Y2204">
        <v>23</v>
      </c>
      <c r="Z2204">
        <v>84</v>
      </c>
      <c r="AD2204">
        <v>61</v>
      </c>
      <c r="AE2204">
        <v>72</v>
      </c>
      <c r="AX2204">
        <v>87</v>
      </c>
      <c r="AY2204">
        <v>84</v>
      </c>
      <c r="AZ2204">
        <v>171</v>
      </c>
      <c r="BA2204">
        <v>107</v>
      </c>
      <c r="BB2204">
        <v>93</v>
      </c>
      <c r="BC2204">
        <v>200</v>
      </c>
      <c r="BD2204">
        <v>133</v>
      </c>
      <c r="BE2204">
        <v>150</v>
      </c>
      <c r="BF2204">
        <v>283</v>
      </c>
      <c r="BP2204">
        <v>100</v>
      </c>
      <c r="BR2204">
        <v>164</v>
      </c>
      <c r="BS2204">
        <v>31</v>
      </c>
      <c r="BT2204">
        <v>24</v>
      </c>
      <c r="BV2204">
        <v>8</v>
      </c>
      <c r="BW2204">
        <v>327</v>
      </c>
      <c r="BX2204">
        <f>IF(C2204=C2203,IF((CI2204-1)=CI2203,BW2203,"no data"))</f>
        <v>779</v>
      </c>
      <c r="BY2204" s="5">
        <f t="shared" si="228"/>
        <v>-0.58023106546854941</v>
      </c>
      <c r="BZ2204" s="6">
        <f t="shared" si="229"/>
        <v>-0.58023106546854941</v>
      </c>
      <c r="CA2204" s="7">
        <v>44528</v>
      </c>
      <c r="CE2204">
        <v>85</v>
      </c>
      <c r="CF2204">
        <v>134</v>
      </c>
      <c r="CG2204">
        <v>108</v>
      </c>
      <c r="CI2204">
        <f t="shared" si="226"/>
        <v>2021</v>
      </c>
      <c r="CJ2204" t="str">
        <f t="shared" si="227"/>
        <v>7461_2021</v>
      </c>
    </row>
    <row r="2205" spans="1:88" x14ac:dyDescent="0.25">
      <c r="A2205" t="s">
        <v>111</v>
      </c>
      <c r="B2205" t="s">
        <v>135</v>
      </c>
      <c r="C2205">
        <v>7461</v>
      </c>
      <c r="D2205">
        <v>-37.768354000000002</v>
      </c>
      <c r="E2205">
        <v>144.87202300000001</v>
      </c>
      <c r="F2205">
        <v>3</v>
      </c>
      <c r="G2205" t="s">
        <v>838</v>
      </c>
      <c r="H2205">
        <v>112</v>
      </c>
      <c r="I2205">
        <v>292</v>
      </c>
      <c r="J2205">
        <v>198</v>
      </c>
      <c r="K2205">
        <v>18</v>
      </c>
      <c r="L2205">
        <v>330</v>
      </c>
      <c r="M2205">
        <v>150</v>
      </c>
      <c r="T2205">
        <v>16</v>
      </c>
      <c r="U2205">
        <v>43</v>
      </c>
      <c r="Y2205">
        <v>11</v>
      </c>
      <c r="Z2205">
        <v>44</v>
      </c>
      <c r="AD2205">
        <v>44</v>
      </c>
      <c r="AE2205">
        <v>32</v>
      </c>
      <c r="AX2205">
        <v>59</v>
      </c>
      <c r="AY2205">
        <v>55</v>
      </c>
      <c r="AZ2205">
        <v>114</v>
      </c>
      <c r="BA2205">
        <v>55</v>
      </c>
      <c r="BB2205">
        <v>48</v>
      </c>
      <c r="BC2205">
        <v>103</v>
      </c>
      <c r="BD2205">
        <v>76</v>
      </c>
      <c r="BE2205">
        <v>87</v>
      </c>
      <c r="BF2205">
        <v>163</v>
      </c>
      <c r="BP2205">
        <v>36</v>
      </c>
      <c r="BR2205">
        <v>93</v>
      </c>
      <c r="BS2205">
        <v>31</v>
      </c>
      <c r="BT2205">
        <v>30</v>
      </c>
      <c r="BU2205">
        <v>0</v>
      </c>
      <c r="BV2205">
        <v>0</v>
      </c>
      <c r="BW2205">
        <v>190</v>
      </c>
      <c r="BX2205">
        <f>IF(C2205=C2204,IF((CI2205-1)=CI2204,BW2204,"no data"))</f>
        <v>327</v>
      </c>
      <c r="BY2205" s="5">
        <f t="shared" si="228"/>
        <v>-0.41896024464831805</v>
      </c>
      <c r="BZ2205" s="6">
        <f t="shared" si="229"/>
        <v>-0.41896024464831805</v>
      </c>
      <c r="CA2205" s="7">
        <v>44892</v>
      </c>
      <c r="CE2205">
        <v>73</v>
      </c>
      <c r="CF2205">
        <v>62</v>
      </c>
      <c r="CG2205">
        <v>55</v>
      </c>
      <c r="CI2205">
        <f t="shared" si="226"/>
        <v>2022</v>
      </c>
      <c r="CJ2205" t="str">
        <f t="shared" si="227"/>
        <v>7461_2022</v>
      </c>
    </row>
    <row r="2206" spans="1:88" x14ac:dyDescent="0.25">
      <c r="A2206" t="s">
        <v>111</v>
      </c>
      <c r="B2206" t="s">
        <v>135</v>
      </c>
      <c r="C2206">
        <v>7462</v>
      </c>
      <c r="D2206">
        <v>-37.72119</v>
      </c>
      <c r="E2206">
        <v>144.88718900000001</v>
      </c>
      <c r="F2206">
        <v>4</v>
      </c>
      <c r="G2206" t="s">
        <v>839</v>
      </c>
      <c r="H2206">
        <v>39</v>
      </c>
      <c r="I2206">
        <v>219</v>
      </c>
      <c r="J2206">
        <v>97</v>
      </c>
      <c r="K2206">
        <v>277</v>
      </c>
      <c r="L2206">
        <v>201</v>
      </c>
      <c r="M2206">
        <v>21</v>
      </c>
      <c r="N2206">
        <v>277</v>
      </c>
      <c r="O2206">
        <v>97</v>
      </c>
      <c r="T2206">
        <v>2</v>
      </c>
      <c r="U2206">
        <v>38</v>
      </c>
      <c r="V2206">
        <v>8</v>
      </c>
      <c r="Y2206">
        <v>2</v>
      </c>
      <c r="Z2206">
        <v>0</v>
      </c>
      <c r="AA2206">
        <v>3</v>
      </c>
      <c r="AD2206">
        <v>55</v>
      </c>
      <c r="AE2206">
        <v>0</v>
      </c>
      <c r="AF2206">
        <v>4</v>
      </c>
      <c r="AI2206">
        <v>11</v>
      </c>
      <c r="AJ2206">
        <v>3</v>
      </c>
      <c r="AK2206">
        <v>6</v>
      </c>
      <c r="AX2206">
        <v>48</v>
      </c>
      <c r="AY2206">
        <v>68</v>
      </c>
      <c r="AZ2206">
        <v>116</v>
      </c>
      <c r="BA2206">
        <v>5</v>
      </c>
      <c r="BB2206">
        <v>5</v>
      </c>
      <c r="BC2206">
        <v>10</v>
      </c>
      <c r="BD2206">
        <v>59</v>
      </c>
      <c r="BE2206">
        <v>44</v>
      </c>
      <c r="BF2206">
        <v>103</v>
      </c>
      <c r="BG2206">
        <v>20</v>
      </c>
      <c r="BH2206">
        <v>15</v>
      </c>
      <c r="BI2206">
        <v>35</v>
      </c>
      <c r="BP2206">
        <v>7</v>
      </c>
      <c r="BR2206">
        <v>78</v>
      </c>
      <c r="BS2206">
        <v>7</v>
      </c>
      <c r="BT2206">
        <v>24</v>
      </c>
      <c r="BV2206">
        <v>16</v>
      </c>
      <c r="BW2206">
        <v>132</v>
      </c>
      <c r="BX2206" t="s">
        <v>82</v>
      </c>
      <c r="BY2206" s="5"/>
      <c r="BZ2206" s="6"/>
      <c r="CA2206" s="7">
        <v>43779</v>
      </c>
      <c r="CE2206">
        <v>36</v>
      </c>
      <c r="CF2206">
        <v>33</v>
      </c>
      <c r="CG2206">
        <v>27</v>
      </c>
      <c r="CH2206">
        <v>36</v>
      </c>
      <c r="CI2206">
        <f t="shared" si="226"/>
        <v>2019</v>
      </c>
      <c r="CJ2206" t="str">
        <f t="shared" si="227"/>
        <v>7462_2019</v>
      </c>
    </row>
    <row r="2207" spans="1:88" x14ac:dyDescent="0.25">
      <c r="A2207" t="s">
        <v>111</v>
      </c>
      <c r="B2207" t="s">
        <v>135</v>
      </c>
      <c r="C2207">
        <v>7462</v>
      </c>
      <c r="D2207">
        <v>-37.721200000000003</v>
      </c>
      <c r="E2207">
        <v>144.88720000000001</v>
      </c>
      <c r="F2207">
        <v>4</v>
      </c>
      <c r="G2207" t="s">
        <v>839</v>
      </c>
      <c r="H2207">
        <v>39</v>
      </c>
      <c r="I2207">
        <v>219</v>
      </c>
      <c r="J2207">
        <v>97</v>
      </c>
      <c r="K2207">
        <v>277</v>
      </c>
      <c r="L2207">
        <v>201</v>
      </c>
      <c r="M2207">
        <v>21</v>
      </c>
      <c r="N2207">
        <v>277</v>
      </c>
      <c r="O2207">
        <v>97</v>
      </c>
      <c r="T2207">
        <v>1</v>
      </c>
      <c r="U2207">
        <v>83</v>
      </c>
      <c r="V2207">
        <v>1</v>
      </c>
      <c r="Y2207">
        <v>2</v>
      </c>
      <c r="Z2207">
        <v>3</v>
      </c>
      <c r="AA2207">
        <v>1</v>
      </c>
      <c r="AD2207">
        <v>119</v>
      </c>
      <c r="AE2207">
        <v>0</v>
      </c>
      <c r="AF2207">
        <v>12</v>
      </c>
      <c r="AI2207">
        <v>3</v>
      </c>
      <c r="AJ2207">
        <v>8</v>
      </c>
      <c r="AK2207">
        <v>2</v>
      </c>
      <c r="AX2207">
        <v>85</v>
      </c>
      <c r="AY2207">
        <v>124</v>
      </c>
      <c r="AZ2207">
        <v>209</v>
      </c>
      <c r="BA2207">
        <v>6</v>
      </c>
      <c r="BB2207">
        <v>9</v>
      </c>
      <c r="BC2207">
        <v>15</v>
      </c>
      <c r="BD2207">
        <v>131</v>
      </c>
      <c r="BE2207">
        <v>88</v>
      </c>
      <c r="BF2207">
        <v>219</v>
      </c>
      <c r="BG2207">
        <v>13</v>
      </c>
      <c r="BH2207">
        <v>14</v>
      </c>
      <c r="BI2207">
        <v>27</v>
      </c>
      <c r="BP2207">
        <v>21</v>
      </c>
      <c r="BR2207">
        <v>144</v>
      </c>
      <c r="BS2207">
        <v>19</v>
      </c>
      <c r="BT2207">
        <v>37</v>
      </c>
      <c r="BV2207">
        <v>14</v>
      </c>
      <c r="BW2207">
        <v>235</v>
      </c>
      <c r="BX2207">
        <f>IF(C2207=C2206,IF((CI2207-1)=CI2206,BW2206,"no data"))</f>
        <v>132</v>
      </c>
      <c r="BY2207" s="5">
        <f t="shared" si="228"/>
        <v>0.78030303030303028</v>
      </c>
      <c r="BZ2207" s="6">
        <f t="shared" si="229"/>
        <v>0.78030303030303028</v>
      </c>
      <c r="CA2207" s="7">
        <v>44143</v>
      </c>
      <c r="CE2207">
        <v>36</v>
      </c>
      <c r="CF2207">
        <v>65</v>
      </c>
      <c r="CG2207">
        <v>79</v>
      </c>
      <c r="CH2207">
        <v>55</v>
      </c>
      <c r="CI2207">
        <f t="shared" si="226"/>
        <v>2020</v>
      </c>
      <c r="CJ2207" t="str">
        <f t="shared" si="227"/>
        <v>7462_2020</v>
      </c>
    </row>
    <row r="2208" spans="1:88" x14ac:dyDescent="0.25">
      <c r="A2208" t="s">
        <v>111</v>
      </c>
      <c r="B2208" t="s">
        <v>135</v>
      </c>
      <c r="C2208">
        <v>7462</v>
      </c>
      <c r="D2208">
        <v>-37.72119</v>
      </c>
      <c r="E2208">
        <v>144.88718900000001</v>
      </c>
      <c r="F2208">
        <v>4</v>
      </c>
      <c r="G2208" t="s">
        <v>839</v>
      </c>
      <c r="H2208">
        <v>39</v>
      </c>
      <c r="I2208">
        <v>219</v>
      </c>
      <c r="J2208">
        <v>97</v>
      </c>
      <c r="K2208">
        <v>277</v>
      </c>
      <c r="L2208">
        <v>201</v>
      </c>
      <c r="M2208">
        <v>21</v>
      </c>
      <c r="N2208">
        <v>277</v>
      </c>
      <c r="O2208">
        <v>97</v>
      </c>
      <c r="T2208">
        <v>2</v>
      </c>
      <c r="U2208">
        <v>49</v>
      </c>
      <c r="V2208">
        <v>8</v>
      </c>
      <c r="Y2208">
        <v>2</v>
      </c>
      <c r="Z2208">
        <v>0</v>
      </c>
      <c r="AA2208">
        <v>1</v>
      </c>
      <c r="AD2208">
        <v>52</v>
      </c>
      <c r="AE2208">
        <v>1</v>
      </c>
      <c r="AF2208">
        <v>4</v>
      </c>
      <c r="AI2208">
        <v>7</v>
      </c>
      <c r="AJ2208">
        <v>4</v>
      </c>
      <c r="AK2208">
        <v>4</v>
      </c>
      <c r="AX2208">
        <v>59</v>
      </c>
      <c r="AY2208">
        <v>61</v>
      </c>
      <c r="AZ2208">
        <v>120</v>
      </c>
      <c r="BA2208">
        <v>3</v>
      </c>
      <c r="BB2208">
        <v>7</v>
      </c>
      <c r="BC2208">
        <v>10</v>
      </c>
      <c r="BD2208">
        <v>57</v>
      </c>
      <c r="BE2208">
        <v>53</v>
      </c>
      <c r="BF2208">
        <v>110</v>
      </c>
      <c r="BG2208">
        <v>15</v>
      </c>
      <c r="BH2208">
        <v>13</v>
      </c>
      <c r="BI2208">
        <v>28</v>
      </c>
      <c r="BP2208">
        <v>15</v>
      </c>
      <c r="BR2208">
        <v>87</v>
      </c>
      <c r="BS2208">
        <v>7</v>
      </c>
      <c r="BT2208">
        <v>17</v>
      </c>
      <c r="BV2208">
        <v>8</v>
      </c>
      <c r="BW2208">
        <v>134</v>
      </c>
      <c r="BX2208">
        <f>IF(C2208=C2207,IF((CI2208-1)=CI2207,BW2207,"no data"))</f>
        <v>235</v>
      </c>
      <c r="BY2208" s="5">
        <f t="shared" si="228"/>
        <v>-0.4297872340425532</v>
      </c>
      <c r="BZ2208" s="6">
        <f t="shared" si="229"/>
        <v>-0.4297872340425532</v>
      </c>
      <c r="CA2208" s="7">
        <v>44528</v>
      </c>
      <c r="CE2208">
        <v>45</v>
      </c>
      <c r="CF2208">
        <v>49</v>
      </c>
      <c r="CG2208">
        <v>40</v>
      </c>
      <c r="CI2208">
        <f t="shared" si="226"/>
        <v>2021</v>
      </c>
      <c r="CJ2208" t="str">
        <f t="shared" si="227"/>
        <v>7462_2021</v>
      </c>
    </row>
    <row r="2209" spans="1:88" x14ac:dyDescent="0.25">
      <c r="A2209" t="s">
        <v>111</v>
      </c>
      <c r="B2209" t="s">
        <v>135</v>
      </c>
      <c r="C2209">
        <v>7462</v>
      </c>
      <c r="D2209">
        <v>-37.72119</v>
      </c>
      <c r="E2209">
        <v>144.88718900000001</v>
      </c>
      <c r="F2209">
        <v>4</v>
      </c>
      <c r="G2209" t="s">
        <v>839</v>
      </c>
      <c r="H2209">
        <v>39</v>
      </c>
      <c r="I2209">
        <v>219</v>
      </c>
      <c r="J2209">
        <v>97</v>
      </c>
      <c r="K2209">
        <v>277</v>
      </c>
      <c r="L2209">
        <v>201</v>
      </c>
      <c r="M2209">
        <v>21</v>
      </c>
      <c r="N2209">
        <v>277</v>
      </c>
      <c r="O2209">
        <v>97</v>
      </c>
      <c r="T2209">
        <v>0</v>
      </c>
      <c r="U2209">
        <v>69</v>
      </c>
      <c r="V2209">
        <v>3</v>
      </c>
      <c r="Y2209">
        <v>0</v>
      </c>
      <c r="Z2209">
        <v>1</v>
      </c>
      <c r="AA2209">
        <v>3</v>
      </c>
      <c r="AD2209">
        <v>70</v>
      </c>
      <c r="AE2209">
        <v>0</v>
      </c>
      <c r="AF2209">
        <v>8</v>
      </c>
      <c r="AI2209">
        <v>5</v>
      </c>
      <c r="AJ2209">
        <v>2</v>
      </c>
      <c r="AK2209">
        <v>9</v>
      </c>
      <c r="AX2209">
        <v>72</v>
      </c>
      <c r="AY2209">
        <v>75</v>
      </c>
      <c r="AZ2209">
        <v>147</v>
      </c>
      <c r="BA2209">
        <v>4</v>
      </c>
      <c r="BB2209">
        <v>2</v>
      </c>
      <c r="BC2209">
        <v>6</v>
      </c>
      <c r="BD2209">
        <v>78</v>
      </c>
      <c r="BE2209">
        <v>79</v>
      </c>
      <c r="BF2209">
        <v>157</v>
      </c>
      <c r="BG2209">
        <v>16</v>
      </c>
      <c r="BH2209">
        <v>14</v>
      </c>
      <c r="BI2209">
        <v>30</v>
      </c>
      <c r="BP2209">
        <v>25</v>
      </c>
      <c r="BR2209">
        <v>95</v>
      </c>
      <c r="BS2209">
        <v>12</v>
      </c>
      <c r="BT2209">
        <v>33</v>
      </c>
      <c r="BU2209">
        <v>5</v>
      </c>
      <c r="BV2209">
        <v>0</v>
      </c>
      <c r="BW2209">
        <v>170</v>
      </c>
      <c r="BX2209">
        <f>IF(C2209=C2208,IF((CI2209-1)=CI2208,BW2208,"no data"))</f>
        <v>134</v>
      </c>
      <c r="BY2209" s="5">
        <f t="shared" si="228"/>
        <v>0.26865671641791045</v>
      </c>
      <c r="BZ2209" s="6">
        <f t="shared" si="229"/>
        <v>0.26865671641791045</v>
      </c>
      <c r="CA2209" s="7">
        <v>44878</v>
      </c>
      <c r="CE2209">
        <v>62</v>
      </c>
      <c r="CF2209">
        <v>67</v>
      </c>
      <c r="CG2209">
        <v>41</v>
      </c>
      <c r="CI2209">
        <f t="shared" si="226"/>
        <v>2022</v>
      </c>
      <c r="CJ2209" t="str">
        <f t="shared" si="227"/>
        <v>7462_2022</v>
      </c>
    </row>
    <row r="2210" spans="1:88" x14ac:dyDescent="0.25">
      <c r="A2210" t="s">
        <v>111</v>
      </c>
      <c r="B2210" t="s">
        <v>267</v>
      </c>
      <c r="C2210">
        <v>7463</v>
      </c>
      <c r="D2210">
        <v>-37.755499999999998</v>
      </c>
      <c r="E2210">
        <v>145.68379999999999</v>
      </c>
      <c r="F2210">
        <v>3</v>
      </c>
      <c r="G2210" t="s">
        <v>840</v>
      </c>
      <c r="H2210">
        <v>71</v>
      </c>
      <c r="I2210">
        <v>251</v>
      </c>
      <c r="J2210">
        <v>173</v>
      </c>
      <c r="K2210">
        <v>353</v>
      </c>
      <c r="L2210">
        <v>273</v>
      </c>
      <c r="M2210">
        <v>93</v>
      </c>
      <c r="T2210">
        <v>1</v>
      </c>
      <c r="U2210">
        <v>46</v>
      </c>
      <c r="Y2210">
        <v>0</v>
      </c>
      <c r="Z2210">
        <v>0</v>
      </c>
      <c r="AD2210">
        <v>98</v>
      </c>
      <c r="AE2210">
        <v>0</v>
      </c>
      <c r="AX2210">
        <v>47</v>
      </c>
      <c r="AY2210">
        <v>98</v>
      </c>
      <c r="AZ2210">
        <v>145</v>
      </c>
      <c r="BA2210">
        <v>0</v>
      </c>
      <c r="BB2210">
        <v>1</v>
      </c>
      <c r="BC2210">
        <v>1</v>
      </c>
      <c r="BD2210">
        <v>98</v>
      </c>
      <c r="BE2210">
        <v>46</v>
      </c>
      <c r="BF2210">
        <v>144</v>
      </c>
      <c r="BP2210">
        <v>121</v>
      </c>
      <c r="BR2210">
        <v>18</v>
      </c>
      <c r="BS2210">
        <v>2</v>
      </c>
      <c r="BT2210">
        <v>3</v>
      </c>
      <c r="BV2210">
        <v>1</v>
      </c>
      <c r="BW2210">
        <v>145</v>
      </c>
      <c r="BX2210" t="s">
        <v>82</v>
      </c>
      <c r="BY2210" s="5"/>
      <c r="BZ2210" s="6"/>
      <c r="CA2210" s="7">
        <v>43779</v>
      </c>
      <c r="CE2210">
        <v>19</v>
      </c>
      <c r="CF2210">
        <v>21</v>
      </c>
      <c r="CG2210">
        <v>67</v>
      </c>
      <c r="CH2210">
        <v>38</v>
      </c>
      <c r="CI2210">
        <f t="shared" si="226"/>
        <v>2019</v>
      </c>
      <c r="CJ2210" t="str">
        <f t="shared" si="227"/>
        <v>7463_2019</v>
      </c>
    </row>
    <row r="2211" spans="1:88" x14ac:dyDescent="0.25">
      <c r="A2211" t="s">
        <v>111</v>
      </c>
      <c r="B2211" t="s">
        <v>267</v>
      </c>
      <c r="C2211">
        <v>7464</v>
      </c>
      <c r="D2211">
        <v>-37.780999999999999</v>
      </c>
      <c r="E2211">
        <v>145.61439999999999</v>
      </c>
      <c r="F2211">
        <v>3</v>
      </c>
      <c r="G2211" t="s">
        <v>841</v>
      </c>
      <c r="H2211">
        <v>104</v>
      </c>
      <c r="I2211">
        <v>284</v>
      </c>
      <c r="J2211">
        <v>267</v>
      </c>
      <c r="K2211">
        <v>87</v>
      </c>
      <c r="L2211">
        <v>300</v>
      </c>
      <c r="M2211">
        <v>120</v>
      </c>
      <c r="T2211">
        <v>42</v>
      </c>
      <c r="U2211">
        <v>6</v>
      </c>
      <c r="Y2211">
        <v>119</v>
      </c>
      <c r="Z2211">
        <v>5</v>
      </c>
      <c r="AD2211">
        <v>5</v>
      </c>
      <c r="AE2211">
        <v>8</v>
      </c>
      <c r="AX2211">
        <v>48</v>
      </c>
      <c r="AY2211">
        <v>124</v>
      </c>
      <c r="AZ2211">
        <v>172</v>
      </c>
      <c r="BA2211">
        <v>124</v>
      </c>
      <c r="BB2211">
        <v>50</v>
      </c>
      <c r="BC2211">
        <v>174</v>
      </c>
      <c r="BD2211">
        <v>13</v>
      </c>
      <c r="BE2211">
        <v>11</v>
      </c>
      <c r="BF2211">
        <v>24</v>
      </c>
      <c r="BP2211">
        <v>101</v>
      </c>
      <c r="BR2211">
        <v>49</v>
      </c>
      <c r="BS2211">
        <v>12</v>
      </c>
      <c r="BT2211">
        <v>14</v>
      </c>
      <c r="BV2211">
        <v>9</v>
      </c>
      <c r="BW2211">
        <v>185</v>
      </c>
      <c r="BX2211" t="s">
        <v>82</v>
      </c>
      <c r="BY2211" s="5"/>
      <c r="BZ2211" s="6"/>
      <c r="CA2211" s="7">
        <v>43779</v>
      </c>
      <c r="CE2211">
        <v>23</v>
      </c>
      <c r="CF2211">
        <v>66</v>
      </c>
      <c r="CG2211">
        <v>65</v>
      </c>
      <c r="CH2211">
        <v>31</v>
      </c>
      <c r="CI2211">
        <f t="shared" si="226"/>
        <v>2019</v>
      </c>
      <c r="CJ2211" t="str">
        <f t="shared" si="227"/>
        <v>7464_2019</v>
      </c>
    </row>
    <row r="2212" spans="1:88" x14ac:dyDescent="0.25">
      <c r="A2212" t="s">
        <v>111</v>
      </c>
      <c r="B2212" t="s">
        <v>267</v>
      </c>
      <c r="C2212">
        <v>7465</v>
      </c>
      <c r="D2212">
        <v>-37.758099999999999</v>
      </c>
      <c r="E2212">
        <v>145.494</v>
      </c>
      <c r="F2212">
        <v>3</v>
      </c>
      <c r="G2212" t="s">
        <v>842</v>
      </c>
      <c r="H2212">
        <v>88</v>
      </c>
      <c r="I2212">
        <v>268</v>
      </c>
      <c r="J2212">
        <v>180</v>
      </c>
      <c r="K2212">
        <v>360</v>
      </c>
      <c r="L2212">
        <v>274</v>
      </c>
      <c r="M2212">
        <v>94</v>
      </c>
      <c r="T2212">
        <v>6</v>
      </c>
      <c r="U2212">
        <v>46</v>
      </c>
      <c r="Y2212">
        <v>1</v>
      </c>
      <c r="Z2212">
        <v>3</v>
      </c>
      <c r="AD2212">
        <v>107</v>
      </c>
      <c r="AE2212">
        <v>0</v>
      </c>
      <c r="AX2212">
        <v>52</v>
      </c>
      <c r="AY2212">
        <v>108</v>
      </c>
      <c r="AZ2212">
        <v>160</v>
      </c>
      <c r="BA2212">
        <v>4</v>
      </c>
      <c r="BB2212">
        <v>6</v>
      </c>
      <c r="BC2212">
        <v>10</v>
      </c>
      <c r="BD2212">
        <v>107</v>
      </c>
      <c r="BE2212">
        <v>49</v>
      </c>
      <c r="BF2212">
        <v>156</v>
      </c>
      <c r="BP2212">
        <v>126</v>
      </c>
      <c r="BR2212">
        <v>17</v>
      </c>
      <c r="BS2212">
        <v>11</v>
      </c>
      <c r="BT2212">
        <v>4</v>
      </c>
      <c r="BV2212">
        <v>5</v>
      </c>
      <c r="BW2212">
        <v>163</v>
      </c>
      <c r="BX2212" t="s">
        <v>82</v>
      </c>
      <c r="BY2212" s="5"/>
      <c r="BZ2212" s="6"/>
      <c r="CA2212" s="7">
        <v>43779</v>
      </c>
      <c r="CE2212">
        <v>18</v>
      </c>
      <c r="CF2212">
        <v>70</v>
      </c>
      <c r="CG2212">
        <v>46</v>
      </c>
      <c r="CH2212">
        <v>29</v>
      </c>
      <c r="CI2212">
        <f t="shared" si="226"/>
        <v>2019</v>
      </c>
      <c r="CJ2212" t="str">
        <f t="shared" si="227"/>
        <v>7465_2019</v>
      </c>
    </row>
    <row r="2213" spans="1:88" x14ac:dyDescent="0.25">
      <c r="A2213" t="s">
        <v>111</v>
      </c>
      <c r="B2213" t="s">
        <v>267</v>
      </c>
      <c r="C2213">
        <v>7466</v>
      </c>
      <c r="D2213">
        <v>-37.789000000000001</v>
      </c>
      <c r="E2213">
        <v>145.38849999999999</v>
      </c>
      <c r="F2213">
        <v>2</v>
      </c>
      <c r="G2213" t="s">
        <v>843</v>
      </c>
      <c r="H2213">
        <v>94</v>
      </c>
      <c r="I2213">
        <v>274</v>
      </c>
      <c r="J2213">
        <v>290</v>
      </c>
      <c r="K2213">
        <v>110</v>
      </c>
      <c r="T2213">
        <v>103</v>
      </c>
      <c r="Y2213">
        <v>120</v>
      </c>
      <c r="AX2213">
        <v>103</v>
      </c>
      <c r="AY2213">
        <v>120</v>
      </c>
      <c r="AZ2213">
        <v>223</v>
      </c>
      <c r="BA2213">
        <v>120</v>
      </c>
      <c r="BB2213">
        <v>103</v>
      </c>
      <c r="BC2213">
        <v>223</v>
      </c>
      <c r="BP2213">
        <v>109</v>
      </c>
      <c r="BR2213">
        <v>77</v>
      </c>
      <c r="BS2213">
        <v>13</v>
      </c>
      <c r="BT2213">
        <v>22</v>
      </c>
      <c r="BV2213">
        <v>2</v>
      </c>
      <c r="BW2213">
        <v>223</v>
      </c>
      <c r="BX2213" t="s">
        <v>82</v>
      </c>
      <c r="BY2213" s="5"/>
      <c r="BZ2213" s="6"/>
      <c r="CA2213" s="7">
        <v>43779</v>
      </c>
      <c r="CE2213">
        <v>61</v>
      </c>
      <c r="CF2213">
        <v>55</v>
      </c>
      <c r="CG2213">
        <v>46</v>
      </c>
      <c r="CH2213">
        <v>61</v>
      </c>
      <c r="CI2213">
        <f t="shared" si="226"/>
        <v>2019</v>
      </c>
      <c r="CJ2213" t="str">
        <f t="shared" si="227"/>
        <v>7466_2019</v>
      </c>
    </row>
    <row r="2214" spans="1:88" x14ac:dyDescent="0.25">
      <c r="A2214" t="s">
        <v>111</v>
      </c>
      <c r="B2214" t="s">
        <v>267</v>
      </c>
      <c r="C2214">
        <v>7467</v>
      </c>
      <c r="D2214">
        <v>-37.7637</v>
      </c>
      <c r="E2214">
        <v>145.3655</v>
      </c>
      <c r="F2214">
        <v>2</v>
      </c>
      <c r="G2214" t="s">
        <v>844</v>
      </c>
      <c r="H2214">
        <v>146</v>
      </c>
      <c r="I2214">
        <v>326</v>
      </c>
      <c r="J2214">
        <v>315</v>
      </c>
      <c r="K2214">
        <v>135</v>
      </c>
      <c r="T2214">
        <v>109</v>
      </c>
      <c r="Y2214">
        <v>142</v>
      </c>
      <c r="AX2214">
        <v>109</v>
      </c>
      <c r="AY2214">
        <v>142</v>
      </c>
      <c r="AZ2214">
        <v>251</v>
      </c>
      <c r="BA2214">
        <v>142</v>
      </c>
      <c r="BB2214">
        <v>109</v>
      </c>
      <c r="BC2214">
        <v>251</v>
      </c>
      <c r="BP2214">
        <v>84</v>
      </c>
      <c r="BR2214">
        <v>103</v>
      </c>
      <c r="BS2214">
        <v>22</v>
      </c>
      <c r="BT2214">
        <v>42</v>
      </c>
      <c r="BV2214">
        <v>0</v>
      </c>
      <c r="BW2214">
        <v>251</v>
      </c>
      <c r="BX2214" t="s">
        <v>82</v>
      </c>
      <c r="BY2214" s="5"/>
      <c r="BZ2214" s="6"/>
      <c r="CA2214" s="7">
        <v>43779</v>
      </c>
      <c r="CE2214">
        <v>36</v>
      </c>
      <c r="CF2214">
        <v>89</v>
      </c>
      <c r="CG2214">
        <v>67</v>
      </c>
      <c r="CH2214">
        <v>59</v>
      </c>
      <c r="CI2214">
        <f t="shared" si="226"/>
        <v>2019</v>
      </c>
      <c r="CJ2214" t="str">
        <f t="shared" si="227"/>
        <v>7467_2019</v>
      </c>
    </row>
    <row r="2215" spans="1:88" x14ac:dyDescent="0.25">
      <c r="A2215" t="s">
        <v>111</v>
      </c>
      <c r="B2215" t="s">
        <v>267</v>
      </c>
      <c r="C2215">
        <v>7468</v>
      </c>
      <c r="D2215">
        <v>-37.750500000000002</v>
      </c>
      <c r="E2215">
        <v>145.3537</v>
      </c>
      <c r="F2215">
        <v>3</v>
      </c>
      <c r="G2215" t="s">
        <v>845</v>
      </c>
      <c r="H2215">
        <v>50</v>
      </c>
      <c r="I2215">
        <v>230</v>
      </c>
      <c r="J2215">
        <v>85</v>
      </c>
      <c r="K2215">
        <v>265</v>
      </c>
      <c r="L2215">
        <v>236</v>
      </c>
      <c r="M2215">
        <v>56</v>
      </c>
      <c r="T2215">
        <v>0</v>
      </c>
      <c r="U2215">
        <v>47</v>
      </c>
      <c r="Y2215">
        <v>2</v>
      </c>
      <c r="Z2215">
        <v>0</v>
      </c>
      <c r="AD2215">
        <v>50</v>
      </c>
      <c r="AE2215">
        <v>1</v>
      </c>
      <c r="AX2215">
        <v>47</v>
      </c>
      <c r="AY2215">
        <v>52</v>
      </c>
      <c r="AZ2215">
        <v>99</v>
      </c>
      <c r="BA2215">
        <v>2</v>
      </c>
      <c r="BB2215">
        <v>1</v>
      </c>
      <c r="BC2215">
        <v>3</v>
      </c>
      <c r="BD2215">
        <v>51</v>
      </c>
      <c r="BE2215">
        <v>47</v>
      </c>
      <c r="BF2215">
        <v>98</v>
      </c>
      <c r="BP2215">
        <v>49</v>
      </c>
      <c r="BR2215">
        <v>26</v>
      </c>
      <c r="BS2215">
        <v>4</v>
      </c>
      <c r="BT2215">
        <v>20</v>
      </c>
      <c r="BV2215">
        <v>1</v>
      </c>
      <c r="BW2215">
        <v>100</v>
      </c>
      <c r="BX2215" t="s">
        <v>82</v>
      </c>
      <c r="BY2215" s="5"/>
      <c r="BZ2215" s="6"/>
      <c r="CA2215" s="7">
        <v>43779</v>
      </c>
      <c r="CE2215">
        <v>17</v>
      </c>
      <c r="CF2215">
        <v>28</v>
      </c>
      <c r="CG2215">
        <v>34</v>
      </c>
      <c r="CH2215">
        <v>21</v>
      </c>
      <c r="CI2215">
        <f t="shared" si="226"/>
        <v>2019</v>
      </c>
      <c r="CJ2215" t="str">
        <f t="shared" si="227"/>
        <v>7468_2019</v>
      </c>
    </row>
    <row r="2216" spans="1:88" x14ac:dyDescent="0.25">
      <c r="A2216" t="s">
        <v>111</v>
      </c>
      <c r="B2216" t="s">
        <v>267</v>
      </c>
      <c r="C2216">
        <v>7469</v>
      </c>
      <c r="D2216">
        <v>-37.798299999999998</v>
      </c>
      <c r="E2216">
        <v>145.35910000000001</v>
      </c>
      <c r="F2216">
        <v>3</v>
      </c>
      <c r="G2216" t="s">
        <v>846</v>
      </c>
      <c r="H2216">
        <v>11</v>
      </c>
      <c r="I2216">
        <v>191</v>
      </c>
      <c r="J2216">
        <v>98</v>
      </c>
      <c r="K2216">
        <v>278</v>
      </c>
      <c r="L2216">
        <v>188</v>
      </c>
      <c r="M2216">
        <v>8</v>
      </c>
      <c r="T2216">
        <v>0</v>
      </c>
      <c r="U2216">
        <v>16</v>
      </c>
      <c r="Y2216">
        <v>2</v>
      </c>
      <c r="Z2216">
        <v>1</v>
      </c>
      <c r="AD2216">
        <v>29</v>
      </c>
      <c r="AE2216">
        <v>2</v>
      </c>
      <c r="AX2216">
        <v>16</v>
      </c>
      <c r="AY2216">
        <v>31</v>
      </c>
      <c r="AZ2216">
        <v>47</v>
      </c>
      <c r="BA2216">
        <v>3</v>
      </c>
      <c r="BB2216">
        <v>2</v>
      </c>
      <c r="BC2216">
        <v>5</v>
      </c>
      <c r="BD2216">
        <v>31</v>
      </c>
      <c r="BE2216">
        <v>17</v>
      </c>
      <c r="BF2216">
        <v>48</v>
      </c>
      <c r="BP2216">
        <v>24</v>
      </c>
      <c r="BR2216">
        <v>13</v>
      </c>
      <c r="BS2216">
        <v>5</v>
      </c>
      <c r="BT2216">
        <v>8</v>
      </c>
      <c r="BV2216">
        <v>0</v>
      </c>
      <c r="BW2216">
        <v>50</v>
      </c>
      <c r="BX2216" t="s">
        <v>82</v>
      </c>
      <c r="BY2216" s="5"/>
      <c r="BZ2216" s="6"/>
      <c r="CA2216" s="7">
        <v>43779</v>
      </c>
      <c r="CE2216">
        <v>6</v>
      </c>
      <c r="CF2216">
        <v>16</v>
      </c>
      <c r="CG2216">
        <v>20</v>
      </c>
      <c r="CH2216">
        <v>8</v>
      </c>
      <c r="CI2216">
        <f t="shared" si="226"/>
        <v>2019</v>
      </c>
      <c r="CJ2216" t="str">
        <f t="shared" si="227"/>
        <v>7469_2019</v>
      </c>
    </row>
    <row r="2217" spans="1:88" x14ac:dyDescent="0.25">
      <c r="A2217" t="s">
        <v>111</v>
      </c>
      <c r="B2217" t="s">
        <v>267</v>
      </c>
      <c r="C2217">
        <v>7470</v>
      </c>
      <c r="D2217">
        <v>-37.795499999999997</v>
      </c>
      <c r="E2217">
        <v>145.3158</v>
      </c>
      <c r="F2217">
        <v>2</v>
      </c>
      <c r="G2217" t="s">
        <v>847</v>
      </c>
      <c r="H2217">
        <v>23</v>
      </c>
      <c r="I2217">
        <v>203</v>
      </c>
      <c r="J2217">
        <v>202</v>
      </c>
      <c r="K2217">
        <v>22</v>
      </c>
      <c r="T2217">
        <v>13</v>
      </c>
      <c r="Y2217">
        <v>9</v>
      </c>
      <c r="AX2217">
        <v>13</v>
      </c>
      <c r="AY2217">
        <v>9</v>
      </c>
      <c r="AZ2217">
        <v>22</v>
      </c>
      <c r="BA2217">
        <v>9</v>
      </c>
      <c r="BB2217">
        <v>13</v>
      </c>
      <c r="BC2217">
        <v>22</v>
      </c>
      <c r="BP2217">
        <v>8</v>
      </c>
      <c r="BR2217">
        <v>5</v>
      </c>
      <c r="BS2217">
        <v>2</v>
      </c>
      <c r="BT2217">
        <v>7</v>
      </c>
      <c r="BV2217">
        <v>0</v>
      </c>
      <c r="BW2217">
        <v>22</v>
      </c>
      <c r="BX2217" t="s">
        <v>82</v>
      </c>
      <c r="BY2217" s="5"/>
      <c r="BZ2217" s="6"/>
      <c r="CA2217" s="7">
        <v>43779</v>
      </c>
      <c r="CE2217">
        <v>8</v>
      </c>
      <c r="CF2217">
        <v>5</v>
      </c>
      <c r="CG2217">
        <v>5</v>
      </c>
      <c r="CH2217">
        <v>4</v>
      </c>
      <c r="CI2217">
        <f t="shared" si="226"/>
        <v>2019</v>
      </c>
      <c r="CJ2217" t="str">
        <f t="shared" si="227"/>
        <v>7470_2019</v>
      </c>
    </row>
    <row r="2218" spans="1:88" x14ac:dyDescent="0.25">
      <c r="A2218" t="s">
        <v>111</v>
      </c>
      <c r="B2218" t="s">
        <v>267</v>
      </c>
      <c r="C2218">
        <v>7471</v>
      </c>
      <c r="D2218">
        <v>-37.7761</v>
      </c>
      <c r="E2218">
        <v>145.3426</v>
      </c>
      <c r="F2218">
        <v>4</v>
      </c>
      <c r="G2218" t="s">
        <v>848</v>
      </c>
      <c r="H2218">
        <v>81</v>
      </c>
      <c r="I2218">
        <v>261</v>
      </c>
      <c r="J2218">
        <v>101</v>
      </c>
      <c r="K2218">
        <v>281</v>
      </c>
      <c r="L2218">
        <v>204</v>
      </c>
      <c r="M2218">
        <v>24</v>
      </c>
      <c r="N2218">
        <v>277</v>
      </c>
      <c r="O2218">
        <v>97</v>
      </c>
      <c r="T2218">
        <v>0</v>
      </c>
      <c r="U2218">
        <v>29</v>
      </c>
      <c r="V2218">
        <v>0</v>
      </c>
      <c r="Y2218">
        <v>0</v>
      </c>
      <c r="Z2218">
        <v>0</v>
      </c>
      <c r="AA2218">
        <v>0</v>
      </c>
      <c r="AD2218">
        <v>29</v>
      </c>
      <c r="AE2218">
        <v>0</v>
      </c>
      <c r="AF2218">
        <v>0</v>
      </c>
      <c r="AI2218">
        <v>0</v>
      </c>
      <c r="AJ2218">
        <v>0</v>
      </c>
      <c r="AK2218">
        <v>0</v>
      </c>
      <c r="AX2218">
        <v>29</v>
      </c>
      <c r="AY2218">
        <v>29</v>
      </c>
      <c r="AZ2218">
        <v>58</v>
      </c>
      <c r="BA2218">
        <v>0</v>
      </c>
      <c r="BB2218">
        <v>0</v>
      </c>
      <c r="BC2218">
        <v>0</v>
      </c>
      <c r="BD2218">
        <v>29</v>
      </c>
      <c r="BE2218">
        <v>29</v>
      </c>
      <c r="BF2218">
        <v>58</v>
      </c>
      <c r="BG2218">
        <v>0</v>
      </c>
      <c r="BH2218">
        <v>0</v>
      </c>
      <c r="BI2218">
        <v>0</v>
      </c>
      <c r="BP2218">
        <v>22</v>
      </c>
      <c r="BR2218">
        <v>19</v>
      </c>
      <c r="BS2218">
        <v>9</v>
      </c>
      <c r="BT2218">
        <v>8</v>
      </c>
      <c r="BV2218">
        <v>0</v>
      </c>
      <c r="BW2218">
        <v>58</v>
      </c>
      <c r="BX2218" t="s">
        <v>82</v>
      </c>
      <c r="BY2218" s="5"/>
      <c r="BZ2218" s="6"/>
      <c r="CA2218" s="7">
        <v>43779</v>
      </c>
      <c r="CE2218">
        <v>11</v>
      </c>
      <c r="CF2218">
        <v>20</v>
      </c>
      <c r="CG2218">
        <v>9</v>
      </c>
      <c r="CH2218">
        <v>18</v>
      </c>
      <c r="CI2218">
        <f t="shared" si="226"/>
        <v>2019</v>
      </c>
      <c r="CJ2218" t="str">
        <f t="shared" si="227"/>
        <v>7471_2019</v>
      </c>
    </row>
    <row r="2219" spans="1:88" x14ac:dyDescent="0.25">
      <c r="A2219" t="s">
        <v>111</v>
      </c>
      <c r="B2219" t="s">
        <v>157</v>
      </c>
      <c r="C2219">
        <v>7472</v>
      </c>
      <c r="D2219">
        <v>-37.895899999999997</v>
      </c>
      <c r="E2219">
        <v>144.7167</v>
      </c>
      <c r="F2219">
        <v>5</v>
      </c>
      <c r="G2219" t="s">
        <v>849</v>
      </c>
      <c r="H2219">
        <v>10</v>
      </c>
      <c r="I2219">
        <v>190</v>
      </c>
      <c r="J2219">
        <v>98</v>
      </c>
      <c r="K2219">
        <v>278</v>
      </c>
      <c r="L2219">
        <v>186</v>
      </c>
      <c r="M2219">
        <v>6</v>
      </c>
      <c r="N2219">
        <v>267</v>
      </c>
      <c r="O2219">
        <v>87</v>
      </c>
      <c r="P2219">
        <v>330</v>
      </c>
      <c r="Q2219">
        <v>150</v>
      </c>
      <c r="T2219">
        <v>14</v>
      </c>
      <c r="U2219">
        <v>3</v>
      </c>
      <c r="V2219">
        <v>0</v>
      </c>
      <c r="W2219">
        <v>0</v>
      </c>
      <c r="Y2219">
        <v>2</v>
      </c>
      <c r="Z2219">
        <v>12</v>
      </c>
      <c r="AA2219">
        <v>13</v>
      </c>
      <c r="AB2219">
        <v>1</v>
      </c>
      <c r="AD2219">
        <v>10</v>
      </c>
      <c r="AE2219">
        <v>14</v>
      </c>
      <c r="AF2219">
        <v>5</v>
      </c>
      <c r="AG2219">
        <v>0</v>
      </c>
      <c r="AI2219">
        <v>0</v>
      </c>
      <c r="AJ2219">
        <v>18</v>
      </c>
      <c r="AK2219">
        <v>1</v>
      </c>
      <c r="AL2219">
        <v>2</v>
      </c>
      <c r="AN2219">
        <v>1</v>
      </c>
      <c r="AO2219">
        <v>2</v>
      </c>
      <c r="AP2219">
        <v>0</v>
      </c>
      <c r="AQ2219">
        <v>0</v>
      </c>
      <c r="AX2219">
        <v>17</v>
      </c>
      <c r="AY2219">
        <v>13</v>
      </c>
      <c r="AZ2219">
        <v>30</v>
      </c>
      <c r="BA2219">
        <v>28</v>
      </c>
      <c r="BB2219">
        <v>48</v>
      </c>
      <c r="BC2219">
        <v>76</v>
      </c>
      <c r="BD2219">
        <v>29</v>
      </c>
      <c r="BE2219">
        <v>16</v>
      </c>
      <c r="BF2219">
        <v>45</v>
      </c>
      <c r="BG2219">
        <v>21</v>
      </c>
      <c r="BH2219">
        <v>18</v>
      </c>
      <c r="BI2219">
        <v>39</v>
      </c>
      <c r="BJ2219">
        <v>3</v>
      </c>
      <c r="BK2219">
        <v>3</v>
      </c>
      <c r="BL2219">
        <v>6</v>
      </c>
      <c r="BP2219">
        <v>48</v>
      </c>
      <c r="BR2219">
        <v>31</v>
      </c>
      <c r="BS2219">
        <v>14</v>
      </c>
      <c r="BT2219">
        <v>5</v>
      </c>
      <c r="BV2219">
        <v>0</v>
      </c>
      <c r="BW2219">
        <v>98</v>
      </c>
      <c r="BX2219" t="s">
        <v>82</v>
      </c>
      <c r="BY2219" s="5"/>
      <c r="BZ2219" s="6"/>
      <c r="CA2219" s="7">
        <v>43779</v>
      </c>
      <c r="CE2219">
        <v>31</v>
      </c>
      <c r="CF2219">
        <v>39</v>
      </c>
      <c r="CG2219">
        <v>18</v>
      </c>
      <c r="CH2219">
        <v>10</v>
      </c>
      <c r="CI2219">
        <f t="shared" si="226"/>
        <v>2019</v>
      </c>
      <c r="CJ2219" t="str">
        <f t="shared" si="227"/>
        <v>7472_2019</v>
      </c>
    </row>
    <row r="2220" spans="1:88" x14ac:dyDescent="0.25">
      <c r="A2220" t="s">
        <v>111</v>
      </c>
      <c r="B2220" t="s">
        <v>157</v>
      </c>
      <c r="C2220">
        <v>7472</v>
      </c>
      <c r="D2220">
        <v>-37.895902</v>
      </c>
      <c r="E2220">
        <v>144.716735</v>
      </c>
      <c r="F2220">
        <v>5</v>
      </c>
      <c r="G2220" t="s">
        <v>849</v>
      </c>
      <c r="H2220">
        <v>10</v>
      </c>
      <c r="I2220">
        <v>190</v>
      </c>
      <c r="J2220">
        <v>98</v>
      </c>
      <c r="K2220">
        <v>278</v>
      </c>
      <c r="L2220">
        <v>186</v>
      </c>
      <c r="M2220">
        <v>6</v>
      </c>
      <c r="N2220">
        <v>267</v>
      </c>
      <c r="O2220">
        <v>87</v>
      </c>
      <c r="P2220">
        <v>330</v>
      </c>
      <c r="Q2220">
        <v>150</v>
      </c>
      <c r="T2220">
        <v>14</v>
      </c>
      <c r="U2220">
        <v>17</v>
      </c>
      <c r="V2220">
        <v>3</v>
      </c>
      <c r="W2220">
        <v>0</v>
      </c>
      <c r="Y2220">
        <v>10</v>
      </c>
      <c r="Z2220">
        <v>30</v>
      </c>
      <c r="AA2220">
        <v>21</v>
      </c>
      <c r="AB2220">
        <v>5</v>
      </c>
      <c r="AD2220">
        <v>28</v>
      </c>
      <c r="AE2220">
        <v>22</v>
      </c>
      <c r="AF2220">
        <v>6</v>
      </c>
      <c r="AG2220">
        <v>6</v>
      </c>
      <c r="AI2220">
        <v>6</v>
      </c>
      <c r="AJ2220">
        <v>37</v>
      </c>
      <c r="AK2220">
        <v>6</v>
      </c>
      <c r="AL2220">
        <v>1</v>
      </c>
      <c r="AN2220">
        <v>0</v>
      </c>
      <c r="AO2220">
        <v>1</v>
      </c>
      <c r="AP2220">
        <v>2</v>
      </c>
      <c r="AQ2220">
        <v>1</v>
      </c>
      <c r="AX2220">
        <v>34</v>
      </c>
      <c r="AY2220">
        <v>44</v>
      </c>
      <c r="AZ2220">
        <v>78</v>
      </c>
      <c r="BA2220">
        <v>66</v>
      </c>
      <c r="BB2220">
        <v>74</v>
      </c>
      <c r="BC2220">
        <v>140</v>
      </c>
      <c r="BD2220">
        <v>62</v>
      </c>
      <c r="BE2220">
        <v>55</v>
      </c>
      <c r="BF2220">
        <v>117</v>
      </c>
      <c r="BG2220">
        <v>50</v>
      </c>
      <c r="BH2220">
        <v>31</v>
      </c>
      <c r="BI2220">
        <v>81</v>
      </c>
      <c r="BJ2220">
        <v>4</v>
      </c>
      <c r="BK2220">
        <v>12</v>
      </c>
      <c r="BL2220">
        <v>16</v>
      </c>
      <c r="BP2220">
        <v>127</v>
      </c>
      <c r="BR2220">
        <v>62</v>
      </c>
      <c r="BS2220">
        <v>16</v>
      </c>
      <c r="BT2220">
        <v>9</v>
      </c>
      <c r="BV2220">
        <v>2</v>
      </c>
      <c r="BW2220">
        <v>216</v>
      </c>
      <c r="BX2220" t="str">
        <f>IF(C2220=C2219,IF((CI2220-1)=CI2219,BW2219,"no data"))</f>
        <v>no data</v>
      </c>
      <c r="BY2220" s="5"/>
      <c r="BZ2220" s="6"/>
      <c r="CA2220" s="7">
        <v>44528</v>
      </c>
      <c r="CE2220">
        <v>84</v>
      </c>
      <c r="CF2220">
        <v>66</v>
      </c>
      <c r="CG2220">
        <v>66</v>
      </c>
      <c r="CI2220">
        <f t="shared" si="226"/>
        <v>2021</v>
      </c>
      <c r="CJ2220" t="str">
        <f t="shared" si="227"/>
        <v>7472_2021</v>
      </c>
    </row>
    <row r="2221" spans="1:88" x14ac:dyDescent="0.25">
      <c r="A2221" t="s">
        <v>111</v>
      </c>
      <c r="B2221" t="s">
        <v>157</v>
      </c>
      <c r="C2221">
        <v>7472</v>
      </c>
      <c r="D2221">
        <v>-37.895902</v>
      </c>
      <c r="E2221">
        <v>144.716735</v>
      </c>
      <c r="F2221">
        <v>5</v>
      </c>
      <c r="G2221" t="s">
        <v>849</v>
      </c>
      <c r="H2221">
        <v>10</v>
      </c>
      <c r="I2221">
        <v>190</v>
      </c>
      <c r="J2221">
        <v>98</v>
      </c>
      <c r="K2221">
        <v>278</v>
      </c>
      <c r="L2221">
        <v>186</v>
      </c>
      <c r="M2221">
        <v>6</v>
      </c>
      <c r="N2221">
        <v>267</v>
      </c>
      <c r="O2221">
        <v>87</v>
      </c>
      <c r="P2221">
        <v>330</v>
      </c>
      <c r="Q2221">
        <v>150</v>
      </c>
      <c r="T2221">
        <v>6</v>
      </c>
      <c r="U2221">
        <v>15</v>
      </c>
      <c r="V2221">
        <v>8</v>
      </c>
      <c r="W2221">
        <v>13</v>
      </c>
      <c r="Y2221">
        <v>1</v>
      </c>
      <c r="Z2221">
        <v>16</v>
      </c>
      <c r="AA2221">
        <v>10</v>
      </c>
      <c r="AB2221">
        <v>8</v>
      </c>
      <c r="AD2221">
        <v>15</v>
      </c>
      <c r="AE2221">
        <v>16</v>
      </c>
      <c r="AF2221">
        <v>10</v>
      </c>
      <c r="AG2221">
        <v>11</v>
      </c>
      <c r="AI2221">
        <v>3</v>
      </c>
      <c r="AJ2221">
        <v>12</v>
      </c>
      <c r="AK2221">
        <v>2</v>
      </c>
      <c r="AL2221">
        <v>1</v>
      </c>
      <c r="AN2221">
        <v>12</v>
      </c>
      <c r="AO2221">
        <v>14</v>
      </c>
      <c r="AP2221">
        <v>7</v>
      </c>
      <c r="AQ2221">
        <v>2</v>
      </c>
      <c r="AX2221">
        <v>42</v>
      </c>
      <c r="AY2221">
        <v>31</v>
      </c>
      <c r="AZ2221">
        <v>73</v>
      </c>
      <c r="BA2221">
        <v>35</v>
      </c>
      <c r="BB2221">
        <v>48</v>
      </c>
      <c r="BC2221">
        <v>83</v>
      </c>
      <c r="BD2221">
        <v>52</v>
      </c>
      <c r="BE2221">
        <v>40</v>
      </c>
      <c r="BF2221">
        <v>92</v>
      </c>
      <c r="BG2221">
        <v>18</v>
      </c>
      <c r="BH2221">
        <v>30</v>
      </c>
      <c r="BI2221">
        <v>48</v>
      </c>
      <c r="BJ2221">
        <v>35</v>
      </c>
      <c r="BK2221">
        <v>33</v>
      </c>
      <c r="BL2221">
        <v>68</v>
      </c>
      <c r="BP2221">
        <v>77</v>
      </c>
      <c r="BR2221">
        <v>70</v>
      </c>
      <c r="BS2221">
        <v>13</v>
      </c>
      <c r="BT2221">
        <v>18</v>
      </c>
      <c r="BU2221">
        <v>4</v>
      </c>
      <c r="BV2221">
        <v>0</v>
      </c>
      <c r="BW2221">
        <v>182</v>
      </c>
      <c r="BX2221">
        <f>IF(C2221=C2220,IF((CI2221-1)=CI2220,BW2220,"no data"))</f>
        <v>216</v>
      </c>
      <c r="BY2221" s="5">
        <f t="shared" si="228"/>
        <v>-0.15740740740740741</v>
      </c>
      <c r="BZ2221" s="6">
        <f t="shared" si="229"/>
        <v>-0.15740740740740741</v>
      </c>
      <c r="CA2221" s="7">
        <v>44878</v>
      </c>
      <c r="CE2221">
        <v>74</v>
      </c>
      <c r="CF2221">
        <v>68</v>
      </c>
      <c r="CG2221">
        <v>40</v>
      </c>
      <c r="CI2221">
        <f t="shared" si="226"/>
        <v>2022</v>
      </c>
      <c r="CJ2221" t="str">
        <f t="shared" si="227"/>
        <v>7472_2022</v>
      </c>
    </row>
    <row r="2222" spans="1:88" x14ac:dyDescent="0.25">
      <c r="A2222" t="s">
        <v>111</v>
      </c>
      <c r="B2222" t="s">
        <v>114</v>
      </c>
      <c r="C2222">
        <v>7481</v>
      </c>
      <c r="D2222">
        <v>-37.7881</v>
      </c>
      <c r="E2222">
        <v>145.0258</v>
      </c>
      <c r="F2222">
        <v>5</v>
      </c>
      <c r="G2222" t="s">
        <v>850</v>
      </c>
      <c r="H2222">
        <v>25</v>
      </c>
      <c r="I2222">
        <v>205</v>
      </c>
      <c r="J2222">
        <v>82</v>
      </c>
      <c r="K2222">
        <v>262</v>
      </c>
      <c r="L2222">
        <v>167</v>
      </c>
      <c r="M2222">
        <v>347</v>
      </c>
      <c r="N2222">
        <v>270</v>
      </c>
      <c r="O2222">
        <v>90</v>
      </c>
      <c r="P2222">
        <v>352</v>
      </c>
      <c r="Q2222">
        <v>172</v>
      </c>
      <c r="T2222">
        <v>219</v>
      </c>
      <c r="Y2222">
        <v>280</v>
      </c>
      <c r="AX2222">
        <v>219</v>
      </c>
      <c r="AY2222">
        <v>280</v>
      </c>
      <c r="AZ2222">
        <v>499</v>
      </c>
      <c r="BA2222">
        <v>280</v>
      </c>
      <c r="BB2222">
        <v>219</v>
      </c>
      <c r="BC2222">
        <v>499</v>
      </c>
      <c r="BP2222">
        <v>459</v>
      </c>
      <c r="BR2222">
        <v>13</v>
      </c>
      <c r="BS2222">
        <v>24</v>
      </c>
      <c r="BT2222">
        <v>3</v>
      </c>
      <c r="BV2222">
        <v>0</v>
      </c>
      <c r="BW2222">
        <v>499</v>
      </c>
      <c r="BX2222" t="s">
        <v>82</v>
      </c>
      <c r="BY2222" s="5"/>
      <c r="BZ2222" s="6"/>
      <c r="CA2222" s="7">
        <v>43779</v>
      </c>
      <c r="CE2222">
        <v>105</v>
      </c>
      <c r="CF2222">
        <v>157</v>
      </c>
      <c r="CG2222">
        <v>133</v>
      </c>
      <c r="CH2222">
        <v>104</v>
      </c>
      <c r="CI2222">
        <f t="shared" si="226"/>
        <v>2019</v>
      </c>
      <c r="CJ2222" t="str">
        <f t="shared" si="227"/>
        <v>7481_2019</v>
      </c>
    </row>
    <row r="2223" spans="1:88" x14ac:dyDescent="0.25">
      <c r="A2223" t="s">
        <v>277</v>
      </c>
      <c r="B2223" t="s">
        <v>790</v>
      </c>
      <c r="C2223">
        <v>7482</v>
      </c>
      <c r="D2223">
        <v>-35.047199999999997</v>
      </c>
      <c r="E2223">
        <v>138.511</v>
      </c>
      <c r="F2223">
        <v>4</v>
      </c>
      <c r="G2223" t="s">
        <v>851</v>
      </c>
      <c r="H2223">
        <v>53</v>
      </c>
      <c r="I2223">
        <v>233</v>
      </c>
      <c r="J2223">
        <v>220</v>
      </c>
      <c r="K2223">
        <v>40</v>
      </c>
      <c r="L2223">
        <v>235</v>
      </c>
      <c r="M2223">
        <v>55</v>
      </c>
      <c r="N2223">
        <v>325</v>
      </c>
      <c r="O2223">
        <v>145</v>
      </c>
      <c r="T2223">
        <v>53</v>
      </c>
      <c r="U2223">
        <v>10</v>
      </c>
      <c r="V2223">
        <v>8</v>
      </c>
      <c r="Y2223">
        <v>108</v>
      </c>
      <c r="Z2223">
        <v>0</v>
      </c>
      <c r="AA2223">
        <v>2</v>
      </c>
      <c r="AD2223">
        <v>31</v>
      </c>
      <c r="AE2223">
        <v>0</v>
      </c>
      <c r="AF2223">
        <v>0</v>
      </c>
      <c r="AI2223">
        <v>11</v>
      </c>
      <c r="AJ2223">
        <v>1</v>
      </c>
      <c r="AK2223">
        <v>0</v>
      </c>
      <c r="AX2223">
        <v>71</v>
      </c>
      <c r="AY2223">
        <v>150</v>
      </c>
      <c r="AZ2223">
        <v>221</v>
      </c>
      <c r="BA2223">
        <v>110</v>
      </c>
      <c r="BB2223">
        <v>54</v>
      </c>
      <c r="BC2223">
        <v>164</v>
      </c>
      <c r="BD2223">
        <v>31</v>
      </c>
      <c r="BE2223">
        <v>10</v>
      </c>
      <c r="BF2223">
        <v>41</v>
      </c>
      <c r="BG2223">
        <v>12</v>
      </c>
      <c r="BH2223">
        <v>10</v>
      </c>
      <c r="BI2223">
        <v>22</v>
      </c>
      <c r="BP2223">
        <v>182</v>
      </c>
      <c r="BR2223">
        <v>30</v>
      </c>
      <c r="BS2223">
        <v>6</v>
      </c>
      <c r="BT2223">
        <v>6</v>
      </c>
      <c r="BV2223">
        <v>0</v>
      </c>
      <c r="BW2223">
        <v>224</v>
      </c>
      <c r="BX2223" t="s">
        <v>82</v>
      </c>
      <c r="BY2223" s="5"/>
      <c r="BZ2223" s="6"/>
      <c r="CA2223" s="7">
        <v>44143</v>
      </c>
      <c r="CE2223">
        <v>82</v>
      </c>
      <c r="CF2223">
        <v>76</v>
      </c>
      <c r="CG2223">
        <v>41</v>
      </c>
      <c r="CH2223">
        <v>25</v>
      </c>
      <c r="CI2223">
        <f t="shared" si="226"/>
        <v>2020</v>
      </c>
      <c r="CJ2223" t="str">
        <f t="shared" si="227"/>
        <v>7482_2020</v>
      </c>
    </row>
    <row r="2224" spans="1:88" x14ac:dyDescent="0.25">
      <c r="A2224" t="s">
        <v>277</v>
      </c>
      <c r="B2224" t="s">
        <v>790</v>
      </c>
      <c r="C2224">
        <v>7482</v>
      </c>
      <c r="D2224">
        <v>-35.047204999999998</v>
      </c>
      <c r="E2224">
        <v>138.51098200000001</v>
      </c>
      <c r="F2224">
        <v>4</v>
      </c>
      <c r="G2224" t="s">
        <v>851</v>
      </c>
      <c r="H2224">
        <v>53</v>
      </c>
      <c r="I2224">
        <v>233</v>
      </c>
      <c r="J2224">
        <v>220</v>
      </c>
      <c r="K2224">
        <v>40</v>
      </c>
      <c r="L2224">
        <v>235</v>
      </c>
      <c r="M2224">
        <v>55</v>
      </c>
      <c r="N2224">
        <v>325</v>
      </c>
      <c r="O2224">
        <v>145</v>
      </c>
      <c r="T2224">
        <v>59</v>
      </c>
      <c r="U2224">
        <v>4</v>
      </c>
      <c r="V2224">
        <v>7</v>
      </c>
      <c r="Y2224">
        <v>99</v>
      </c>
      <c r="Z2224">
        <v>1</v>
      </c>
      <c r="AA2224">
        <v>0</v>
      </c>
      <c r="AD2224">
        <v>35</v>
      </c>
      <c r="AE2224">
        <v>0</v>
      </c>
      <c r="AF2224">
        <v>0</v>
      </c>
      <c r="AI2224">
        <v>2</v>
      </c>
      <c r="AJ2224">
        <v>0</v>
      </c>
      <c r="AK2224">
        <v>1</v>
      </c>
      <c r="AX2224">
        <v>70</v>
      </c>
      <c r="AY2224">
        <v>136</v>
      </c>
      <c r="AZ2224">
        <v>206</v>
      </c>
      <c r="BA2224">
        <v>100</v>
      </c>
      <c r="BB2224">
        <v>59</v>
      </c>
      <c r="BC2224">
        <v>159</v>
      </c>
      <c r="BD2224">
        <v>35</v>
      </c>
      <c r="BE2224">
        <v>6</v>
      </c>
      <c r="BF2224">
        <v>41</v>
      </c>
      <c r="BG2224">
        <v>3</v>
      </c>
      <c r="BH2224">
        <v>7</v>
      </c>
      <c r="BI2224">
        <v>10</v>
      </c>
      <c r="BP2224">
        <v>192</v>
      </c>
      <c r="BR2224">
        <v>9</v>
      </c>
      <c r="BS2224">
        <v>4</v>
      </c>
      <c r="BT2224">
        <v>3</v>
      </c>
      <c r="BV2224">
        <v>0</v>
      </c>
      <c r="BW2224">
        <v>208</v>
      </c>
      <c r="BX2224">
        <f>IF(C2224=C2223,IF((CI2224-1)=CI2223,BW2223,"no data"))</f>
        <v>224</v>
      </c>
      <c r="BY2224" s="5">
        <f t="shared" si="228"/>
        <v>-7.1428571428571425E-2</v>
      </c>
      <c r="BZ2224" s="6">
        <f t="shared" si="229"/>
        <v>-7.1428571428571425E-2</v>
      </c>
      <c r="CA2224" s="7">
        <v>44528</v>
      </c>
      <c r="CE2224">
        <v>85</v>
      </c>
      <c r="CF2224">
        <v>90</v>
      </c>
      <c r="CG2224">
        <v>33</v>
      </c>
      <c r="CI2224">
        <f t="shared" si="226"/>
        <v>2021</v>
      </c>
      <c r="CJ2224" t="str">
        <f t="shared" si="227"/>
        <v>7482_2021</v>
      </c>
    </row>
    <row r="2225" spans="1:88" x14ac:dyDescent="0.25">
      <c r="A2225" t="s">
        <v>277</v>
      </c>
      <c r="B2225" t="s">
        <v>790</v>
      </c>
      <c r="C2225">
        <v>7482</v>
      </c>
      <c r="D2225">
        <v>-35.047204999999998</v>
      </c>
      <c r="E2225">
        <v>138.51098200000001</v>
      </c>
      <c r="F2225">
        <v>4</v>
      </c>
      <c r="G2225" t="s">
        <v>851</v>
      </c>
      <c r="H2225">
        <v>53</v>
      </c>
      <c r="I2225">
        <v>233</v>
      </c>
      <c r="J2225">
        <v>220</v>
      </c>
      <c r="K2225">
        <v>40</v>
      </c>
      <c r="L2225">
        <v>235</v>
      </c>
      <c r="M2225">
        <v>55</v>
      </c>
      <c r="N2225">
        <v>325</v>
      </c>
      <c r="O2225">
        <v>145</v>
      </c>
      <c r="T2225">
        <v>52</v>
      </c>
      <c r="U2225">
        <v>7</v>
      </c>
      <c r="V2225">
        <v>7</v>
      </c>
      <c r="Y2225">
        <v>80</v>
      </c>
      <c r="Z2225">
        <v>0</v>
      </c>
      <c r="AA2225">
        <v>1</v>
      </c>
      <c r="AD2225">
        <v>29</v>
      </c>
      <c r="AE2225">
        <v>0</v>
      </c>
      <c r="AF2225">
        <v>0</v>
      </c>
      <c r="AI2225">
        <v>5</v>
      </c>
      <c r="AJ2225">
        <v>0</v>
      </c>
      <c r="AK2225">
        <v>0</v>
      </c>
      <c r="AX2225">
        <v>66</v>
      </c>
      <c r="AY2225">
        <v>114</v>
      </c>
      <c r="AZ2225">
        <v>180</v>
      </c>
      <c r="BA2225">
        <v>81</v>
      </c>
      <c r="BB2225">
        <v>52</v>
      </c>
      <c r="BC2225">
        <v>133</v>
      </c>
      <c r="BD2225">
        <v>29</v>
      </c>
      <c r="BE2225">
        <v>7</v>
      </c>
      <c r="BF2225">
        <v>36</v>
      </c>
      <c r="BG2225">
        <v>5</v>
      </c>
      <c r="BH2225">
        <v>8</v>
      </c>
      <c r="BI2225">
        <v>13</v>
      </c>
      <c r="BP2225">
        <v>164</v>
      </c>
      <c r="BR2225">
        <v>6</v>
      </c>
      <c r="BS2225">
        <v>3</v>
      </c>
      <c r="BT2225">
        <v>6</v>
      </c>
      <c r="BU2225">
        <v>2</v>
      </c>
      <c r="BV2225">
        <v>0</v>
      </c>
      <c r="BW2225">
        <v>181</v>
      </c>
      <c r="BX2225">
        <f>IF(C2225=C2224,IF((CI2225-1)=CI2224,BW2224,"no data"))</f>
        <v>208</v>
      </c>
      <c r="BY2225" s="5">
        <f t="shared" si="228"/>
        <v>-0.12980769230769232</v>
      </c>
      <c r="BZ2225" s="6">
        <f t="shared" si="229"/>
        <v>-0.12980769230769232</v>
      </c>
      <c r="CA2225" s="7">
        <v>44892</v>
      </c>
      <c r="CE2225">
        <v>69</v>
      </c>
      <c r="CF2225">
        <v>66</v>
      </c>
      <c r="CG2225">
        <v>46</v>
      </c>
      <c r="CI2225">
        <f t="shared" si="226"/>
        <v>2022</v>
      </c>
      <c r="CJ2225" t="str">
        <f t="shared" si="227"/>
        <v>7482_2022</v>
      </c>
    </row>
    <row r="2226" spans="1:88" x14ac:dyDescent="0.25">
      <c r="A2226" t="s">
        <v>277</v>
      </c>
      <c r="B2226" t="s">
        <v>790</v>
      </c>
      <c r="C2226">
        <v>7483</v>
      </c>
      <c r="D2226">
        <v>-35.0777</v>
      </c>
      <c r="E2226">
        <v>138.5367</v>
      </c>
      <c r="F2226">
        <v>4</v>
      </c>
      <c r="G2226" t="s">
        <v>852</v>
      </c>
      <c r="H2226">
        <v>106</v>
      </c>
      <c r="I2226">
        <v>286</v>
      </c>
      <c r="J2226">
        <v>177</v>
      </c>
      <c r="K2226">
        <v>357</v>
      </c>
      <c r="L2226">
        <v>287</v>
      </c>
      <c r="M2226">
        <v>107</v>
      </c>
      <c r="N2226">
        <v>354</v>
      </c>
      <c r="O2226">
        <v>174</v>
      </c>
      <c r="T2226">
        <v>8</v>
      </c>
      <c r="U2226">
        <v>56</v>
      </c>
      <c r="V2226">
        <v>0</v>
      </c>
      <c r="Y2226">
        <v>8</v>
      </c>
      <c r="Z2226">
        <v>13</v>
      </c>
      <c r="AA2226">
        <v>11</v>
      </c>
      <c r="AD2226">
        <v>35</v>
      </c>
      <c r="AE2226">
        <v>11</v>
      </c>
      <c r="AF2226">
        <v>14</v>
      </c>
      <c r="AI2226">
        <v>2</v>
      </c>
      <c r="AJ2226">
        <v>15</v>
      </c>
      <c r="AK2226">
        <v>6</v>
      </c>
      <c r="AX2226">
        <v>64</v>
      </c>
      <c r="AY2226">
        <v>45</v>
      </c>
      <c r="AZ2226">
        <v>109</v>
      </c>
      <c r="BA2226">
        <v>32</v>
      </c>
      <c r="BB2226">
        <v>34</v>
      </c>
      <c r="BC2226">
        <v>66</v>
      </c>
      <c r="BD2226">
        <v>60</v>
      </c>
      <c r="BE2226">
        <v>75</v>
      </c>
      <c r="BF2226">
        <v>135</v>
      </c>
      <c r="BG2226">
        <v>23</v>
      </c>
      <c r="BH2226">
        <v>25</v>
      </c>
      <c r="BI2226">
        <v>48</v>
      </c>
      <c r="BP2226">
        <v>93</v>
      </c>
      <c r="BR2226">
        <v>54</v>
      </c>
      <c r="BS2226">
        <v>11</v>
      </c>
      <c r="BT2226">
        <v>19</v>
      </c>
      <c r="BV2226">
        <v>2</v>
      </c>
      <c r="BW2226">
        <v>179</v>
      </c>
      <c r="BX2226" t="s">
        <v>82</v>
      </c>
      <c r="BY2226" s="5"/>
      <c r="BZ2226" s="6"/>
      <c r="CA2226" s="7">
        <v>44143</v>
      </c>
      <c r="CE2226">
        <v>80</v>
      </c>
      <c r="CF2226">
        <v>43</v>
      </c>
      <c r="CG2226">
        <v>38</v>
      </c>
      <c r="CH2226">
        <v>18</v>
      </c>
      <c r="CI2226">
        <f t="shared" si="226"/>
        <v>2020</v>
      </c>
      <c r="CJ2226" t="str">
        <f t="shared" si="227"/>
        <v>7483_2020</v>
      </c>
    </row>
    <row r="2227" spans="1:88" x14ac:dyDescent="0.25">
      <c r="A2227" t="s">
        <v>277</v>
      </c>
      <c r="B2227" t="s">
        <v>790</v>
      </c>
      <c r="C2227">
        <v>7483</v>
      </c>
      <c r="D2227">
        <v>-35.077741000000003</v>
      </c>
      <c r="E2227">
        <v>138.536688</v>
      </c>
      <c r="F2227">
        <v>4</v>
      </c>
      <c r="G2227" t="s">
        <v>852</v>
      </c>
      <c r="H2227">
        <v>106</v>
      </c>
      <c r="I2227">
        <v>286</v>
      </c>
      <c r="J2227">
        <v>177</v>
      </c>
      <c r="K2227">
        <v>357</v>
      </c>
      <c r="L2227">
        <v>287</v>
      </c>
      <c r="M2227">
        <v>107</v>
      </c>
      <c r="N2227">
        <v>354</v>
      </c>
      <c r="O2227">
        <v>174</v>
      </c>
      <c r="T2227">
        <v>6</v>
      </c>
      <c r="U2227">
        <v>39</v>
      </c>
      <c r="V2227">
        <v>6</v>
      </c>
      <c r="Y2227">
        <v>8</v>
      </c>
      <c r="Z2227">
        <v>11</v>
      </c>
      <c r="AA2227">
        <v>8</v>
      </c>
      <c r="AD2227">
        <v>30</v>
      </c>
      <c r="AE2227">
        <v>1</v>
      </c>
      <c r="AF2227">
        <v>4</v>
      </c>
      <c r="AI2227">
        <v>5</v>
      </c>
      <c r="AJ2227">
        <v>9</v>
      </c>
      <c r="AK2227">
        <v>6</v>
      </c>
      <c r="AX2227">
        <v>51</v>
      </c>
      <c r="AY2227">
        <v>43</v>
      </c>
      <c r="AZ2227">
        <v>94</v>
      </c>
      <c r="BA2227">
        <v>27</v>
      </c>
      <c r="BB2227">
        <v>16</v>
      </c>
      <c r="BC2227">
        <v>43</v>
      </c>
      <c r="BD2227">
        <v>35</v>
      </c>
      <c r="BE2227">
        <v>56</v>
      </c>
      <c r="BF2227">
        <v>91</v>
      </c>
      <c r="BG2227">
        <v>20</v>
      </c>
      <c r="BH2227">
        <v>18</v>
      </c>
      <c r="BI2227">
        <v>38</v>
      </c>
      <c r="BP2227">
        <v>69</v>
      </c>
      <c r="BR2227">
        <v>45</v>
      </c>
      <c r="BS2227">
        <v>2</v>
      </c>
      <c r="BT2227">
        <v>16</v>
      </c>
      <c r="BV2227">
        <v>1</v>
      </c>
      <c r="BW2227">
        <v>133</v>
      </c>
      <c r="BX2227">
        <f>IF(C2227=C2226,IF((CI2227-1)=CI2226,BW2226,"no data"))</f>
        <v>179</v>
      </c>
      <c r="BY2227" s="5">
        <f t="shared" si="228"/>
        <v>-0.25698324022346369</v>
      </c>
      <c r="BZ2227" s="6">
        <f t="shared" si="229"/>
        <v>-0.25698324022346369</v>
      </c>
      <c r="CA2227" s="7">
        <v>44528</v>
      </c>
      <c r="CE2227">
        <v>52</v>
      </c>
      <c r="CF2227">
        <v>45</v>
      </c>
      <c r="CG2227">
        <v>36</v>
      </c>
      <c r="CI2227">
        <f t="shared" si="226"/>
        <v>2021</v>
      </c>
      <c r="CJ2227" t="str">
        <f t="shared" si="227"/>
        <v>7483_2021</v>
      </c>
    </row>
    <row r="2228" spans="1:88" x14ac:dyDescent="0.25">
      <c r="A2228" t="s">
        <v>277</v>
      </c>
      <c r="B2228" t="s">
        <v>790</v>
      </c>
      <c r="C2228">
        <v>7483</v>
      </c>
      <c r="D2228">
        <v>-35.077741000000003</v>
      </c>
      <c r="E2228">
        <v>138.536688</v>
      </c>
      <c r="F2228">
        <v>4</v>
      </c>
      <c r="G2228" t="s">
        <v>852</v>
      </c>
      <c r="H2228">
        <v>106</v>
      </c>
      <c r="I2228">
        <v>286</v>
      </c>
      <c r="J2228">
        <v>177</v>
      </c>
      <c r="K2228">
        <v>357</v>
      </c>
      <c r="L2228">
        <v>287</v>
      </c>
      <c r="M2228">
        <v>107</v>
      </c>
      <c r="N2228">
        <v>354</v>
      </c>
      <c r="O2228">
        <v>174</v>
      </c>
      <c r="T2228">
        <v>3</v>
      </c>
      <c r="U2228">
        <v>12</v>
      </c>
      <c r="V2228">
        <v>1</v>
      </c>
      <c r="Y2228">
        <v>6</v>
      </c>
      <c r="Z2228">
        <v>9</v>
      </c>
      <c r="AA2228">
        <v>5</v>
      </c>
      <c r="AD2228">
        <v>8</v>
      </c>
      <c r="AE2228">
        <v>11</v>
      </c>
      <c r="AF2228">
        <v>5</v>
      </c>
      <c r="AI2228">
        <v>1</v>
      </c>
      <c r="AJ2228">
        <v>6</v>
      </c>
      <c r="AK2228">
        <v>1</v>
      </c>
      <c r="AX2228">
        <v>16</v>
      </c>
      <c r="AY2228">
        <v>15</v>
      </c>
      <c r="AZ2228">
        <v>31</v>
      </c>
      <c r="BA2228">
        <v>20</v>
      </c>
      <c r="BB2228">
        <v>20</v>
      </c>
      <c r="BC2228">
        <v>40</v>
      </c>
      <c r="BD2228">
        <v>24</v>
      </c>
      <c r="BE2228">
        <v>22</v>
      </c>
      <c r="BF2228">
        <v>46</v>
      </c>
      <c r="BG2228">
        <v>8</v>
      </c>
      <c r="BH2228">
        <v>11</v>
      </c>
      <c r="BI2228">
        <v>19</v>
      </c>
      <c r="BP2228">
        <v>23</v>
      </c>
      <c r="BR2228">
        <v>24</v>
      </c>
      <c r="BS2228">
        <v>2</v>
      </c>
      <c r="BT2228">
        <v>18</v>
      </c>
      <c r="BU2228">
        <v>1</v>
      </c>
      <c r="BV2228">
        <v>0</v>
      </c>
      <c r="BW2228">
        <v>68</v>
      </c>
      <c r="BX2228">
        <f>IF(C2228=C2227,IF((CI2228-1)=CI2227,BW2227,"no data"))</f>
        <v>133</v>
      </c>
      <c r="BY2228" s="5">
        <f t="shared" si="228"/>
        <v>-0.48872180451127817</v>
      </c>
      <c r="BZ2228" s="6">
        <f t="shared" si="229"/>
        <v>-0.48872180451127817</v>
      </c>
      <c r="CA2228" s="7">
        <v>44885</v>
      </c>
      <c r="CE2228">
        <v>21</v>
      </c>
      <c r="CF2228">
        <v>26</v>
      </c>
      <c r="CG2228">
        <v>21</v>
      </c>
      <c r="CI2228">
        <f t="shared" si="226"/>
        <v>2022</v>
      </c>
      <c r="CJ2228" t="str">
        <f t="shared" si="227"/>
        <v>7483_2022</v>
      </c>
    </row>
    <row r="2229" spans="1:88" x14ac:dyDescent="0.25">
      <c r="A2229" t="s">
        <v>277</v>
      </c>
      <c r="B2229" t="s">
        <v>790</v>
      </c>
      <c r="C2229">
        <v>7484</v>
      </c>
      <c r="D2229">
        <v>-34.9923</v>
      </c>
      <c r="E2229">
        <v>138.5599</v>
      </c>
      <c r="F2229">
        <v>2</v>
      </c>
      <c r="G2229" t="s">
        <v>853</v>
      </c>
      <c r="H2229">
        <v>36</v>
      </c>
      <c r="I2229">
        <v>216</v>
      </c>
      <c r="J2229">
        <v>217</v>
      </c>
      <c r="K2229">
        <v>37</v>
      </c>
      <c r="T2229">
        <v>92</v>
      </c>
      <c r="Y2229">
        <v>85</v>
      </c>
      <c r="AX2229">
        <v>92</v>
      </c>
      <c r="AY2229">
        <v>85</v>
      </c>
      <c r="AZ2229">
        <v>177</v>
      </c>
      <c r="BA2229">
        <v>85</v>
      </c>
      <c r="BB2229">
        <v>92</v>
      </c>
      <c r="BC2229">
        <v>177</v>
      </c>
      <c r="BP2229">
        <v>128</v>
      </c>
      <c r="BR2229">
        <v>37</v>
      </c>
      <c r="BS2229">
        <v>4</v>
      </c>
      <c r="BT2229">
        <v>8</v>
      </c>
      <c r="BV2229">
        <v>0</v>
      </c>
      <c r="BW2229">
        <v>177</v>
      </c>
      <c r="BX2229" t="s">
        <v>82</v>
      </c>
      <c r="BY2229" s="5"/>
      <c r="BZ2229" s="6"/>
      <c r="CA2229" s="7">
        <v>44143</v>
      </c>
      <c r="CE2229">
        <v>51</v>
      </c>
      <c r="CF2229">
        <v>58</v>
      </c>
      <c r="CG2229">
        <v>38</v>
      </c>
      <c r="CH2229">
        <v>30</v>
      </c>
      <c r="CI2229">
        <f t="shared" si="226"/>
        <v>2020</v>
      </c>
      <c r="CJ2229" t="str">
        <f t="shared" si="227"/>
        <v>7484_2020</v>
      </c>
    </row>
    <row r="2230" spans="1:88" x14ac:dyDescent="0.25">
      <c r="A2230" t="s">
        <v>277</v>
      </c>
      <c r="B2230" t="s">
        <v>790</v>
      </c>
      <c r="C2230">
        <v>7484</v>
      </c>
      <c r="D2230">
        <v>-34.992266999999998</v>
      </c>
      <c r="E2230">
        <v>138.559898</v>
      </c>
      <c r="F2230">
        <v>2</v>
      </c>
      <c r="G2230" t="s">
        <v>853</v>
      </c>
      <c r="H2230">
        <v>36</v>
      </c>
      <c r="I2230">
        <v>216</v>
      </c>
      <c r="J2230">
        <v>217</v>
      </c>
      <c r="K2230">
        <v>37</v>
      </c>
      <c r="T2230">
        <v>55</v>
      </c>
      <c r="Y2230">
        <v>50</v>
      </c>
      <c r="AX2230">
        <v>55</v>
      </c>
      <c r="AY2230">
        <v>50</v>
      </c>
      <c r="AZ2230">
        <v>105</v>
      </c>
      <c r="BA2230">
        <v>50</v>
      </c>
      <c r="BB2230">
        <v>55</v>
      </c>
      <c r="BC2230">
        <v>105</v>
      </c>
      <c r="BP2230">
        <v>73</v>
      </c>
      <c r="BR2230">
        <v>28</v>
      </c>
      <c r="BS2230">
        <v>1</v>
      </c>
      <c r="BT2230">
        <v>2</v>
      </c>
      <c r="BV2230">
        <v>1</v>
      </c>
      <c r="BW2230">
        <v>105</v>
      </c>
      <c r="BX2230">
        <f>IF(C2230=C2229,IF((CI2230-1)=CI2229,BW2229,"no data"))</f>
        <v>177</v>
      </c>
      <c r="BY2230" s="5">
        <f t="shared" si="228"/>
        <v>-0.40677966101694918</v>
      </c>
      <c r="BZ2230" s="6">
        <f t="shared" si="229"/>
        <v>-0.40677966101694918</v>
      </c>
      <c r="CA2230" s="7">
        <v>44542</v>
      </c>
      <c r="CE2230">
        <v>40</v>
      </c>
      <c r="CF2230">
        <v>33</v>
      </c>
      <c r="CG2230">
        <v>32</v>
      </c>
      <c r="CI2230">
        <f t="shared" si="226"/>
        <v>2021</v>
      </c>
      <c r="CJ2230" t="str">
        <f t="shared" si="227"/>
        <v>7484_2021</v>
      </c>
    </row>
    <row r="2231" spans="1:88" x14ac:dyDescent="0.25">
      <c r="A2231" t="s">
        <v>277</v>
      </c>
      <c r="B2231" t="s">
        <v>790</v>
      </c>
      <c r="C2231">
        <v>7484</v>
      </c>
      <c r="D2231">
        <v>-34.992266999999998</v>
      </c>
      <c r="E2231">
        <v>138.559898</v>
      </c>
      <c r="F2231">
        <v>2</v>
      </c>
      <c r="G2231" t="s">
        <v>853</v>
      </c>
      <c r="H2231">
        <v>36</v>
      </c>
      <c r="I2231">
        <v>216</v>
      </c>
      <c r="J2231">
        <v>217</v>
      </c>
      <c r="K2231">
        <v>37</v>
      </c>
      <c r="T2231">
        <v>51</v>
      </c>
      <c r="Y2231">
        <v>54</v>
      </c>
      <c r="AX2231">
        <v>51</v>
      </c>
      <c r="AY2231">
        <v>54</v>
      </c>
      <c r="AZ2231">
        <v>105</v>
      </c>
      <c r="BA2231">
        <v>54</v>
      </c>
      <c r="BB2231">
        <v>51</v>
      </c>
      <c r="BC2231">
        <v>105</v>
      </c>
      <c r="BP2231">
        <v>73</v>
      </c>
      <c r="BR2231">
        <v>22</v>
      </c>
      <c r="BS2231">
        <v>3</v>
      </c>
      <c r="BT2231">
        <v>5</v>
      </c>
      <c r="BU2231">
        <v>2</v>
      </c>
      <c r="BV2231">
        <v>0</v>
      </c>
      <c r="BW2231">
        <v>105</v>
      </c>
      <c r="BX2231">
        <f>IF(C2231=C2230,IF((CI2231-1)=CI2230,BW2230,"no data"))</f>
        <v>105</v>
      </c>
      <c r="BY2231" s="5">
        <f t="shared" si="228"/>
        <v>0</v>
      </c>
      <c r="BZ2231" s="6">
        <f t="shared" si="229"/>
        <v>0</v>
      </c>
      <c r="CA2231" s="7">
        <v>44892</v>
      </c>
      <c r="CE2231">
        <v>52</v>
      </c>
      <c r="CF2231">
        <v>27</v>
      </c>
      <c r="CG2231">
        <v>26</v>
      </c>
      <c r="CI2231">
        <f t="shared" si="226"/>
        <v>2022</v>
      </c>
      <c r="CJ2231" t="str">
        <f t="shared" si="227"/>
        <v>7484_2022</v>
      </c>
    </row>
    <row r="2232" spans="1:88" x14ac:dyDescent="0.25">
      <c r="A2232" t="s">
        <v>79</v>
      </c>
      <c r="B2232" t="s">
        <v>84</v>
      </c>
      <c r="C2232">
        <v>7493</v>
      </c>
      <c r="D2232">
        <v>-33.773800000000001</v>
      </c>
      <c r="E2232">
        <v>151.0831</v>
      </c>
      <c r="F2232">
        <v>4</v>
      </c>
      <c r="G2232" t="s">
        <v>854</v>
      </c>
      <c r="H2232">
        <v>90</v>
      </c>
      <c r="I2232">
        <v>270</v>
      </c>
      <c r="J2232">
        <v>152</v>
      </c>
      <c r="K2232">
        <v>332</v>
      </c>
      <c r="L2232">
        <v>258</v>
      </c>
      <c r="M2232">
        <v>78</v>
      </c>
      <c r="N2232">
        <v>336</v>
      </c>
      <c r="O2232">
        <v>156</v>
      </c>
      <c r="T2232">
        <v>5</v>
      </c>
      <c r="U2232">
        <v>19</v>
      </c>
      <c r="V2232">
        <v>56</v>
      </c>
      <c r="Y2232">
        <v>11</v>
      </c>
      <c r="Z2232">
        <v>37</v>
      </c>
      <c r="AA2232">
        <v>87</v>
      </c>
      <c r="AD2232">
        <v>22</v>
      </c>
      <c r="AE2232">
        <v>35</v>
      </c>
      <c r="AF2232">
        <v>2</v>
      </c>
      <c r="AI2232">
        <v>34</v>
      </c>
      <c r="AJ2232">
        <v>39</v>
      </c>
      <c r="AK2232">
        <v>7</v>
      </c>
      <c r="AX2232">
        <v>80</v>
      </c>
      <c r="AY2232">
        <v>67</v>
      </c>
      <c r="AZ2232">
        <v>147</v>
      </c>
      <c r="BA2232">
        <v>135</v>
      </c>
      <c r="BB2232">
        <v>79</v>
      </c>
      <c r="BC2232">
        <v>214</v>
      </c>
      <c r="BD2232">
        <v>59</v>
      </c>
      <c r="BE2232">
        <v>63</v>
      </c>
      <c r="BF2232">
        <v>122</v>
      </c>
      <c r="BG2232">
        <v>80</v>
      </c>
      <c r="BH2232">
        <v>145</v>
      </c>
      <c r="BI2232">
        <v>225</v>
      </c>
      <c r="BP2232">
        <v>18</v>
      </c>
      <c r="BR2232">
        <v>316</v>
      </c>
      <c r="BS2232">
        <v>11</v>
      </c>
      <c r="BT2232">
        <v>7</v>
      </c>
      <c r="BV2232">
        <v>2</v>
      </c>
      <c r="BW2232">
        <v>354</v>
      </c>
      <c r="BX2232" t="s">
        <v>82</v>
      </c>
      <c r="BY2232" s="5"/>
      <c r="BZ2232" s="6"/>
      <c r="CA2232" s="7">
        <v>44143</v>
      </c>
      <c r="CE2232">
        <v>64</v>
      </c>
      <c r="CF2232">
        <v>93</v>
      </c>
      <c r="CG2232">
        <v>102</v>
      </c>
      <c r="CH2232">
        <v>95</v>
      </c>
      <c r="CI2232">
        <f t="shared" si="226"/>
        <v>2020</v>
      </c>
      <c r="CJ2232" t="str">
        <f t="shared" si="227"/>
        <v>7493_2020</v>
      </c>
    </row>
    <row r="2233" spans="1:88" x14ac:dyDescent="0.25">
      <c r="A2233" t="s">
        <v>79</v>
      </c>
      <c r="B2233" t="s">
        <v>84</v>
      </c>
      <c r="C2233">
        <v>7494</v>
      </c>
      <c r="D2233">
        <v>-33.779600000000002</v>
      </c>
      <c r="E2233">
        <v>151.05240000000001</v>
      </c>
      <c r="F2233">
        <v>3</v>
      </c>
      <c r="G2233" t="s">
        <v>855</v>
      </c>
      <c r="H2233">
        <v>130</v>
      </c>
      <c r="I2233">
        <v>310</v>
      </c>
      <c r="J2233">
        <v>215</v>
      </c>
      <c r="K2233">
        <v>35</v>
      </c>
      <c r="L2233">
        <v>348</v>
      </c>
      <c r="M2233">
        <v>168</v>
      </c>
      <c r="T2233">
        <v>6</v>
      </c>
      <c r="U2233">
        <v>44</v>
      </c>
      <c r="Y2233">
        <v>12</v>
      </c>
      <c r="Z2233">
        <v>82</v>
      </c>
      <c r="AD2233">
        <v>52</v>
      </c>
      <c r="AE2233">
        <v>65</v>
      </c>
      <c r="AX2233">
        <v>50</v>
      </c>
      <c r="AY2233">
        <v>64</v>
      </c>
      <c r="AZ2233">
        <v>114</v>
      </c>
      <c r="BA2233">
        <v>94</v>
      </c>
      <c r="BB2233">
        <v>71</v>
      </c>
      <c r="BC2233">
        <v>165</v>
      </c>
      <c r="BD2233">
        <v>117</v>
      </c>
      <c r="BE2233">
        <v>126</v>
      </c>
      <c r="BF2233">
        <v>243</v>
      </c>
      <c r="BP2233">
        <v>10</v>
      </c>
      <c r="BR2233">
        <v>239</v>
      </c>
      <c r="BS2233">
        <v>7</v>
      </c>
      <c r="BT2233">
        <v>5</v>
      </c>
      <c r="BV2233">
        <v>0</v>
      </c>
      <c r="BW2233">
        <v>261</v>
      </c>
      <c r="BX2233" t="s">
        <v>82</v>
      </c>
      <c r="BY2233" s="5"/>
      <c r="BZ2233" s="6"/>
      <c r="CA2233" s="7">
        <v>44143</v>
      </c>
      <c r="CE2233">
        <v>57</v>
      </c>
      <c r="CF2233">
        <v>51</v>
      </c>
      <c r="CG2233">
        <v>74</v>
      </c>
      <c r="CH2233">
        <v>79</v>
      </c>
      <c r="CI2233">
        <f t="shared" si="226"/>
        <v>2020</v>
      </c>
      <c r="CJ2233" t="str">
        <f t="shared" si="227"/>
        <v>7494_2020</v>
      </c>
    </row>
    <row r="2234" spans="1:88" x14ac:dyDescent="0.25">
      <c r="A2234" t="s">
        <v>277</v>
      </c>
      <c r="B2234" t="s">
        <v>790</v>
      </c>
      <c r="C2234">
        <v>7504</v>
      </c>
      <c r="D2234">
        <v>-34.995392000000002</v>
      </c>
      <c r="E2234">
        <v>138.54557</v>
      </c>
      <c r="F2234">
        <v>4</v>
      </c>
      <c r="G2234" t="s">
        <v>856</v>
      </c>
      <c r="H2234">
        <v>15</v>
      </c>
      <c r="I2234">
        <v>195</v>
      </c>
      <c r="J2234">
        <v>84</v>
      </c>
      <c r="K2234">
        <v>264</v>
      </c>
      <c r="L2234">
        <v>180</v>
      </c>
      <c r="M2234">
        <v>360</v>
      </c>
      <c r="N2234">
        <v>265</v>
      </c>
      <c r="O2234">
        <v>85</v>
      </c>
      <c r="T2234">
        <v>26</v>
      </c>
      <c r="U2234">
        <v>60</v>
      </c>
      <c r="V2234">
        <v>7</v>
      </c>
      <c r="Y2234">
        <v>25</v>
      </c>
      <c r="Z2234">
        <v>26</v>
      </c>
      <c r="AA2234">
        <v>18</v>
      </c>
      <c r="AD2234">
        <v>71</v>
      </c>
      <c r="AE2234">
        <v>21</v>
      </c>
      <c r="AF2234">
        <v>11</v>
      </c>
      <c r="AI2234">
        <v>8</v>
      </c>
      <c r="AJ2234">
        <v>30</v>
      </c>
      <c r="AK2234">
        <v>2</v>
      </c>
      <c r="AX2234">
        <v>93</v>
      </c>
      <c r="AY2234">
        <v>104</v>
      </c>
      <c r="AZ2234">
        <v>197</v>
      </c>
      <c r="BA2234">
        <v>69</v>
      </c>
      <c r="BB2234">
        <v>77</v>
      </c>
      <c r="BC2234">
        <v>146</v>
      </c>
      <c r="BD2234">
        <v>103</v>
      </c>
      <c r="BE2234">
        <v>88</v>
      </c>
      <c r="BF2234">
        <v>191</v>
      </c>
      <c r="BG2234">
        <v>40</v>
      </c>
      <c r="BH2234">
        <v>36</v>
      </c>
      <c r="BI2234">
        <v>76</v>
      </c>
      <c r="BP2234">
        <v>144</v>
      </c>
      <c r="BR2234">
        <v>98</v>
      </c>
      <c r="BS2234">
        <v>30</v>
      </c>
      <c r="BT2234">
        <v>23</v>
      </c>
      <c r="BV2234">
        <v>10</v>
      </c>
      <c r="BW2234">
        <v>305</v>
      </c>
      <c r="BX2234" t="s">
        <v>82</v>
      </c>
      <c r="BY2234" s="5"/>
      <c r="BZ2234" s="6"/>
      <c r="CA2234" s="7">
        <v>44528</v>
      </c>
      <c r="CE2234">
        <v>92</v>
      </c>
      <c r="CF2234">
        <v>125</v>
      </c>
      <c r="CG2234">
        <v>88</v>
      </c>
      <c r="CI2234">
        <f t="shared" si="226"/>
        <v>2021</v>
      </c>
      <c r="CJ2234" t="str">
        <f t="shared" si="227"/>
        <v>7504_2021</v>
      </c>
    </row>
    <row r="2235" spans="1:88" x14ac:dyDescent="0.25">
      <c r="A2235" t="s">
        <v>277</v>
      </c>
      <c r="B2235" t="s">
        <v>790</v>
      </c>
      <c r="C2235">
        <v>7504</v>
      </c>
      <c r="D2235">
        <v>-34.995392000000002</v>
      </c>
      <c r="E2235">
        <v>138.54557</v>
      </c>
      <c r="F2235">
        <v>4</v>
      </c>
      <c r="G2235" t="s">
        <v>856</v>
      </c>
      <c r="H2235">
        <v>15</v>
      </c>
      <c r="I2235">
        <v>195</v>
      </c>
      <c r="J2235">
        <v>84</v>
      </c>
      <c r="K2235">
        <v>264</v>
      </c>
      <c r="L2235">
        <v>180</v>
      </c>
      <c r="M2235">
        <v>360</v>
      </c>
      <c r="N2235">
        <v>265</v>
      </c>
      <c r="O2235">
        <v>85</v>
      </c>
      <c r="T2235">
        <v>5</v>
      </c>
      <c r="U2235">
        <v>45</v>
      </c>
      <c r="V2235">
        <v>10</v>
      </c>
      <c r="Y2235">
        <v>6</v>
      </c>
      <c r="Z2235">
        <v>1</v>
      </c>
      <c r="AA2235">
        <v>23</v>
      </c>
      <c r="AD2235">
        <v>39</v>
      </c>
      <c r="AE2235">
        <v>2</v>
      </c>
      <c r="AF2235">
        <v>8</v>
      </c>
      <c r="AI2235">
        <v>7</v>
      </c>
      <c r="AJ2235">
        <v>21</v>
      </c>
      <c r="AK2235">
        <v>14</v>
      </c>
      <c r="AX2235">
        <v>60</v>
      </c>
      <c r="AY2235">
        <v>52</v>
      </c>
      <c r="AZ2235">
        <v>112</v>
      </c>
      <c r="BA2235">
        <v>30</v>
      </c>
      <c r="BB2235">
        <v>28</v>
      </c>
      <c r="BC2235">
        <v>58</v>
      </c>
      <c r="BD2235">
        <v>49</v>
      </c>
      <c r="BE2235">
        <v>60</v>
      </c>
      <c r="BF2235">
        <v>109</v>
      </c>
      <c r="BG2235">
        <v>42</v>
      </c>
      <c r="BH2235">
        <v>41</v>
      </c>
      <c r="BI2235">
        <v>83</v>
      </c>
      <c r="BP2235">
        <v>80</v>
      </c>
      <c r="BR2235">
        <v>56</v>
      </c>
      <c r="BS2235">
        <v>22</v>
      </c>
      <c r="BT2235">
        <v>14</v>
      </c>
      <c r="BU2235">
        <v>4</v>
      </c>
      <c r="BV2235">
        <v>5</v>
      </c>
      <c r="BW2235">
        <v>181</v>
      </c>
      <c r="BX2235">
        <f>IF(C2235=C2234,IF((CI2235-1)=CI2234,BW2234,"no data"))</f>
        <v>305</v>
      </c>
      <c r="BY2235" s="5">
        <f t="shared" si="228"/>
        <v>-0.40655737704918032</v>
      </c>
      <c r="BZ2235" s="6">
        <f t="shared" si="229"/>
        <v>-0.40655737704918032</v>
      </c>
      <c r="CA2235" s="7">
        <v>44906</v>
      </c>
      <c r="CE2235">
        <v>97</v>
      </c>
      <c r="CF2235">
        <v>48</v>
      </c>
      <c r="CG2235">
        <v>36</v>
      </c>
      <c r="CI2235">
        <f t="shared" si="226"/>
        <v>2022</v>
      </c>
      <c r="CJ2235" t="str">
        <f t="shared" si="227"/>
        <v>7504_2022</v>
      </c>
    </row>
    <row r="2236" spans="1:88" x14ac:dyDescent="0.25">
      <c r="A2236" t="s">
        <v>140</v>
      </c>
      <c r="B2236" t="s">
        <v>143</v>
      </c>
      <c r="C2236">
        <v>7506</v>
      </c>
      <c r="D2236">
        <v>-32.109797999999998</v>
      </c>
      <c r="E2236">
        <v>115.764163</v>
      </c>
      <c r="F2236">
        <v>4</v>
      </c>
      <c r="G2236" t="s">
        <v>857</v>
      </c>
      <c r="H2236">
        <v>52</v>
      </c>
      <c r="I2236">
        <v>232</v>
      </c>
      <c r="J2236">
        <v>163</v>
      </c>
      <c r="K2236">
        <v>343</v>
      </c>
      <c r="L2236">
        <v>226</v>
      </c>
      <c r="M2236">
        <v>46</v>
      </c>
      <c r="N2236">
        <v>335</v>
      </c>
      <c r="O2236">
        <v>155</v>
      </c>
      <c r="T2236">
        <v>16</v>
      </c>
      <c r="U2236">
        <v>93</v>
      </c>
      <c r="V2236">
        <v>1</v>
      </c>
      <c r="Y2236">
        <v>10</v>
      </c>
      <c r="Z2236">
        <v>0</v>
      </c>
      <c r="AA2236">
        <v>99</v>
      </c>
      <c r="AD2236">
        <v>117</v>
      </c>
      <c r="AE2236">
        <v>0</v>
      </c>
      <c r="AF2236">
        <v>151</v>
      </c>
      <c r="AI2236">
        <v>6</v>
      </c>
      <c r="AJ2236">
        <v>139</v>
      </c>
      <c r="AK2236">
        <v>121</v>
      </c>
      <c r="AX2236">
        <v>110</v>
      </c>
      <c r="AY2236">
        <v>133</v>
      </c>
      <c r="AZ2236">
        <v>243</v>
      </c>
      <c r="BA2236">
        <v>109</v>
      </c>
      <c r="BB2236">
        <v>155</v>
      </c>
      <c r="BC2236">
        <v>264</v>
      </c>
      <c r="BD2236">
        <v>268</v>
      </c>
      <c r="BE2236">
        <v>214</v>
      </c>
      <c r="BF2236">
        <v>482</v>
      </c>
      <c r="BG2236">
        <v>266</v>
      </c>
      <c r="BH2236">
        <v>251</v>
      </c>
      <c r="BI2236">
        <v>517</v>
      </c>
      <c r="BP2236">
        <v>324</v>
      </c>
      <c r="BR2236">
        <v>310</v>
      </c>
      <c r="BS2236">
        <v>52</v>
      </c>
      <c r="BT2236">
        <v>34</v>
      </c>
      <c r="BV2236">
        <v>33</v>
      </c>
      <c r="BW2236">
        <v>753</v>
      </c>
      <c r="BX2236" t="s">
        <v>82</v>
      </c>
      <c r="BY2236" s="5"/>
      <c r="BZ2236" s="6"/>
      <c r="CA2236" s="7">
        <v>44143</v>
      </c>
      <c r="CC2236">
        <v>145</v>
      </c>
      <c r="CD2236">
        <v>223</v>
      </c>
      <c r="CE2236">
        <v>214</v>
      </c>
      <c r="CF2236">
        <v>171</v>
      </c>
      <c r="CI2236">
        <f t="shared" si="226"/>
        <v>2020</v>
      </c>
      <c r="CJ2236" t="str">
        <f t="shared" si="227"/>
        <v>7506_2020</v>
      </c>
    </row>
    <row r="2237" spans="1:88" x14ac:dyDescent="0.25">
      <c r="A2237" t="s">
        <v>140</v>
      </c>
      <c r="B2237" t="s">
        <v>143</v>
      </c>
      <c r="C2237">
        <v>7506</v>
      </c>
      <c r="D2237">
        <v>-32.109797999999998</v>
      </c>
      <c r="E2237">
        <v>115.764163</v>
      </c>
      <c r="F2237">
        <v>4</v>
      </c>
      <c r="G2237" t="s">
        <v>857</v>
      </c>
      <c r="H2237">
        <v>52</v>
      </c>
      <c r="I2237">
        <v>232</v>
      </c>
      <c r="J2237">
        <v>163</v>
      </c>
      <c r="K2237">
        <v>343</v>
      </c>
      <c r="L2237">
        <v>226</v>
      </c>
      <c r="M2237">
        <v>46</v>
      </c>
      <c r="N2237">
        <v>335</v>
      </c>
      <c r="O2237">
        <v>155</v>
      </c>
      <c r="T2237">
        <v>39</v>
      </c>
      <c r="U2237">
        <v>57</v>
      </c>
      <c r="V2237">
        <v>17</v>
      </c>
      <c r="Y2237">
        <v>40</v>
      </c>
      <c r="Z2237">
        <v>1</v>
      </c>
      <c r="AA2237">
        <v>125</v>
      </c>
      <c r="AD2237">
        <v>56</v>
      </c>
      <c r="AE2237">
        <v>0</v>
      </c>
      <c r="AF2237">
        <v>83</v>
      </c>
      <c r="AI2237">
        <v>15</v>
      </c>
      <c r="AJ2237">
        <v>181</v>
      </c>
      <c r="AK2237">
        <v>50</v>
      </c>
      <c r="AX2237">
        <v>113</v>
      </c>
      <c r="AY2237">
        <v>111</v>
      </c>
      <c r="AZ2237">
        <v>224</v>
      </c>
      <c r="BA2237">
        <v>166</v>
      </c>
      <c r="BB2237">
        <v>220</v>
      </c>
      <c r="BC2237">
        <v>386</v>
      </c>
      <c r="BD2237">
        <v>139</v>
      </c>
      <c r="BE2237">
        <v>108</v>
      </c>
      <c r="BF2237">
        <v>247</v>
      </c>
      <c r="BG2237">
        <v>246</v>
      </c>
      <c r="BH2237">
        <v>225</v>
      </c>
      <c r="BI2237">
        <v>471</v>
      </c>
      <c r="BP2237">
        <v>153</v>
      </c>
      <c r="BR2237">
        <v>374</v>
      </c>
      <c r="BS2237">
        <v>78</v>
      </c>
      <c r="BT2237">
        <v>44</v>
      </c>
      <c r="BV2237">
        <v>15</v>
      </c>
      <c r="BW2237">
        <v>664</v>
      </c>
      <c r="BX2237">
        <f>IF(C2237=C2236,IF((CI2237-1)=CI2236,BW2236,"no data"))</f>
        <v>753</v>
      </c>
      <c r="BY2237" s="5">
        <f t="shared" si="228"/>
        <v>-0.11819389110225764</v>
      </c>
      <c r="BZ2237" s="6">
        <f t="shared" si="229"/>
        <v>-0.11819389110225764</v>
      </c>
      <c r="CA2237" s="7">
        <v>44528</v>
      </c>
      <c r="CC2237">
        <v>158</v>
      </c>
      <c r="CD2237">
        <v>285</v>
      </c>
      <c r="CE2237">
        <v>221</v>
      </c>
      <c r="CI2237">
        <f t="shared" si="226"/>
        <v>2021</v>
      </c>
      <c r="CJ2237" t="str">
        <f t="shared" si="227"/>
        <v>7506_2021</v>
      </c>
    </row>
    <row r="2238" spans="1:88" x14ac:dyDescent="0.25">
      <c r="A2238" t="s">
        <v>111</v>
      </c>
      <c r="B2238" t="s">
        <v>418</v>
      </c>
      <c r="C2238">
        <v>7511</v>
      </c>
      <c r="D2238">
        <v>-37.762408000000001</v>
      </c>
      <c r="E2238">
        <v>144.88909200000001</v>
      </c>
      <c r="F2238">
        <v>3</v>
      </c>
      <c r="G2238" t="s">
        <v>858</v>
      </c>
      <c r="H2238">
        <v>2</v>
      </c>
      <c r="I2238">
        <v>182</v>
      </c>
      <c r="J2238">
        <v>138</v>
      </c>
      <c r="K2238">
        <v>318</v>
      </c>
      <c r="L2238">
        <v>287</v>
      </c>
      <c r="M2238">
        <v>107</v>
      </c>
      <c r="T2238">
        <v>1544</v>
      </c>
      <c r="U2238">
        <v>81</v>
      </c>
      <c r="Y2238">
        <v>1053</v>
      </c>
      <c r="Z2238">
        <v>141</v>
      </c>
      <c r="AD2238">
        <v>138</v>
      </c>
      <c r="AE2238">
        <v>121</v>
      </c>
      <c r="AX2238">
        <v>1625</v>
      </c>
      <c r="AY2238">
        <v>1191</v>
      </c>
      <c r="AZ2238">
        <v>2816</v>
      </c>
      <c r="BA2238">
        <v>1194</v>
      </c>
      <c r="BB2238">
        <v>1665</v>
      </c>
      <c r="BC2238">
        <v>2859</v>
      </c>
      <c r="BD2238">
        <v>259</v>
      </c>
      <c r="BE2238">
        <v>222</v>
      </c>
      <c r="BF2238">
        <v>481</v>
      </c>
      <c r="BP2238">
        <v>687</v>
      </c>
      <c r="BR2238">
        <v>1779</v>
      </c>
      <c r="BS2238">
        <v>367</v>
      </c>
      <c r="BT2238">
        <v>196</v>
      </c>
      <c r="BV2238">
        <v>49</v>
      </c>
      <c r="BW2238">
        <v>3078</v>
      </c>
      <c r="BX2238" t="s">
        <v>82</v>
      </c>
      <c r="BY2238" s="5"/>
      <c r="BZ2238" s="6"/>
      <c r="CA2238" s="7">
        <v>44143</v>
      </c>
      <c r="CE2238">
        <v>760</v>
      </c>
      <c r="CF2238">
        <v>782</v>
      </c>
      <c r="CG2238">
        <v>794</v>
      </c>
      <c r="CH2238">
        <v>742</v>
      </c>
      <c r="CI2238">
        <f t="shared" si="226"/>
        <v>2020</v>
      </c>
      <c r="CJ2238" t="str">
        <f t="shared" si="227"/>
        <v>7511_2020</v>
      </c>
    </row>
    <row r="2239" spans="1:88" x14ac:dyDescent="0.25">
      <c r="A2239" t="s">
        <v>111</v>
      </c>
      <c r="B2239" t="s">
        <v>418</v>
      </c>
      <c r="C2239">
        <v>7512</v>
      </c>
      <c r="D2239">
        <v>-37.801152000000002</v>
      </c>
      <c r="E2239">
        <v>144.88412500000001</v>
      </c>
      <c r="F2239">
        <v>3</v>
      </c>
      <c r="G2239" t="s">
        <v>859</v>
      </c>
      <c r="H2239">
        <v>97</v>
      </c>
      <c r="I2239">
        <v>277</v>
      </c>
      <c r="J2239">
        <v>137</v>
      </c>
      <c r="K2239">
        <v>317</v>
      </c>
      <c r="L2239">
        <v>277</v>
      </c>
      <c r="M2239">
        <v>97</v>
      </c>
      <c r="T2239">
        <v>33</v>
      </c>
      <c r="U2239">
        <v>117</v>
      </c>
      <c r="Y2239">
        <v>12</v>
      </c>
      <c r="Z2239">
        <v>58</v>
      </c>
      <c r="AD2239">
        <v>137</v>
      </c>
      <c r="AE2239">
        <v>68</v>
      </c>
      <c r="AX2239">
        <v>150</v>
      </c>
      <c r="AY2239">
        <v>149</v>
      </c>
      <c r="AZ2239">
        <v>299</v>
      </c>
      <c r="BA2239">
        <v>70</v>
      </c>
      <c r="BB2239">
        <v>101</v>
      </c>
      <c r="BC2239">
        <v>171</v>
      </c>
      <c r="BD2239">
        <v>205</v>
      </c>
      <c r="BE2239">
        <v>175</v>
      </c>
      <c r="BF2239">
        <v>380</v>
      </c>
      <c r="BP2239">
        <v>266</v>
      </c>
      <c r="BR2239">
        <v>102</v>
      </c>
      <c r="BS2239">
        <v>32</v>
      </c>
      <c r="BT2239">
        <v>15</v>
      </c>
      <c r="BV2239">
        <v>10</v>
      </c>
      <c r="BW2239">
        <v>425</v>
      </c>
      <c r="BX2239" t="s">
        <v>82</v>
      </c>
      <c r="BY2239" s="5"/>
      <c r="BZ2239" s="6"/>
      <c r="CA2239" s="7">
        <v>44143</v>
      </c>
      <c r="CE2239">
        <v>95</v>
      </c>
      <c r="CF2239">
        <v>113</v>
      </c>
      <c r="CG2239">
        <v>118</v>
      </c>
      <c r="CH2239">
        <v>99</v>
      </c>
      <c r="CI2239">
        <f t="shared" si="226"/>
        <v>2020</v>
      </c>
      <c r="CJ2239" t="str">
        <f t="shared" si="227"/>
        <v>7512_2020</v>
      </c>
    </row>
    <row r="2240" spans="1:88" x14ac:dyDescent="0.25">
      <c r="A2240" t="s">
        <v>111</v>
      </c>
      <c r="B2240" t="s">
        <v>418</v>
      </c>
      <c r="C2240">
        <v>7512</v>
      </c>
      <c r="D2240">
        <v>-37.801152000000002</v>
      </c>
      <c r="E2240">
        <v>144.88412500000001</v>
      </c>
      <c r="F2240">
        <v>3</v>
      </c>
      <c r="G2240" t="s">
        <v>859</v>
      </c>
      <c r="H2240">
        <v>97</v>
      </c>
      <c r="I2240">
        <v>277</v>
      </c>
      <c r="J2240">
        <v>137</v>
      </c>
      <c r="K2240">
        <v>317</v>
      </c>
      <c r="L2240">
        <v>277</v>
      </c>
      <c r="M2240">
        <v>97</v>
      </c>
      <c r="T2240">
        <v>22</v>
      </c>
      <c r="U2240">
        <v>58</v>
      </c>
      <c r="Y2240">
        <v>9</v>
      </c>
      <c r="Z2240">
        <v>19</v>
      </c>
      <c r="AD2240">
        <v>68</v>
      </c>
      <c r="AE2240">
        <v>34</v>
      </c>
      <c r="AX2240">
        <v>80</v>
      </c>
      <c r="AY2240">
        <v>77</v>
      </c>
      <c r="AZ2240">
        <v>157</v>
      </c>
      <c r="BA2240">
        <v>28</v>
      </c>
      <c r="BB2240">
        <v>56</v>
      </c>
      <c r="BC2240">
        <v>84</v>
      </c>
      <c r="BD2240">
        <v>102</v>
      </c>
      <c r="BE2240">
        <v>77</v>
      </c>
      <c r="BF2240">
        <v>179</v>
      </c>
      <c r="BP2240">
        <v>102</v>
      </c>
      <c r="BR2240">
        <v>58</v>
      </c>
      <c r="BS2240">
        <v>27</v>
      </c>
      <c r="BT2240">
        <v>10</v>
      </c>
      <c r="BV2240">
        <v>13</v>
      </c>
      <c r="BW2240">
        <v>210</v>
      </c>
      <c r="BX2240">
        <f>IF(C2240=C2239,IF((CI2240-1)=CI2239,BW2239,"no data"))</f>
        <v>425</v>
      </c>
      <c r="BY2240" s="5">
        <f t="shared" si="228"/>
        <v>-0.50588235294117645</v>
      </c>
      <c r="BZ2240" s="6">
        <f t="shared" si="229"/>
        <v>-0.50588235294117645</v>
      </c>
      <c r="CA2240" s="7">
        <v>44528</v>
      </c>
      <c r="CE2240">
        <v>77</v>
      </c>
      <c r="CF2240">
        <v>66</v>
      </c>
      <c r="CG2240">
        <v>67</v>
      </c>
      <c r="CI2240">
        <f t="shared" si="226"/>
        <v>2021</v>
      </c>
      <c r="CJ2240" t="str">
        <f t="shared" si="227"/>
        <v>7512_2021</v>
      </c>
    </row>
    <row r="2241" spans="1:88" x14ac:dyDescent="0.25">
      <c r="A2241" t="s">
        <v>111</v>
      </c>
      <c r="B2241" t="s">
        <v>418</v>
      </c>
      <c r="C2241">
        <v>7512</v>
      </c>
      <c r="D2241">
        <v>-37.801152000000002</v>
      </c>
      <c r="E2241">
        <v>144.88412500000001</v>
      </c>
      <c r="F2241">
        <v>3</v>
      </c>
      <c r="G2241" t="s">
        <v>859</v>
      </c>
      <c r="H2241">
        <v>97</v>
      </c>
      <c r="I2241">
        <v>277</v>
      </c>
      <c r="J2241">
        <v>137</v>
      </c>
      <c r="K2241">
        <v>317</v>
      </c>
      <c r="L2241">
        <v>277</v>
      </c>
      <c r="M2241">
        <v>97</v>
      </c>
      <c r="T2241">
        <v>13</v>
      </c>
      <c r="U2241">
        <v>40</v>
      </c>
      <c r="Y2241">
        <v>11</v>
      </c>
      <c r="Z2241">
        <v>31</v>
      </c>
      <c r="AD2241">
        <v>46</v>
      </c>
      <c r="AE2241">
        <v>78</v>
      </c>
      <c r="AX2241">
        <v>53</v>
      </c>
      <c r="AY2241">
        <v>57</v>
      </c>
      <c r="AZ2241">
        <v>110</v>
      </c>
      <c r="BA2241">
        <v>42</v>
      </c>
      <c r="BB2241">
        <v>91</v>
      </c>
      <c r="BC2241">
        <v>133</v>
      </c>
      <c r="BD2241">
        <v>124</v>
      </c>
      <c r="BE2241">
        <v>71</v>
      </c>
      <c r="BF2241">
        <v>195</v>
      </c>
      <c r="BP2241">
        <v>65</v>
      </c>
      <c r="BR2241">
        <v>109</v>
      </c>
      <c r="BS2241">
        <v>30</v>
      </c>
      <c r="BT2241">
        <v>11</v>
      </c>
      <c r="BU2241">
        <v>4</v>
      </c>
      <c r="BV2241">
        <v>0</v>
      </c>
      <c r="BW2241">
        <v>219</v>
      </c>
      <c r="BX2241">
        <f>IF(C2241=C2240,IF((CI2241-1)=CI2240,BW2240,"no data"))</f>
        <v>210</v>
      </c>
      <c r="BY2241" s="5">
        <f t="shared" si="228"/>
        <v>4.2857142857142858E-2</v>
      </c>
      <c r="BZ2241" s="6">
        <f t="shared" si="229"/>
        <v>4.2857142857142858E-2</v>
      </c>
      <c r="CA2241" s="7">
        <v>44878</v>
      </c>
      <c r="CE2241">
        <v>89</v>
      </c>
      <c r="CF2241">
        <v>60</v>
      </c>
      <c r="CG2241">
        <v>70</v>
      </c>
      <c r="CI2241">
        <f t="shared" si="226"/>
        <v>2022</v>
      </c>
      <c r="CJ2241" t="str">
        <f t="shared" si="227"/>
        <v>7512_2022</v>
      </c>
    </row>
    <row r="2242" spans="1:88" x14ac:dyDescent="0.25">
      <c r="A2242" t="s">
        <v>79</v>
      </c>
      <c r="B2242" t="s">
        <v>860</v>
      </c>
      <c r="C2242">
        <v>7513</v>
      </c>
      <c r="D2242">
        <v>-35.109867999999999</v>
      </c>
      <c r="E2242">
        <v>147.37382500000001</v>
      </c>
      <c r="F2242">
        <v>2</v>
      </c>
      <c r="G2242" t="s">
        <v>861</v>
      </c>
      <c r="H2242">
        <v>17</v>
      </c>
      <c r="I2242">
        <v>197</v>
      </c>
      <c r="J2242">
        <v>165</v>
      </c>
      <c r="K2242">
        <v>345</v>
      </c>
      <c r="T2242">
        <v>217</v>
      </c>
      <c r="Y2242">
        <v>182</v>
      </c>
      <c r="AX2242">
        <v>217</v>
      </c>
      <c r="AY2242">
        <v>182</v>
      </c>
      <c r="AZ2242">
        <v>399</v>
      </c>
      <c r="BA2242">
        <v>182</v>
      </c>
      <c r="BB2242">
        <v>217</v>
      </c>
      <c r="BC2242">
        <v>399</v>
      </c>
      <c r="BP2242">
        <v>78</v>
      </c>
      <c r="BR2242">
        <v>232</v>
      </c>
      <c r="BS2242">
        <v>35</v>
      </c>
      <c r="BT2242">
        <v>36</v>
      </c>
      <c r="BV2242">
        <v>18</v>
      </c>
      <c r="BW2242">
        <v>399</v>
      </c>
      <c r="BX2242" t="s">
        <v>82</v>
      </c>
      <c r="BY2242" s="5"/>
      <c r="BZ2242" s="6"/>
      <c r="CA2242" s="7">
        <v>44143</v>
      </c>
      <c r="CE2242">
        <v>149</v>
      </c>
      <c r="CF2242">
        <v>119</v>
      </c>
      <c r="CG2242">
        <v>70</v>
      </c>
      <c r="CH2242">
        <v>61</v>
      </c>
      <c r="CI2242">
        <f t="shared" si="226"/>
        <v>2020</v>
      </c>
      <c r="CJ2242" t="str">
        <f t="shared" si="227"/>
        <v>7513_2020</v>
      </c>
    </row>
    <row r="2243" spans="1:88" x14ac:dyDescent="0.25">
      <c r="A2243" t="s">
        <v>79</v>
      </c>
      <c r="B2243" t="s">
        <v>860</v>
      </c>
      <c r="C2243">
        <v>7514</v>
      </c>
      <c r="D2243">
        <v>-35.109838000000003</v>
      </c>
      <c r="E2243">
        <v>147.365004</v>
      </c>
      <c r="F2243">
        <v>2</v>
      </c>
      <c r="G2243" t="s">
        <v>862</v>
      </c>
      <c r="H2243">
        <v>95</v>
      </c>
      <c r="I2243">
        <v>275</v>
      </c>
      <c r="J2243">
        <v>270</v>
      </c>
      <c r="K2243">
        <v>90</v>
      </c>
      <c r="T2243">
        <v>48</v>
      </c>
      <c r="Y2243">
        <v>49</v>
      </c>
      <c r="AX2243">
        <v>48</v>
      </c>
      <c r="AY2243">
        <v>49</v>
      </c>
      <c r="AZ2243">
        <v>97</v>
      </c>
      <c r="BA2243">
        <v>49</v>
      </c>
      <c r="BB2243">
        <v>48</v>
      </c>
      <c r="BC2243">
        <v>97</v>
      </c>
      <c r="BP2243">
        <v>5</v>
      </c>
      <c r="BR2243">
        <v>59</v>
      </c>
      <c r="BS2243">
        <v>6</v>
      </c>
      <c r="BT2243">
        <v>23</v>
      </c>
      <c r="BV2243">
        <v>4</v>
      </c>
      <c r="BW2243">
        <v>97</v>
      </c>
      <c r="BX2243" t="s">
        <v>82</v>
      </c>
      <c r="BY2243" s="5"/>
      <c r="BZ2243" s="6"/>
      <c r="CA2243" s="7">
        <v>44143</v>
      </c>
      <c r="CE2243">
        <v>21</v>
      </c>
      <c r="CF2243">
        <v>30</v>
      </c>
      <c r="CG2243">
        <v>25</v>
      </c>
      <c r="CH2243">
        <v>21</v>
      </c>
      <c r="CI2243">
        <f t="shared" ref="CI2243:CI2306" si="230">YEAR(CA2243)</f>
        <v>2020</v>
      </c>
      <c r="CJ2243" t="str">
        <f t="shared" ref="CJ2243:CJ2306" si="231">_xlfn.CONCAT(C2243,"_",CI2243)</f>
        <v>7514_2020</v>
      </c>
    </row>
    <row r="2244" spans="1:88" x14ac:dyDescent="0.25">
      <c r="A2244" t="s">
        <v>79</v>
      </c>
      <c r="B2244" t="s">
        <v>860</v>
      </c>
      <c r="C2244">
        <v>7515</v>
      </c>
      <c r="D2244">
        <v>-35.072991000000002</v>
      </c>
      <c r="E2244">
        <v>147.35802799999999</v>
      </c>
      <c r="F2244">
        <v>3</v>
      </c>
      <c r="G2244" t="s">
        <v>863</v>
      </c>
      <c r="H2244">
        <v>7</v>
      </c>
      <c r="I2244">
        <v>187</v>
      </c>
      <c r="J2244">
        <v>187</v>
      </c>
      <c r="K2244">
        <v>7</v>
      </c>
      <c r="L2244">
        <v>280</v>
      </c>
      <c r="M2244">
        <v>100</v>
      </c>
      <c r="T2244">
        <v>14</v>
      </c>
      <c r="U2244">
        <v>2</v>
      </c>
      <c r="Y2244">
        <v>16</v>
      </c>
      <c r="Z2244">
        <v>2</v>
      </c>
      <c r="AD2244">
        <v>4</v>
      </c>
      <c r="AE2244">
        <v>1</v>
      </c>
      <c r="AX2244">
        <v>16</v>
      </c>
      <c r="AY2244">
        <v>20</v>
      </c>
      <c r="AZ2244">
        <v>36</v>
      </c>
      <c r="BA2244">
        <v>18</v>
      </c>
      <c r="BB2244">
        <v>15</v>
      </c>
      <c r="BC2244">
        <v>33</v>
      </c>
      <c r="BD2244">
        <v>5</v>
      </c>
      <c r="BE2244">
        <v>4</v>
      </c>
      <c r="BF2244">
        <v>9</v>
      </c>
      <c r="BP2244">
        <v>6</v>
      </c>
      <c r="BR2244">
        <v>19</v>
      </c>
      <c r="BS2244">
        <v>6</v>
      </c>
      <c r="BT2244">
        <v>8</v>
      </c>
      <c r="BV2244">
        <v>0</v>
      </c>
      <c r="BW2244">
        <v>39</v>
      </c>
      <c r="BX2244" t="s">
        <v>82</v>
      </c>
      <c r="BY2244" s="5"/>
      <c r="BZ2244" s="6"/>
      <c r="CA2244" s="7">
        <v>44143</v>
      </c>
      <c r="CE2244">
        <v>10</v>
      </c>
      <c r="CF2244">
        <v>11</v>
      </c>
      <c r="CG2244">
        <v>5</v>
      </c>
      <c r="CH2244">
        <v>13</v>
      </c>
      <c r="CI2244">
        <f t="shared" si="230"/>
        <v>2020</v>
      </c>
      <c r="CJ2244" t="str">
        <f t="shared" si="231"/>
        <v>7515_2020</v>
      </c>
    </row>
    <row r="2245" spans="1:88" x14ac:dyDescent="0.25">
      <c r="A2245" t="s">
        <v>140</v>
      </c>
      <c r="B2245" t="s">
        <v>143</v>
      </c>
      <c r="C2245">
        <v>7516</v>
      </c>
      <c r="D2245">
        <v>-32.112214000000002</v>
      </c>
      <c r="E2245">
        <v>115.76479999999999</v>
      </c>
      <c r="F2245">
        <v>4</v>
      </c>
      <c r="G2245" t="s">
        <v>864</v>
      </c>
      <c r="H2245">
        <v>60</v>
      </c>
      <c r="I2245">
        <v>240</v>
      </c>
      <c r="J2245">
        <v>162</v>
      </c>
      <c r="K2245">
        <v>342</v>
      </c>
      <c r="L2245">
        <v>255</v>
      </c>
      <c r="M2245">
        <v>75</v>
      </c>
      <c r="N2245">
        <v>342</v>
      </c>
      <c r="O2245">
        <v>162</v>
      </c>
      <c r="T2245">
        <v>17</v>
      </c>
      <c r="U2245">
        <v>1</v>
      </c>
      <c r="V2245">
        <v>0</v>
      </c>
      <c r="Y2245">
        <v>11</v>
      </c>
      <c r="Z2245">
        <v>16</v>
      </c>
      <c r="AA2245">
        <v>245</v>
      </c>
      <c r="AD2245">
        <v>4</v>
      </c>
      <c r="AE2245">
        <v>15</v>
      </c>
      <c r="AF2245">
        <v>0</v>
      </c>
      <c r="AI2245">
        <v>1</v>
      </c>
      <c r="AJ2245">
        <v>240</v>
      </c>
      <c r="AK2245">
        <v>1</v>
      </c>
      <c r="AX2245">
        <v>18</v>
      </c>
      <c r="AY2245">
        <v>16</v>
      </c>
      <c r="AZ2245">
        <v>34</v>
      </c>
      <c r="BA2245">
        <v>272</v>
      </c>
      <c r="BB2245">
        <v>272</v>
      </c>
      <c r="BC2245">
        <v>544</v>
      </c>
      <c r="BD2245">
        <v>19</v>
      </c>
      <c r="BE2245">
        <v>18</v>
      </c>
      <c r="BF2245">
        <v>37</v>
      </c>
      <c r="BG2245">
        <v>242</v>
      </c>
      <c r="BH2245">
        <v>245</v>
      </c>
      <c r="BI2245">
        <v>487</v>
      </c>
      <c r="BP2245">
        <v>241</v>
      </c>
      <c r="BR2245">
        <v>214</v>
      </c>
      <c r="BS2245">
        <v>59</v>
      </c>
      <c r="BT2245">
        <v>24</v>
      </c>
      <c r="BV2245">
        <v>13</v>
      </c>
      <c r="BW2245">
        <v>551</v>
      </c>
      <c r="BX2245" t="s">
        <v>82</v>
      </c>
      <c r="BY2245" s="5"/>
      <c r="BZ2245" s="6"/>
      <c r="CA2245" s="7">
        <v>44143</v>
      </c>
      <c r="CC2245">
        <v>105</v>
      </c>
      <c r="CD2245">
        <v>172</v>
      </c>
      <c r="CE2245">
        <v>132</v>
      </c>
      <c r="CF2245">
        <v>142</v>
      </c>
      <c r="CI2245">
        <f t="shared" si="230"/>
        <v>2020</v>
      </c>
      <c r="CJ2245" t="str">
        <f t="shared" si="231"/>
        <v>7516_2020</v>
      </c>
    </row>
    <row r="2246" spans="1:88" x14ac:dyDescent="0.25">
      <c r="A2246" t="s">
        <v>140</v>
      </c>
      <c r="B2246" t="s">
        <v>143</v>
      </c>
      <c r="C2246">
        <v>7516</v>
      </c>
      <c r="D2246">
        <v>-32.112214000000002</v>
      </c>
      <c r="E2246">
        <v>115.76479999999999</v>
      </c>
      <c r="F2246">
        <v>4</v>
      </c>
      <c r="G2246" t="s">
        <v>864</v>
      </c>
      <c r="H2246">
        <v>60</v>
      </c>
      <c r="I2246">
        <v>240</v>
      </c>
      <c r="J2246">
        <v>162</v>
      </c>
      <c r="K2246">
        <v>342</v>
      </c>
      <c r="L2246">
        <v>255</v>
      </c>
      <c r="M2246">
        <v>75</v>
      </c>
      <c r="N2246">
        <v>342</v>
      </c>
      <c r="O2246">
        <v>162</v>
      </c>
      <c r="T2246">
        <v>13</v>
      </c>
      <c r="U2246">
        <v>86</v>
      </c>
      <c r="V2246">
        <v>57</v>
      </c>
      <c r="Y2246">
        <v>6</v>
      </c>
      <c r="Z2246">
        <v>11</v>
      </c>
      <c r="AA2246">
        <v>213</v>
      </c>
      <c r="AD2246">
        <v>14</v>
      </c>
      <c r="AE2246">
        <v>17</v>
      </c>
      <c r="AF2246">
        <v>1</v>
      </c>
      <c r="AI2246">
        <v>41</v>
      </c>
      <c r="AJ2246">
        <v>229</v>
      </c>
      <c r="AK2246">
        <v>6</v>
      </c>
      <c r="AX2246">
        <v>156</v>
      </c>
      <c r="AY2246">
        <v>61</v>
      </c>
      <c r="AZ2246">
        <v>217</v>
      </c>
      <c r="BA2246">
        <v>230</v>
      </c>
      <c r="BB2246">
        <v>259</v>
      </c>
      <c r="BC2246">
        <v>489</v>
      </c>
      <c r="BD2246">
        <v>32</v>
      </c>
      <c r="BE2246">
        <v>103</v>
      </c>
      <c r="BF2246">
        <v>135</v>
      </c>
      <c r="BG2246">
        <v>276</v>
      </c>
      <c r="BH2246">
        <v>271</v>
      </c>
      <c r="BI2246">
        <v>547</v>
      </c>
      <c r="BP2246">
        <v>154</v>
      </c>
      <c r="BR2246">
        <v>444</v>
      </c>
      <c r="BS2246">
        <v>74</v>
      </c>
      <c r="BT2246">
        <v>22</v>
      </c>
      <c r="BV2246">
        <v>0</v>
      </c>
      <c r="BW2246">
        <v>694</v>
      </c>
      <c r="BX2246">
        <f>IF(C2246=C2245,IF((CI2246-1)=CI2245,BW2245,"no data"))</f>
        <v>551</v>
      </c>
      <c r="BY2246" s="5">
        <f t="shared" si="228"/>
        <v>0.25952813067150637</v>
      </c>
      <c r="BZ2246" s="6">
        <f t="shared" ref="BZ2246:BZ2299" si="232">BY2246</f>
        <v>0.25952813067150637</v>
      </c>
      <c r="CA2246" s="7">
        <v>44528</v>
      </c>
      <c r="CC2246">
        <v>181</v>
      </c>
      <c r="CD2246">
        <v>261</v>
      </c>
      <c r="CE2246">
        <v>252</v>
      </c>
      <c r="CI2246">
        <f t="shared" si="230"/>
        <v>2021</v>
      </c>
      <c r="CJ2246" t="str">
        <f t="shared" si="231"/>
        <v>7516_2021</v>
      </c>
    </row>
    <row r="2247" spans="1:88" x14ac:dyDescent="0.25">
      <c r="A2247" t="s">
        <v>79</v>
      </c>
      <c r="B2247" t="s">
        <v>860</v>
      </c>
      <c r="C2247">
        <v>7517</v>
      </c>
      <c r="D2247">
        <v>-35.159351000000001</v>
      </c>
      <c r="E2247">
        <v>147.37597500000001</v>
      </c>
      <c r="F2247">
        <v>2</v>
      </c>
      <c r="G2247" t="s">
        <v>865</v>
      </c>
      <c r="H2247">
        <v>160</v>
      </c>
      <c r="I2247">
        <v>340</v>
      </c>
      <c r="J2247">
        <v>344</v>
      </c>
      <c r="K2247">
        <v>164</v>
      </c>
      <c r="T2247">
        <v>189</v>
      </c>
      <c r="Y2247">
        <v>106</v>
      </c>
      <c r="AX2247">
        <v>189</v>
      </c>
      <c r="AY2247">
        <v>106</v>
      </c>
      <c r="AZ2247">
        <v>295</v>
      </c>
      <c r="BA2247">
        <v>106</v>
      </c>
      <c r="BB2247">
        <v>189</v>
      </c>
      <c r="BC2247">
        <v>295</v>
      </c>
      <c r="BP2247">
        <v>85</v>
      </c>
      <c r="BR2247">
        <v>152</v>
      </c>
      <c r="BS2247">
        <v>24</v>
      </c>
      <c r="BT2247">
        <v>24</v>
      </c>
      <c r="BV2247">
        <v>10</v>
      </c>
      <c r="BW2247">
        <v>295</v>
      </c>
      <c r="BX2247" t="s">
        <v>82</v>
      </c>
      <c r="BY2247" s="5"/>
      <c r="BZ2247" s="6"/>
      <c r="CA2247" s="7">
        <v>44143</v>
      </c>
      <c r="CE2247">
        <v>82</v>
      </c>
      <c r="CF2247">
        <v>86</v>
      </c>
      <c r="CG2247">
        <v>75</v>
      </c>
      <c r="CH2247">
        <v>52</v>
      </c>
      <c r="CI2247">
        <f t="shared" si="230"/>
        <v>2020</v>
      </c>
      <c r="CJ2247" t="str">
        <f t="shared" si="231"/>
        <v>7517_2020</v>
      </c>
    </row>
    <row r="2248" spans="1:88" x14ac:dyDescent="0.25">
      <c r="A2248" t="s">
        <v>79</v>
      </c>
      <c r="B2248" t="s">
        <v>439</v>
      </c>
      <c r="C2248">
        <v>7518</v>
      </c>
      <c r="D2248">
        <v>-33.928820000000002</v>
      </c>
      <c r="E2248">
        <v>150.97985499999999</v>
      </c>
      <c r="F2248">
        <v>3</v>
      </c>
      <c r="G2248" t="s">
        <v>866</v>
      </c>
      <c r="H2248">
        <v>140</v>
      </c>
      <c r="I2248">
        <v>320</v>
      </c>
      <c r="J2248">
        <v>214</v>
      </c>
      <c r="K2248">
        <v>34</v>
      </c>
      <c r="L2248">
        <v>348</v>
      </c>
      <c r="M2248">
        <v>168</v>
      </c>
      <c r="T2248">
        <v>8</v>
      </c>
      <c r="U2248">
        <v>11</v>
      </c>
      <c r="Y2248">
        <v>13</v>
      </c>
      <c r="Z2248">
        <v>29</v>
      </c>
      <c r="AD2248">
        <v>6</v>
      </c>
      <c r="AE2248">
        <v>40</v>
      </c>
      <c r="AX2248">
        <v>19</v>
      </c>
      <c r="AY2248">
        <v>19</v>
      </c>
      <c r="AZ2248">
        <v>38</v>
      </c>
      <c r="BA2248">
        <v>42</v>
      </c>
      <c r="BB2248">
        <v>48</v>
      </c>
      <c r="BC2248">
        <v>90</v>
      </c>
      <c r="BD2248">
        <v>46</v>
      </c>
      <c r="BE2248">
        <v>40</v>
      </c>
      <c r="BF2248">
        <v>86</v>
      </c>
      <c r="BP2248">
        <v>86</v>
      </c>
      <c r="BR2248">
        <v>11</v>
      </c>
      <c r="BS2248">
        <v>10</v>
      </c>
      <c r="BT2248">
        <v>0</v>
      </c>
      <c r="BV2248">
        <v>0</v>
      </c>
      <c r="BW2248">
        <v>107</v>
      </c>
      <c r="BX2248" t="s">
        <v>82</v>
      </c>
      <c r="BY2248" s="5"/>
      <c r="BZ2248" s="6"/>
      <c r="CA2248" s="7">
        <v>44143</v>
      </c>
      <c r="CE2248">
        <v>38</v>
      </c>
      <c r="CF2248">
        <v>27</v>
      </c>
      <c r="CG2248">
        <v>20</v>
      </c>
      <c r="CH2248">
        <v>22</v>
      </c>
      <c r="CI2248">
        <f t="shared" si="230"/>
        <v>2020</v>
      </c>
      <c r="CJ2248" t="str">
        <f t="shared" si="231"/>
        <v>7518_2020</v>
      </c>
    </row>
    <row r="2249" spans="1:88" x14ac:dyDescent="0.25">
      <c r="A2249" t="s">
        <v>79</v>
      </c>
      <c r="B2249" t="s">
        <v>439</v>
      </c>
      <c r="C2249">
        <v>7518</v>
      </c>
      <c r="D2249">
        <v>-33.928820000000002</v>
      </c>
      <c r="E2249">
        <v>150.97985499999999</v>
      </c>
      <c r="F2249">
        <v>3</v>
      </c>
      <c r="G2249" t="s">
        <v>866</v>
      </c>
      <c r="H2249">
        <v>140</v>
      </c>
      <c r="I2249">
        <v>320</v>
      </c>
      <c r="J2249">
        <v>214</v>
      </c>
      <c r="K2249">
        <v>34</v>
      </c>
      <c r="L2249">
        <v>348</v>
      </c>
      <c r="M2249">
        <v>168</v>
      </c>
      <c r="T2249">
        <v>8</v>
      </c>
      <c r="U2249">
        <v>2</v>
      </c>
      <c r="Y2249">
        <v>3</v>
      </c>
      <c r="Z2249">
        <v>32</v>
      </c>
      <c r="AD2249">
        <v>11</v>
      </c>
      <c r="AE2249">
        <v>24</v>
      </c>
      <c r="AX2249">
        <v>10</v>
      </c>
      <c r="AY2249">
        <v>14</v>
      </c>
      <c r="AZ2249">
        <v>24</v>
      </c>
      <c r="BA2249">
        <v>35</v>
      </c>
      <c r="BB2249">
        <v>32</v>
      </c>
      <c r="BC2249">
        <v>67</v>
      </c>
      <c r="BD2249">
        <v>35</v>
      </c>
      <c r="BE2249">
        <v>34</v>
      </c>
      <c r="BF2249">
        <v>69</v>
      </c>
      <c r="BP2249">
        <v>61</v>
      </c>
      <c r="BR2249">
        <v>5</v>
      </c>
      <c r="BS2249">
        <v>10</v>
      </c>
      <c r="BT2249">
        <v>2</v>
      </c>
      <c r="BV2249">
        <v>2</v>
      </c>
      <c r="BW2249">
        <v>80</v>
      </c>
      <c r="BX2249">
        <f>IF(C2249=C2248,IF((CI2249-1)=CI2248,BW2248,"no data"))</f>
        <v>107</v>
      </c>
      <c r="BY2249" s="5">
        <f t="shared" si="228"/>
        <v>-0.25233644859813081</v>
      </c>
      <c r="BZ2249" s="6">
        <f t="shared" si="232"/>
        <v>-0.25233644859813081</v>
      </c>
      <c r="CA2249" s="7">
        <v>44528</v>
      </c>
      <c r="CE2249">
        <v>40</v>
      </c>
      <c r="CF2249">
        <v>20</v>
      </c>
      <c r="CG2249">
        <v>20</v>
      </c>
      <c r="CI2249">
        <f t="shared" si="230"/>
        <v>2021</v>
      </c>
      <c r="CJ2249" t="str">
        <f t="shared" si="231"/>
        <v>7518_2021</v>
      </c>
    </row>
    <row r="2250" spans="1:88" x14ac:dyDescent="0.25">
      <c r="A2250" t="s">
        <v>79</v>
      </c>
      <c r="B2250" t="s">
        <v>439</v>
      </c>
      <c r="C2250">
        <v>7518</v>
      </c>
      <c r="D2250">
        <v>-33.928820000000002</v>
      </c>
      <c r="E2250">
        <v>150.97985499999999</v>
      </c>
      <c r="F2250">
        <v>3</v>
      </c>
      <c r="G2250" t="s">
        <v>866</v>
      </c>
      <c r="H2250">
        <v>140</v>
      </c>
      <c r="I2250">
        <v>320</v>
      </c>
      <c r="J2250">
        <v>214</v>
      </c>
      <c r="K2250">
        <v>34</v>
      </c>
      <c r="L2250">
        <v>348</v>
      </c>
      <c r="M2250">
        <v>168</v>
      </c>
      <c r="T2250">
        <v>3</v>
      </c>
      <c r="U2250">
        <v>7</v>
      </c>
      <c r="Y2250">
        <v>2</v>
      </c>
      <c r="Z2250">
        <v>7</v>
      </c>
      <c r="AD2250">
        <v>19</v>
      </c>
      <c r="AE2250">
        <v>14</v>
      </c>
      <c r="AX2250">
        <v>10</v>
      </c>
      <c r="AY2250">
        <v>21</v>
      </c>
      <c r="AZ2250">
        <v>31</v>
      </c>
      <c r="BA2250">
        <v>9</v>
      </c>
      <c r="BB2250">
        <v>17</v>
      </c>
      <c r="BC2250">
        <v>26</v>
      </c>
      <c r="BD2250">
        <v>33</v>
      </c>
      <c r="BE2250">
        <v>14</v>
      </c>
      <c r="BF2250">
        <v>47</v>
      </c>
      <c r="BP2250">
        <v>38</v>
      </c>
      <c r="BR2250">
        <v>3</v>
      </c>
      <c r="BS2250">
        <v>10</v>
      </c>
      <c r="BT2250">
        <v>0</v>
      </c>
      <c r="BU2250">
        <v>1</v>
      </c>
      <c r="BV2250">
        <v>0</v>
      </c>
      <c r="BW2250">
        <v>52</v>
      </c>
      <c r="BX2250">
        <f>IF(C2250=C2249,IF((CI2250-1)=CI2249,BW2249,"no data"))</f>
        <v>80</v>
      </c>
      <c r="BY2250" s="5">
        <f t="shared" si="228"/>
        <v>-0.35</v>
      </c>
      <c r="BZ2250" s="6">
        <f t="shared" si="232"/>
        <v>-0.35</v>
      </c>
      <c r="CA2250" s="7">
        <v>44885</v>
      </c>
      <c r="CE2250">
        <v>26</v>
      </c>
      <c r="CF2250">
        <v>15</v>
      </c>
      <c r="CG2250">
        <v>11</v>
      </c>
      <c r="CI2250">
        <f t="shared" si="230"/>
        <v>2022</v>
      </c>
      <c r="CJ2250" t="str">
        <f t="shared" si="231"/>
        <v>7518_2022</v>
      </c>
    </row>
    <row r="2251" spans="1:88" x14ac:dyDescent="0.25">
      <c r="A2251" t="s">
        <v>140</v>
      </c>
      <c r="B2251" t="s">
        <v>380</v>
      </c>
      <c r="C2251">
        <v>7519</v>
      </c>
      <c r="D2251">
        <v>-31.982002000000001</v>
      </c>
      <c r="E2251">
        <v>115.75982</v>
      </c>
      <c r="F2251">
        <v>4</v>
      </c>
      <c r="G2251" t="s">
        <v>867</v>
      </c>
      <c r="H2251">
        <v>0</v>
      </c>
      <c r="I2251">
        <v>180</v>
      </c>
      <c r="J2251">
        <v>90</v>
      </c>
      <c r="K2251">
        <v>270</v>
      </c>
      <c r="L2251">
        <v>180</v>
      </c>
      <c r="M2251">
        <v>360</v>
      </c>
      <c r="N2251">
        <v>270</v>
      </c>
      <c r="O2251">
        <v>90</v>
      </c>
      <c r="T2251">
        <v>5</v>
      </c>
      <c r="U2251">
        <v>27</v>
      </c>
      <c r="V2251">
        <v>0</v>
      </c>
      <c r="Y2251">
        <v>1</v>
      </c>
      <c r="Z2251">
        <v>4</v>
      </c>
      <c r="AA2251">
        <v>50</v>
      </c>
      <c r="AD2251">
        <v>25</v>
      </c>
      <c r="AE2251">
        <v>8</v>
      </c>
      <c r="AF2251">
        <v>19</v>
      </c>
      <c r="AI2251">
        <v>2</v>
      </c>
      <c r="AJ2251">
        <v>77</v>
      </c>
      <c r="AK2251">
        <v>31</v>
      </c>
      <c r="AX2251">
        <v>32</v>
      </c>
      <c r="AY2251">
        <v>28</v>
      </c>
      <c r="AZ2251">
        <v>60</v>
      </c>
      <c r="BA2251">
        <v>55</v>
      </c>
      <c r="BB2251">
        <v>90</v>
      </c>
      <c r="BC2251">
        <v>145</v>
      </c>
      <c r="BD2251">
        <v>52</v>
      </c>
      <c r="BE2251">
        <v>62</v>
      </c>
      <c r="BF2251">
        <v>114</v>
      </c>
      <c r="BG2251">
        <v>110</v>
      </c>
      <c r="BH2251">
        <v>69</v>
      </c>
      <c r="BI2251">
        <v>179</v>
      </c>
      <c r="BP2251">
        <v>63</v>
      </c>
      <c r="BR2251">
        <v>150</v>
      </c>
      <c r="BS2251">
        <v>10</v>
      </c>
      <c r="BT2251">
        <v>25</v>
      </c>
      <c r="BV2251">
        <v>1</v>
      </c>
      <c r="BW2251">
        <v>249</v>
      </c>
      <c r="BX2251" t="s">
        <v>82</v>
      </c>
      <c r="BY2251" s="5"/>
      <c r="BZ2251" s="6"/>
      <c r="CA2251" s="7">
        <v>44143</v>
      </c>
      <c r="CE2251">
        <v>74</v>
      </c>
      <c r="CF2251">
        <v>89</v>
      </c>
      <c r="CG2251">
        <v>45</v>
      </c>
      <c r="CH2251">
        <v>41</v>
      </c>
      <c r="CI2251">
        <f t="shared" si="230"/>
        <v>2020</v>
      </c>
      <c r="CJ2251" t="str">
        <f t="shared" si="231"/>
        <v>7519_2020</v>
      </c>
    </row>
    <row r="2252" spans="1:88" x14ac:dyDescent="0.25">
      <c r="A2252" t="s">
        <v>140</v>
      </c>
      <c r="B2252" t="s">
        <v>380</v>
      </c>
      <c r="C2252">
        <v>7520</v>
      </c>
      <c r="D2252">
        <v>-31.989642</v>
      </c>
      <c r="E2252">
        <v>115.756174</v>
      </c>
      <c r="F2252">
        <v>4</v>
      </c>
      <c r="G2252" t="s">
        <v>868</v>
      </c>
      <c r="H2252">
        <v>0</v>
      </c>
      <c r="I2252">
        <v>180</v>
      </c>
      <c r="J2252">
        <v>90</v>
      </c>
      <c r="K2252">
        <v>270</v>
      </c>
      <c r="L2252">
        <v>180</v>
      </c>
      <c r="M2252">
        <v>360</v>
      </c>
      <c r="N2252">
        <v>270</v>
      </c>
      <c r="O2252">
        <v>90</v>
      </c>
      <c r="T2252">
        <v>27</v>
      </c>
      <c r="U2252">
        <v>18</v>
      </c>
      <c r="V2252">
        <v>16</v>
      </c>
      <c r="Y2252">
        <v>17</v>
      </c>
      <c r="Z2252">
        <v>14</v>
      </c>
      <c r="AA2252">
        <v>53</v>
      </c>
      <c r="AD2252">
        <v>38</v>
      </c>
      <c r="AE2252">
        <v>14</v>
      </c>
      <c r="AF2252">
        <v>12</v>
      </c>
      <c r="AI2252">
        <v>19</v>
      </c>
      <c r="AJ2252">
        <v>98</v>
      </c>
      <c r="AK2252">
        <v>12</v>
      </c>
      <c r="AX2252">
        <v>61</v>
      </c>
      <c r="AY2252">
        <v>74</v>
      </c>
      <c r="AZ2252">
        <v>135</v>
      </c>
      <c r="BA2252">
        <v>84</v>
      </c>
      <c r="BB2252">
        <v>139</v>
      </c>
      <c r="BC2252">
        <v>223</v>
      </c>
      <c r="BD2252">
        <v>64</v>
      </c>
      <c r="BE2252">
        <v>44</v>
      </c>
      <c r="BF2252">
        <v>108</v>
      </c>
      <c r="BG2252">
        <v>129</v>
      </c>
      <c r="BH2252">
        <v>81</v>
      </c>
      <c r="BI2252">
        <v>210</v>
      </c>
      <c r="BP2252">
        <v>55</v>
      </c>
      <c r="BR2252">
        <v>258</v>
      </c>
      <c r="BS2252">
        <v>4</v>
      </c>
      <c r="BT2252">
        <v>19</v>
      </c>
      <c r="BV2252">
        <v>2</v>
      </c>
      <c r="BW2252">
        <v>338</v>
      </c>
      <c r="BX2252" t="s">
        <v>82</v>
      </c>
      <c r="BY2252" s="5"/>
      <c r="BZ2252" s="6"/>
      <c r="CA2252" s="7">
        <v>44143</v>
      </c>
      <c r="CE2252">
        <v>96</v>
      </c>
      <c r="CF2252">
        <v>95</v>
      </c>
      <c r="CG2252">
        <v>99</v>
      </c>
      <c r="CH2252">
        <v>48</v>
      </c>
      <c r="CI2252">
        <f t="shared" si="230"/>
        <v>2020</v>
      </c>
      <c r="CJ2252" t="str">
        <f t="shared" si="231"/>
        <v>7520_2020</v>
      </c>
    </row>
    <row r="2253" spans="1:88" x14ac:dyDescent="0.25">
      <c r="A2253" t="s">
        <v>140</v>
      </c>
      <c r="B2253" t="s">
        <v>380</v>
      </c>
      <c r="C2253">
        <v>7521</v>
      </c>
      <c r="D2253">
        <v>-32.005282000000001</v>
      </c>
      <c r="E2253">
        <v>115.756167</v>
      </c>
      <c r="F2253">
        <v>4</v>
      </c>
      <c r="G2253" t="s">
        <v>869</v>
      </c>
      <c r="H2253">
        <v>0</v>
      </c>
      <c r="I2253">
        <v>180</v>
      </c>
      <c r="J2253">
        <v>90</v>
      </c>
      <c r="K2253">
        <v>270</v>
      </c>
      <c r="L2253">
        <v>180</v>
      </c>
      <c r="M2253">
        <v>360</v>
      </c>
      <c r="N2253">
        <v>270</v>
      </c>
      <c r="O2253">
        <v>90</v>
      </c>
      <c r="T2253">
        <v>15</v>
      </c>
      <c r="U2253">
        <v>20</v>
      </c>
      <c r="V2253">
        <v>8</v>
      </c>
      <c r="Y2253">
        <v>6</v>
      </c>
      <c r="Z2253">
        <v>3</v>
      </c>
      <c r="AA2253">
        <v>29</v>
      </c>
      <c r="AD2253">
        <v>14</v>
      </c>
      <c r="AE2253">
        <v>3</v>
      </c>
      <c r="AF2253">
        <v>4</v>
      </c>
      <c r="AI2253">
        <v>8</v>
      </c>
      <c r="AJ2253">
        <v>31</v>
      </c>
      <c r="AK2253">
        <v>0</v>
      </c>
      <c r="AX2253">
        <v>43</v>
      </c>
      <c r="AY2253">
        <v>28</v>
      </c>
      <c r="AZ2253">
        <v>71</v>
      </c>
      <c r="BA2253">
        <v>38</v>
      </c>
      <c r="BB2253">
        <v>49</v>
      </c>
      <c r="BC2253">
        <v>87</v>
      </c>
      <c r="BD2253">
        <v>21</v>
      </c>
      <c r="BE2253">
        <v>23</v>
      </c>
      <c r="BF2253">
        <v>44</v>
      </c>
      <c r="BG2253">
        <v>39</v>
      </c>
      <c r="BH2253">
        <v>41</v>
      </c>
      <c r="BI2253">
        <v>80</v>
      </c>
      <c r="BP2253">
        <v>31</v>
      </c>
      <c r="BR2253">
        <v>79</v>
      </c>
      <c r="BS2253">
        <v>9</v>
      </c>
      <c r="BT2253">
        <v>19</v>
      </c>
      <c r="BV2253">
        <v>3</v>
      </c>
      <c r="BW2253">
        <v>141</v>
      </c>
      <c r="BX2253" t="s">
        <v>82</v>
      </c>
      <c r="BY2253" s="5"/>
      <c r="BZ2253" s="6"/>
      <c r="CA2253" s="7">
        <v>44143</v>
      </c>
      <c r="CE2253">
        <v>47</v>
      </c>
      <c r="CF2253">
        <v>44</v>
      </c>
      <c r="CG2253">
        <v>31</v>
      </c>
      <c r="CH2253">
        <v>19</v>
      </c>
      <c r="CI2253">
        <f t="shared" si="230"/>
        <v>2020</v>
      </c>
      <c r="CJ2253" t="str">
        <f t="shared" si="231"/>
        <v>7521_2020</v>
      </c>
    </row>
    <row r="2254" spans="1:88" x14ac:dyDescent="0.25">
      <c r="A2254" t="s">
        <v>79</v>
      </c>
      <c r="B2254" t="s">
        <v>439</v>
      </c>
      <c r="C2254">
        <v>7522</v>
      </c>
      <c r="D2254">
        <v>-33.951962999999999</v>
      </c>
      <c r="E2254">
        <v>151.042136</v>
      </c>
      <c r="F2254">
        <v>3</v>
      </c>
      <c r="G2254" t="s">
        <v>870</v>
      </c>
      <c r="H2254">
        <v>95</v>
      </c>
      <c r="I2254">
        <v>275</v>
      </c>
      <c r="J2254">
        <v>190</v>
      </c>
      <c r="K2254">
        <v>10</v>
      </c>
      <c r="L2254">
        <v>305</v>
      </c>
      <c r="M2254">
        <v>125</v>
      </c>
      <c r="T2254">
        <v>71</v>
      </c>
      <c r="U2254">
        <v>48</v>
      </c>
      <c r="Y2254">
        <v>64</v>
      </c>
      <c r="Z2254">
        <v>65</v>
      </c>
      <c r="AD2254">
        <v>41</v>
      </c>
      <c r="AE2254">
        <v>77</v>
      </c>
      <c r="AX2254">
        <v>119</v>
      </c>
      <c r="AY2254">
        <v>105</v>
      </c>
      <c r="AZ2254">
        <v>224</v>
      </c>
      <c r="BA2254">
        <v>129</v>
      </c>
      <c r="BB2254">
        <v>148</v>
      </c>
      <c r="BC2254">
        <v>277</v>
      </c>
      <c r="BD2254">
        <v>118</v>
      </c>
      <c r="BE2254">
        <v>113</v>
      </c>
      <c r="BF2254">
        <v>231</v>
      </c>
      <c r="BP2254">
        <v>33</v>
      </c>
      <c r="BR2254">
        <v>276</v>
      </c>
      <c r="BS2254">
        <v>20</v>
      </c>
      <c r="BT2254">
        <v>30</v>
      </c>
      <c r="BV2254">
        <v>7</v>
      </c>
      <c r="BW2254">
        <v>366</v>
      </c>
      <c r="BX2254" t="s">
        <v>82</v>
      </c>
      <c r="BY2254" s="5"/>
      <c r="BZ2254" s="6"/>
      <c r="CA2254" s="7">
        <v>44143</v>
      </c>
      <c r="CE2254">
        <v>98</v>
      </c>
      <c r="CF2254">
        <v>81</v>
      </c>
      <c r="CG2254">
        <v>80</v>
      </c>
      <c r="CH2254">
        <v>107</v>
      </c>
      <c r="CI2254">
        <f t="shared" si="230"/>
        <v>2020</v>
      </c>
      <c r="CJ2254" t="str">
        <f t="shared" si="231"/>
        <v>7522_2020</v>
      </c>
    </row>
    <row r="2255" spans="1:88" x14ac:dyDescent="0.25">
      <c r="A2255" t="s">
        <v>79</v>
      </c>
      <c r="B2255" t="s">
        <v>439</v>
      </c>
      <c r="C2255">
        <v>7522</v>
      </c>
      <c r="D2255">
        <v>-33.951962999999999</v>
      </c>
      <c r="E2255">
        <v>151.042136</v>
      </c>
      <c r="F2255">
        <v>3</v>
      </c>
      <c r="G2255" t="s">
        <v>870</v>
      </c>
      <c r="H2255">
        <v>95</v>
      </c>
      <c r="I2255">
        <v>275</v>
      </c>
      <c r="J2255">
        <v>190</v>
      </c>
      <c r="K2255">
        <v>10</v>
      </c>
      <c r="L2255">
        <v>305</v>
      </c>
      <c r="M2255">
        <v>125</v>
      </c>
      <c r="T2255">
        <v>36</v>
      </c>
      <c r="U2255">
        <v>32</v>
      </c>
      <c r="Y2255">
        <v>22</v>
      </c>
      <c r="Z2255">
        <v>26</v>
      </c>
      <c r="AD2255">
        <v>30</v>
      </c>
      <c r="AE2255">
        <v>12</v>
      </c>
      <c r="AX2255">
        <v>68</v>
      </c>
      <c r="AY2255">
        <v>52</v>
      </c>
      <c r="AZ2255">
        <v>120</v>
      </c>
      <c r="BA2255">
        <v>48</v>
      </c>
      <c r="BB2255">
        <v>48</v>
      </c>
      <c r="BC2255">
        <v>96</v>
      </c>
      <c r="BD2255">
        <v>42</v>
      </c>
      <c r="BE2255">
        <v>58</v>
      </c>
      <c r="BF2255">
        <v>100</v>
      </c>
      <c r="BP2255">
        <v>8</v>
      </c>
      <c r="BR2255">
        <v>127</v>
      </c>
      <c r="BS2255">
        <v>6</v>
      </c>
      <c r="BT2255">
        <v>15</v>
      </c>
      <c r="BV2255">
        <v>2</v>
      </c>
      <c r="BW2255">
        <v>158</v>
      </c>
      <c r="BX2255">
        <f>IF(C2255=C2254,IF((CI2255-1)=CI2254,BW2254,"no data"))</f>
        <v>366</v>
      </c>
      <c r="BY2255" s="5">
        <f t="shared" ref="BY2255:BY2299" si="233">(BW2255-BX2255)/BX2255</f>
        <v>-0.56830601092896171</v>
      </c>
      <c r="BZ2255" s="6">
        <f t="shared" si="232"/>
        <v>-0.56830601092896171</v>
      </c>
      <c r="CA2255" s="7">
        <v>44528</v>
      </c>
      <c r="CE2255">
        <v>39</v>
      </c>
      <c r="CF2255">
        <v>60</v>
      </c>
      <c r="CG2255">
        <v>59</v>
      </c>
      <c r="CI2255">
        <f t="shared" si="230"/>
        <v>2021</v>
      </c>
      <c r="CJ2255" t="str">
        <f t="shared" si="231"/>
        <v>7522_2021</v>
      </c>
    </row>
    <row r="2256" spans="1:88" x14ac:dyDescent="0.25">
      <c r="A2256" t="s">
        <v>79</v>
      </c>
      <c r="B2256" t="s">
        <v>439</v>
      </c>
      <c r="C2256">
        <v>7522</v>
      </c>
      <c r="D2256">
        <v>-33.951962999999999</v>
      </c>
      <c r="E2256">
        <v>151.042136</v>
      </c>
      <c r="F2256">
        <v>3</v>
      </c>
      <c r="G2256" t="s">
        <v>870</v>
      </c>
      <c r="H2256">
        <v>95</v>
      </c>
      <c r="I2256">
        <v>275</v>
      </c>
      <c r="J2256">
        <v>190</v>
      </c>
      <c r="K2256">
        <v>10</v>
      </c>
      <c r="L2256">
        <v>305</v>
      </c>
      <c r="M2256">
        <v>125</v>
      </c>
      <c r="T2256">
        <v>29</v>
      </c>
      <c r="U2256">
        <v>25</v>
      </c>
      <c r="Y2256">
        <v>22</v>
      </c>
      <c r="Z2256">
        <v>21</v>
      </c>
      <c r="AD2256">
        <v>30</v>
      </c>
      <c r="AE2256">
        <v>17</v>
      </c>
      <c r="AX2256">
        <v>54</v>
      </c>
      <c r="AY2256">
        <v>52</v>
      </c>
      <c r="AZ2256">
        <v>106</v>
      </c>
      <c r="BA2256">
        <v>43</v>
      </c>
      <c r="BB2256">
        <v>46</v>
      </c>
      <c r="BC2256">
        <v>89</v>
      </c>
      <c r="BD2256">
        <v>47</v>
      </c>
      <c r="BE2256">
        <v>46</v>
      </c>
      <c r="BF2256">
        <v>93</v>
      </c>
      <c r="BP2256">
        <v>16</v>
      </c>
      <c r="BR2256">
        <v>96</v>
      </c>
      <c r="BS2256">
        <v>10</v>
      </c>
      <c r="BT2256">
        <v>21</v>
      </c>
      <c r="BU2256">
        <v>1</v>
      </c>
      <c r="BV2256">
        <v>0</v>
      </c>
      <c r="BW2256">
        <v>144</v>
      </c>
      <c r="BX2256">
        <f>IF(C2256=C2255,IF((CI2256-1)=CI2255,BW2255,"no data"))</f>
        <v>158</v>
      </c>
      <c r="BY2256" s="5">
        <f t="shared" si="233"/>
        <v>-8.8607594936708861E-2</v>
      </c>
      <c r="BZ2256" s="6">
        <f t="shared" si="232"/>
        <v>-8.8607594936708861E-2</v>
      </c>
      <c r="CA2256" s="7">
        <v>44885</v>
      </c>
      <c r="CE2256">
        <v>58</v>
      </c>
      <c r="CF2256">
        <v>60</v>
      </c>
      <c r="CG2256">
        <v>26</v>
      </c>
      <c r="CI2256">
        <f t="shared" si="230"/>
        <v>2022</v>
      </c>
      <c r="CJ2256" t="str">
        <f t="shared" si="231"/>
        <v>7522_2022</v>
      </c>
    </row>
    <row r="2257" spans="1:88" x14ac:dyDescent="0.25">
      <c r="A2257" t="s">
        <v>79</v>
      </c>
      <c r="B2257" t="s">
        <v>439</v>
      </c>
      <c r="C2257">
        <v>7523</v>
      </c>
      <c r="D2257">
        <v>-33.936785999999998</v>
      </c>
      <c r="E2257">
        <v>151.11335700000001</v>
      </c>
      <c r="F2257">
        <v>4</v>
      </c>
      <c r="G2257" t="s">
        <v>871</v>
      </c>
      <c r="H2257">
        <v>45</v>
      </c>
      <c r="I2257">
        <v>225</v>
      </c>
      <c r="J2257">
        <v>111</v>
      </c>
      <c r="K2257">
        <v>291</v>
      </c>
      <c r="L2257">
        <v>193</v>
      </c>
      <c r="M2257">
        <v>13</v>
      </c>
      <c r="N2257">
        <v>290</v>
      </c>
      <c r="O2257">
        <v>110</v>
      </c>
      <c r="T2257">
        <v>0</v>
      </c>
      <c r="U2257">
        <v>1</v>
      </c>
      <c r="V2257">
        <v>6</v>
      </c>
      <c r="Y2257">
        <v>5</v>
      </c>
      <c r="Z2257">
        <v>11</v>
      </c>
      <c r="AA2257">
        <v>31</v>
      </c>
      <c r="AD2257">
        <v>1</v>
      </c>
      <c r="AE2257">
        <v>35</v>
      </c>
      <c r="AF2257">
        <v>10</v>
      </c>
      <c r="AI2257">
        <v>0</v>
      </c>
      <c r="AJ2257">
        <v>37</v>
      </c>
      <c r="AK2257">
        <v>9</v>
      </c>
      <c r="AX2257">
        <v>7</v>
      </c>
      <c r="AY2257">
        <v>6</v>
      </c>
      <c r="AZ2257">
        <v>13</v>
      </c>
      <c r="BA2257">
        <v>47</v>
      </c>
      <c r="BB2257">
        <v>72</v>
      </c>
      <c r="BC2257">
        <v>119</v>
      </c>
      <c r="BD2257">
        <v>46</v>
      </c>
      <c r="BE2257">
        <v>21</v>
      </c>
      <c r="BF2257">
        <v>67</v>
      </c>
      <c r="BG2257">
        <v>46</v>
      </c>
      <c r="BH2257">
        <v>47</v>
      </c>
      <c r="BI2257">
        <v>93</v>
      </c>
      <c r="BP2257">
        <v>16</v>
      </c>
      <c r="BR2257">
        <v>105</v>
      </c>
      <c r="BS2257">
        <v>14</v>
      </c>
      <c r="BT2257">
        <v>10</v>
      </c>
      <c r="BV2257">
        <v>1</v>
      </c>
      <c r="BW2257">
        <v>146</v>
      </c>
      <c r="BX2257" t="s">
        <v>82</v>
      </c>
      <c r="BY2257" s="5"/>
      <c r="BZ2257" s="6"/>
      <c r="CA2257" s="7">
        <v>44143</v>
      </c>
      <c r="CE2257">
        <v>40</v>
      </c>
      <c r="CF2257">
        <v>66</v>
      </c>
      <c r="CG2257">
        <v>26</v>
      </c>
      <c r="CH2257">
        <v>14</v>
      </c>
      <c r="CI2257">
        <f t="shared" si="230"/>
        <v>2020</v>
      </c>
      <c r="CJ2257" t="str">
        <f t="shared" si="231"/>
        <v>7523_2020</v>
      </c>
    </row>
    <row r="2258" spans="1:88" x14ac:dyDescent="0.25">
      <c r="A2258" t="s">
        <v>79</v>
      </c>
      <c r="B2258" t="s">
        <v>439</v>
      </c>
      <c r="C2258">
        <v>7523</v>
      </c>
      <c r="D2258">
        <v>-33.936785999999998</v>
      </c>
      <c r="E2258">
        <v>151.11335700000001</v>
      </c>
      <c r="F2258">
        <v>4</v>
      </c>
      <c r="G2258" t="s">
        <v>871</v>
      </c>
      <c r="H2258">
        <v>45</v>
      </c>
      <c r="I2258">
        <v>225</v>
      </c>
      <c r="J2258">
        <v>111</v>
      </c>
      <c r="K2258">
        <v>291</v>
      </c>
      <c r="L2258">
        <v>193</v>
      </c>
      <c r="M2258">
        <v>13</v>
      </c>
      <c r="N2258">
        <v>290</v>
      </c>
      <c r="O2258">
        <v>110</v>
      </c>
      <c r="T2258">
        <v>0</v>
      </c>
      <c r="U2258">
        <v>1</v>
      </c>
      <c r="V2258">
        <v>0</v>
      </c>
      <c r="Y2258">
        <v>0</v>
      </c>
      <c r="Z2258">
        <v>6</v>
      </c>
      <c r="AA2258">
        <v>33</v>
      </c>
      <c r="AD2258">
        <v>1</v>
      </c>
      <c r="AE2258">
        <v>2</v>
      </c>
      <c r="AF2258">
        <v>8</v>
      </c>
      <c r="AI2258">
        <v>0</v>
      </c>
      <c r="AJ2258">
        <v>35</v>
      </c>
      <c r="AK2258">
        <v>8</v>
      </c>
      <c r="AX2258">
        <v>1</v>
      </c>
      <c r="AY2258">
        <v>1</v>
      </c>
      <c r="AZ2258">
        <v>2</v>
      </c>
      <c r="BA2258">
        <v>39</v>
      </c>
      <c r="BB2258">
        <v>37</v>
      </c>
      <c r="BC2258">
        <v>76</v>
      </c>
      <c r="BD2258">
        <v>11</v>
      </c>
      <c r="BE2258">
        <v>15</v>
      </c>
      <c r="BF2258">
        <v>26</v>
      </c>
      <c r="BG2258">
        <v>43</v>
      </c>
      <c r="BH2258">
        <v>41</v>
      </c>
      <c r="BI2258">
        <v>84</v>
      </c>
      <c r="BP2258">
        <v>17</v>
      </c>
      <c r="BR2258">
        <v>64</v>
      </c>
      <c r="BS2258">
        <v>10</v>
      </c>
      <c r="BT2258">
        <v>3</v>
      </c>
      <c r="BV2258">
        <v>0</v>
      </c>
      <c r="BW2258">
        <v>94</v>
      </c>
      <c r="BX2258">
        <f>IF(C2258=C2257,IF((CI2258-1)=CI2257,BW2257,"no data"))</f>
        <v>146</v>
      </c>
      <c r="BY2258" s="5">
        <f t="shared" si="233"/>
        <v>-0.35616438356164382</v>
      </c>
      <c r="BZ2258" s="6">
        <f t="shared" si="232"/>
        <v>-0.35616438356164382</v>
      </c>
      <c r="CA2258" s="7">
        <v>44528</v>
      </c>
      <c r="CE2258">
        <v>45</v>
      </c>
      <c r="CF2258">
        <v>30</v>
      </c>
      <c r="CG2258">
        <v>19</v>
      </c>
      <c r="CI2258">
        <f t="shared" si="230"/>
        <v>2021</v>
      </c>
      <c r="CJ2258" t="str">
        <f t="shared" si="231"/>
        <v>7523_2021</v>
      </c>
    </row>
    <row r="2259" spans="1:88" x14ac:dyDescent="0.25">
      <c r="A2259" t="s">
        <v>79</v>
      </c>
      <c r="B2259" t="s">
        <v>439</v>
      </c>
      <c r="C2259">
        <v>7523</v>
      </c>
      <c r="D2259">
        <v>-33.936785999999998</v>
      </c>
      <c r="E2259">
        <v>151.11335700000001</v>
      </c>
      <c r="F2259">
        <v>4</v>
      </c>
      <c r="G2259" t="s">
        <v>871</v>
      </c>
      <c r="H2259">
        <v>45</v>
      </c>
      <c r="I2259">
        <v>225</v>
      </c>
      <c r="J2259">
        <v>111</v>
      </c>
      <c r="K2259">
        <v>291</v>
      </c>
      <c r="L2259">
        <v>193</v>
      </c>
      <c r="M2259">
        <v>13</v>
      </c>
      <c r="N2259">
        <v>290</v>
      </c>
      <c r="O2259">
        <v>110</v>
      </c>
      <c r="T2259">
        <v>0</v>
      </c>
      <c r="U2259">
        <v>0</v>
      </c>
      <c r="V2259">
        <v>0</v>
      </c>
      <c r="Y2259">
        <v>0</v>
      </c>
      <c r="Z2259">
        <v>12</v>
      </c>
      <c r="AA2259">
        <v>41</v>
      </c>
      <c r="AD2259">
        <v>0</v>
      </c>
      <c r="AE2259">
        <v>13</v>
      </c>
      <c r="AF2259">
        <v>14</v>
      </c>
      <c r="AI2259">
        <v>0</v>
      </c>
      <c r="AJ2259">
        <v>61</v>
      </c>
      <c r="AK2259">
        <v>16</v>
      </c>
      <c r="AX2259">
        <v>0</v>
      </c>
      <c r="AY2259">
        <v>0</v>
      </c>
      <c r="AZ2259">
        <v>0</v>
      </c>
      <c r="BA2259">
        <v>53</v>
      </c>
      <c r="BB2259">
        <v>74</v>
      </c>
      <c r="BC2259">
        <v>127</v>
      </c>
      <c r="BD2259">
        <v>27</v>
      </c>
      <c r="BE2259">
        <v>28</v>
      </c>
      <c r="BF2259">
        <v>55</v>
      </c>
      <c r="BG2259">
        <v>77</v>
      </c>
      <c r="BH2259">
        <v>55</v>
      </c>
      <c r="BI2259">
        <v>132</v>
      </c>
      <c r="BP2259">
        <v>16</v>
      </c>
      <c r="BR2259">
        <v>120</v>
      </c>
      <c r="BS2259">
        <v>11</v>
      </c>
      <c r="BT2259">
        <v>9</v>
      </c>
      <c r="BU2259">
        <v>1</v>
      </c>
      <c r="BV2259">
        <v>0</v>
      </c>
      <c r="BW2259">
        <v>157</v>
      </c>
      <c r="BX2259">
        <f>IF(C2259=C2258,IF((CI2259-1)=CI2258,BW2258,"no data"))</f>
        <v>94</v>
      </c>
      <c r="BY2259" s="5">
        <f t="shared" si="233"/>
        <v>0.67021276595744683</v>
      </c>
      <c r="BZ2259" s="6">
        <f t="shared" si="232"/>
        <v>0.67021276595744683</v>
      </c>
      <c r="CA2259" s="7">
        <v>44892</v>
      </c>
      <c r="CE2259">
        <v>49</v>
      </c>
      <c r="CF2259">
        <v>57</v>
      </c>
      <c r="CG2259">
        <v>51</v>
      </c>
      <c r="CI2259">
        <f t="shared" si="230"/>
        <v>2022</v>
      </c>
      <c r="CJ2259" t="str">
        <f t="shared" si="231"/>
        <v>7523_2022</v>
      </c>
    </row>
    <row r="2260" spans="1:88" x14ac:dyDescent="0.25">
      <c r="A2260" t="s">
        <v>111</v>
      </c>
      <c r="B2260" t="s">
        <v>259</v>
      </c>
      <c r="C2260">
        <v>7524</v>
      </c>
      <c r="D2260">
        <v>-37.899178999999997</v>
      </c>
      <c r="E2260">
        <v>145.19049000000001</v>
      </c>
      <c r="F2260">
        <v>4</v>
      </c>
      <c r="G2260" t="s">
        <v>872</v>
      </c>
      <c r="H2260">
        <v>9</v>
      </c>
      <c r="I2260">
        <v>189</v>
      </c>
      <c r="J2260">
        <v>102</v>
      </c>
      <c r="K2260">
        <v>282</v>
      </c>
      <c r="L2260">
        <v>187</v>
      </c>
      <c r="M2260">
        <v>7</v>
      </c>
      <c r="N2260">
        <v>277</v>
      </c>
      <c r="O2260">
        <v>97</v>
      </c>
      <c r="T2260">
        <v>7</v>
      </c>
      <c r="U2260">
        <v>43</v>
      </c>
      <c r="V2260">
        <v>6</v>
      </c>
      <c r="Y2260">
        <v>18</v>
      </c>
      <c r="Z2260">
        <v>45</v>
      </c>
      <c r="AA2260">
        <v>69</v>
      </c>
      <c r="AD2260">
        <v>23</v>
      </c>
      <c r="AE2260">
        <v>45</v>
      </c>
      <c r="AF2260">
        <v>24</v>
      </c>
      <c r="AI2260">
        <v>4</v>
      </c>
      <c r="AJ2260">
        <v>94</v>
      </c>
      <c r="AK2260">
        <v>18</v>
      </c>
      <c r="AX2260">
        <v>56</v>
      </c>
      <c r="AY2260">
        <v>45</v>
      </c>
      <c r="AZ2260">
        <v>101</v>
      </c>
      <c r="BA2260">
        <v>132</v>
      </c>
      <c r="BB2260">
        <v>146</v>
      </c>
      <c r="BC2260">
        <v>278</v>
      </c>
      <c r="BD2260">
        <v>92</v>
      </c>
      <c r="BE2260">
        <v>106</v>
      </c>
      <c r="BF2260">
        <v>198</v>
      </c>
      <c r="BG2260">
        <v>116</v>
      </c>
      <c r="BH2260">
        <v>99</v>
      </c>
      <c r="BI2260">
        <v>215</v>
      </c>
      <c r="BP2260">
        <v>160</v>
      </c>
      <c r="BR2260">
        <v>185</v>
      </c>
      <c r="BS2260">
        <v>9</v>
      </c>
      <c r="BT2260">
        <v>39</v>
      </c>
      <c r="BV2260">
        <v>3</v>
      </c>
      <c r="BW2260">
        <v>396</v>
      </c>
      <c r="BX2260" t="s">
        <v>82</v>
      </c>
      <c r="BY2260" s="5"/>
      <c r="BZ2260" s="6"/>
      <c r="CA2260" s="7">
        <v>44143</v>
      </c>
      <c r="CE2260">
        <v>119</v>
      </c>
      <c r="CF2260">
        <v>119</v>
      </c>
      <c r="CG2260">
        <v>84</v>
      </c>
      <c r="CH2260">
        <v>74</v>
      </c>
      <c r="CI2260">
        <f t="shared" si="230"/>
        <v>2020</v>
      </c>
      <c r="CJ2260" t="str">
        <f t="shared" si="231"/>
        <v>7524_2020</v>
      </c>
    </row>
    <row r="2261" spans="1:88" x14ac:dyDescent="0.25">
      <c r="A2261" t="s">
        <v>111</v>
      </c>
      <c r="B2261" t="s">
        <v>259</v>
      </c>
      <c r="C2261">
        <v>7524</v>
      </c>
      <c r="D2261">
        <v>-37.899178999999997</v>
      </c>
      <c r="E2261">
        <v>145.19049000000001</v>
      </c>
      <c r="F2261">
        <v>4</v>
      </c>
      <c r="G2261" t="s">
        <v>872</v>
      </c>
      <c r="H2261">
        <v>9</v>
      </c>
      <c r="I2261">
        <v>189</v>
      </c>
      <c r="J2261">
        <v>102</v>
      </c>
      <c r="K2261">
        <v>282</v>
      </c>
      <c r="L2261">
        <v>187</v>
      </c>
      <c r="M2261">
        <v>7</v>
      </c>
      <c r="N2261">
        <v>277</v>
      </c>
      <c r="O2261">
        <v>97</v>
      </c>
      <c r="T2261">
        <v>5</v>
      </c>
      <c r="U2261">
        <v>19</v>
      </c>
      <c r="V2261">
        <v>5</v>
      </c>
      <c r="Y2261">
        <v>5</v>
      </c>
      <c r="Z2261">
        <v>19</v>
      </c>
      <c r="AA2261">
        <v>21</v>
      </c>
      <c r="AD2261">
        <v>12</v>
      </c>
      <c r="AE2261">
        <v>18</v>
      </c>
      <c r="AF2261">
        <v>6</v>
      </c>
      <c r="AI2261">
        <v>8</v>
      </c>
      <c r="AJ2261">
        <v>30</v>
      </c>
      <c r="AK2261">
        <v>6</v>
      </c>
      <c r="AX2261">
        <v>29</v>
      </c>
      <c r="AY2261">
        <v>25</v>
      </c>
      <c r="AZ2261">
        <v>54</v>
      </c>
      <c r="BA2261">
        <v>45</v>
      </c>
      <c r="BB2261">
        <v>53</v>
      </c>
      <c r="BC2261">
        <v>98</v>
      </c>
      <c r="BD2261">
        <v>36</v>
      </c>
      <c r="BE2261">
        <v>44</v>
      </c>
      <c r="BF2261">
        <v>80</v>
      </c>
      <c r="BG2261">
        <v>44</v>
      </c>
      <c r="BH2261">
        <v>32</v>
      </c>
      <c r="BI2261">
        <v>76</v>
      </c>
      <c r="BP2261">
        <v>34</v>
      </c>
      <c r="BR2261">
        <v>82</v>
      </c>
      <c r="BS2261">
        <v>7</v>
      </c>
      <c r="BT2261">
        <v>30</v>
      </c>
      <c r="BU2261">
        <v>1</v>
      </c>
      <c r="BV2261">
        <v>0</v>
      </c>
      <c r="BW2261">
        <v>154</v>
      </c>
      <c r="BX2261" t="str">
        <f>IF(C2261=C2260,IF((CI2261-1)=CI2260,BW2260,"no data"))</f>
        <v>no data</v>
      </c>
      <c r="BY2261" s="5"/>
      <c r="BZ2261" s="6"/>
      <c r="CA2261" s="7">
        <v>44878</v>
      </c>
      <c r="CE2261">
        <v>62</v>
      </c>
      <c r="CF2261">
        <v>54</v>
      </c>
      <c r="CG2261">
        <v>38</v>
      </c>
      <c r="CI2261">
        <f t="shared" si="230"/>
        <v>2022</v>
      </c>
      <c r="CJ2261" t="str">
        <f t="shared" si="231"/>
        <v>7524_2022</v>
      </c>
    </row>
    <row r="2262" spans="1:88" x14ac:dyDescent="0.25">
      <c r="A2262" t="s">
        <v>111</v>
      </c>
      <c r="B2262" t="s">
        <v>259</v>
      </c>
      <c r="C2262">
        <v>7525</v>
      </c>
      <c r="D2262">
        <v>-37.924593999999999</v>
      </c>
      <c r="E2262">
        <v>145.20524800000001</v>
      </c>
      <c r="F2262">
        <v>3</v>
      </c>
      <c r="G2262" t="s">
        <v>873</v>
      </c>
      <c r="H2262">
        <v>90</v>
      </c>
      <c r="I2262">
        <v>270</v>
      </c>
      <c r="J2262">
        <v>200</v>
      </c>
      <c r="K2262">
        <v>20</v>
      </c>
      <c r="L2262">
        <v>278</v>
      </c>
      <c r="M2262">
        <v>98</v>
      </c>
      <c r="T2262">
        <v>350</v>
      </c>
      <c r="U2262">
        <v>20</v>
      </c>
      <c r="Y2262">
        <v>346</v>
      </c>
      <c r="Z2262">
        <v>26</v>
      </c>
      <c r="AD2262">
        <v>20</v>
      </c>
      <c r="AE2262">
        <v>22</v>
      </c>
      <c r="AX2262">
        <v>370</v>
      </c>
      <c r="AY2262">
        <v>366</v>
      </c>
      <c r="AZ2262">
        <v>736</v>
      </c>
      <c r="BA2262">
        <v>372</v>
      </c>
      <c r="BB2262">
        <v>372</v>
      </c>
      <c r="BC2262">
        <v>744</v>
      </c>
      <c r="BD2262">
        <v>42</v>
      </c>
      <c r="BE2262">
        <v>46</v>
      </c>
      <c r="BF2262">
        <v>88</v>
      </c>
      <c r="BP2262">
        <v>639</v>
      </c>
      <c r="BR2262">
        <v>101</v>
      </c>
      <c r="BS2262">
        <v>37</v>
      </c>
      <c r="BT2262">
        <v>7</v>
      </c>
      <c r="BV2262">
        <v>0</v>
      </c>
      <c r="BW2262">
        <v>784</v>
      </c>
      <c r="BX2262" t="s">
        <v>82</v>
      </c>
      <c r="BY2262" s="5"/>
      <c r="BZ2262" s="6"/>
      <c r="CA2262" s="7">
        <v>44143</v>
      </c>
      <c r="CE2262">
        <v>191</v>
      </c>
      <c r="CF2262">
        <v>212</v>
      </c>
      <c r="CG2262">
        <v>218</v>
      </c>
      <c r="CH2262">
        <v>163</v>
      </c>
      <c r="CI2262">
        <f t="shared" si="230"/>
        <v>2020</v>
      </c>
      <c r="CJ2262" t="str">
        <f t="shared" si="231"/>
        <v>7525_2020</v>
      </c>
    </row>
    <row r="2263" spans="1:88" x14ac:dyDescent="0.25">
      <c r="A2263" t="s">
        <v>111</v>
      </c>
      <c r="B2263" t="s">
        <v>259</v>
      </c>
      <c r="C2263">
        <v>7525</v>
      </c>
      <c r="D2263">
        <v>-37.924593999999999</v>
      </c>
      <c r="E2263">
        <v>145.20524800000001</v>
      </c>
      <c r="F2263">
        <v>3</v>
      </c>
      <c r="G2263" t="s">
        <v>873</v>
      </c>
      <c r="H2263">
        <v>90</v>
      </c>
      <c r="I2263">
        <v>270</v>
      </c>
      <c r="J2263">
        <v>200</v>
      </c>
      <c r="K2263">
        <v>20</v>
      </c>
      <c r="L2263">
        <v>278</v>
      </c>
      <c r="M2263">
        <v>98</v>
      </c>
      <c r="T2263">
        <v>84</v>
      </c>
      <c r="U2263">
        <v>10</v>
      </c>
      <c r="Y2263">
        <v>72</v>
      </c>
      <c r="Z2263">
        <v>7</v>
      </c>
      <c r="AD2263">
        <v>1</v>
      </c>
      <c r="AE2263">
        <v>15</v>
      </c>
      <c r="AX2263">
        <v>94</v>
      </c>
      <c r="AY2263">
        <v>73</v>
      </c>
      <c r="AZ2263">
        <v>167</v>
      </c>
      <c r="BA2263">
        <v>79</v>
      </c>
      <c r="BB2263">
        <v>99</v>
      </c>
      <c r="BC2263">
        <v>178</v>
      </c>
      <c r="BD2263">
        <v>16</v>
      </c>
      <c r="BE2263">
        <v>17</v>
      </c>
      <c r="BF2263">
        <v>33</v>
      </c>
      <c r="BP2263">
        <v>149</v>
      </c>
      <c r="BR2263">
        <v>31</v>
      </c>
      <c r="BS2263">
        <v>6</v>
      </c>
      <c r="BT2263">
        <v>1</v>
      </c>
      <c r="BU2263">
        <v>2</v>
      </c>
      <c r="BV2263">
        <v>0</v>
      </c>
      <c r="BW2263">
        <v>189</v>
      </c>
      <c r="BX2263" t="str">
        <f>IF(C2263=C2262,IF((CI2263-1)=CI2262,BW2262,"no data"))</f>
        <v>no data</v>
      </c>
      <c r="BY2263" s="5"/>
      <c r="BZ2263" s="6"/>
      <c r="CA2263" s="7">
        <v>44878</v>
      </c>
      <c r="CE2263">
        <v>59</v>
      </c>
      <c r="CF2263">
        <v>64</v>
      </c>
      <c r="CG2263">
        <v>66</v>
      </c>
      <c r="CI2263">
        <f t="shared" si="230"/>
        <v>2022</v>
      </c>
      <c r="CJ2263" t="str">
        <f t="shared" si="231"/>
        <v>7525_2022</v>
      </c>
    </row>
    <row r="2264" spans="1:88" x14ac:dyDescent="0.25">
      <c r="A2264" t="s">
        <v>79</v>
      </c>
      <c r="B2264" t="s">
        <v>439</v>
      </c>
      <c r="C2264">
        <v>7529</v>
      </c>
      <c r="D2264">
        <v>-33.893917000000002</v>
      </c>
      <c r="E2264">
        <v>151.01452800000001</v>
      </c>
      <c r="F2264">
        <v>3</v>
      </c>
      <c r="G2264" t="s">
        <v>874</v>
      </c>
      <c r="H2264">
        <v>6</v>
      </c>
      <c r="I2264">
        <v>186</v>
      </c>
      <c r="J2264">
        <v>170</v>
      </c>
      <c r="K2264">
        <v>350</v>
      </c>
      <c r="L2264">
        <v>276</v>
      </c>
      <c r="M2264">
        <v>96</v>
      </c>
      <c r="T2264">
        <v>86</v>
      </c>
      <c r="U2264">
        <v>16</v>
      </c>
      <c r="Y2264">
        <v>21</v>
      </c>
      <c r="Z2264">
        <v>4</v>
      </c>
      <c r="AD2264">
        <v>11</v>
      </c>
      <c r="AE2264">
        <v>2</v>
      </c>
      <c r="AX2264">
        <v>102</v>
      </c>
      <c r="AY2264">
        <v>32</v>
      </c>
      <c r="AZ2264">
        <v>134</v>
      </c>
      <c r="BA2264">
        <v>25</v>
      </c>
      <c r="BB2264">
        <v>88</v>
      </c>
      <c r="BC2264">
        <v>113</v>
      </c>
      <c r="BD2264">
        <v>13</v>
      </c>
      <c r="BE2264">
        <v>20</v>
      </c>
      <c r="BF2264">
        <v>33</v>
      </c>
      <c r="BP2264">
        <v>4</v>
      </c>
      <c r="BR2264">
        <v>104</v>
      </c>
      <c r="BS2264">
        <v>5</v>
      </c>
      <c r="BT2264">
        <v>25</v>
      </c>
      <c r="BV2264">
        <v>2</v>
      </c>
      <c r="BW2264">
        <v>140</v>
      </c>
      <c r="BX2264" t="s">
        <v>82</v>
      </c>
      <c r="BY2264" s="5"/>
      <c r="BZ2264" s="6"/>
      <c r="CA2264" s="7">
        <v>44528</v>
      </c>
      <c r="CE2264">
        <v>58</v>
      </c>
      <c r="CF2264">
        <v>45</v>
      </c>
      <c r="CG2264">
        <v>37</v>
      </c>
      <c r="CI2264">
        <f t="shared" si="230"/>
        <v>2021</v>
      </c>
      <c r="CJ2264" t="str">
        <f t="shared" si="231"/>
        <v>7529_2021</v>
      </c>
    </row>
    <row r="2265" spans="1:88" x14ac:dyDescent="0.25">
      <c r="A2265" t="s">
        <v>79</v>
      </c>
      <c r="B2265" t="s">
        <v>439</v>
      </c>
      <c r="C2265">
        <v>7529</v>
      </c>
      <c r="D2265">
        <v>-33.893917000000002</v>
      </c>
      <c r="E2265">
        <v>151.01452800000001</v>
      </c>
      <c r="F2265">
        <v>3</v>
      </c>
      <c r="G2265" t="s">
        <v>874</v>
      </c>
      <c r="H2265">
        <v>6</v>
      </c>
      <c r="I2265">
        <v>186</v>
      </c>
      <c r="J2265">
        <v>170</v>
      </c>
      <c r="K2265">
        <v>350</v>
      </c>
      <c r="L2265">
        <v>276</v>
      </c>
      <c r="M2265">
        <v>96</v>
      </c>
      <c r="T2265">
        <v>60</v>
      </c>
      <c r="U2265">
        <v>13</v>
      </c>
      <c r="Y2265">
        <v>40</v>
      </c>
      <c r="Z2265">
        <v>6</v>
      </c>
      <c r="AD2265">
        <v>10</v>
      </c>
      <c r="AE2265">
        <v>10</v>
      </c>
      <c r="AX2265">
        <v>73</v>
      </c>
      <c r="AY2265">
        <v>50</v>
      </c>
      <c r="AZ2265">
        <v>123</v>
      </c>
      <c r="BA2265">
        <v>46</v>
      </c>
      <c r="BB2265">
        <v>70</v>
      </c>
      <c r="BC2265">
        <v>116</v>
      </c>
      <c r="BD2265">
        <v>20</v>
      </c>
      <c r="BE2265">
        <v>19</v>
      </c>
      <c r="BF2265">
        <v>39</v>
      </c>
      <c r="BP2265">
        <v>3</v>
      </c>
      <c r="BR2265">
        <v>111</v>
      </c>
      <c r="BS2265">
        <v>5</v>
      </c>
      <c r="BT2265">
        <v>12</v>
      </c>
      <c r="BU2265">
        <v>8</v>
      </c>
      <c r="BV2265">
        <v>0</v>
      </c>
      <c r="BW2265">
        <v>139</v>
      </c>
      <c r="BX2265">
        <f>IF(C2265=C2264,IF((CI2265-1)=CI2264,BW2264,"no data"))</f>
        <v>140</v>
      </c>
      <c r="BY2265" s="5">
        <f t="shared" si="233"/>
        <v>-7.1428571428571426E-3</v>
      </c>
      <c r="BZ2265" s="6">
        <f t="shared" si="232"/>
        <v>-7.1428571428571426E-3</v>
      </c>
      <c r="CA2265" s="7">
        <v>44885</v>
      </c>
      <c r="CE2265">
        <v>75</v>
      </c>
      <c r="CF2265">
        <v>37</v>
      </c>
      <c r="CG2265">
        <v>27</v>
      </c>
      <c r="CI2265">
        <f t="shared" si="230"/>
        <v>2022</v>
      </c>
      <c r="CJ2265" t="str">
        <f t="shared" si="231"/>
        <v>7529_2022</v>
      </c>
    </row>
    <row r="2266" spans="1:88" x14ac:dyDescent="0.25">
      <c r="A2266" t="s">
        <v>79</v>
      </c>
      <c r="B2266" t="s">
        <v>439</v>
      </c>
      <c r="C2266">
        <v>7530</v>
      </c>
      <c r="D2266">
        <v>-33.911150999999997</v>
      </c>
      <c r="E2266">
        <v>151.01974300000001</v>
      </c>
      <c r="F2266">
        <v>4</v>
      </c>
      <c r="G2266" t="s">
        <v>875</v>
      </c>
      <c r="H2266">
        <v>10</v>
      </c>
      <c r="I2266">
        <v>190</v>
      </c>
      <c r="J2266">
        <v>100</v>
      </c>
      <c r="K2266">
        <v>280</v>
      </c>
      <c r="L2266">
        <v>190</v>
      </c>
      <c r="M2266">
        <v>10</v>
      </c>
      <c r="N2266">
        <v>280</v>
      </c>
      <c r="O2266">
        <v>100</v>
      </c>
      <c r="T2266">
        <v>3</v>
      </c>
      <c r="U2266">
        <v>8</v>
      </c>
      <c r="V2266">
        <v>1</v>
      </c>
      <c r="Y2266">
        <v>4</v>
      </c>
      <c r="Z2266">
        <v>2</v>
      </c>
      <c r="AA2266">
        <v>14</v>
      </c>
      <c r="AD2266">
        <v>12</v>
      </c>
      <c r="AE2266">
        <v>3</v>
      </c>
      <c r="AF2266">
        <v>1</v>
      </c>
      <c r="AI2266">
        <v>0</v>
      </c>
      <c r="AJ2266">
        <v>6</v>
      </c>
      <c r="AK2266">
        <v>2</v>
      </c>
      <c r="AX2266">
        <v>12</v>
      </c>
      <c r="AY2266">
        <v>16</v>
      </c>
      <c r="AZ2266">
        <v>28</v>
      </c>
      <c r="BA2266">
        <v>20</v>
      </c>
      <c r="BB2266">
        <v>12</v>
      </c>
      <c r="BC2266">
        <v>32</v>
      </c>
      <c r="BD2266">
        <v>16</v>
      </c>
      <c r="BE2266">
        <v>12</v>
      </c>
      <c r="BF2266">
        <v>28</v>
      </c>
      <c r="BG2266">
        <v>8</v>
      </c>
      <c r="BH2266">
        <v>16</v>
      </c>
      <c r="BI2266">
        <v>24</v>
      </c>
      <c r="BP2266">
        <v>6</v>
      </c>
      <c r="BR2266">
        <v>47</v>
      </c>
      <c r="BS2266">
        <v>0</v>
      </c>
      <c r="BT2266">
        <v>1</v>
      </c>
      <c r="BV2266">
        <v>2</v>
      </c>
      <c r="BW2266">
        <v>56</v>
      </c>
      <c r="BX2266" t="s">
        <v>82</v>
      </c>
      <c r="BY2266" s="5"/>
      <c r="BZ2266" s="6"/>
      <c r="CA2266" s="7">
        <v>44143</v>
      </c>
      <c r="CE2266">
        <v>14</v>
      </c>
      <c r="CF2266">
        <v>10</v>
      </c>
      <c r="CG2266">
        <v>21</v>
      </c>
      <c r="CH2266">
        <v>11</v>
      </c>
      <c r="CI2266">
        <f t="shared" si="230"/>
        <v>2020</v>
      </c>
      <c r="CJ2266" t="str">
        <f t="shared" si="231"/>
        <v>7530_2020</v>
      </c>
    </row>
    <row r="2267" spans="1:88" x14ac:dyDescent="0.25">
      <c r="A2267" t="s">
        <v>79</v>
      </c>
      <c r="B2267" t="s">
        <v>439</v>
      </c>
      <c r="C2267">
        <v>7530</v>
      </c>
      <c r="D2267">
        <v>-33.911150999999997</v>
      </c>
      <c r="E2267">
        <v>151.01974300000001</v>
      </c>
      <c r="F2267">
        <v>4</v>
      </c>
      <c r="G2267" t="s">
        <v>875</v>
      </c>
      <c r="H2267">
        <v>10</v>
      </c>
      <c r="I2267">
        <v>190</v>
      </c>
      <c r="J2267">
        <v>100</v>
      </c>
      <c r="K2267">
        <v>280</v>
      </c>
      <c r="L2267">
        <v>190</v>
      </c>
      <c r="M2267">
        <v>10</v>
      </c>
      <c r="N2267">
        <v>280</v>
      </c>
      <c r="O2267">
        <v>100</v>
      </c>
      <c r="T2267">
        <v>5</v>
      </c>
      <c r="U2267">
        <v>6</v>
      </c>
      <c r="V2267">
        <v>5</v>
      </c>
      <c r="Y2267">
        <v>3</v>
      </c>
      <c r="Z2267">
        <v>2</v>
      </c>
      <c r="AA2267">
        <v>3</v>
      </c>
      <c r="AD2267">
        <v>2</v>
      </c>
      <c r="AE2267">
        <v>5</v>
      </c>
      <c r="AF2267">
        <v>4</v>
      </c>
      <c r="AI2267">
        <v>8</v>
      </c>
      <c r="AJ2267">
        <v>4</v>
      </c>
      <c r="AK2267">
        <v>1</v>
      </c>
      <c r="AX2267">
        <v>16</v>
      </c>
      <c r="AY2267">
        <v>13</v>
      </c>
      <c r="AZ2267">
        <v>29</v>
      </c>
      <c r="BA2267">
        <v>8</v>
      </c>
      <c r="BB2267">
        <v>14</v>
      </c>
      <c r="BC2267">
        <v>22</v>
      </c>
      <c r="BD2267">
        <v>11</v>
      </c>
      <c r="BE2267">
        <v>9</v>
      </c>
      <c r="BF2267">
        <v>20</v>
      </c>
      <c r="BG2267">
        <v>13</v>
      </c>
      <c r="BH2267">
        <v>12</v>
      </c>
      <c r="BI2267">
        <v>25</v>
      </c>
      <c r="BP2267">
        <v>3</v>
      </c>
      <c r="BR2267">
        <v>45</v>
      </c>
      <c r="BS2267">
        <v>0</v>
      </c>
      <c r="BT2267">
        <v>0</v>
      </c>
      <c r="BV2267">
        <v>0</v>
      </c>
      <c r="BW2267">
        <v>48</v>
      </c>
      <c r="BX2267">
        <f>IF(C2267=C2266,IF((CI2267-1)=CI2266,BW2266,"no data"))</f>
        <v>56</v>
      </c>
      <c r="BY2267" s="5">
        <f t="shared" si="233"/>
        <v>-0.14285714285714285</v>
      </c>
      <c r="BZ2267" s="6">
        <f t="shared" si="232"/>
        <v>-0.14285714285714285</v>
      </c>
      <c r="CA2267" s="7">
        <v>44528</v>
      </c>
      <c r="CE2267">
        <v>11</v>
      </c>
      <c r="CF2267">
        <v>17</v>
      </c>
      <c r="CG2267">
        <v>20</v>
      </c>
      <c r="CI2267">
        <f t="shared" si="230"/>
        <v>2021</v>
      </c>
      <c r="CJ2267" t="str">
        <f t="shared" si="231"/>
        <v>7530_2021</v>
      </c>
    </row>
    <row r="2268" spans="1:88" x14ac:dyDescent="0.25">
      <c r="A2268" t="s">
        <v>79</v>
      </c>
      <c r="B2268" t="s">
        <v>439</v>
      </c>
      <c r="C2268">
        <v>7530</v>
      </c>
      <c r="D2268">
        <v>-33.911150999999997</v>
      </c>
      <c r="E2268">
        <v>151.01974300000001</v>
      </c>
      <c r="F2268">
        <v>4</v>
      </c>
      <c r="G2268" t="s">
        <v>875</v>
      </c>
      <c r="H2268">
        <v>10</v>
      </c>
      <c r="I2268">
        <v>190</v>
      </c>
      <c r="J2268">
        <v>100</v>
      </c>
      <c r="K2268">
        <v>280</v>
      </c>
      <c r="L2268">
        <v>190</v>
      </c>
      <c r="M2268">
        <v>10</v>
      </c>
      <c r="N2268">
        <v>280</v>
      </c>
      <c r="O2268">
        <v>100</v>
      </c>
      <c r="T2268">
        <v>0</v>
      </c>
      <c r="U2268">
        <v>7</v>
      </c>
      <c r="V2268">
        <v>1</v>
      </c>
      <c r="Y2268">
        <v>1</v>
      </c>
      <c r="Z2268">
        <v>6</v>
      </c>
      <c r="AA2268">
        <v>3</v>
      </c>
      <c r="AD2268">
        <v>1</v>
      </c>
      <c r="AE2268">
        <v>5</v>
      </c>
      <c r="AF2268">
        <v>5</v>
      </c>
      <c r="AI2268">
        <v>4</v>
      </c>
      <c r="AJ2268">
        <v>2</v>
      </c>
      <c r="AK2268">
        <v>1</v>
      </c>
      <c r="AX2268">
        <v>8</v>
      </c>
      <c r="AY2268">
        <v>6</v>
      </c>
      <c r="AZ2268">
        <v>14</v>
      </c>
      <c r="BA2268">
        <v>10</v>
      </c>
      <c r="BB2268">
        <v>7</v>
      </c>
      <c r="BC2268">
        <v>17</v>
      </c>
      <c r="BD2268">
        <v>11</v>
      </c>
      <c r="BE2268">
        <v>14</v>
      </c>
      <c r="BF2268">
        <v>25</v>
      </c>
      <c r="BG2268">
        <v>7</v>
      </c>
      <c r="BH2268">
        <v>9</v>
      </c>
      <c r="BI2268">
        <v>16</v>
      </c>
      <c r="BP2268">
        <v>2</v>
      </c>
      <c r="BR2268">
        <v>31</v>
      </c>
      <c r="BS2268">
        <v>0</v>
      </c>
      <c r="BT2268">
        <v>1</v>
      </c>
      <c r="BU2268">
        <v>2</v>
      </c>
      <c r="BV2268">
        <v>0</v>
      </c>
      <c r="BW2268">
        <v>36</v>
      </c>
      <c r="BX2268">
        <f>IF(C2268=C2267,IF((CI2268-1)=CI2267,BW2267,"no data"))</f>
        <v>48</v>
      </c>
      <c r="BY2268" s="5">
        <f t="shared" si="233"/>
        <v>-0.25</v>
      </c>
      <c r="BZ2268" s="6">
        <f t="shared" si="232"/>
        <v>-0.25</v>
      </c>
      <c r="CA2268" s="7">
        <v>44885</v>
      </c>
      <c r="CE2268">
        <v>22</v>
      </c>
      <c r="CF2268">
        <v>8</v>
      </c>
      <c r="CG2268">
        <v>6</v>
      </c>
      <c r="CI2268">
        <f t="shared" si="230"/>
        <v>2022</v>
      </c>
      <c r="CJ2268" t="str">
        <f t="shared" si="231"/>
        <v>7530_2022</v>
      </c>
    </row>
    <row r="2269" spans="1:88" x14ac:dyDescent="0.25">
      <c r="A2269" t="s">
        <v>79</v>
      </c>
      <c r="B2269" t="s">
        <v>439</v>
      </c>
      <c r="C2269">
        <v>7531</v>
      </c>
      <c r="D2269">
        <v>-33.928130000000003</v>
      </c>
      <c r="E2269">
        <v>151.12024299999999</v>
      </c>
      <c r="F2269">
        <v>3</v>
      </c>
      <c r="G2269" t="s">
        <v>876</v>
      </c>
      <c r="H2269">
        <v>87</v>
      </c>
      <c r="I2269">
        <v>267</v>
      </c>
      <c r="J2269">
        <v>180</v>
      </c>
      <c r="K2269">
        <v>360</v>
      </c>
      <c r="L2269">
        <v>246</v>
      </c>
      <c r="M2269">
        <v>66</v>
      </c>
      <c r="T2269">
        <v>10</v>
      </c>
      <c r="U2269">
        <v>22</v>
      </c>
      <c r="Y2269">
        <v>21</v>
      </c>
      <c r="Z2269">
        <v>7</v>
      </c>
      <c r="AD2269">
        <v>19</v>
      </c>
      <c r="AE2269">
        <v>6</v>
      </c>
      <c r="AX2269">
        <v>32</v>
      </c>
      <c r="AY2269">
        <v>40</v>
      </c>
      <c r="AZ2269">
        <v>72</v>
      </c>
      <c r="BA2269">
        <v>28</v>
      </c>
      <c r="BB2269">
        <v>16</v>
      </c>
      <c r="BC2269">
        <v>44</v>
      </c>
      <c r="BD2269">
        <v>25</v>
      </c>
      <c r="BE2269">
        <v>29</v>
      </c>
      <c r="BF2269">
        <v>54</v>
      </c>
      <c r="BP2269">
        <v>11</v>
      </c>
      <c r="BR2269">
        <v>65</v>
      </c>
      <c r="BS2269">
        <v>2</v>
      </c>
      <c r="BT2269">
        <v>6</v>
      </c>
      <c r="BV2269">
        <v>1</v>
      </c>
      <c r="BW2269">
        <v>85</v>
      </c>
      <c r="BX2269" t="s">
        <v>82</v>
      </c>
      <c r="BY2269" s="5"/>
      <c r="BZ2269" s="6"/>
      <c r="CA2269" s="7">
        <v>44164</v>
      </c>
      <c r="CE2269">
        <v>15</v>
      </c>
      <c r="CF2269">
        <v>28</v>
      </c>
      <c r="CG2269">
        <v>23</v>
      </c>
      <c r="CH2269">
        <v>19</v>
      </c>
      <c r="CI2269">
        <f t="shared" si="230"/>
        <v>2020</v>
      </c>
      <c r="CJ2269" t="str">
        <f t="shared" si="231"/>
        <v>7531_2020</v>
      </c>
    </row>
    <row r="2270" spans="1:88" x14ac:dyDescent="0.25">
      <c r="A2270" t="s">
        <v>79</v>
      </c>
      <c r="B2270" t="s">
        <v>439</v>
      </c>
      <c r="C2270">
        <v>7531</v>
      </c>
      <c r="D2270">
        <v>-33.928130000000003</v>
      </c>
      <c r="E2270">
        <v>151.12024299999999</v>
      </c>
      <c r="F2270">
        <v>3</v>
      </c>
      <c r="G2270" t="s">
        <v>876</v>
      </c>
      <c r="H2270">
        <v>87</v>
      </c>
      <c r="I2270">
        <v>267</v>
      </c>
      <c r="J2270">
        <v>180</v>
      </c>
      <c r="K2270">
        <v>360</v>
      </c>
      <c r="L2270">
        <v>246</v>
      </c>
      <c r="M2270">
        <v>66</v>
      </c>
      <c r="T2270">
        <v>16</v>
      </c>
      <c r="U2270">
        <v>16</v>
      </c>
      <c r="Y2270">
        <v>8</v>
      </c>
      <c r="Z2270">
        <v>3</v>
      </c>
      <c r="AD2270">
        <v>24</v>
      </c>
      <c r="AE2270">
        <v>1</v>
      </c>
      <c r="AX2270">
        <v>32</v>
      </c>
      <c r="AY2270">
        <v>32</v>
      </c>
      <c r="AZ2270">
        <v>64</v>
      </c>
      <c r="BA2270">
        <v>11</v>
      </c>
      <c r="BB2270">
        <v>17</v>
      </c>
      <c r="BC2270">
        <v>28</v>
      </c>
      <c r="BD2270">
        <v>25</v>
      </c>
      <c r="BE2270">
        <v>19</v>
      </c>
      <c r="BF2270">
        <v>44</v>
      </c>
      <c r="BP2270">
        <v>6</v>
      </c>
      <c r="BR2270">
        <v>51</v>
      </c>
      <c r="BS2270">
        <v>4</v>
      </c>
      <c r="BT2270">
        <v>7</v>
      </c>
      <c r="BV2270">
        <v>0</v>
      </c>
      <c r="BW2270">
        <v>68</v>
      </c>
      <c r="BX2270">
        <f>IF(C2270=C2269,IF((CI2270-1)=CI2269,BW2269,"no data"))</f>
        <v>85</v>
      </c>
      <c r="BY2270" s="5">
        <f t="shared" si="233"/>
        <v>-0.2</v>
      </c>
      <c r="BZ2270" s="6">
        <f t="shared" si="232"/>
        <v>-0.2</v>
      </c>
      <c r="CA2270" s="7">
        <v>44528</v>
      </c>
      <c r="CE2270">
        <v>15</v>
      </c>
      <c r="CF2270">
        <v>16</v>
      </c>
      <c r="CG2270">
        <v>37</v>
      </c>
      <c r="CI2270">
        <f t="shared" si="230"/>
        <v>2021</v>
      </c>
      <c r="CJ2270" t="str">
        <f t="shared" si="231"/>
        <v>7531_2021</v>
      </c>
    </row>
    <row r="2271" spans="1:88" x14ac:dyDescent="0.25">
      <c r="A2271" t="s">
        <v>79</v>
      </c>
      <c r="B2271" t="s">
        <v>439</v>
      </c>
      <c r="C2271">
        <v>7531</v>
      </c>
      <c r="D2271">
        <v>-33.928130000000003</v>
      </c>
      <c r="E2271">
        <v>151.12024299999999</v>
      </c>
      <c r="F2271">
        <v>3</v>
      </c>
      <c r="G2271" t="s">
        <v>876</v>
      </c>
      <c r="H2271">
        <v>87</v>
      </c>
      <c r="I2271">
        <v>267</v>
      </c>
      <c r="J2271">
        <v>180</v>
      </c>
      <c r="K2271">
        <v>360</v>
      </c>
      <c r="L2271">
        <v>246</v>
      </c>
      <c r="M2271">
        <v>66</v>
      </c>
      <c r="T2271">
        <v>12</v>
      </c>
      <c r="U2271">
        <v>13</v>
      </c>
      <c r="Y2271">
        <v>18</v>
      </c>
      <c r="Z2271">
        <v>1</v>
      </c>
      <c r="AD2271">
        <v>16</v>
      </c>
      <c r="AE2271">
        <v>0</v>
      </c>
      <c r="AX2271">
        <v>25</v>
      </c>
      <c r="AY2271">
        <v>34</v>
      </c>
      <c r="AZ2271">
        <v>59</v>
      </c>
      <c r="BA2271">
        <v>19</v>
      </c>
      <c r="BB2271">
        <v>12</v>
      </c>
      <c r="BC2271">
        <v>31</v>
      </c>
      <c r="BD2271">
        <v>16</v>
      </c>
      <c r="BE2271">
        <v>14</v>
      </c>
      <c r="BF2271">
        <v>30</v>
      </c>
      <c r="BP2271">
        <v>5</v>
      </c>
      <c r="BR2271">
        <v>42</v>
      </c>
      <c r="BS2271">
        <v>6</v>
      </c>
      <c r="BT2271">
        <v>4</v>
      </c>
      <c r="BU2271">
        <v>0</v>
      </c>
      <c r="BV2271">
        <v>3</v>
      </c>
      <c r="BW2271">
        <v>60</v>
      </c>
      <c r="BX2271">
        <f>IF(C2271=C2270,IF((CI2271-1)=CI2270,BW2270,"no data"))</f>
        <v>68</v>
      </c>
      <c r="BY2271" s="5">
        <f t="shared" si="233"/>
        <v>-0.11764705882352941</v>
      </c>
      <c r="BZ2271" s="6">
        <f t="shared" si="232"/>
        <v>-0.11764705882352941</v>
      </c>
      <c r="CA2271" s="7">
        <v>44885</v>
      </c>
      <c r="CE2271">
        <v>34</v>
      </c>
      <c r="CF2271">
        <v>17</v>
      </c>
      <c r="CG2271">
        <v>9</v>
      </c>
      <c r="CI2271">
        <f t="shared" si="230"/>
        <v>2022</v>
      </c>
      <c r="CJ2271" t="str">
        <f t="shared" si="231"/>
        <v>7531_2022</v>
      </c>
    </row>
    <row r="2272" spans="1:88" x14ac:dyDescent="0.25">
      <c r="A2272" t="s">
        <v>79</v>
      </c>
      <c r="B2272" t="s">
        <v>877</v>
      </c>
      <c r="C2272">
        <v>7532</v>
      </c>
      <c r="D2272">
        <v>-33.790070999999998</v>
      </c>
      <c r="E2272">
        <v>151.18747999999999</v>
      </c>
      <c r="F2272">
        <v>2</v>
      </c>
      <c r="G2272" t="s">
        <v>878</v>
      </c>
      <c r="H2272">
        <v>41</v>
      </c>
      <c r="I2272">
        <v>221</v>
      </c>
      <c r="J2272">
        <v>198</v>
      </c>
      <c r="K2272">
        <v>18</v>
      </c>
      <c r="T2272">
        <v>207</v>
      </c>
      <c r="Y2272">
        <v>248</v>
      </c>
      <c r="AX2272">
        <v>207</v>
      </c>
      <c r="AY2272">
        <v>248</v>
      </c>
      <c r="AZ2272">
        <v>455</v>
      </c>
      <c r="BA2272">
        <v>248</v>
      </c>
      <c r="BB2272">
        <v>207</v>
      </c>
      <c r="BC2272">
        <v>455</v>
      </c>
      <c r="BP2272">
        <v>53</v>
      </c>
      <c r="BR2272">
        <v>357</v>
      </c>
      <c r="BS2272">
        <v>12</v>
      </c>
      <c r="BT2272">
        <v>23</v>
      </c>
      <c r="BV2272">
        <v>10</v>
      </c>
      <c r="BW2272">
        <v>455</v>
      </c>
      <c r="BX2272" t="s">
        <v>82</v>
      </c>
      <c r="BY2272" s="5"/>
      <c r="BZ2272" s="6"/>
      <c r="CA2272" s="7">
        <v>44143</v>
      </c>
      <c r="CE2272">
        <v>89</v>
      </c>
      <c r="CF2272">
        <v>120</v>
      </c>
      <c r="CG2272">
        <v>122</v>
      </c>
      <c r="CH2272">
        <v>124</v>
      </c>
      <c r="CI2272">
        <f t="shared" si="230"/>
        <v>2020</v>
      </c>
      <c r="CJ2272" t="str">
        <f t="shared" si="231"/>
        <v>7532_2020</v>
      </c>
    </row>
    <row r="2273" spans="1:88" x14ac:dyDescent="0.25">
      <c r="A2273" t="s">
        <v>79</v>
      </c>
      <c r="B2273" t="s">
        <v>877</v>
      </c>
      <c r="C2273">
        <v>7532</v>
      </c>
      <c r="D2273">
        <v>-33.790070999999998</v>
      </c>
      <c r="E2273">
        <v>151.18747999999999</v>
      </c>
      <c r="F2273">
        <v>2</v>
      </c>
      <c r="G2273" t="s">
        <v>878</v>
      </c>
      <c r="H2273">
        <v>41</v>
      </c>
      <c r="I2273">
        <v>221</v>
      </c>
      <c r="J2273">
        <v>198</v>
      </c>
      <c r="K2273">
        <v>18</v>
      </c>
      <c r="T2273">
        <v>87</v>
      </c>
      <c r="Y2273">
        <v>139</v>
      </c>
      <c r="AX2273">
        <v>87</v>
      </c>
      <c r="AY2273">
        <v>139</v>
      </c>
      <c r="AZ2273">
        <v>226</v>
      </c>
      <c r="BA2273">
        <v>139</v>
      </c>
      <c r="BB2273">
        <v>87</v>
      </c>
      <c r="BC2273">
        <v>226</v>
      </c>
      <c r="BP2273">
        <v>3</v>
      </c>
      <c r="BR2273">
        <v>176</v>
      </c>
      <c r="BS2273">
        <v>11</v>
      </c>
      <c r="BT2273">
        <v>23</v>
      </c>
      <c r="BV2273">
        <v>13</v>
      </c>
      <c r="BW2273">
        <v>226</v>
      </c>
      <c r="BX2273">
        <f>IF(C2273=C2272,IF((CI2273-1)=CI2272,BW2272,"no data"))</f>
        <v>455</v>
      </c>
      <c r="BY2273" s="5">
        <f t="shared" si="233"/>
        <v>-0.50329670329670328</v>
      </c>
      <c r="BZ2273" s="6">
        <f t="shared" si="232"/>
        <v>-0.50329670329670328</v>
      </c>
      <c r="CA2273" s="7">
        <v>44528</v>
      </c>
      <c r="CE2273">
        <v>52</v>
      </c>
      <c r="CF2273">
        <v>94</v>
      </c>
      <c r="CG2273">
        <v>80</v>
      </c>
      <c r="CI2273">
        <f t="shared" si="230"/>
        <v>2021</v>
      </c>
      <c r="CJ2273" t="str">
        <f t="shared" si="231"/>
        <v>7532_2021</v>
      </c>
    </row>
    <row r="2274" spans="1:88" x14ac:dyDescent="0.25">
      <c r="A2274" t="s">
        <v>79</v>
      </c>
      <c r="B2274" t="s">
        <v>877</v>
      </c>
      <c r="C2274">
        <v>7532</v>
      </c>
      <c r="D2274">
        <v>-33.790070999999998</v>
      </c>
      <c r="E2274">
        <v>151.18747999999999</v>
      </c>
      <c r="F2274">
        <v>2</v>
      </c>
      <c r="G2274" t="s">
        <v>878</v>
      </c>
      <c r="H2274">
        <v>41</v>
      </c>
      <c r="I2274">
        <v>221</v>
      </c>
      <c r="J2274">
        <v>198</v>
      </c>
      <c r="K2274">
        <v>18</v>
      </c>
      <c r="T2274">
        <v>116</v>
      </c>
      <c r="Y2274">
        <v>159</v>
      </c>
      <c r="AX2274">
        <v>116</v>
      </c>
      <c r="AY2274">
        <v>159</v>
      </c>
      <c r="AZ2274">
        <v>275</v>
      </c>
      <c r="BA2274">
        <v>159</v>
      </c>
      <c r="BB2274">
        <v>116</v>
      </c>
      <c r="BC2274">
        <v>275</v>
      </c>
      <c r="BP2274">
        <v>11</v>
      </c>
      <c r="BR2274">
        <v>201</v>
      </c>
      <c r="BS2274">
        <v>16</v>
      </c>
      <c r="BT2274">
        <v>32</v>
      </c>
      <c r="BU2274">
        <v>0</v>
      </c>
      <c r="BV2274">
        <v>15</v>
      </c>
      <c r="BW2274">
        <v>275</v>
      </c>
      <c r="BX2274">
        <f>IF(C2274=C2273,IF((CI2274-1)=CI2273,BW2273,"no data"))</f>
        <v>226</v>
      </c>
      <c r="BY2274" s="5">
        <f t="shared" si="233"/>
        <v>0.2168141592920354</v>
      </c>
      <c r="BZ2274" s="6">
        <f t="shared" si="232"/>
        <v>0.2168141592920354</v>
      </c>
      <c r="CA2274" s="7">
        <v>44892</v>
      </c>
      <c r="CE2274">
        <v>92</v>
      </c>
      <c r="CF2274">
        <v>87</v>
      </c>
      <c r="CG2274">
        <v>96</v>
      </c>
      <c r="CI2274">
        <f t="shared" si="230"/>
        <v>2022</v>
      </c>
      <c r="CJ2274" t="str">
        <f t="shared" si="231"/>
        <v>7532_2022</v>
      </c>
    </row>
    <row r="2275" spans="1:88" x14ac:dyDescent="0.25">
      <c r="A2275" t="s">
        <v>79</v>
      </c>
      <c r="B2275" t="s">
        <v>877</v>
      </c>
      <c r="C2275">
        <v>7533</v>
      </c>
      <c r="D2275">
        <v>-33.800142999999998</v>
      </c>
      <c r="E2275">
        <v>151.18080599999999</v>
      </c>
      <c r="F2275">
        <v>3</v>
      </c>
      <c r="G2275" t="s">
        <v>879</v>
      </c>
      <c r="H2275">
        <v>96</v>
      </c>
      <c r="I2275">
        <v>276</v>
      </c>
      <c r="J2275">
        <v>180</v>
      </c>
      <c r="K2275">
        <v>360</v>
      </c>
      <c r="L2275">
        <v>357</v>
      </c>
      <c r="M2275">
        <v>177</v>
      </c>
      <c r="T2275">
        <v>49</v>
      </c>
      <c r="U2275">
        <v>15</v>
      </c>
      <c r="Y2275">
        <v>32</v>
      </c>
      <c r="Z2275">
        <v>125</v>
      </c>
      <c r="AD2275">
        <v>11</v>
      </c>
      <c r="AE2275">
        <v>232</v>
      </c>
      <c r="AX2275">
        <v>64</v>
      </c>
      <c r="AY2275">
        <v>43</v>
      </c>
      <c r="AZ2275">
        <v>107</v>
      </c>
      <c r="BA2275">
        <v>157</v>
      </c>
      <c r="BB2275">
        <v>281</v>
      </c>
      <c r="BC2275">
        <v>438</v>
      </c>
      <c r="BD2275">
        <v>243</v>
      </c>
      <c r="BE2275">
        <v>140</v>
      </c>
      <c r="BF2275">
        <v>383</v>
      </c>
      <c r="BP2275">
        <v>62</v>
      </c>
      <c r="BR2275">
        <v>387</v>
      </c>
      <c r="BS2275">
        <v>4</v>
      </c>
      <c r="BT2275">
        <v>6</v>
      </c>
      <c r="BV2275">
        <v>5</v>
      </c>
      <c r="BW2275">
        <v>464</v>
      </c>
      <c r="BX2275" t="s">
        <v>82</v>
      </c>
      <c r="BY2275" s="5"/>
      <c r="BZ2275" s="6"/>
      <c r="CA2275" s="7">
        <v>44143</v>
      </c>
      <c r="CE2275">
        <v>90</v>
      </c>
      <c r="CF2275">
        <v>230</v>
      </c>
      <c r="CG2275">
        <v>94</v>
      </c>
      <c r="CH2275">
        <v>50</v>
      </c>
      <c r="CI2275">
        <f t="shared" si="230"/>
        <v>2020</v>
      </c>
      <c r="CJ2275" t="str">
        <f t="shared" si="231"/>
        <v>7533_2020</v>
      </c>
    </row>
    <row r="2276" spans="1:88" x14ac:dyDescent="0.25">
      <c r="A2276" t="s">
        <v>79</v>
      </c>
      <c r="B2276" t="s">
        <v>877</v>
      </c>
      <c r="C2276">
        <v>7533</v>
      </c>
      <c r="D2276">
        <v>-33.800142999999998</v>
      </c>
      <c r="E2276">
        <v>151.18080599999999</v>
      </c>
      <c r="F2276">
        <v>3</v>
      </c>
      <c r="G2276" t="s">
        <v>879</v>
      </c>
      <c r="H2276">
        <v>96</v>
      </c>
      <c r="I2276">
        <v>276</v>
      </c>
      <c r="J2276">
        <v>180</v>
      </c>
      <c r="K2276">
        <v>360</v>
      </c>
      <c r="L2276">
        <v>357</v>
      </c>
      <c r="M2276">
        <v>177</v>
      </c>
      <c r="T2276">
        <v>19</v>
      </c>
      <c r="U2276">
        <v>26</v>
      </c>
      <c r="Y2276">
        <v>16</v>
      </c>
      <c r="Z2276">
        <v>66</v>
      </c>
      <c r="AD2276">
        <v>17</v>
      </c>
      <c r="AE2276">
        <v>36</v>
      </c>
      <c r="AX2276">
        <v>45</v>
      </c>
      <c r="AY2276">
        <v>33</v>
      </c>
      <c r="AZ2276">
        <v>78</v>
      </c>
      <c r="BA2276">
        <v>82</v>
      </c>
      <c r="BB2276">
        <v>55</v>
      </c>
      <c r="BC2276">
        <v>137</v>
      </c>
      <c r="BD2276">
        <v>53</v>
      </c>
      <c r="BE2276">
        <v>92</v>
      </c>
      <c r="BF2276">
        <v>145</v>
      </c>
      <c r="BP2276">
        <v>29</v>
      </c>
      <c r="BR2276">
        <v>99</v>
      </c>
      <c r="BS2276">
        <v>40</v>
      </c>
      <c r="BT2276">
        <v>11</v>
      </c>
      <c r="BV2276">
        <v>1</v>
      </c>
      <c r="BW2276">
        <v>180</v>
      </c>
      <c r="BX2276">
        <f>IF(C2276=C2275,IF((CI2276-1)=CI2275,BW2275,"no data"))</f>
        <v>464</v>
      </c>
      <c r="BY2276" s="5">
        <f t="shared" si="233"/>
        <v>-0.61206896551724133</v>
      </c>
      <c r="BZ2276" s="6">
        <f t="shared" si="232"/>
        <v>-0.61206896551724133</v>
      </c>
      <c r="CA2276" s="7">
        <v>44528</v>
      </c>
      <c r="CE2276">
        <v>46</v>
      </c>
      <c r="CF2276">
        <v>65</v>
      </c>
      <c r="CG2276">
        <v>69</v>
      </c>
      <c r="CI2276">
        <f t="shared" si="230"/>
        <v>2021</v>
      </c>
      <c r="CJ2276" t="str">
        <f t="shared" si="231"/>
        <v>7533_2021</v>
      </c>
    </row>
    <row r="2277" spans="1:88" x14ac:dyDescent="0.25">
      <c r="A2277" t="s">
        <v>79</v>
      </c>
      <c r="B2277" t="s">
        <v>877</v>
      </c>
      <c r="C2277">
        <v>7533</v>
      </c>
      <c r="D2277">
        <v>-33.800142999999998</v>
      </c>
      <c r="E2277">
        <v>151.18080599999999</v>
      </c>
      <c r="F2277">
        <v>3</v>
      </c>
      <c r="G2277" t="s">
        <v>879</v>
      </c>
      <c r="H2277">
        <v>96</v>
      </c>
      <c r="I2277">
        <v>276</v>
      </c>
      <c r="J2277">
        <v>180</v>
      </c>
      <c r="K2277">
        <v>360</v>
      </c>
      <c r="L2277">
        <v>357</v>
      </c>
      <c r="M2277">
        <v>177</v>
      </c>
      <c r="T2277">
        <v>28</v>
      </c>
      <c r="U2277">
        <v>25</v>
      </c>
      <c r="Y2277">
        <v>24</v>
      </c>
      <c r="Z2277">
        <v>99</v>
      </c>
      <c r="AD2277">
        <v>23</v>
      </c>
      <c r="AE2277">
        <v>63</v>
      </c>
      <c r="AX2277">
        <v>53</v>
      </c>
      <c r="AY2277">
        <v>47</v>
      </c>
      <c r="AZ2277">
        <v>100</v>
      </c>
      <c r="BA2277">
        <v>123</v>
      </c>
      <c r="BB2277">
        <v>91</v>
      </c>
      <c r="BC2277">
        <v>214</v>
      </c>
      <c r="BD2277">
        <v>86</v>
      </c>
      <c r="BE2277">
        <v>124</v>
      </c>
      <c r="BF2277">
        <v>210</v>
      </c>
      <c r="BP2277">
        <v>35</v>
      </c>
      <c r="BR2277">
        <v>193</v>
      </c>
      <c r="BS2277">
        <v>19</v>
      </c>
      <c r="BT2277">
        <v>8</v>
      </c>
      <c r="BU2277">
        <v>7</v>
      </c>
      <c r="BV2277">
        <v>0</v>
      </c>
      <c r="BW2277">
        <v>262</v>
      </c>
      <c r="BX2277">
        <f>IF(C2277=C2276,IF((CI2277-1)=CI2276,BW2276,"no data"))</f>
        <v>180</v>
      </c>
      <c r="BY2277" s="5">
        <f t="shared" si="233"/>
        <v>0.45555555555555555</v>
      </c>
      <c r="BZ2277" s="6">
        <f t="shared" si="232"/>
        <v>0.45555555555555555</v>
      </c>
      <c r="CA2277" s="7">
        <v>44885</v>
      </c>
      <c r="CE2277">
        <v>99</v>
      </c>
      <c r="CF2277">
        <v>97</v>
      </c>
      <c r="CG2277">
        <v>66</v>
      </c>
      <c r="CI2277">
        <f t="shared" si="230"/>
        <v>2022</v>
      </c>
      <c r="CJ2277" t="str">
        <f t="shared" si="231"/>
        <v>7533_2022</v>
      </c>
    </row>
    <row r="2278" spans="1:88" x14ac:dyDescent="0.25">
      <c r="A2278" t="s">
        <v>79</v>
      </c>
      <c r="B2278" t="s">
        <v>877</v>
      </c>
      <c r="C2278">
        <v>7534</v>
      </c>
      <c r="D2278">
        <v>-33.813026999999998</v>
      </c>
      <c r="E2278">
        <v>151.18097</v>
      </c>
      <c r="F2278">
        <v>3</v>
      </c>
      <c r="G2278" t="s">
        <v>880</v>
      </c>
      <c r="H2278">
        <v>105</v>
      </c>
      <c r="I2278">
        <v>285</v>
      </c>
      <c r="J2278">
        <v>154</v>
      </c>
      <c r="K2278">
        <v>334</v>
      </c>
      <c r="L2278">
        <v>282</v>
      </c>
      <c r="M2278">
        <v>102</v>
      </c>
      <c r="T2278">
        <v>0</v>
      </c>
      <c r="U2278">
        <v>155</v>
      </c>
      <c r="Y2278">
        <v>0</v>
      </c>
      <c r="Z2278">
        <v>2</v>
      </c>
      <c r="AD2278">
        <v>145</v>
      </c>
      <c r="AE2278">
        <v>5</v>
      </c>
      <c r="AX2278">
        <v>155</v>
      </c>
      <c r="AY2278">
        <v>145</v>
      </c>
      <c r="AZ2278">
        <v>300</v>
      </c>
      <c r="BA2278">
        <v>2</v>
      </c>
      <c r="BB2278">
        <v>5</v>
      </c>
      <c r="BC2278">
        <v>7</v>
      </c>
      <c r="BD2278">
        <v>150</v>
      </c>
      <c r="BE2278">
        <v>157</v>
      </c>
      <c r="BF2278">
        <v>307</v>
      </c>
      <c r="BP2278">
        <v>237</v>
      </c>
      <c r="BR2278">
        <v>38</v>
      </c>
      <c r="BS2278">
        <v>27</v>
      </c>
      <c r="BT2278">
        <v>4</v>
      </c>
      <c r="BV2278">
        <v>1</v>
      </c>
      <c r="BW2278">
        <v>307</v>
      </c>
      <c r="BX2278" t="s">
        <v>82</v>
      </c>
      <c r="BY2278" s="5"/>
      <c r="BZ2278" s="6"/>
      <c r="CA2278" s="7">
        <v>44143</v>
      </c>
      <c r="CE2278">
        <v>85</v>
      </c>
      <c r="CF2278">
        <v>72</v>
      </c>
      <c r="CG2278">
        <v>77</v>
      </c>
      <c r="CH2278">
        <v>73</v>
      </c>
      <c r="CI2278">
        <f t="shared" si="230"/>
        <v>2020</v>
      </c>
      <c r="CJ2278" t="str">
        <f t="shared" si="231"/>
        <v>7534_2020</v>
      </c>
    </row>
    <row r="2279" spans="1:88" x14ac:dyDescent="0.25">
      <c r="A2279" t="s">
        <v>79</v>
      </c>
      <c r="B2279" t="s">
        <v>877</v>
      </c>
      <c r="C2279">
        <v>7534</v>
      </c>
      <c r="D2279">
        <v>-33.813026999999998</v>
      </c>
      <c r="E2279">
        <v>151.18097</v>
      </c>
      <c r="F2279">
        <v>3</v>
      </c>
      <c r="G2279" t="s">
        <v>880</v>
      </c>
      <c r="H2279">
        <v>105</v>
      </c>
      <c r="I2279">
        <v>285</v>
      </c>
      <c r="J2279">
        <v>154</v>
      </c>
      <c r="K2279">
        <v>334</v>
      </c>
      <c r="L2279">
        <v>282</v>
      </c>
      <c r="M2279">
        <v>102</v>
      </c>
      <c r="T2279">
        <v>0</v>
      </c>
      <c r="U2279">
        <v>74</v>
      </c>
      <c r="Y2279">
        <v>0</v>
      </c>
      <c r="Z2279">
        <v>0</v>
      </c>
      <c r="AD2279">
        <v>68</v>
      </c>
      <c r="AE2279">
        <v>1</v>
      </c>
      <c r="AX2279">
        <v>74</v>
      </c>
      <c r="AY2279">
        <v>68</v>
      </c>
      <c r="AZ2279">
        <v>142</v>
      </c>
      <c r="BA2279">
        <v>0</v>
      </c>
      <c r="BB2279">
        <v>1</v>
      </c>
      <c r="BC2279">
        <v>1</v>
      </c>
      <c r="BD2279">
        <v>69</v>
      </c>
      <c r="BE2279">
        <v>74</v>
      </c>
      <c r="BF2279">
        <v>143</v>
      </c>
      <c r="BP2279">
        <v>89</v>
      </c>
      <c r="BR2279">
        <v>21</v>
      </c>
      <c r="BS2279">
        <v>29</v>
      </c>
      <c r="BT2279">
        <v>4</v>
      </c>
      <c r="BV2279">
        <v>0</v>
      </c>
      <c r="BW2279">
        <v>143</v>
      </c>
      <c r="BX2279">
        <f>IF(C2279=C2278,IF((CI2279-1)=CI2278,BW2278,"no data"))</f>
        <v>307</v>
      </c>
      <c r="BY2279" s="5">
        <f t="shared" si="233"/>
        <v>-0.53420195439739415</v>
      </c>
      <c r="BZ2279" s="6">
        <f t="shared" si="232"/>
        <v>-0.53420195439739415</v>
      </c>
      <c r="CA2279" s="7">
        <v>44528</v>
      </c>
      <c r="CE2279">
        <v>51</v>
      </c>
      <c r="CF2279">
        <v>45</v>
      </c>
      <c r="CG2279">
        <v>47</v>
      </c>
      <c r="CI2279">
        <f t="shared" si="230"/>
        <v>2021</v>
      </c>
      <c r="CJ2279" t="str">
        <f t="shared" si="231"/>
        <v>7534_2021</v>
      </c>
    </row>
    <row r="2280" spans="1:88" x14ac:dyDescent="0.25">
      <c r="A2280" t="s">
        <v>79</v>
      </c>
      <c r="B2280" t="s">
        <v>877</v>
      </c>
      <c r="C2280">
        <v>7534</v>
      </c>
      <c r="D2280">
        <v>-33.813026999999998</v>
      </c>
      <c r="E2280">
        <v>151.18097</v>
      </c>
      <c r="F2280">
        <v>3</v>
      </c>
      <c r="G2280" t="s">
        <v>880</v>
      </c>
      <c r="H2280">
        <v>105</v>
      </c>
      <c r="I2280">
        <v>285</v>
      </c>
      <c r="J2280">
        <v>154</v>
      </c>
      <c r="K2280">
        <v>334</v>
      </c>
      <c r="L2280">
        <v>282</v>
      </c>
      <c r="M2280">
        <v>102</v>
      </c>
      <c r="T2280">
        <v>0</v>
      </c>
      <c r="U2280">
        <v>68</v>
      </c>
      <c r="Y2280">
        <v>0</v>
      </c>
      <c r="Z2280">
        <v>1</v>
      </c>
      <c r="AD2280">
        <v>67</v>
      </c>
      <c r="AE2280">
        <v>4</v>
      </c>
      <c r="AX2280">
        <v>68</v>
      </c>
      <c r="AY2280">
        <v>67</v>
      </c>
      <c r="AZ2280">
        <v>135</v>
      </c>
      <c r="BA2280">
        <v>1</v>
      </c>
      <c r="BB2280">
        <v>4</v>
      </c>
      <c r="BC2280">
        <v>5</v>
      </c>
      <c r="BD2280">
        <v>71</v>
      </c>
      <c r="BE2280">
        <v>69</v>
      </c>
      <c r="BF2280">
        <v>140</v>
      </c>
      <c r="BP2280">
        <v>97</v>
      </c>
      <c r="BR2280">
        <v>24</v>
      </c>
      <c r="BS2280">
        <v>13</v>
      </c>
      <c r="BT2280">
        <v>4</v>
      </c>
      <c r="BU2280">
        <v>2</v>
      </c>
      <c r="BV2280">
        <v>0</v>
      </c>
      <c r="BW2280">
        <v>140</v>
      </c>
      <c r="BX2280">
        <f>IF(C2280=C2279,IF((CI2280-1)=CI2279,BW2279,"no data"))</f>
        <v>143</v>
      </c>
      <c r="BY2280" s="5">
        <f t="shared" si="233"/>
        <v>-2.097902097902098E-2</v>
      </c>
      <c r="BZ2280" s="6">
        <f t="shared" si="232"/>
        <v>-2.097902097902098E-2</v>
      </c>
      <c r="CA2280" s="7">
        <v>44885</v>
      </c>
      <c r="CE2280">
        <v>60</v>
      </c>
      <c r="CF2280">
        <v>47</v>
      </c>
      <c r="CG2280">
        <v>33</v>
      </c>
      <c r="CI2280">
        <f t="shared" si="230"/>
        <v>2022</v>
      </c>
      <c r="CJ2280" t="str">
        <f t="shared" si="231"/>
        <v>7534_2022</v>
      </c>
    </row>
    <row r="2281" spans="1:88" x14ac:dyDescent="0.25">
      <c r="A2281" t="s">
        <v>79</v>
      </c>
      <c r="B2281" t="s">
        <v>877</v>
      </c>
      <c r="C2281">
        <v>7535</v>
      </c>
      <c r="D2281">
        <v>-33.810640999999997</v>
      </c>
      <c r="E2281">
        <v>151.192409</v>
      </c>
      <c r="F2281">
        <v>3</v>
      </c>
      <c r="G2281" t="s">
        <v>881</v>
      </c>
      <c r="H2281">
        <v>8</v>
      </c>
      <c r="I2281">
        <v>188</v>
      </c>
      <c r="J2281">
        <v>140</v>
      </c>
      <c r="K2281">
        <v>320</v>
      </c>
      <c r="L2281">
        <v>260</v>
      </c>
      <c r="M2281">
        <v>80</v>
      </c>
      <c r="T2281">
        <v>286</v>
      </c>
      <c r="U2281">
        <v>74</v>
      </c>
      <c r="Y2281">
        <v>290</v>
      </c>
      <c r="Z2281">
        <v>82</v>
      </c>
      <c r="AD2281">
        <v>104</v>
      </c>
      <c r="AE2281">
        <v>66</v>
      </c>
      <c r="AX2281">
        <v>360</v>
      </c>
      <c r="AY2281">
        <v>394</v>
      </c>
      <c r="AZ2281">
        <v>754</v>
      </c>
      <c r="BA2281">
        <v>372</v>
      </c>
      <c r="BB2281">
        <v>352</v>
      </c>
      <c r="BC2281">
        <v>724</v>
      </c>
      <c r="BD2281">
        <v>170</v>
      </c>
      <c r="BE2281">
        <v>156</v>
      </c>
      <c r="BF2281">
        <v>326</v>
      </c>
      <c r="BP2281">
        <v>193</v>
      </c>
      <c r="BR2281">
        <v>576</v>
      </c>
      <c r="BS2281">
        <v>57</v>
      </c>
      <c r="BT2281">
        <v>50</v>
      </c>
      <c r="BV2281">
        <v>26</v>
      </c>
      <c r="BW2281">
        <v>902</v>
      </c>
      <c r="BX2281" t="s">
        <v>82</v>
      </c>
      <c r="BY2281" s="5"/>
      <c r="BZ2281" s="6"/>
      <c r="CA2281" s="7">
        <v>44143</v>
      </c>
      <c r="CE2281">
        <v>184</v>
      </c>
      <c r="CF2281">
        <v>233</v>
      </c>
      <c r="CG2281">
        <v>305</v>
      </c>
      <c r="CH2281">
        <v>180</v>
      </c>
      <c r="CI2281">
        <f t="shared" si="230"/>
        <v>2020</v>
      </c>
      <c r="CJ2281" t="str">
        <f t="shared" si="231"/>
        <v>7535_2020</v>
      </c>
    </row>
    <row r="2282" spans="1:88" x14ac:dyDescent="0.25">
      <c r="A2282" t="s">
        <v>79</v>
      </c>
      <c r="B2282" t="s">
        <v>877</v>
      </c>
      <c r="C2282">
        <v>7535</v>
      </c>
      <c r="D2282">
        <v>-33.810640999999997</v>
      </c>
      <c r="E2282">
        <v>151.192409</v>
      </c>
      <c r="F2282">
        <v>3</v>
      </c>
      <c r="G2282" t="s">
        <v>881</v>
      </c>
      <c r="H2282">
        <v>8</v>
      </c>
      <c r="I2282">
        <v>188</v>
      </c>
      <c r="J2282">
        <v>140</v>
      </c>
      <c r="K2282">
        <v>320</v>
      </c>
      <c r="L2282">
        <v>260</v>
      </c>
      <c r="M2282">
        <v>80</v>
      </c>
      <c r="T2282">
        <v>154</v>
      </c>
      <c r="U2282">
        <v>0</v>
      </c>
      <c r="Y2282">
        <v>157</v>
      </c>
      <c r="Z2282">
        <v>38</v>
      </c>
      <c r="AD2282">
        <v>4</v>
      </c>
      <c r="AE2282">
        <v>46</v>
      </c>
      <c r="AX2282">
        <v>154</v>
      </c>
      <c r="AY2282">
        <v>161</v>
      </c>
      <c r="AZ2282">
        <v>315</v>
      </c>
      <c r="BA2282">
        <v>195</v>
      </c>
      <c r="BB2282">
        <v>200</v>
      </c>
      <c r="BC2282">
        <v>395</v>
      </c>
      <c r="BD2282">
        <v>50</v>
      </c>
      <c r="BE2282">
        <v>38</v>
      </c>
      <c r="BF2282">
        <v>88</v>
      </c>
      <c r="BP2282">
        <v>77</v>
      </c>
      <c r="BR2282">
        <v>195</v>
      </c>
      <c r="BS2282">
        <v>59</v>
      </c>
      <c r="BT2282">
        <v>52</v>
      </c>
      <c r="BV2282">
        <v>16</v>
      </c>
      <c r="BW2282">
        <v>399</v>
      </c>
      <c r="BX2282">
        <f>IF(C2282=C2281,IF((CI2282-1)=CI2281,BW2281,"no data"))</f>
        <v>902</v>
      </c>
      <c r="BY2282" s="5">
        <f t="shared" si="233"/>
        <v>-0.55764966740576494</v>
      </c>
      <c r="BZ2282" s="6">
        <f t="shared" si="232"/>
        <v>-0.55764966740576494</v>
      </c>
      <c r="CA2282" s="7">
        <v>44528</v>
      </c>
      <c r="CE2282">
        <v>116</v>
      </c>
      <c r="CF2282">
        <v>145</v>
      </c>
      <c r="CG2282">
        <v>138</v>
      </c>
      <c r="CI2282">
        <f t="shared" si="230"/>
        <v>2021</v>
      </c>
      <c r="CJ2282" t="str">
        <f t="shared" si="231"/>
        <v>7535_2021</v>
      </c>
    </row>
    <row r="2283" spans="1:88" x14ac:dyDescent="0.25">
      <c r="A2283" t="s">
        <v>79</v>
      </c>
      <c r="B2283" t="s">
        <v>877</v>
      </c>
      <c r="C2283">
        <v>7535</v>
      </c>
      <c r="D2283">
        <v>-33.810640999999997</v>
      </c>
      <c r="E2283">
        <v>151.192409</v>
      </c>
      <c r="F2283">
        <v>3</v>
      </c>
      <c r="G2283" t="s">
        <v>881</v>
      </c>
      <c r="H2283">
        <v>8</v>
      </c>
      <c r="I2283">
        <v>188</v>
      </c>
      <c r="J2283">
        <v>140</v>
      </c>
      <c r="K2283">
        <v>320</v>
      </c>
      <c r="L2283">
        <v>260</v>
      </c>
      <c r="M2283">
        <v>80</v>
      </c>
      <c r="T2283">
        <v>91</v>
      </c>
      <c r="U2283">
        <v>20</v>
      </c>
      <c r="Y2283">
        <v>127</v>
      </c>
      <c r="Z2283">
        <v>44</v>
      </c>
      <c r="AD2283">
        <v>2</v>
      </c>
      <c r="AE2283">
        <v>67</v>
      </c>
      <c r="AX2283">
        <v>111</v>
      </c>
      <c r="AY2283">
        <v>129</v>
      </c>
      <c r="AZ2283">
        <v>240</v>
      </c>
      <c r="BA2283">
        <v>171</v>
      </c>
      <c r="BB2283">
        <v>158</v>
      </c>
      <c r="BC2283">
        <v>329</v>
      </c>
      <c r="BD2283">
        <v>69</v>
      </c>
      <c r="BE2283">
        <v>64</v>
      </c>
      <c r="BF2283">
        <v>133</v>
      </c>
      <c r="BP2283">
        <v>69</v>
      </c>
      <c r="BR2283">
        <v>181</v>
      </c>
      <c r="BS2283">
        <v>29</v>
      </c>
      <c r="BT2283">
        <v>55</v>
      </c>
      <c r="BU2283">
        <v>0</v>
      </c>
      <c r="BV2283">
        <v>17</v>
      </c>
      <c r="BW2283">
        <v>351</v>
      </c>
      <c r="BX2283">
        <f>IF(C2283=C2282,IF((CI2283-1)=CI2282,BW2282,"no data"))</f>
        <v>399</v>
      </c>
      <c r="BY2283" s="5">
        <f t="shared" si="233"/>
        <v>-0.12030075187969924</v>
      </c>
      <c r="BZ2283" s="6">
        <f t="shared" si="232"/>
        <v>-0.12030075187969924</v>
      </c>
      <c r="CA2283" s="7">
        <v>44885</v>
      </c>
      <c r="CE2283">
        <v>145</v>
      </c>
      <c r="CF2283">
        <v>118</v>
      </c>
      <c r="CG2283">
        <v>88</v>
      </c>
      <c r="CI2283">
        <f t="shared" si="230"/>
        <v>2022</v>
      </c>
      <c r="CJ2283" t="str">
        <f t="shared" si="231"/>
        <v>7535_2022</v>
      </c>
    </row>
    <row r="2284" spans="1:88" x14ac:dyDescent="0.25">
      <c r="A2284" t="s">
        <v>111</v>
      </c>
      <c r="B2284" t="s">
        <v>301</v>
      </c>
      <c r="C2284">
        <v>7536</v>
      </c>
      <c r="D2284">
        <v>-38.130288999999998</v>
      </c>
      <c r="E2284">
        <v>145.13162500000001</v>
      </c>
      <c r="F2284">
        <v>5</v>
      </c>
      <c r="G2284" t="s">
        <v>882</v>
      </c>
      <c r="H2284">
        <v>19</v>
      </c>
      <c r="I2284">
        <v>199</v>
      </c>
      <c r="J2284">
        <v>46</v>
      </c>
      <c r="K2284">
        <v>226</v>
      </c>
      <c r="L2284">
        <v>107</v>
      </c>
      <c r="M2284">
        <v>287</v>
      </c>
      <c r="N2284">
        <v>200</v>
      </c>
      <c r="O2284">
        <v>20</v>
      </c>
      <c r="P2284">
        <v>290</v>
      </c>
      <c r="Q2284">
        <v>110</v>
      </c>
      <c r="T2284">
        <v>4</v>
      </c>
      <c r="U2284">
        <v>7</v>
      </c>
      <c r="V2284">
        <v>38</v>
      </c>
      <c r="W2284">
        <v>10</v>
      </c>
      <c r="Y2284">
        <v>0</v>
      </c>
      <c r="Z2284">
        <v>0</v>
      </c>
      <c r="AA2284">
        <v>4</v>
      </c>
      <c r="AB2284">
        <v>6</v>
      </c>
      <c r="AD2284">
        <v>1</v>
      </c>
      <c r="AE2284">
        <v>1</v>
      </c>
      <c r="AF2284">
        <v>4</v>
      </c>
      <c r="AG2284">
        <v>7</v>
      </c>
      <c r="AI2284">
        <v>32</v>
      </c>
      <c r="AJ2284">
        <v>3</v>
      </c>
      <c r="AK2284">
        <v>4</v>
      </c>
      <c r="AL2284">
        <v>10</v>
      </c>
      <c r="AN2284">
        <v>3</v>
      </c>
      <c r="AO2284">
        <v>5</v>
      </c>
      <c r="AP2284">
        <v>1</v>
      </c>
      <c r="AQ2284">
        <v>1</v>
      </c>
      <c r="AX2284">
        <v>59</v>
      </c>
      <c r="AY2284">
        <v>36</v>
      </c>
      <c r="AZ2284">
        <v>95</v>
      </c>
      <c r="BA2284">
        <v>10</v>
      </c>
      <c r="BB2284">
        <v>13</v>
      </c>
      <c r="BC2284">
        <v>23</v>
      </c>
      <c r="BD2284">
        <v>13</v>
      </c>
      <c r="BE2284">
        <v>12</v>
      </c>
      <c r="BF2284">
        <v>25</v>
      </c>
      <c r="BG2284">
        <v>49</v>
      </c>
      <c r="BH2284">
        <v>47</v>
      </c>
      <c r="BI2284">
        <v>96</v>
      </c>
      <c r="BJ2284">
        <v>10</v>
      </c>
      <c r="BK2284">
        <v>33</v>
      </c>
      <c r="BL2284">
        <v>43</v>
      </c>
      <c r="BP2284">
        <v>103</v>
      </c>
      <c r="BR2284">
        <v>27</v>
      </c>
      <c r="BS2284">
        <v>5</v>
      </c>
      <c r="BT2284">
        <v>4</v>
      </c>
      <c r="BV2284">
        <v>2</v>
      </c>
      <c r="BW2284">
        <v>141</v>
      </c>
      <c r="BX2284" t="s">
        <v>82</v>
      </c>
      <c r="BY2284" s="5"/>
      <c r="BZ2284" s="6"/>
      <c r="CA2284" s="7">
        <v>44143</v>
      </c>
      <c r="CE2284">
        <v>49</v>
      </c>
      <c r="CF2284">
        <v>23</v>
      </c>
      <c r="CG2284">
        <v>33</v>
      </c>
      <c r="CH2284">
        <v>36</v>
      </c>
      <c r="CI2284">
        <f t="shared" si="230"/>
        <v>2020</v>
      </c>
      <c r="CJ2284" t="str">
        <f t="shared" si="231"/>
        <v>7536_2020</v>
      </c>
    </row>
    <row r="2285" spans="1:88" x14ac:dyDescent="0.25">
      <c r="A2285" t="s">
        <v>111</v>
      </c>
      <c r="B2285" t="s">
        <v>301</v>
      </c>
      <c r="C2285">
        <v>7536</v>
      </c>
      <c r="D2285">
        <v>-38.130288999999998</v>
      </c>
      <c r="E2285">
        <v>145.13162500000001</v>
      </c>
      <c r="F2285">
        <v>5</v>
      </c>
      <c r="G2285" t="s">
        <v>882</v>
      </c>
      <c r="H2285">
        <v>19</v>
      </c>
      <c r="I2285">
        <v>199</v>
      </c>
      <c r="J2285">
        <v>46</v>
      </c>
      <c r="K2285">
        <v>226</v>
      </c>
      <c r="L2285">
        <v>107</v>
      </c>
      <c r="M2285">
        <v>287</v>
      </c>
      <c r="N2285">
        <v>200</v>
      </c>
      <c r="O2285">
        <v>20</v>
      </c>
      <c r="P2285">
        <v>290</v>
      </c>
      <c r="Q2285">
        <v>110</v>
      </c>
      <c r="T2285">
        <v>3</v>
      </c>
      <c r="U2285">
        <v>1</v>
      </c>
      <c r="V2285">
        <v>37</v>
      </c>
      <c r="W2285">
        <v>0</v>
      </c>
      <c r="Y2285">
        <v>5</v>
      </c>
      <c r="Z2285">
        <v>0</v>
      </c>
      <c r="AA2285">
        <v>1</v>
      </c>
      <c r="AB2285">
        <v>0</v>
      </c>
      <c r="AD2285">
        <v>1</v>
      </c>
      <c r="AE2285">
        <v>0</v>
      </c>
      <c r="AF2285">
        <v>1</v>
      </c>
      <c r="AG2285">
        <v>14</v>
      </c>
      <c r="AI2285">
        <v>12</v>
      </c>
      <c r="AJ2285">
        <v>0</v>
      </c>
      <c r="AK2285">
        <v>2</v>
      </c>
      <c r="AL2285">
        <v>3</v>
      </c>
      <c r="AN2285">
        <v>4</v>
      </c>
      <c r="AO2285">
        <v>2</v>
      </c>
      <c r="AP2285">
        <v>6</v>
      </c>
      <c r="AQ2285">
        <v>1</v>
      </c>
      <c r="AX2285">
        <v>41</v>
      </c>
      <c r="AY2285">
        <v>22</v>
      </c>
      <c r="AZ2285">
        <v>63</v>
      </c>
      <c r="BA2285">
        <v>6</v>
      </c>
      <c r="BB2285">
        <v>5</v>
      </c>
      <c r="BC2285">
        <v>11</v>
      </c>
      <c r="BD2285">
        <v>16</v>
      </c>
      <c r="BE2285">
        <v>9</v>
      </c>
      <c r="BF2285">
        <v>25</v>
      </c>
      <c r="BG2285">
        <v>17</v>
      </c>
      <c r="BH2285">
        <v>40</v>
      </c>
      <c r="BI2285">
        <v>57</v>
      </c>
      <c r="BJ2285">
        <v>13</v>
      </c>
      <c r="BK2285">
        <v>17</v>
      </c>
      <c r="BL2285">
        <v>30</v>
      </c>
      <c r="BP2285">
        <v>74</v>
      </c>
      <c r="BR2285">
        <v>10</v>
      </c>
      <c r="BS2285">
        <v>1</v>
      </c>
      <c r="BT2285">
        <v>3</v>
      </c>
      <c r="BV2285">
        <v>5</v>
      </c>
      <c r="BW2285">
        <v>93</v>
      </c>
      <c r="BX2285">
        <f>IF(C2285=C2284,IF((CI2285-1)=CI2284,BW2284,"no data"))</f>
        <v>141</v>
      </c>
      <c r="BY2285" s="5">
        <f t="shared" si="233"/>
        <v>-0.34042553191489361</v>
      </c>
      <c r="BZ2285" s="6">
        <f t="shared" si="232"/>
        <v>-0.34042553191489361</v>
      </c>
      <c r="CA2285" s="7">
        <v>44542</v>
      </c>
      <c r="CE2285">
        <v>29</v>
      </c>
      <c r="CF2285">
        <v>40</v>
      </c>
      <c r="CG2285">
        <v>24</v>
      </c>
      <c r="CI2285">
        <f t="shared" si="230"/>
        <v>2021</v>
      </c>
      <c r="CJ2285" t="str">
        <f t="shared" si="231"/>
        <v>7536_2021</v>
      </c>
    </row>
    <row r="2286" spans="1:88" x14ac:dyDescent="0.25">
      <c r="A2286" t="s">
        <v>111</v>
      </c>
      <c r="B2286" t="s">
        <v>301</v>
      </c>
      <c r="C2286">
        <v>7537</v>
      </c>
      <c r="D2286">
        <v>-38.110553000000003</v>
      </c>
      <c r="E2286">
        <v>145.130258</v>
      </c>
      <c r="F2286">
        <v>4</v>
      </c>
      <c r="G2286" t="s">
        <v>883</v>
      </c>
      <c r="H2286">
        <v>96</v>
      </c>
      <c r="I2286">
        <v>276</v>
      </c>
      <c r="J2286">
        <v>147</v>
      </c>
      <c r="K2286">
        <v>327</v>
      </c>
      <c r="L2286">
        <v>280</v>
      </c>
      <c r="M2286">
        <v>100</v>
      </c>
      <c r="N2286">
        <v>330</v>
      </c>
      <c r="O2286">
        <v>150</v>
      </c>
      <c r="T2286">
        <v>12</v>
      </c>
      <c r="U2286">
        <v>73</v>
      </c>
      <c r="V2286">
        <v>9</v>
      </c>
      <c r="Y2286">
        <v>13</v>
      </c>
      <c r="Z2286">
        <v>4</v>
      </c>
      <c r="AA2286">
        <v>48</v>
      </c>
      <c r="AD2286">
        <v>92</v>
      </c>
      <c r="AE2286">
        <v>15</v>
      </c>
      <c r="AF2286">
        <v>113</v>
      </c>
      <c r="AI2286">
        <v>10</v>
      </c>
      <c r="AJ2286">
        <v>39</v>
      </c>
      <c r="AK2286">
        <v>101</v>
      </c>
      <c r="AX2286">
        <v>94</v>
      </c>
      <c r="AY2286">
        <v>115</v>
      </c>
      <c r="AZ2286">
        <v>209</v>
      </c>
      <c r="BA2286">
        <v>65</v>
      </c>
      <c r="BB2286">
        <v>66</v>
      </c>
      <c r="BC2286">
        <v>131</v>
      </c>
      <c r="BD2286">
        <v>220</v>
      </c>
      <c r="BE2286">
        <v>178</v>
      </c>
      <c r="BF2286">
        <v>398</v>
      </c>
      <c r="BG2286">
        <v>150</v>
      </c>
      <c r="BH2286">
        <v>170</v>
      </c>
      <c r="BI2286">
        <v>320</v>
      </c>
      <c r="BP2286">
        <v>234</v>
      </c>
      <c r="BR2286">
        <v>205</v>
      </c>
      <c r="BS2286">
        <v>6</v>
      </c>
      <c r="BT2286">
        <v>49</v>
      </c>
      <c r="BV2286">
        <v>35</v>
      </c>
      <c r="BW2286">
        <v>529</v>
      </c>
      <c r="BX2286" t="s">
        <v>82</v>
      </c>
      <c r="BY2286" s="5"/>
      <c r="BZ2286" s="6"/>
      <c r="CA2286" s="7">
        <v>44143</v>
      </c>
      <c r="CE2286">
        <v>127</v>
      </c>
      <c r="CF2286">
        <v>139</v>
      </c>
      <c r="CG2286">
        <v>124</v>
      </c>
      <c r="CH2286">
        <v>139</v>
      </c>
      <c r="CI2286">
        <f t="shared" si="230"/>
        <v>2020</v>
      </c>
      <c r="CJ2286" t="str">
        <f t="shared" si="231"/>
        <v>7537_2020</v>
      </c>
    </row>
    <row r="2287" spans="1:88" x14ac:dyDescent="0.25">
      <c r="A2287" t="s">
        <v>111</v>
      </c>
      <c r="B2287" t="s">
        <v>301</v>
      </c>
      <c r="C2287">
        <v>7537</v>
      </c>
      <c r="D2287">
        <v>-38.110553000000003</v>
      </c>
      <c r="E2287">
        <v>145.130258</v>
      </c>
      <c r="F2287">
        <v>4</v>
      </c>
      <c r="G2287" t="s">
        <v>883</v>
      </c>
      <c r="H2287">
        <v>96</v>
      </c>
      <c r="I2287">
        <v>276</v>
      </c>
      <c r="J2287">
        <v>147</v>
      </c>
      <c r="K2287">
        <v>327</v>
      </c>
      <c r="L2287">
        <v>280</v>
      </c>
      <c r="M2287">
        <v>100</v>
      </c>
      <c r="N2287">
        <v>330</v>
      </c>
      <c r="O2287">
        <v>150</v>
      </c>
      <c r="T2287">
        <v>30</v>
      </c>
      <c r="U2287">
        <v>30</v>
      </c>
      <c r="V2287">
        <v>7</v>
      </c>
      <c r="Y2287">
        <v>40</v>
      </c>
      <c r="Z2287">
        <v>9</v>
      </c>
      <c r="AA2287">
        <v>74</v>
      </c>
      <c r="AD2287">
        <v>25</v>
      </c>
      <c r="AE2287">
        <v>11</v>
      </c>
      <c r="AF2287">
        <v>8</v>
      </c>
      <c r="AI2287">
        <v>2</v>
      </c>
      <c r="AJ2287">
        <v>85</v>
      </c>
      <c r="AK2287">
        <v>4</v>
      </c>
      <c r="AX2287">
        <v>67</v>
      </c>
      <c r="AY2287">
        <v>67</v>
      </c>
      <c r="AZ2287">
        <v>134</v>
      </c>
      <c r="BA2287">
        <v>123</v>
      </c>
      <c r="BB2287">
        <v>126</v>
      </c>
      <c r="BC2287">
        <v>249</v>
      </c>
      <c r="BD2287">
        <v>44</v>
      </c>
      <c r="BE2287">
        <v>43</v>
      </c>
      <c r="BF2287">
        <v>87</v>
      </c>
      <c r="BG2287">
        <v>91</v>
      </c>
      <c r="BH2287">
        <v>89</v>
      </c>
      <c r="BI2287">
        <v>180</v>
      </c>
      <c r="BP2287">
        <v>114</v>
      </c>
      <c r="BR2287">
        <v>148</v>
      </c>
      <c r="BS2287">
        <v>11</v>
      </c>
      <c r="BT2287">
        <v>48</v>
      </c>
      <c r="BV2287">
        <v>4</v>
      </c>
      <c r="BW2287">
        <v>325</v>
      </c>
      <c r="BX2287">
        <f>IF(C2287=C2286,IF((CI2287-1)=CI2286,BW2286,"no data"))</f>
        <v>529</v>
      </c>
      <c r="BY2287" s="5">
        <f t="shared" si="233"/>
        <v>-0.38563327032136108</v>
      </c>
      <c r="BZ2287" s="6">
        <f t="shared" si="232"/>
        <v>-0.38563327032136108</v>
      </c>
      <c r="CA2287" s="7">
        <v>44528</v>
      </c>
      <c r="CE2287">
        <v>90</v>
      </c>
      <c r="CF2287">
        <v>132</v>
      </c>
      <c r="CG2287">
        <v>103</v>
      </c>
      <c r="CI2287">
        <f t="shared" si="230"/>
        <v>2021</v>
      </c>
      <c r="CJ2287" t="str">
        <f t="shared" si="231"/>
        <v>7537_2021</v>
      </c>
    </row>
    <row r="2288" spans="1:88" x14ac:dyDescent="0.25">
      <c r="A2288" t="s">
        <v>111</v>
      </c>
      <c r="B2288" t="s">
        <v>129</v>
      </c>
      <c r="C2288">
        <v>7538</v>
      </c>
      <c r="D2288">
        <v>-37.864666999999997</v>
      </c>
      <c r="E2288">
        <v>144.7878</v>
      </c>
      <c r="F2288">
        <v>3</v>
      </c>
      <c r="G2288" t="s">
        <v>884</v>
      </c>
      <c r="H2288">
        <v>93</v>
      </c>
      <c r="I2288">
        <v>273</v>
      </c>
      <c r="J2288">
        <v>184</v>
      </c>
      <c r="K2288">
        <v>4</v>
      </c>
      <c r="L2288">
        <v>274</v>
      </c>
      <c r="M2288">
        <v>94</v>
      </c>
      <c r="T2288">
        <v>18</v>
      </c>
      <c r="U2288">
        <v>33</v>
      </c>
      <c r="Y2288">
        <v>21</v>
      </c>
      <c r="Z2288">
        <v>22</v>
      </c>
      <c r="AD2288">
        <v>36</v>
      </c>
      <c r="AE2288">
        <v>2</v>
      </c>
      <c r="AX2288">
        <v>51</v>
      </c>
      <c r="AY2288">
        <v>57</v>
      </c>
      <c r="AZ2288">
        <v>108</v>
      </c>
      <c r="BA2288">
        <v>43</v>
      </c>
      <c r="BB2288">
        <v>20</v>
      </c>
      <c r="BC2288">
        <v>63</v>
      </c>
      <c r="BD2288">
        <v>38</v>
      </c>
      <c r="BE2288">
        <v>55</v>
      </c>
      <c r="BF2288">
        <v>93</v>
      </c>
      <c r="BP2288">
        <v>78</v>
      </c>
      <c r="BR2288">
        <v>34</v>
      </c>
      <c r="BS2288">
        <v>6</v>
      </c>
      <c r="BT2288">
        <v>12</v>
      </c>
      <c r="BV2288">
        <v>2</v>
      </c>
      <c r="BW2288">
        <v>132</v>
      </c>
      <c r="BX2288" t="s">
        <v>82</v>
      </c>
      <c r="BY2288" s="5"/>
      <c r="BZ2288" s="6"/>
      <c r="CA2288" s="7">
        <v>44143</v>
      </c>
      <c r="CE2288">
        <v>24</v>
      </c>
      <c r="CF2288">
        <v>37</v>
      </c>
      <c r="CG2288">
        <v>41</v>
      </c>
      <c r="CH2288">
        <v>30</v>
      </c>
      <c r="CI2288">
        <f t="shared" si="230"/>
        <v>2020</v>
      </c>
      <c r="CJ2288" t="str">
        <f t="shared" si="231"/>
        <v>7538_2020</v>
      </c>
    </row>
    <row r="2289" spans="1:88" x14ac:dyDescent="0.25">
      <c r="A2289" t="s">
        <v>79</v>
      </c>
      <c r="B2289" t="s">
        <v>877</v>
      </c>
      <c r="C2289">
        <v>7581</v>
      </c>
      <c r="D2289">
        <v>-33.794553000000001</v>
      </c>
      <c r="E2289">
        <v>151.199983</v>
      </c>
      <c r="F2289">
        <v>4</v>
      </c>
      <c r="G2289" t="s">
        <v>885</v>
      </c>
      <c r="H2289">
        <v>70</v>
      </c>
      <c r="I2289">
        <v>250</v>
      </c>
      <c r="J2289">
        <v>160</v>
      </c>
      <c r="K2289">
        <v>340</v>
      </c>
      <c r="L2289">
        <v>250</v>
      </c>
      <c r="M2289">
        <v>70</v>
      </c>
      <c r="N2289">
        <v>340</v>
      </c>
      <c r="O2289">
        <v>160</v>
      </c>
      <c r="T2289">
        <v>19</v>
      </c>
      <c r="U2289">
        <v>5</v>
      </c>
      <c r="V2289">
        <v>27</v>
      </c>
      <c r="Y2289">
        <v>29</v>
      </c>
      <c r="Z2289">
        <v>15</v>
      </c>
      <c r="AA2289">
        <v>97</v>
      </c>
      <c r="AD2289">
        <v>6</v>
      </c>
      <c r="AE2289">
        <v>18</v>
      </c>
      <c r="AF2289">
        <v>4</v>
      </c>
      <c r="AI2289">
        <v>20</v>
      </c>
      <c r="AJ2289">
        <v>96</v>
      </c>
      <c r="AK2289">
        <v>7</v>
      </c>
      <c r="AX2289">
        <v>51</v>
      </c>
      <c r="AY2289">
        <v>55</v>
      </c>
      <c r="AZ2289">
        <v>106</v>
      </c>
      <c r="BA2289">
        <v>141</v>
      </c>
      <c r="BB2289">
        <v>133</v>
      </c>
      <c r="BC2289">
        <v>274</v>
      </c>
      <c r="BD2289">
        <v>28</v>
      </c>
      <c r="BE2289">
        <v>27</v>
      </c>
      <c r="BF2289">
        <v>55</v>
      </c>
      <c r="BG2289">
        <v>123</v>
      </c>
      <c r="BH2289">
        <v>128</v>
      </c>
      <c r="BI2289">
        <v>251</v>
      </c>
      <c r="BP2289">
        <v>35</v>
      </c>
      <c r="BR2289">
        <v>263</v>
      </c>
      <c r="BS2289">
        <v>13</v>
      </c>
      <c r="BT2289">
        <v>32</v>
      </c>
      <c r="BV2289">
        <v>0</v>
      </c>
      <c r="BW2289">
        <v>343</v>
      </c>
      <c r="BX2289" t="s">
        <v>82</v>
      </c>
      <c r="BY2289" s="5"/>
      <c r="BZ2289" s="6"/>
      <c r="CA2289" s="7">
        <v>44528</v>
      </c>
      <c r="CE2289">
        <v>117</v>
      </c>
      <c r="CF2289">
        <v>111</v>
      </c>
      <c r="CG2289">
        <v>115</v>
      </c>
      <c r="CI2289">
        <f t="shared" si="230"/>
        <v>2021</v>
      </c>
      <c r="CJ2289" t="str">
        <f t="shared" si="231"/>
        <v>7581_2021</v>
      </c>
    </row>
    <row r="2290" spans="1:88" x14ac:dyDescent="0.25">
      <c r="A2290" t="s">
        <v>79</v>
      </c>
      <c r="B2290" t="s">
        <v>877</v>
      </c>
      <c r="C2290">
        <v>7581</v>
      </c>
      <c r="D2290">
        <v>-33.794553000000001</v>
      </c>
      <c r="E2290">
        <v>151.199983</v>
      </c>
      <c r="F2290">
        <v>4</v>
      </c>
      <c r="G2290" t="s">
        <v>885</v>
      </c>
      <c r="H2290">
        <v>70</v>
      </c>
      <c r="I2290">
        <v>250</v>
      </c>
      <c r="J2290">
        <v>160</v>
      </c>
      <c r="K2290">
        <v>340</v>
      </c>
      <c r="L2290">
        <v>250</v>
      </c>
      <c r="M2290">
        <v>70</v>
      </c>
      <c r="N2290">
        <v>340</v>
      </c>
      <c r="O2290">
        <v>160</v>
      </c>
      <c r="T2290">
        <v>36</v>
      </c>
      <c r="U2290">
        <v>4</v>
      </c>
      <c r="V2290">
        <v>4</v>
      </c>
      <c r="Y2290">
        <v>26</v>
      </c>
      <c r="Z2290">
        <v>19</v>
      </c>
      <c r="AA2290">
        <v>98</v>
      </c>
      <c r="AD2290">
        <v>11</v>
      </c>
      <c r="AE2290">
        <v>10</v>
      </c>
      <c r="AF2290">
        <v>6</v>
      </c>
      <c r="AI2290">
        <v>9</v>
      </c>
      <c r="AJ2290">
        <v>108</v>
      </c>
      <c r="AK2290">
        <v>8</v>
      </c>
      <c r="AX2290">
        <v>44</v>
      </c>
      <c r="AY2290">
        <v>46</v>
      </c>
      <c r="AZ2290">
        <v>90</v>
      </c>
      <c r="BA2290">
        <v>143</v>
      </c>
      <c r="BB2290">
        <v>154</v>
      </c>
      <c r="BC2290">
        <v>297</v>
      </c>
      <c r="BD2290">
        <v>27</v>
      </c>
      <c r="BE2290">
        <v>31</v>
      </c>
      <c r="BF2290">
        <v>58</v>
      </c>
      <c r="BG2290">
        <v>125</v>
      </c>
      <c r="BH2290">
        <v>108</v>
      </c>
      <c r="BI2290">
        <v>233</v>
      </c>
      <c r="BP2290">
        <v>53</v>
      </c>
      <c r="BR2290">
        <v>230</v>
      </c>
      <c r="BS2290">
        <v>9</v>
      </c>
      <c r="BT2290">
        <v>31</v>
      </c>
      <c r="BU2290">
        <v>10</v>
      </c>
      <c r="BV2290">
        <v>6</v>
      </c>
      <c r="BW2290">
        <v>339</v>
      </c>
      <c r="BX2290">
        <f>IF(C2290=C2289,IF((CI2290-1)=CI2289,BW2289,"no data"))</f>
        <v>343</v>
      </c>
      <c r="BY2290" s="5">
        <f t="shared" si="233"/>
        <v>-1.1661807580174927E-2</v>
      </c>
      <c r="BZ2290" s="6">
        <f t="shared" si="232"/>
        <v>-1.1661807580174927E-2</v>
      </c>
      <c r="CA2290" s="7">
        <v>44885</v>
      </c>
      <c r="CE2290">
        <v>151</v>
      </c>
      <c r="CF2290">
        <v>91</v>
      </c>
      <c r="CG2290">
        <v>97</v>
      </c>
      <c r="CI2290">
        <f t="shared" si="230"/>
        <v>2022</v>
      </c>
      <c r="CJ2290" t="str">
        <f t="shared" si="231"/>
        <v>7581_2022</v>
      </c>
    </row>
    <row r="2291" spans="1:88" x14ac:dyDescent="0.25">
      <c r="A2291" t="s">
        <v>79</v>
      </c>
      <c r="B2291" t="s">
        <v>91</v>
      </c>
      <c r="C2291">
        <v>7625</v>
      </c>
      <c r="D2291">
        <v>-33.926228000000002</v>
      </c>
      <c r="E2291">
        <v>151.230929</v>
      </c>
      <c r="F2291">
        <v>4</v>
      </c>
      <c r="G2291" t="s">
        <v>886</v>
      </c>
      <c r="H2291">
        <v>98</v>
      </c>
      <c r="I2291">
        <v>278</v>
      </c>
      <c r="J2291">
        <v>135</v>
      </c>
      <c r="K2291">
        <v>315</v>
      </c>
      <c r="L2291">
        <v>279</v>
      </c>
      <c r="M2291">
        <v>99</v>
      </c>
      <c r="N2291">
        <v>312</v>
      </c>
      <c r="O2291">
        <v>132</v>
      </c>
      <c r="T2291">
        <v>14</v>
      </c>
      <c r="U2291">
        <v>7</v>
      </c>
      <c r="V2291">
        <v>27</v>
      </c>
      <c r="Y2291">
        <v>28</v>
      </c>
      <c r="Z2291">
        <v>3</v>
      </c>
      <c r="AA2291">
        <v>197</v>
      </c>
      <c r="AD2291">
        <v>6</v>
      </c>
      <c r="AE2291">
        <v>14</v>
      </c>
      <c r="AF2291">
        <v>5</v>
      </c>
      <c r="AI2291">
        <v>8</v>
      </c>
      <c r="AJ2291">
        <v>129</v>
      </c>
      <c r="AK2291">
        <v>1</v>
      </c>
      <c r="AX2291">
        <v>48</v>
      </c>
      <c r="AY2291">
        <v>42</v>
      </c>
      <c r="AZ2291">
        <v>90</v>
      </c>
      <c r="BA2291">
        <v>228</v>
      </c>
      <c r="BB2291">
        <v>157</v>
      </c>
      <c r="BC2291">
        <v>385</v>
      </c>
      <c r="BD2291">
        <v>25</v>
      </c>
      <c r="BE2291">
        <v>11</v>
      </c>
      <c r="BF2291">
        <v>36</v>
      </c>
      <c r="BG2291">
        <v>138</v>
      </c>
      <c r="BH2291">
        <v>229</v>
      </c>
      <c r="BI2291">
        <v>367</v>
      </c>
      <c r="BP2291">
        <v>112</v>
      </c>
      <c r="BR2291">
        <v>313</v>
      </c>
      <c r="BS2291">
        <v>3</v>
      </c>
      <c r="BT2291">
        <v>11</v>
      </c>
      <c r="BV2291">
        <v>0</v>
      </c>
      <c r="BW2291">
        <v>439</v>
      </c>
      <c r="BX2291" t="s">
        <v>82</v>
      </c>
      <c r="BY2291" s="5"/>
      <c r="BZ2291" s="6"/>
      <c r="CA2291" s="7">
        <v>44528</v>
      </c>
      <c r="CE2291">
        <v>140</v>
      </c>
      <c r="CF2291">
        <v>162</v>
      </c>
      <c r="CG2291">
        <v>137</v>
      </c>
      <c r="CI2291">
        <f t="shared" si="230"/>
        <v>2021</v>
      </c>
      <c r="CJ2291" t="str">
        <f t="shared" si="231"/>
        <v>7625_2021</v>
      </c>
    </row>
    <row r="2292" spans="1:88" x14ac:dyDescent="0.25">
      <c r="A2292" t="s">
        <v>79</v>
      </c>
      <c r="B2292" t="s">
        <v>91</v>
      </c>
      <c r="C2292">
        <v>7625</v>
      </c>
      <c r="D2292">
        <v>-33.926228000000002</v>
      </c>
      <c r="E2292">
        <v>151.230929</v>
      </c>
      <c r="F2292">
        <v>4</v>
      </c>
      <c r="G2292" t="s">
        <v>886</v>
      </c>
      <c r="H2292">
        <v>98</v>
      </c>
      <c r="I2292">
        <v>278</v>
      </c>
      <c r="J2292">
        <v>135</v>
      </c>
      <c r="K2292">
        <v>315</v>
      </c>
      <c r="L2292">
        <v>279</v>
      </c>
      <c r="M2292">
        <v>99</v>
      </c>
      <c r="N2292">
        <v>312</v>
      </c>
      <c r="O2292">
        <v>132</v>
      </c>
      <c r="T2292">
        <v>26</v>
      </c>
      <c r="U2292">
        <v>9</v>
      </c>
      <c r="V2292">
        <v>41</v>
      </c>
      <c r="Y2292">
        <v>0</v>
      </c>
      <c r="Z2292">
        <v>0</v>
      </c>
      <c r="AA2292">
        <v>0</v>
      </c>
      <c r="AD2292">
        <v>0</v>
      </c>
      <c r="AE2292">
        <v>0</v>
      </c>
      <c r="AF2292">
        <v>0</v>
      </c>
      <c r="AI2292">
        <v>25</v>
      </c>
      <c r="AJ2292">
        <v>85</v>
      </c>
      <c r="AK2292">
        <v>0</v>
      </c>
      <c r="AX2292">
        <v>76</v>
      </c>
      <c r="AY2292">
        <v>25</v>
      </c>
      <c r="AZ2292">
        <v>101</v>
      </c>
      <c r="BA2292">
        <v>0</v>
      </c>
      <c r="BB2292">
        <v>111</v>
      </c>
      <c r="BC2292">
        <v>111</v>
      </c>
      <c r="BD2292">
        <v>0</v>
      </c>
      <c r="BE2292">
        <v>9</v>
      </c>
      <c r="BF2292">
        <v>9</v>
      </c>
      <c r="BG2292">
        <v>110</v>
      </c>
      <c r="BH2292">
        <v>41</v>
      </c>
      <c r="BI2292">
        <v>151</v>
      </c>
      <c r="BP2292">
        <v>42</v>
      </c>
      <c r="BR2292">
        <v>141</v>
      </c>
      <c r="BS2292">
        <v>3</v>
      </c>
      <c r="BT2292">
        <v>0</v>
      </c>
      <c r="BU2292">
        <v>0</v>
      </c>
      <c r="BV2292">
        <v>0</v>
      </c>
      <c r="BW2292">
        <v>186</v>
      </c>
      <c r="BX2292">
        <f>IF(C2292=C2291,IF((CI2292-1)=CI2291,BW2291,"no data"))</f>
        <v>439</v>
      </c>
      <c r="BY2292" s="5">
        <f t="shared" si="233"/>
        <v>-0.57630979498861046</v>
      </c>
      <c r="BZ2292" s="6">
        <f t="shared" si="232"/>
        <v>-0.57630979498861046</v>
      </c>
      <c r="CA2292" s="7">
        <v>44885</v>
      </c>
      <c r="CE2292">
        <v>46</v>
      </c>
      <c r="CF2292">
        <v>61</v>
      </c>
      <c r="CG2292">
        <v>79</v>
      </c>
      <c r="CI2292">
        <f t="shared" si="230"/>
        <v>2022</v>
      </c>
      <c r="CJ2292" t="str">
        <f t="shared" si="231"/>
        <v>7625_2022</v>
      </c>
    </row>
    <row r="2293" spans="1:88" x14ac:dyDescent="0.25">
      <c r="A2293" t="s">
        <v>79</v>
      </c>
      <c r="B2293" t="s">
        <v>91</v>
      </c>
      <c r="C2293">
        <v>7626</v>
      </c>
      <c r="D2293">
        <v>-33.941600999999999</v>
      </c>
      <c r="E2293">
        <v>151.23929999999999</v>
      </c>
      <c r="F2293">
        <v>4</v>
      </c>
      <c r="G2293" t="s">
        <v>887</v>
      </c>
      <c r="H2293">
        <v>98</v>
      </c>
      <c r="I2293">
        <v>278</v>
      </c>
      <c r="J2293">
        <v>171</v>
      </c>
      <c r="K2293">
        <v>351</v>
      </c>
      <c r="L2293">
        <v>278</v>
      </c>
      <c r="M2293">
        <v>98</v>
      </c>
      <c r="N2293">
        <v>350</v>
      </c>
      <c r="O2293">
        <v>170</v>
      </c>
      <c r="T2293">
        <v>6</v>
      </c>
      <c r="U2293">
        <v>287</v>
      </c>
      <c r="V2293">
        <v>13</v>
      </c>
      <c r="Y2293">
        <v>3</v>
      </c>
      <c r="Z2293">
        <v>59</v>
      </c>
      <c r="AA2293">
        <v>420</v>
      </c>
      <c r="AD2293">
        <v>251</v>
      </c>
      <c r="AE2293">
        <v>27</v>
      </c>
      <c r="AF2293">
        <v>18</v>
      </c>
      <c r="AI2293">
        <v>21</v>
      </c>
      <c r="AJ2293">
        <v>479</v>
      </c>
      <c r="AK2293">
        <v>27</v>
      </c>
      <c r="AX2293">
        <v>306</v>
      </c>
      <c r="AY2293">
        <v>275</v>
      </c>
      <c r="AZ2293">
        <v>581</v>
      </c>
      <c r="BA2293">
        <v>482</v>
      </c>
      <c r="BB2293">
        <v>512</v>
      </c>
      <c r="BC2293">
        <v>994</v>
      </c>
      <c r="BD2293">
        <v>296</v>
      </c>
      <c r="BE2293">
        <v>373</v>
      </c>
      <c r="BF2293">
        <v>669</v>
      </c>
      <c r="BG2293">
        <v>527</v>
      </c>
      <c r="BH2293">
        <v>451</v>
      </c>
      <c r="BI2293">
        <v>978</v>
      </c>
      <c r="BP2293">
        <v>246</v>
      </c>
      <c r="BR2293">
        <v>1272</v>
      </c>
      <c r="BS2293">
        <v>9</v>
      </c>
      <c r="BT2293">
        <v>35</v>
      </c>
      <c r="BV2293">
        <v>49</v>
      </c>
      <c r="BW2293">
        <v>1611</v>
      </c>
      <c r="BX2293" t="s">
        <v>82</v>
      </c>
      <c r="BY2293" s="5"/>
      <c r="BZ2293" s="6"/>
      <c r="CA2293" s="7">
        <v>44528</v>
      </c>
      <c r="CE2293">
        <v>433</v>
      </c>
      <c r="CF2293">
        <v>535</v>
      </c>
      <c r="CG2293">
        <v>643</v>
      </c>
      <c r="CI2293">
        <f t="shared" si="230"/>
        <v>2021</v>
      </c>
      <c r="CJ2293" t="str">
        <f t="shared" si="231"/>
        <v>7626_2021</v>
      </c>
    </row>
    <row r="2294" spans="1:88" x14ac:dyDescent="0.25">
      <c r="A2294" t="s">
        <v>79</v>
      </c>
      <c r="B2294" t="s">
        <v>91</v>
      </c>
      <c r="C2294">
        <v>7626</v>
      </c>
      <c r="D2294">
        <v>-33.941600999999999</v>
      </c>
      <c r="E2294">
        <v>151.23929999999999</v>
      </c>
      <c r="F2294">
        <v>4</v>
      </c>
      <c r="G2294" t="s">
        <v>887</v>
      </c>
      <c r="H2294">
        <v>98</v>
      </c>
      <c r="I2294">
        <v>278</v>
      </c>
      <c r="J2294">
        <v>171</v>
      </c>
      <c r="K2294">
        <v>351</v>
      </c>
      <c r="L2294">
        <v>278</v>
      </c>
      <c r="M2294">
        <v>98</v>
      </c>
      <c r="N2294">
        <v>350</v>
      </c>
      <c r="O2294">
        <v>170</v>
      </c>
      <c r="T2294">
        <v>68</v>
      </c>
      <c r="U2294">
        <v>57</v>
      </c>
      <c r="V2294">
        <v>153</v>
      </c>
      <c r="Y2294">
        <v>101</v>
      </c>
      <c r="Z2294">
        <v>189</v>
      </c>
      <c r="AA2294">
        <v>553</v>
      </c>
      <c r="AD2294">
        <v>191</v>
      </c>
      <c r="AE2294">
        <v>169</v>
      </c>
      <c r="AF2294">
        <v>90</v>
      </c>
      <c r="AI2294">
        <v>108</v>
      </c>
      <c r="AJ2294">
        <v>557</v>
      </c>
      <c r="AK2294">
        <v>80</v>
      </c>
      <c r="AX2294">
        <v>278</v>
      </c>
      <c r="AY2294">
        <v>400</v>
      </c>
      <c r="AZ2294">
        <v>678</v>
      </c>
      <c r="BA2294">
        <v>843</v>
      </c>
      <c r="BB2294">
        <v>794</v>
      </c>
      <c r="BC2294">
        <v>1637</v>
      </c>
      <c r="BD2294">
        <v>450</v>
      </c>
      <c r="BE2294">
        <v>326</v>
      </c>
      <c r="BF2294">
        <v>776</v>
      </c>
      <c r="BG2294">
        <v>745</v>
      </c>
      <c r="BH2294">
        <v>796</v>
      </c>
      <c r="BI2294">
        <v>1541</v>
      </c>
      <c r="BP2294">
        <v>215</v>
      </c>
      <c r="BR2294">
        <v>2013</v>
      </c>
      <c r="BS2294">
        <v>18</v>
      </c>
      <c r="BT2294">
        <v>45</v>
      </c>
      <c r="BU2294">
        <v>25</v>
      </c>
      <c r="BV2294">
        <v>0</v>
      </c>
      <c r="BW2294">
        <v>2316</v>
      </c>
      <c r="BX2294">
        <f>IF(C2294=C2293,IF((CI2294-1)=CI2293,BW2293,"no data"))</f>
        <v>1611</v>
      </c>
      <c r="BY2294" s="5">
        <f t="shared" si="233"/>
        <v>0.43761638733705771</v>
      </c>
      <c r="BZ2294" s="6">
        <f t="shared" si="232"/>
        <v>0.43761638733705771</v>
      </c>
      <c r="CA2294" s="7">
        <v>44892</v>
      </c>
      <c r="CE2294">
        <v>620</v>
      </c>
      <c r="CF2294">
        <v>860</v>
      </c>
      <c r="CG2294">
        <v>836</v>
      </c>
      <c r="CI2294">
        <f t="shared" si="230"/>
        <v>2022</v>
      </c>
      <c r="CJ2294" t="str">
        <f t="shared" si="231"/>
        <v>7626_2022</v>
      </c>
    </row>
    <row r="2295" spans="1:88" x14ac:dyDescent="0.25">
      <c r="A2295" t="s">
        <v>79</v>
      </c>
      <c r="B2295" t="s">
        <v>91</v>
      </c>
      <c r="C2295">
        <v>7627</v>
      </c>
      <c r="D2295">
        <v>-33.946128999999999</v>
      </c>
      <c r="E2295">
        <v>151.24029999999999</v>
      </c>
      <c r="F2295">
        <v>4</v>
      </c>
      <c r="G2295" t="s">
        <v>888</v>
      </c>
      <c r="H2295">
        <v>97</v>
      </c>
      <c r="I2295">
        <v>277</v>
      </c>
      <c r="J2295">
        <v>168</v>
      </c>
      <c r="K2295">
        <v>348</v>
      </c>
      <c r="L2295">
        <v>262</v>
      </c>
      <c r="M2295">
        <v>82</v>
      </c>
      <c r="N2295">
        <v>351</v>
      </c>
      <c r="O2295">
        <v>171</v>
      </c>
      <c r="T2295">
        <v>3</v>
      </c>
      <c r="U2295">
        <v>25</v>
      </c>
      <c r="V2295">
        <v>25</v>
      </c>
      <c r="Y2295">
        <v>2</v>
      </c>
      <c r="Z2295">
        <v>27</v>
      </c>
      <c r="AA2295">
        <v>128</v>
      </c>
      <c r="AD2295">
        <v>37</v>
      </c>
      <c r="AE2295">
        <v>10</v>
      </c>
      <c r="AF2295">
        <v>17</v>
      </c>
      <c r="AI2295">
        <v>36</v>
      </c>
      <c r="AJ2295">
        <v>107</v>
      </c>
      <c r="AK2295">
        <v>27</v>
      </c>
      <c r="AX2295">
        <v>53</v>
      </c>
      <c r="AY2295">
        <v>75</v>
      </c>
      <c r="AZ2295">
        <v>128</v>
      </c>
      <c r="BA2295">
        <v>157</v>
      </c>
      <c r="BB2295">
        <v>120</v>
      </c>
      <c r="BC2295">
        <v>277</v>
      </c>
      <c r="BD2295">
        <v>64</v>
      </c>
      <c r="BE2295">
        <v>79</v>
      </c>
      <c r="BF2295">
        <v>143</v>
      </c>
      <c r="BG2295">
        <v>170</v>
      </c>
      <c r="BH2295">
        <v>170</v>
      </c>
      <c r="BI2295">
        <v>340</v>
      </c>
      <c r="BP2295">
        <v>208</v>
      </c>
      <c r="BR2295">
        <v>177</v>
      </c>
      <c r="BS2295">
        <v>26</v>
      </c>
      <c r="BT2295">
        <v>20</v>
      </c>
      <c r="BV2295">
        <v>13</v>
      </c>
      <c r="BW2295">
        <v>444</v>
      </c>
      <c r="BX2295" t="s">
        <v>82</v>
      </c>
      <c r="BY2295" s="5"/>
      <c r="BZ2295" s="6"/>
      <c r="CA2295" s="7">
        <v>44528</v>
      </c>
      <c r="CE2295">
        <v>179</v>
      </c>
      <c r="CF2295">
        <v>144</v>
      </c>
      <c r="CG2295">
        <v>121</v>
      </c>
      <c r="CI2295">
        <f t="shared" si="230"/>
        <v>2021</v>
      </c>
      <c r="CJ2295" t="str">
        <f t="shared" si="231"/>
        <v>7627_2021</v>
      </c>
    </row>
    <row r="2296" spans="1:88" x14ac:dyDescent="0.25">
      <c r="A2296" t="s">
        <v>111</v>
      </c>
      <c r="B2296" t="s">
        <v>418</v>
      </c>
      <c r="C2296">
        <v>7628</v>
      </c>
      <c r="D2296">
        <v>-37.792138999999999</v>
      </c>
      <c r="E2296">
        <v>144.85749999999999</v>
      </c>
      <c r="F2296">
        <v>3</v>
      </c>
      <c r="G2296" t="s">
        <v>889</v>
      </c>
      <c r="H2296">
        <v>9</v>
      </c>
      <c r="I2296">
        <v>189</v>
      </c>
      <c r="J2296">
        <v>98</v>
      </c>
      <c r="K2296">
        <v>278</v>
      </c>
      <c r="L2296">
        <v>279</v>
      </c>
      <c r="M2296">
        <v>99</v>
      </c>
      <c r="T2296">
        <v>14</v>
      </c>
      <c r="U2296">
        <v>1</v>
      </c>
      <c r="Y2296">
        <v>8</v>
      </c>
      <c r="Z2296">
        <v>38</v>
      </c>
      <c r="AD2296">
        <v>19</v>
      </c>
      <c r="AE2296">
        <v>28</v>
      </c>
      <c r="AX2296">
        <v>15</v>
      </c>
      <c r="AY2296">
        <v>27</v>
      </c>
      <c r="AZ2296">
        <v>42</v>
      </c>
      <c r="BA2296">
        <v>46</v>
      </c>
      <c r="BB2296">
        <v>42</v>
      </c>
      <c r="BC2296">
        <v>88</v>
      </c>
      <c r="BD2296">
        <v>47</v>
      </c>
      <c r="BE2296">
        <v>39</v>
      </c>
      <c r="BF2296">
        <v>86</v>
      </c>
      <c r="BP2296">
        <v>40</v>
      </c>
      <c r="BR2296">
        <v>65</v>
      </c>
      <c r="BS2296">
        <v>0</v>
      </c>
      <c r="BT2296">
        <v>1</v>
      </c>
      <c r="BV2296">
        <v>2</v>
      </c>
      <c r="BW2296">
        <v>108</v>
      </c>
      <c r="BX2296" t="s">
        <v>82</v>
      </c>
      <c r="BY2296" s="5"/>
      <c r="BZ2296" s="6"/>
      <c r="CA2296" s="7">
        <v>44528</v>
      </c>
      <c r="CE2296">
        <v>27</v>
      </c>
      <c r="CF2296">
        <v>31</v>
      </c>
      <c r="CG2296">
        <v>50</v>
      </c>
      <c r="CI2296">
        <f t="shared" si="230"/>
        <v>2021</v>
      </c>
      <c r="CJ2296" t="str">
        <f t="shared" si="231"/>
        <v>7628_2021</v>
      </c>
    </row>
    <row r="2297" spans="1:88" x14ac:dyDescent="0.25">
      <c r="A2297" t="s">
        <v>111</v>
      </c>
      <c r="B2297" t="s">
        <v>418</v>
      </c>
      <c r="C2297">
        <v>7628</v>
      </c>
      <c r="D2297">
        <v>-37.792138999999999</v>
      </c>
      <c r="E2297">
        <v>144.85749999999999</v>
      </c>
      <c r="F2297">
        <v>3</v>
      </c>
      <c r="G2297" t="s">
        <v>889</v>
      </c>
      <c r="H2297">
        <v>9</v>
      </c>
      <c r="I2297">
        <v>189</v>
      </c>
      <c r="J2297">
        <v>98</v>
      </c>
      <c r="K2297">
        <v>278</v>
      </c>
      <c r="L2297">
        <v>279</v>
      </c>
      <c r="M2297">
        <v>99</v>
      </c>
      <c r="T2297">
        <v>7</v>
      </c>
      <c r="U2297">
        <v>7</v>
      </c>
      <c r="Y2297">
        <v>9</v>
      </c>
      <c r="Z2297">
        <v>40</v>
      </c>
      <c r="AD2297">
        <v>5</v>
      </c>
      <c r="AE2297">
        <v>40</v>
      </c>
      <c r="AX2297">
        <v>14</v>
      </c>
      <c r="AY2297">
        <v>14</v>
      </c>
      <c r="AZ2297">
        <v>28</v>
      </c>
      <c r="BA2297">
        <v>49</v>
      </c>
      <c r="BB2297">
        <v>47</v>
      </c>
      <c r="BC2297">
        <v>96</v>
      </c>
      <c r="BD2297">
        <v>45</v>
      </c>
      <c r="BE2297">
        <v>47</v>
      </c>
      <c r="BF2297">
        <v>92</v>
      </c>
      <c r="BP2297">
        <v>14</v>
      </c>
      <c r="BR2297">
        <v>82</v>
      </c>
      <c r="BS2297">
        <v>6</v>
      </c>
      <c r="BT2297">
        <v>6</v>
      </c>
      <c r="BU2297">
        <v>0</v>
      </c>
      <c r="BV2297">
        <v>0</v>
      </c>
      <c r="BW2297">
        <v>108</v>
      </c>
      <c r="BX2297">
        <f>IF(C2297=C2296,IF((CI2297-1)=CI2296,BW2296,"no data"))</f>
        <v>108</v>
      </c>
      <c r="BY2297" s="5">
        <f t="shared" si="233"/>
        <v>0</v>
      </c>
      <c r="BZ2297" s="6">
        <f t="shared" si="232"/>
        <v>0</v>
      </c>
      <c r="CA2297" s="7">
        <v>44878</v>
      </c>
      <c r="CE2297">
        <v>25</v>
      </c>
      <c r="CF2297">
        <v>49</v>
      </c>
      <c r="CG2297">
        <v>34</v>
      </c>
      <c r="CI2297">
        <f t="shared" si="230"/>
        <v>2022</v>
      </c>
      <c r="CJ2297" t="str">
        <f t="shared" si="231"/>
        <v>7628_2022</v>
      </c>
    </row>
    <row r="2298" spans="1:88" x14ac:dyDescent="0.25">
      <c r="A2298" t="s">
        <v>111</v>
      </c>
      <c r="B2298" t="s">
        <v>418</v>
      </c>
      <c r="C2298">
        <v>7629</v>
      </c>
      <c r="D2298">
        <v>-37.793805999999996</v>
      </c>
      <c r="E2298">
        <v>144.84450000000001</v>
      </c>
      <c r="F2298">
        <v>3</v>
      </c>
      <c r="G2298" t="s">
        <v>890</v>
      </c>
      <c r="H2298">
        <v>173</v>
      </c>
      <c r="I2298">
        <v>353</v>
      </c>
      <c r="J2298">
        <v>250</v>
      </c>
      <c r="K2298">
        <v>70</v>
      </c>
      <c r="L2298">
        <v>330</v>
      </c>
      <c r="M2298">
        <v>150</v>
      </c>
      <c r="T2298">
        <v>2</v>
      </c>
      <c r="U2298">
        <v>1</v>
      </c>
      <c r="Y2298">
        <v>1</v>
      </c>
      <c r="Z2298">
        <v>73</v>
      </c>
      <c r="AD2298">
        <v>10</v>
      </c>
      <c r="AE2298">
        <v>71</v>
      </c>
      <c r="AX2298">
        <v>3</v>
      </c>
      <c r="AY2298">
        <v>11</v>
      </c>
      <c r="AZ2298">
        <v>14</v>
      </c>
      <c r="BA2298">
        <v>74</v>
      </c>
      <c r="BB2298">
        <v>73</v>
      </c>
      <c r="BC2298">
        <v>147</v>
      </c>
      <c r="BD2298">
        <v>81</v>
      </c>
      <c r="BE2298">
        <v>74</v>
      </c>
      <c r="BF2298">
        <v>155</v>
      </c>
      <c r="BP2298">
        <v>88</v>
      </c>
      <c r="BR2298">
        <v>45</v>
      </c>
      <c r="BS2298">
        <v>17</v>
      </c>
      <c r="BT2298">
        <v>8</v>
      </c>
      <c r="BV2298">
        <v>0</v>
      </c>
      <c r="BW2298">
        <v>158</v>
      </c>
      <c r="BX2298" t="s">
        <v>82</v>
      </c>
      <c r="BY2298" s="5"/>
      <c r="BZ2298" s="6"/>
      <c r="CA2298" s="7">
        <v>44528</v>
      </c>
      <c r="CE2298">
        <v>48</v>
      </c>
      <c r="CF2298">
        <v>56</v>
      </c>
      <c r="CG2298">
        <v>54</v>
      </c>
      <c r="CI2298">
        <f t="shared" si="230"/>
        <v>2021</v>
      </c>
      <c r="CJ2298" t="str">
        <f t="shared" si="231"/>
        <v>7629_2021</v>
      </c>
    </row>
    <row r="2299" spans="1:88" x14ac:dyDescent="0.25">
      <c r="A2299" t="s">
        <v>111</v>
      </c>
      <c r="B2299" t="s">
        <v>418</v>
      </c>
      <c r="C2299">
        <v>7629</v>
      </c>
      <c r="D2299">
        <v>-37.793805999999996</v>
      </c>
      <c r="E2299">
        <v>144.84450000000001</v>
      </c>
      <c r="F2299">
        <v>3</v>
      </c>
      <c r="G2299" t="s">
        <v>890</v>
      </c>
      <c r="H2299">
        <v>173</v>
      </c>
      <c r="I2299">
        <v>353</v>
      </c>
      <c r="J2299">
        <v>250</v>
      </c>
      <c r="K2299">
        <v>70</v>
      </c>
      <c r="L2299">
        <v>330</v>
      </c>
      <c r="M2299">
        <v>150</v>
      </c>
      <c r="T2299">
        <v>45</v>
      </c>
      <c r="U2299">
        <v>8</v>
      </c>
      <c r="Y2299">
        <v>54</v>
      </c>
      <c r="Z2299">
        <v>17</v>
      </c>
      <c r="AD2299">
        <v>10</v>
      </c>
      <c r="AE2299">
        <v>19</v>
      </c>
      <c r="AX2299">
        <v>53</v>
      </c>
      <c r="AY2299">
        <v>64</v>
      </c>
      <c r="AZ2299">
        <v>117</v>
      </c>
      <c r="BA2299">
        <v>71</v>
      </c>
      <c r="BB2299">
        <v>64</v>
      </c>
      <c r="BC2299">
        <v>135</v>
      </c>
      <c r="BD2299">
        <v>29</v>
      </c>
      <c r="BE2299">
        <v>25</v>
      </c>
      <c r="BF2299">
        <v>54</v>
      </c>
      <c r="BP2299">
        <v>52</v>
      </c>
      <c r="BR2299">
        <v>46</v>
      </c>
      <c r="BS2299">
        <v>20</v>
      </c>
      <c r="BT2299">
        <v>21</v>
      </c>
      <c r="BU2299">
        <v>6</v>
      </c>
      <c r="BV2299">
        <v>8</v>
      </c>
      <c r="BW2299">
        <v>153</v>
      </c>
      <c r="BX2299">
        <f>IF(C2299=C2298,IF((CI2299-1)=CI2298,BW2298,"no data"))</f>
        <v>158</v>
      </c>
      <c r="BY2299" s="5">
        <f t="shared" si="233"/>
        <v>-3.1645569620253167E-2</v>
      </c>
      <c r="BZ2299" s="6">
        <f t="shared" si="232"/>
        <v>-3.1645569620253167E-2</v>
      </c>
      <c r="CA2299" s="7">
        <v>44878</v>
      </c>
      <c r="CE2299">
        <v>44</v>
      </c>
      <c r="CF2299">
        <v>67</v>
      </c>
      <c r="CG2299">
        <v>42</v>
      </c>
      <c r="CI2299">
        <f t="shared" si="230"/>
        <v>2022</v>
      </c>
      <c r="CJ2299" t="str">
        <f t="shared" si="231"/>
        <v>7629_2022</v>
      </c>
    </row>
    <row r="2300" spans="1:88" x14ac:dyDescent="0.25">
      <c r="A2300" t="s">
        <v>111</v>
      </c>
      <c r="B2300" t="s">
        <v>129</v>
      </c>
      <c r="C2300">
        <v>7630</v>
      </c>
      <c r="D2300">
        <v>-37.829802000000001</v>
      </c>
      <c r="E2300">
        <v>144.88635600000001</v>
      </c>
      <c r="F2300">
        <v>4</v>
      </c>
      <c r="G2300" t="s">
        <v>891</v>
      </c>
      <c r="H2300">
        <v>8</v>
      </c>
      <c r="I2300">
        <v>188</v>
      </c>
      <c r="J2300">
        <v>97</v>
      </c>
      <c r="K2300">
        <v>277</v>
      </c>
      <c r="L2300">
        <v>193</v>
      </c>
      <c r="M2300">
        <v>13</v>
      </c>
      <c r="N2300">
        <v>277</v>
      </c>
      <c r="O2300">
        <v>97</v>
      </c>
      <c r="T2300">
        <v>1</v>
      </c>
      <c r="U2300">
        <v>5</v>
      </c>
      <c r="V2300">
        <v>23</v>
      </c>
      <c r="Y2300">
        <v>4</v>
      </c>
      <c r="Z2300">
        <v>14</v>
      </c>
      <c r="AA2300">
        <v>40</v>
      </c>
      <c r="AD2300">
        <v>13</v>
      </c>
      <c r="AE2300">
        <v>53</v>
      </c>
      <c r="AF2300">
        <v>58</v>
      </c>
      <c r="AI2300">
        <v>16</v>
      </c>
      <c r="AJ2300">
        <v>57</v>
      </c>
      <c r="AK2300">
        <v>39</v>
      </c>
      <c r="AX2300">
        <v>29</v>
      </c>
      <c r="AY2300">
        <v>33</v>
      </c>
      <c r="AZ2300">
        <v>62</v>
      </c>
      <c r="BA2300">
        <v>58</v>
      </c>
      <c r="BB2300">
        <v>111</v>
      </c>
      <c r="BC2300">
        <v>169</v>
      </c>
      <c r="BD2300">
        <v>124</v>
      </c>
      <c r="BE2300">
        <v>58</v>
      </c>
      <c r="BF2300">
        <v>182</v>
      </c>
      <c r="BG2300">
        <v>112</v>
      </c>
      <c r="BH2300">
        <v>121</v>
      </c>
      <c r="BI2300">
        <v>233</v>
      </c>
      <c r="BP2300">
        <v>91</v>
      </c>
      <c r="BR2300">
        <v>193</v>
      </c>
      <c r="BS2300">
        <v>9</v>
      </c>
      <c r="BT2300">
        <v>17</v>
      </c>
      <c r="BV2300">
        <v>13</v>
      </c>
      <c r="BW2300">
        <v>323</v>
      </c>
      <c r="BX2300" t="s">
        <v>82</v>
      </c>
      <c r="BY2300" s="5"/>
      <c r="BZ2300" s="6"/>
      <c r="CA2300" s="7">
        <v>44528</v>
      </c>
      <c r="CE2300">
        <v>97</v>
      </c>
      <c r="CF2300">
        <v>107</v>
      </c>
      <c r="CG2300">
        <v>119</v>
      </c>
      <c r="CI2300">
        <f t="shared" si="230"/>
        <v>2021</v>
      </c>
      <c r="CJ2300" t="str">
        <f t="shared" si="231"/>
        <v>7630_2021</v>
      </c>
    </row>
    <row r="2301" spans="1:88" x14ac:dyDescent="0.25">
      <c r="A2301" t="s">
        <v>111</v>
      </c>
      <c r="B2301" t="s">
        <v>129</v>
      </c>
      <c r="C2301">
        <v>7631</v>
      </c>
      <c r="D2301">
        <v>-37.830354</v>
      </c>
      <c r="E2301">
        <v>144.87567999999999</v>
      </c>
      <c r="F2301">
        <v>2</v>
      </c>
      <c r="G2301" t="s">
        <v>892</v>
      </c>
      <c r="H2301">
        <v>46</v>
      </c>
      <c r="I2301">
        <v>226</v>
      </c>
      <c r="J2301">
        <v>224</v>
      </c>
      <c r="K2301">
        <v>44</v>
      </c>
      <c r="T2301">
        <v>22</v>
      </c>
      <c r="Y2301">
        <v>35</v>
      </c>
      <c r="AX2301">
        <v>22</v>
      </c>
      <c r="AY2301">
        <v>35</v>
      </c>
      <c r="AZ2301">
        <v>57</v>
      </c>
      <c r="BA2301">
        <v>35</v>
      </c>
      <c r="BB2301">
        <v>22</v>
      </c>
      <c r="BC2301">
        <v>57</v>
      </c>
      <c r="BP2301">
        <v>9</v>
      </c>
      <c r="BR2301">
        <v>29</v>
      </c>
      <c r="BS2301">
        <v>4</v>
      </c>
      <c r="BT2301">
        <v>15</v>
      </c>
      <c r="BV2301">
        <v>0</v>
      </c>
      <c r="BW2301">
        <v>57</v>
      </c>
      <c r="BX2301" t="s">
        <v>82</v>
      </c>
      <c r="BY2301" s="5"/>
      <c r="BZ2301" s="6"/>
      <c r="CA2301" s="7">
        <v>44528</v>
      </c>
      <c r="CE2301">
        <v>28</v>
      </c>
      <c r="CF2301">
        <v>19</v>
      </c>
      <c r="CG2301">
        <v>10</v>
      </c>
      <c r="CI2301">
        <f t="shared" si="230"/>
        <v>2021</v>
      </c>
      <c r="CJ2301" t="str">
        <f t="shared" si="231"/>
        <v>7631_2021</v>
      </c>
    </row>
    <row r="2302" spans="1:88" x14ac:dyDescent="0.25">
      <c r="A2302" t="s">
        <v>111</v>
      </c>
      <c r="B2302" t="s">
        <v>129</v>
      </c>
      <c r="C2302">
        <v>7632</v>
      </c>
      <c r="D2302">
        <v>-37.823227000000003</v>
      </c>
      <c r="E2302">
        <v>144.84512799999999</v>
      </c>
      <c r="F2302">
        <v>3</v>
      </c>
      <c r="G2302" t="s">
        <v>893</v>
      </c>
      <c r="H2302">
        <v>19</v>
      </c>
      <c r="I2302">
        <v>199</v>
      </c>
      <c r="J2302">
        <v>101</v>
      </c>
      <c r="K2302">
        <v>281</v>
      </c>
      <c r="L2302">
        <v>275</v>
      </c>
      <c r="M2302">
        <v>95</v>
      </c>
      <c r="T2302">
        <v>9</v>
      </c>
      <c r="U2302">
        <v>33</v>
      </c>
      <c r="Y2302">
        <v>4</v>
      </c>
      <c r="Z2302">
        <v>46</v>
      </c>
      <c r="AD2302">
        <v>45</v>
      </c>
      <c r="AE2302">
        <v>50</v>
      </c>
      <c r="AX2302">
        <v>42</v>
      </c>
      <c r="AY2302">
        <v>49</v>
      </c>
      <c r="AZ2302">
        <v>91</v>
      </c>
      <c r="BA2302">
        <v>50</v>
      </c>
      <c r="BB2302">
        <v>59</v>
      </c>
      <c r="BC2302">
        <v>109</v>
      </c>
      <c r="BD2302">
        <v>95</v>
      </c>
      <c r="BE2302">
        <v>79</v>
      </c>
      <c r="BF2302">
        <v>174</v>
      </c>
      <c r="BP2302">
        <v>49</v>
      </c>
      <c r="BR2302">
        <v>98</v>
      </c>
      <c r="BS2302">
        <v>4</v>
      </c>
      <c r="BT2302">
        <v>27</v>
      </c>
      <c r="BV2302">
        <v>9</v>
      </c>
      <c r="BW2302">
        <v>187</v>
      </c>
      <c r="BX2302" t="s">
        <v>82</v>
      </c>
      <c r="BY2302" s="5"/>
      <c r="BZ2302" s="6"/>
      <c r="CA2302" s="7">
        <v>44528</v>
      </c>
      <c r="CE2302">
        <v>76</v>
      </c>
      <c r="CF2302">
        <v>54</v>
      </c>
      <c r="CG2302">
        <v>57</v>
      </c>
      <c r="CI2302">
        <f t="shared" si="230"/>
        <v>2021</v>
      </c>
      <c r="CJ2302" t="str">
        <f t="shared" si="231"/>
        <v>7632_2021</v>
      </c>
    </row>
    <row r="2303" spans="1:88" x14ac:dyDescent="0.25">
      <c r="A2303" t="s">
        <v>111</v>
      </c>
      <c r="B2303" t="s">
        <v>129</v>
      </c>
      <c r="C2303">
        <v>7633</v>
      </c>
      <c r="D2303">
        <v>-37.848658</v>
      </c>
      <c r="E2303">
        <v>144.87468200000001</v>
      </c>
      <c r="F2303">
        <v>2</v>
      </c>
      <c r="G2303" t="s">
        <v>894</v>
      </c>
      <c r="H2303">
        <v>34</v>
      </c>
      <c r="I2303">
        <v>214</v>
      </c>
      <c r="J2303">
        <v>207</v>
      </c>
      <c r="K2303">
        <v>27</v>
      </c>
      <c r="T2303">
        <v>116</v>
      </c>
      <c r="Y2303">
        <v>73</v>
      </c>
      <c r="AX2303">
        <v>116</v>
      </c>
      <c r="AY2303">
        <v>73</v>
      </c>
      <c r="AZ2303">
        <v>189</v>
      </c>
      <c r="BA2303">
        <v>73</v>
      </c>
      <c r="BB2303">
        <v>116</v>
      </c>
      <c r="BC2303">
        <v>189</v>
      </c>
      <c r="BP2303">
        <v>57</v>
      </c>
      <c r="BR2303">
        <v>88</v>
      </c>
      <c r="BS2303">
        <v>15</v>
      </c>
      <c r="BT2303">
        <v>29</v>
      </c>
      <c r="BV2303">
        <v>0</v>
      </c>
      <c r="BW2303">
        <v>189</v>
      </c>
      <c r="BX2303" t="s">
        <v>82</v>
      </c>
      <c r="BY2303" s="5"/>
      <c r="BZ2303" s="6"/>
      <c r="CA2303" s="7">
        <v>44528</v>
      </c>
      <c r="CE2303">
        <v>77</v>
      </c>
      <c r="CF2303">
        <v>68</v>
      </c>
      <c r="CG2303">
        <v>44</v>
      </c>
      <c r="CI2303">
        <f t="shared" si="230"/>
        <v>2021</v>
      </c>
      <c r="CJ2303" t="str">
        <f t="shared" si="231"/>
        <v>7633_2021</v>
      </c>
    </row>
    <row r="2304" spans="1:88" x14ac:dyDescent="0.25">
      <c r="A2304" t="s">
        <v>111</v>
      </c>
      <c r="B2304" t="s">
        <v>129</v>
      </c>
      <c r="C2304">
        <v>7634</v>
      </c>
      <c r="D2304">
        <v>-37.867643000000001</v>
      </c>
      <c r="E2304">
        <v>144.88755599999999</v>
      </c>
      <c r="F2304">
        <v>5</v>
      </c>
      <c r="G2304" t="s">
        <v>895</v>
      </c>
      <c r="H2304">
        <v>12</v>
      </c>
      <c r="I2304">
        <v>192</v>
      </c>
      <c r="J2304">
        <v>55</v>
      </c>
      <c r="K2304">
        <v>235</v>
      </c>
      <c r="L2304">
        <v>120</v>
      </c>
      <c r="M2304">
        <v>300</v>
      </c>
      <c r="N2304">
        <v>240</v>
      </c>
      <c r="O2304">
        <v>60</v>
      </c>
      <c r="P2304">
        <v>277</v>
      </c>
      <c r="Q2304">
        <v>97</v>
      </c>
      <c r="T2304">
        <v>75</v>
      </c>
      <c r="U2304">
        <v>133</v>
      </c>
      <c r="V2304">
        <v>4</v>
      </c>
      <c r="W2304">
        <v>2</v>
      </c>
      <c r="Y2304">
        <v>80</v>
      </c>
      <c r="Z2304">
        <v>4</v>
      </c>
      <c r="AA2304">
        <v>0</v>
      </c>
      <c r="AB2304">
        <v>144</v>
      </c>
      <c r="AD2304">
        <v>83</v>
      </c>
      <c r="AE2304">
        <v>3</v>
      </c>
      <c r="AF2304">
        <v>6</v>
      </c>
      <c r="AG2304">
        <v>222</v>
      </c>
      <c r="AI2304">
        <v>1</v>
      </c>
      <c r="AJ2304">
        <v>0</v>
      </c>
      <c r="AK2304">
        <v>5</v>
      </c>
      <c r="AL2304">
        <v>0</v>
      </c>
      <c r="AN2304">
        <v>17</v>
      </c>
      <c r="AO2304">
        <v>95</v>
      </c>
      <c r="AP2304">
        <v>226</v>
      </c>
      <c r="AQ2304">
        <v>0</v>
      </c>
      <c r="AX2304">
        <v>214</v>
      </c>
      <c r="AY2304">
        <v>181</v>
      </c>
      <c r="AZ2304">
        <v>395</v>
      </c>
      <c r="BA2304">
        <v>228</v>
      </c>
      <c r="BB2304">
        <v>173</v>
      </c>
      <c r="BC2304">
        <v>401</v>
      </c>
      <c r="BD2304">
        <v>314</v>
      </c>
      <c r="BE2304">
        <v>368</v>
      </c>
      <c r="BF2304">
        <v>682</v>
      </c>
      <c r="BG2304">
        <v>6</v>
      </c>
      <c r="BH2304">
        <v>10</v>
      </c>
      <c r="BI2304">
        <v>16</v>
      </c>
      <c r="BJ2304">
        <v>338</v>
      </c>
      <c r="BK2304">
        <v>368</v>
      </c>
      <c r="BL2304">
        <v>706</v>
      </c>
      <c r="BP2304">
        <v>563</v>
      </c>
      <c r="BR2304">
        <v>370</v>
      </c>
      <c r="BS2304">
        <v>52</v>
      </c>
      <c r="BT2304">
        <v>91</v>
      </c>
      <c r="BV2304">
        <v>24</v>
      </c>
      <c r="BW2304">
        <v>1100</v>
      </c>
      <c r="BX2304" t="s">
        <v>82</v>
      </c>
      <c r="BY2304" s="5"/>
      <c r="BZ2304" s="6"/>
      <c r="CA2304" s="7">
        <v>44528</v>
      </c>
      <c r="CE2304">
        <v>359</v>
      </c>
      <c r="CF2304">
        <v>377</v>
      </c>
      <c r="CG2304">
        <v>364</v>
      </c>
      <c r="CI2304">
        <f t="shared" si="230"/>
        <v>2021</v>
      </c>
      <c r="CJ2304" t="str">
        <f t="shared" si="231"/>
        <v>7634_2021</v>
      </c>
    </row>
    <row r="2305" spans="1:88" x14ac:dyDescent="0.25">
      <c r="A2305" t="s">
        <v>111</v>
      </c>
      <c r="B2305" t="s">
        <v>301</v>
      </c>
      <c r="C2305">
        <v>7635</v>
      </c>
      <c r="D2305">
        <v>-38.093307000000003</v>
      </c>
      <c r="E2305">
        <v>145.128028</v>
      </c>
      <c r="F2305">
        <v>4</v>
      </c>
      <c r="G2305" t="s">
        <v>896</v>
      </c>
      <c r="H2305">
        <v>74</v>
      </c>
      <c r="I2305">
        <v>254</v>
      </c>
      <c r="J2305">
        <v>180</v>
      </c>
      <c r="K2305">
        <v>360</v>
      </c>
      <c r="L2305">
        <v>210</v>
      </c>
      <c r="M2305">
        <v>30</v>
      </c>
      <c r="N2305">
        <v>340</v>
      </c>
      <c r="O2305">
        <v>160</v>
      </c>
      <c r="T2305">
        <v>23</v>
      </c>
      <c r="U2305">
        <v>46</v>
      </c>
      <c r="V2305">
        <v>16</v>
      </c>
      <c r="Y2305">
        <v>19</v>
      </c>
      <c r="Z2305">
        <v>9</v>
      </c>
      <c r="AA2305">
        <v>59</v>
      </c>
      <c r="AD2305">
        <v>23</v>
      </c>
      <c r="AE2305">
        <v>9</v>
      </c>
      <c r="AF2305">
        <v>5</v>
      </c>
      <c r="AI2305">
        <v>5</v>
      </c>
      <c r="AJ2305">
        <v>90</v>
      </c>
      <c r="AK2305">
        <v>12</v>
      </c>
      <c r="AX2305">
        <v>85</v>
      </c>
      <c r="AY2305">
        <v>47</v>
      </c>
      <c r="AZ2305">
        <v>132</v>
      </c>
      <c r="BA2305">
        <v>87</v>
      </c>
      <c r="BB2305">
        <v>122</v>
      </c>
      <c r="BC2305">
        <v>209</v>
      </c>
      <c r="BD2305">
        <v>37</v>
      </c>
      <c r="BE2305">
        <v>67</v>
      </c>
      <c r="BF2305">
        <v>104</v>
      </c>
      <c r="BG2305">
        <v>107</v>
      </c>
      <c r="BH2305">
        <v>80</v>
      </c>
      <c r="BI2305">
        <v>187</v>
      </c>
      <c r="BP2305">
        <v>137</v>
      </c>
      <c r="BR2305">
        <v>98</v>
      </c>
      <c r="BS2305">
        <v>19</v>
      </c>
      <c r="BT2305">
        <v>46</v>
      </c>
      <c r="BV2305">
        <v>16</v>
      </c>
      <c r="BW2305">
        <v>316</v>
      </c>
      <c r="BX2305" t="s">
        <v>82</v>
      </c>
      <c r="BY2305" s="5"/>
      <c r="BZ2305" s="6"/>
      <c r="CA2305" s="7">
        <v>44528</v>
      </c>
      <c r="CE2305">
        <v>100</v>
      </c>
      <c r="CF2305">
        <v>100</v>
      </c>
      <c r="CG2305">
        <v>116</v>
      </c>
      <c r="CI2305">
        <f t="shared" si="230"/>
        <v>2021</v>
      </c>
      <c r="CJ2305" t="str">
        <f t="shared" si="231"/>
        <v>7635_2021</v>
      </c>
    </row>
    <row r="2306" spans="1:88" x14ac:dyDescent="0.25">
      <c r="A2306" t="s">
        <v>111</v>
      </c>
      <c r="B2306" t="s">
        <v>267</v>
      </c>
      <c r="C2306">
        <v>7642</v>
      </c>
      <c r="D2306">
        <v>-37.775247999999998</v>
      </c>
      <c r="E2306">
        <v>145.3331</v>
      </c>
      <c r="F2306">
        <v>3</v>
      </c>
      <c r="G2306" t="s">
        <v>897</v>
      </c>
      <c r="H2306">
        <v>59</v>
      </c>
      <c r="I2306">
        <v>239</v>
      </c>
      <c r="J2306">
        <v>198</v>
      </c>
      <c r="K2306">
        <v>18</v>
      </c>
      <c r="L2306">
        <v>293</v>
      </c>
      <c r="M2306">
        <v>113</v>
      </c>
      <c r="T2306">
        <v>11</v>
      </c>
      <c r="U2306">
        <v>5</v>
      </c>
      <c r="Y2306">
        <v>21</v>
      </c>
      <c r="Z2306">
        <v>4</v>
      </c>
      <c r="AD2306">
        <v>8</v>
      </c>
      <c r="AE2306">
        <v>6</v>
      </c>
      <c r="AX2306">
        <v>16</v>
      </c>
      <c r="AY2306">
        <v>29</v>
      </c>
      <c r="AZ2306">
        <v>45</v>
      </c>
      <c r="BA2306">
        <v>25</v>
      </c>
      <c r="BB2306">
        <v>17</v>
      </c>
      <c r="BC2306">
        <v>42</v>
      </c>
      <c r="BD2306">
        <v>14</v>
      </c>
      <c r="BE2306">
        <v>9</v>
      </c>
      <c r="BF2306">
        <v>23</v>
      </c>
      <c r="BP2306">
        <v>16</v>
      </c>
      <c r="BR2306">
        <v>28</v>
      </c>
      <c r="BS2306">
        <v>5</v>
      </c>
      <c r="BT2306">
        <v>6</v>
      </c>
      <c r="BU2306">
        <v>0</v>
      </c>
      <c r="BV2306" s="8">
        <v>0</v>
      </c>
      <c r="BW2306" s="8">
        <v>55</v>
      </c>
      <c r="BX2306" t="s">
        <v>82</v>
      </c>
      <c r="BY2306" s="5"/>
      <c r="BZ2306" s="6"/>
      <c r="CA2306" s="7">
        <v>44885</v>
      </c>
      <c r="CD2306" s="9"/>
      <c r="CE2306">
        <v>17</v>
      </c>
      <c r="CF2306">
        <v>19</v>
      </c>
      <c r="CI2306">
        <f t="shared" si="230"/>
        <v>2022</v>
      </c>
      <c r="CJ2306" t="str">
        <f t="shared" si="231"/>
        <v>7642_2022</v>
      </c>
    </row>
    <row r="2307" spans="1:88" x14ac:dyDescent="0.25">
      <c r="A2307" t="s">
        <v>111</v>
      </c>
      <c r="B2307" t="s">
        <v>267</v>
      </c>
      <c r="C2307">
        <v>7643</v>
      </c>
      <c r="D2307">
        <v>-37.791868000000001</v>
      </c>
      <c r="E2307">
        <v>145.36080000000001</v>
      </c>
      <c r="F2307">
        <v>4</v>
      </c>
      <c r="G2307" t="s">
        <v>898</v>
      </c>
      <c r="H2307">
        <v>16</v>
      </c>
      <c r="I2307">
        <v>196</v>
      </c>
      <c r="J2307">
        <v>126</v>
      </c>
      <c r="K2307">
        <v>306</v>
      </c>
      <c r="L2307">
        <v>190</v>
      </c>
      <c r="M2307">
        <v>10</v>
      </c>
      <c r="N2307">
        <v>316</v>
      </c>
      <c r="O2307">
        <v>136</v>
      </c>
      <c r="T2307">
        <v>0</v>
      </c>
      <c r="U2307">
        <v>2</v>
      </c>
      <c r="V2307">
        <v>1</v>
      </c>
      <c r="Y2307">
        <v>0</v>
      </c>
      <c r="Z2307">
        <v>0</v>
      </c>
      <c r="AA2307">
        <v>2</v>
      </c>
      <c r="AD2307">
        <v>1</v>
      </c>
      <c r="AE2307">
        <v>1</v>
      </c>
      <c r="AF2307">
        <v>4</v>
      </c>
      <c r="AI2307">
        <v>1</v>
      </c>
      <c r="AJ2307">
        <v>0</v>
      </c>
      <c r="AK2307">
        <v>0</v>
      </c>
      <c r="AX2307">
        <v>3</v>
      </c>
      <c r="AY2307">
        <v>2</v>
      </c>
      <c r="AZ2307">
        <v>5</v>
      </c>
      <c r="BA2307">
        <v>2</v>
      </c>
      <c r="BB2307">
        <v>1</v>
      </c>
      <c r="BC2307">
        <v>3</v>
      </c>
      <c r="BD2307">
        <v>6</v>
      </c>
      <c r="BE2307">
        <v>2</v>
      </c>
      <c r="BF2307">
        <v>8</v>
      </c>
      <c r="BG2307">
        <v>1</v>
      </c>
      <c r="BH2307">
        <v>7</v>
      </c>
      <c r="BI2307">
        <v>8</v>
      </c>
      <c r="BP2307">
        <v>4</v>
      </c>
      <c r="BR2307">
        <v>4</v>
      </c>
      <c r="BS2307">
        <v>1</v>
      </c>
      <c r="BT2307">
        <v>3</v>
      </c>
      <c r="BU2307">
        <v>0</v>
      </c>
      <c r="BV2307" s="8">
        <v>0</v>
      </c>
      <c r="BW2307" s="8">
        <v>12</v>
      </c>
      <c r="BX2307" t="s">
        <v>82</v>
      </c>
      <c r="BY2307" s="5"/>
      <c r="BZ2307" s="6"/>
      <c r="CA2307" s="7">
        <v>44885</v>
      </c>
      <c r="CE2307">
        <v>1</v>
      </c>
      <c r="CF2307">
        <v>3</v>
      </c>
      <c r="CI2307">
        <f t="shared" ref="CI2307:CI2370" si="234">YEAR(CA2307)</f>
        <v>2022</v>
      </c>
      <c r="CJ2307" t="str">
        <f t="shared" ref="CJ2307:CJ2370" si="235">_xlfn.CONCAT(C2307,"_",CI2307)</f>
        <v>7643_2022</v>
      </c>
    </row>
    <row r="2308" spans="1:88" x14ac:dyDescent="0.25">
      <c r="A2308" t="s">
        <v>111</v>
      </c>
      <c r="B2308" t="s">
        <v>267</v>
      </c>
      <c r="C2308">
        <v>7644</v>
      </c>
      <c r="D2308">
        <v>-37.769371</v>
      </c>
      <c r="E2308">
        <v>145.29759999999999</v>
      </c>
      <c r="F2308">
        <v>3</v>
      </c>
      <c r="G2308" t="s">
        <v>899</v>
      </c>
      <c r="H2308">
        <v>46</v>
      </c>
      <c r="I2308">
        <v>226</v>
      </c>
      <c r="J2308">
        <v>166</v>
      </c>
      <c r="K2308">
        <v>346</v>
      </c>
      <c r="L2308">
        <v>240</v>
      </c>
      <c r="M2308">
        <v>60</v>
      </c>
      <c r="T2308">
        <v>16</v>
      </c>
      <c r="U2308">
        <v>10</v>
      </c>
      <c r="Y2308">
        <v>24</v>
      </c>
      <c r="Z2308">
        <v>7</v>
      </c>
      <c r="AD2308">
        <v>0</v>
      </c>
      <c r="AE2308">
        <v>8</v>
      </c>
      <c r="AX2308">
        <v>26</v>
      </c>
      <c r="AY2308">
        <v>24</v>
      </c>
      <c r="AZ2308">
        <v>50</v>
      </c>
      <c r="BA2308">
        <v>31</v>
      </c>
      <c r="BB2308">
        <v>24</v>
      </c>
      <c r="BC2308">
        <v>55</v>
      </c>
      <c r="BD2308">
        <v>8</v>
      </c>
      <c r="BE2308">
        <v>17</v>
      </c>
      <c r="BF2308">
        <v>25</v>
      </c>
      <c r="BP2308">
        <v>6</v>
      </c>
      <c r="BR2308">
        <v>42</v>
      </c>
      <c r="BS2308">
        <v>8</v>
      </c>
      <c r="BT2308">
        <v>9</v>
      </c>
      <c r="BU2308">
        <v>0</v>
      </c>
      <c r="BV2308" s="8">
        <v>0</v>
      </c>
      <c r="BW2308" s="8">
        <v>65</v>
      </c>
      <c r="BX2308" t="s">
        <v>82</v>
      </c>
      <c r="BY2308" s="5"/>
      <c r="BZ2308" s="6"/>
      <c r="CA2308" s="7">
        <v>44906</v>
      </c>
      <c r="CE2308">
        <v>22</v>
      </c>
      <c r="CF2308">
        <v>13</v>
      </c>
      <c r="CI2308">
        <f t="shared" si="234"/>
        <v>2022</v>
      </c>
      <c r="CJ2308" t="str">
        <f t="shared" si="235"/>
        <v>7644_2022</v>
      </c>
    </row>
    <row r="2309" spans="1:88" x14ac:dyDescent="0.25">
      <c r="A2309" t="s">
        <v>111</v>
      </c>
      <c r="B2309" t="s">
        <v>267</v>
      </c>
      <c r="C2309">
        <v>7671</v>
      </c>
      <c r="D2309">
        <v>-37.757283999999999</v>
      </c>
      <c r="E2309">
        <v>145.34909999999999</v>
      </c>
      <c r="F2309">
        <v>4</v>
      </c>
      <c r="G2309" t="s">
        <v>900</v>
      </c>
      <c r="H2309">
        <v>15</v>
      </c>
      <c r="I2309">
        <v>195</v>
      </c>
      <c r="J2309">
        <v>106</v>
      </c>
      <c r="K2309">
        <v>286</v>
      </c>
      <c r="L2309">
        <v>195</v>
      </c>
      <c r="M2309">
        <v>15</v>
      </c>
      <c r="N2309">
        <v>287</v>
      </c>
      <c r="O2309">
        <v>107</v>
      </c>
      <c r="T2309">
        <v>2</v>
      </c>
      <c r="U2309">
        <v>9</v>
      </c>
      <c r="V2309">
        <v>2</v>
      </c>
      <c r="Y2309">
        <v>3</v>
      </c>
      <c r="Z2309">
        <v>4</v>
      </c>
      <c r="AA2309">
        <v>3</v>
      </c>
      <c r="AD2309">
        <v>14</v>
      </c>
      <c r="AE2309">
        <v>1</v>
      </c>
      <c r="AF2309">
        <v>3</v>
      </c>
      <c r="AI2309">
        <v>3</v>
      </c>
      <c r="AJ2309">
        <v>4</v>
      </c>
      <c r="AK2309">
        <v>2</v>
      </c>
      <c r="AX2309">
        <v>13</v>
      </c>
      <c r="AY2309">
        <v>20</v>
      </c>
      <c r="AZ2309">
        <v>33</v>
      </c>
      <c r="BA2309">
        <v>10</v>
      </c>
      <c r="BB2309">
        <v>7</v>
      </c>
      <c r="BC2309">
        <v>17</v>
      </c>
      <c r="BD2309">
        <v>18</v>
      </c>
      <c r="BE2309">
        <v>15</v>
      </c>
      <c r="BF2309">
        <v>33</v>
      </c>
      <c r="BG2309">
        <v>9</v>
      </c>
      <c r="BH2309">
        <v>8</v>
      </c>
      <c r="BI2309">
        <v>17</v>
      </c>
      <c r="BP2309">
        <v>23</v>
      </c>
      <c r="BR2309">
        <v>18</v>
      </c>
      <c r="BS2309">
        <v>4</v>
      </c>
      <c r="BT2309">
        <v>5</v>
      </c>
      <c r="BU2309">
        <v>0</v>
      </c>
      <c r="BV2309" s="8">
        <v>0</v>
      </c>
      <c r="BW2309" s="8">
        <v>50</v>
      </c>
      <c r="BX2309" t="s">
        <v>82</v>
      </c>
      <c r="BY2309" s="5"/>
      <c r="BZ2309" s="6"/>
      <c r="CA2309" s="7">
        <v>44892</v>
      </c>
      <c r="CE2309">
        <v>14</v>
      </c>
      <c r="CF2309">
        <v>8</v>
      </c>
      <c r="CI2309">
        <f t="shared" si="234"/>
        <v>2022</v>
      </c>
      <c r="CJ2309" t="str">
        <f t="shared" si="235"/>
        <v>7671_2022</v>
      </c>
    </row>
    <row r="2310" spans="1:88" x14ac:dyDescent="0.25">
      <c r="A2310" t="s">
        <v>140</v>
      </c>
      <c r="B2310" t="s">
        <v>380</v>
      </c>
      <c r="C2310">
        <v>7674</v>
      </c>
      <c r="D2310">
        <v>-31.986692000000001</v>
      </c>
      <c r="E2310">
        <v>115.76454099999999</v>
      </c>
      <c r="F2310">
        <v>4</v>
      </c>
      <c r="G2310" t="s">
        <v>901</v>
      </c>
      <c r="H2310">
        <v>20</v>
      </c>
      <c r="I2310">
        <v>200</v>
      </c>
      <c r="J2310">
        <v>111</v>
      </c>
      <c r="K2310">
        <v>291</v>
      </c>
      <c r="L2310">
        <v>199</v>
      </c>
      <c r="M2310">
        <v>19</v>
      </c>
      <c r="N2310">
        <v>291</v>
      </c>
      <c r="O2310">
        <v>111</v>
      </c>
      <c r="T2310">
        <v>4</v>
      </c>
      <c r="U2310">
        <v>214</v>
      </c>
      <c r="V2310">
        <v>8</v>
      </c>
      <c r="Y2310">
        <v>7</v>
      </c>
      <c r="Z2310">
        <v>9</v>
      </c>
      <c r="AA2310">
        <v>39</v>
      </c>
      <c r="AD2310">
        <v>213</v>
      </c>
      <c r="AE2310">
        <v>14</v>
      </c>
      <c r="AF2310">
        <v>5</v>
      </c>
      <c r="AI2310">
        <v>16</v>
      </c>
      <c r="AJ2310">
        <v>47</v>
      </c>
      <c r="AK2310">
        <v>9</v>
      </c>
      <c r="AX2310">
        <v>226</v>
      </c>
      <c r="AY2310">
        <v>236</v>
      </c>
      <c r="AZ2310">
        <v>462</v>
      </c>
      <c r="BA2310">
        <v>55</v>
      </c>
      <c r="BB2310">
        <v>65</v>
      </c>
      <c r="BC2310">
        <v>120</v>
      </c>
      <c r="BD2310">
        <v>232</v>
      </c>
      <c r="BE2310">
        <v>232</v>
      </c>
      <c r="BF2310">
        <v>464</v>
      </c>
      <c r="BG2310">
        <v>72</v>
      </c>
      <c r="BH2310">
        <v>52</v>
      </c>
      <c r="BI2310">
        <v>124</v>
      </c>
      <c r="BP2310">
        <v>447</v>
      </c>
      <c r="BR2310">
        <v>95</v>
      </c>
      <c r="BS2310">
        <v>17</v>
      </c>
      <c r="BT2310">
        <v>11</v>
      </c>
      <c r="BU2310">
        <v>14</v>
      </c>
      <c r="BV2310">
        <v>1</v>
      </c>
      <c r="BW2310">
        <v>585</v>
      </c>
      <c r="BX2310" t="s">
        <v>82</v>
      </c>
      <c r="BY2310" s="5"/>
      <c r="BZ2310" s="6"/>
      <c r="CA2310" s="7">
        <v>44878</v>
      </c>
      <c r="CE2310">
        <v>242</v>
      </c>
      <c r="CF2310">
        <v>203</v>
      </c>
      <c r="CG2310">
        <v>140</v>
      </c>
      <c r="CI2310">
        <f t="shared" si="234"/>
        <v>2022</v>
      </c>
      <c r="CJ2310" t="str">
        <f t="shared" si="235"/>
        <v>7674_2022</v>
      </c>
    </row>
    <row r="2311" spans="1:88" x14ac:dyDescent="0.25">
      <c r="A2311" t="s">
        <v>140</v>
      </c>
      <c r="B2311" t="s">
        <v>380</v>
      </c>
      <c r="C2311">
        <v>7675</v>
      </c>
      <c r="D2311">
        <v>-31.989664999999999</v>
      </c>
      <c r="E2311">
        <v>115.75262600000001</v>
      </c>
      <c r="F2311">
        <v>3</v>
      </c>
      <c r="G2311" t="s">
        <v>902</v>
      </c>
      <c r="H2311">
        <v>13</v>
      </c>
      <c r="I2311">
        <v>193</v>
      </c>
      <c r="J2311">
        <v>90</v>
      </c>
      <c r="K2311">
        <v>270</v>
      </c>
      <c r="L2311">
        <v>193</v>
      </c>
      <c r="M2311">
        <v>13</v>
      </c>
      <c r="T2311">
        <v>393</v>
      </c>
      <c r="U2311">
        <v>614</v>
      </c>
      <c r="Y2311">
        <v>251</v>
      </c>
      <c r="Z2311">
        <v>47</v>
      </c>
      <c r="AD2311">
        <v>629</v>
      </c>
      <c r="AE2311">
        <v>80</v>
      </c>
      <c r="AX2311">
        <v>1007</v>
      </c>
      <c r="AY2311">
        <v>880</v>
      </c>
      <c r="AZ2311">
        <v>1887</v>
      </c>
      <c r="BA2311">
        <v>298</v>
      </c>
      <c r="BB2311">
        <v>473</v>
      </c>
      <c r="BC2311">
        <v>771</v>
      </c>
      <c r="BD2311">
        <v>709</v>
      </c>
      <c r="BE2311">
        <v>661</v>
      </c>
      <c r="BF2311">
        <v>1370</v>
      </c>
      <c r="BP2311">
        <v>133</v>
      </c>
      <c r="BR2311">
        <v>1654</v>
      </c>
      <c r="BS2311">
        <v>104</v>
      </c>
      <c r="BT2311">
        <v>103</v>
      </c>
      <c r="BU2311">
        <v>19</v>
      </c>
      <c r="BV2311">
        <v>1</v>
      </c>
      <c r="BW2311">
        <v>2014</v>
      </c>
      <c r="BX2311" t="s">
        <v>82</v>
      </c>
      <c r="BY2311" s="5"/>
      <c r="BZ2311" s="6"/>
      <c r="CA2311" s="7">
        <v>44878</v>
      </c>
      <c r="CE2311">
        <v>614</v>
      </c>
      <c r="CF2311">
        <v>812</v>
      </c>
      <c r="CG2311">
        <v>588</v>
      </c>
      <c r="CI2311">
        <f t="shared" si="234"/>
        <v>2022</v>
      </c>
      <c r="CJ2311" t="str">
        <f t="shared" si="235"/>
        <v>7675_2022</v>
      </c>
    </row>
    <row r="2312" spans="1:88" x14ac:dyDescent="0.25">
      <c r="A2312" t="s">
        <v>140</v>
      </c>
      <c r="B2312" t="s">
        <v>380</v>
      </c>
      <c r="C2312">
        <v>7676</v>
      </c>
      <c r="D2312">
        <v>-31.996034000000002</v>
      </c>
      <c r="E2312">
        <v>115.7561</v>
      </c>
      <c r="F2312">
        <v>4</v>
      </c>
      <c r="G2312" t="s">
        <v>903</v>
      </c>
      <c r="H2312">
        <v>0</v>
      </c>
      <c r="I2312">
        <v>180</v>
      </c>
      <c r="J2312">
        <v>90</v>
      </c>
      <c r="K2312">
        <v>270</v>
      </c>
      <c r="L2312">
        <v>180</v>
      </c>
      <c r="M2312">
        <v>360</v>
      </c>
      <c r="N2312">
        <v>270</v>
      </c>
      <c r="O2312">
        <v>90</v>
      </c>
      <c r="T2312">
        <v>13</v>
      </c>
      <c r="U2312">
        <v>27</v>
      </c>
      <c r="V2312">
        <v>8</v>
      </c>
      <c r="Y2312">
        <v>7</v>
      </c>
      <c r="Z2312">
        <v>2</v>
      </c>
      <c r="AA2312">
        <v>76</v>
      </c>
      <c r="AD2312">
        <v>29</v>
      </c>
      <c r="AE2312">
        <v>2</v>
      </c>
      <c r="AF2312">
        <v>16</v>
      </c>
      <c r="AI2312">
        <v>21</v>
      </c>
      <c r="AJ2312">
        <v>60</v>
      </c>
      <c r="AK2312">
        <v>26</v>
      </c>
      <c r="AX2312">
        <v>48</v>
      </c>
      <c r="AY2312">
        <v>57</v>
      </c>
      <c r="AZ2312">
        <v>105</v>
      </c>
      <c r="BA2312">
        <v>85</v>
      </c>
      <c r="BB2312">
        <v>75</v>
      </c>
      <c r="BC2312">
        <v>160</v>
      </c>
      <c r="BD2312">
        <v>47</v>
      </c>
      <c r="BE2312">
        <v>55</v>
      </c>
      <c r="BF2312">
        <v>102</v>
      </c>
      <c r="BG2312">
        <v>107</v>
      </c>
      <c r="BH2312">
        <v>100</v>
      </c>
      <c r="BI2312">
        <v>207</v>
      </c>
      <c r="BP2312">
        <v>62</v>
      </c>
      <c r="BR2312">
        <v>187</v>
      </c>
      <c r="BS2312">
        <v>7</v>
      </c>
      <c r="BT2312">
        <v>23</v>
      </c>
      <c r="BU2312">
        <v>8</v>
      </c>
      <c r="BV2312">
        <v>0</v>
      </c>
      <c r="BW2312">
        <v>287</v>
      </c>
      <c r="BX2312" t="s">
        <v>82</v>
      </c>
      <c r="BY2312" s="5"/>
      <c r="BZ2312" s="6"/>
      <c r="CA2312" s="7">
        <v>44878</v>
      </c>
      <c r="CE2312">
        <v>84</v>
      </c>
      <c r="CF2312">
        <v>110</v>
      </c>
      <c r="CG2312">
        <v>93</v>
      </c>
      <c r="CI2312">
        <f t="shared" si="234"/>
        <v>2022</v>
      </c>
      <c r="CJ2312" t="str">
        <f t="shared" si="235"/>
        <v>7676_2022</v>
      </c>
    </row>
    <row r="2313" spans="1:88" x14ac:dyDescent="0.25">
      <c r="A2313" t="s">
        <v>140</v>
      </c>
      <c r="B2313" t="s">
        <v>380</v>
      </c>
      <c r="C2313">
        <v>7677</v>
      </c>
      <c r="D2313">
        <v>-32.002032</v>
      </c>
      <c r="E2313">
        <v>115.752</v>
      </c>
      <c r="F2313">
        <v>3</v>
      </c>
      <c r="G2313" t="s">
        <v>904</v>
      </c>
      <c r="H2313">
        <v>0</v>
      </c>
      <c r="I2313">
        <v>180</v>
      </c>
      <c r="J2313">
        <v>90</v>
      </c>
      <c r="K2313">
        <v>270</v>
      </c>
      <c r="L2313">
        <v>180</v>
      </c>
      <c r="M2313">
        <v>360</v>
      </c>
      <c r="T2313">
        <v>17</v>
      </c>
      <c r="U2313">
        <v>619</v>
      </c>
      <c r="Y2313">
        <v>11</v>
      </c>
      <c r="Z2313">
        <v>6</v>
      </c>
      <c r="AD2313">
        <v>566</v>
      </c>
      <c r="AE2313">
        <v>6</v>
      </c>
      <c r="AX2313">
        <v>636</v>
      </c>
      <c r="AY2313">
        <v>577</v>
      </c>
      <c r="AZ2313">
        <v>1213</v>
      </c>
      <c r="BA2313">
        <v>17</v>
      </c>
      <c r="BB2313">
        <v>23</v>
      </c>
      <c r="BC2313">
        <v>40</v>
      </c>
      <c r="BD2313">
        <v>572</v>
      </c>
      <c r="BE2313">
        <v>625</v>
      </c>
      <c r="BF2313">
        <v>1197</v>
      </c>
      <c r="BP2313">
        <v>186</v>
      </c>
      <c r="BR2313">
        <v>731</v>
      </c>
      <c r="BS2313">
        <v>164</v>
      </c>
      <c r="BT2313">
        <v>104</v>
      </c>
      <c r="BU2313">
        <v>8</v>
      </c>
      <c r="BV2313">
        <v>32</v>
      </c>
      <c r="BW2313">
        <v>1225</v>
      </c>
      <c r="BX2313" t="s">
        <v>82</v>
      </c>
      <c r="BY2313" s="5"/>
      <c r="BZ2313" s="6"/>
      <c r="CA2313" s="7">
        <v>44885</v>
      </c>
      <c r="CE2313">
        <v>473</v>
      </c>
      <c r="CF2313">
        <v>436</v>
      </c>
      <c r="CG2313">
        <v>316</v>
      </c>
      <c r="CI2313">
        <f t="shared" si="234"/>
        <v>2022</v>
      </c>
      <c r="CJ2313" t="str">
        <f t="shared" si="235"/>
        <v>7677_2022</v>
      </c>
    </row>
    <row r="2314" spans="1:88" x14ac:dyDescent="0.25">
      <c r="A2314" t="s">
        <v>140</v>
      </c>
      <c r="B2314" t="s">
        <v>380</v>
      </c>
      <c r="C2314">
        <v>7678</v>
      </c>
      <c r="D2314">
        <v>-32.005431000000002</v>
      </c>
      <c r="E2314">
        <v>115.75830000000001</v>
      </c>
      <c r="F2314">
        <v>3</v>
      </c>
      <c r="G2314" t="s">
        <v>905</v>
      </c>
      <c r="H2314">
        <v>28</v>
      </c>
      <c r="I2314">
        <v>208</v>
      </c>
      <c r="J2314">
        <v>100</v>
      </c>
      <c r="K2314">
        <v>280</v>
      </c>
      <c r="L2314">
        <v>210</v>
      </c>
      <c r="M2314">
        <v>30</v>
      </c>
      <c r="T2314">
        <v>7</v>
      </c>
      <c r="U2314">
        <v>241</v>
      </c>
      <c r="Y2314">
        <v>2</v>
      </c>
      <c r="Z2314">
        <v>15</v>
      </c>
      <c r="AD2314">
        <v>192</v>
      </c>
      <c r="AE2314">
        <v>10</v>
      </c>
      <c r="AX2314">
        <v>248</v>
      </c>
      <c r="AY2314">
        <v>194</v>
      </c>
      <c r="AZ2314">
        <v>442</v>
      </c>
      <c r="BA2314">
        <v>17</v>
      </c>
      <c r="BB2314">
        <v>17</v>
      </c>
      <c r="BC2314">
        <v>34</v>
      </c>
      <c r="BD2314">
        <v>202</v>
      </c>
      <c r="BE2314">
        <v>256</v>
      </c>
      <c r="BF2314">
        <v>458</v>
      </c>
      <c r="BP2314">
        <v>426</v>
      </c>
      <c r="BR2314">
        <v>18</v>
      </c>
      <c r="BS2314">
        <v>14</v>
      </c>
      <c r="BT2314">
        <v>5</v>
      </c>
      <c r="BU2314">
        <v>4</v>
      </c>
      <c r="BV2314">
        <v>0</v>
      </c>
      <c r="BW2314">
        <v>467</v>
      </c>
      <c r="BX2314" t="s">
        <v>82</v>
      </c>
      <c r="BY2314" s="5"/>
      <c r="BZ2314" s="6"/>
      <c r="CA2314" s="7">
        <v>44878</v>
      </c>
      <c r="CE2314">
        <v>177</v>
      </c>
      <c r="CF2314">
        <v>183</v>
      </c>
      <c r="CG2314">
        <v>107</v>
      </c>
      <c r="CI2314">
        <f t="shared" si="234"/>
        <v>2022</v>
      </c>
      <c r="CJ2314" t="str">
        <f t="shared" si="235"/>
        <v>7678_2022</v>
      </c>
    </row>
    <row r="2315" spans="1:88" x14ac:dyDescent="0.25">
      <c r="A2315" t="s">
        <v>111</v>
      </c>
      <c r="B2315" t="s">
        <v>259</v>
      </c>
      <c r="C2315">
        <v>7701</v>
      </c>
      <c r="D2315">
        <v>-37.884635000000003</v>
      </c>
      <c r="E2315">
        <v>145.18988300000001</v>
      </c>
      <c r="F2315">
        <v>3</v>
      </c>
      <c r="G2315" t="s">
        <v>906</v>
      </c>
      <c r="H2315">
        <v>8</v>
      </c>
      <c r="I2315">
        <v>188</v>
      </c>
      <c r="J2315">
        <v>100</v>
      </c>
      <c r="K2315">
        <v>280</v>
      </c>
      <c r="L2315">
        <v>277</v>
      </c>
      <c r="M2315">
        <v>97</v>
      </c>
      <c r="T2315">
        <v>88</v>
      </c>
      <c r="U2315">
        <v>27</v>
      </c>
      <c r="Y2315">
        <v>63</v>
      </c>
      <c r="Z2315">
        <v>36</v>
      </c>
      <c r="AD2315">
        <v>33</v>
      </c>
      <c r="AE2315">
        <v>44</v>
      </c>
      <c r="AX2315">
        <v>115</v>
      </c>
      <c r="AY2315">
        <v>96</v>
      </c>
      <c r="AZ2315">
        <v>211</v>
      </c>
      <c r="BA2315">
        <v>99</v>
      </c>
      <c r="BB2315">
        <v>132</v>
      </c>
      <c r="BC2315">
        <v>231</v>
      </c>
      <c r="BD2315">
        <v>77</v>
      </c>
      <c r="BE2315">
        <v>63</v>
      </c>
      <c r="BF2315">
        <v>140</v>
      </c>
      <c r="BP2315">
        <v>112</v>
      </c>
      <c r="BR2315">
        <v>133</v>
      </c>
      <c r="BS2315">
        <v>21</v>
      </c>
      <c r="BT2315">
        <v>25</v>
      </c>
      <c r="BU2315">
        <v>0</v>
      </c>
      <c r="BV2315">
        <v>0</v>
      </c>
      <c r="BW2315">
        <v>291</v>
      </c>
      <c r="BX2315" t="s">
        <v>82</v>
      </c>
      <c r="BY2315" s="5"/>
      <c r="BZ2315" s="6"/>
      <c r="CA2315" s="7">
        <v>44878</v>
      </c>
      <c r="CE2315">
        <v>80</v>
      </c>
      <c r="CF2315">
        <v>117</v>
      </c>
      <c r="CG2315">
        <v>94</v>
      </c>
      <c r="CI2315">
        <f t="shared" si="234"/>
        <v>2022</v>
      </c>
      <c r="CJ2315" t="str">
        <f t="shared" si="235"/>
        <v>7701_2022</v>
      </c>
    </row>
    <row r="2316" spans="1:88" x14ac:dyDescent="0.25">
      <c r="A2316" t="s">
        <v>277</v>
      </c>
      <c r="B2316" t="s">
        <v>790</v>
      </c>
      <c r="C2316">
        <v>7703</v>
      </c>
      <c r="D2316">
        <v>-35.065986000000002</v>
      </c>
      <c r="E2316">
        <v>138.524</v>
      </c>
      <c r="F2316">
        <v>4</v>
      </c>
      <c r="G2316" t="s">
        <v>907</v>
      </c>
      <c r="H2316">
        <v>33</v>
      </c>
      <c r="I2316">
        <v>213</v>
      </c>
      <c r="J2316">
        <v>150</v>
      </c>
      <c r="K2316">
        <v>330</v>
      </c>
      <c r="L2316">
        <v>240</v>
      </c>
      <c r="M2316">
        <v>60</v>
      </c>
      <c r="N2316">
        <v>300</v>
      </c>
      <c r="O2316">
        <v>120</v>
      </c>
      <c r="T2316">
        <v>1</v>
      </c>
      <c r="U2316">
        <v>27</v>
      </c>
      <c r="V2316">
        <v>2</v>
      </c>
      <c r="Y2316">
        <v>8</v>
      </c>
      <c r="Z2316">
        <v>8</v>
      </c>
      <c r="AA2316">
        <v>0</v>
      </c>
      <c r="AD2316">
        <v>14</v>
      </c>
      <c r="AE2316">
        <v>1</v>
      </c>
      <c r="AF2316">
        <v>1</v>
      </c>
      <c r="AI2316">
        <v>2</v>
      </c>
      <c r="AJ2316">
        <v>0</v>
      </c>
      <c r="AK2316">
        <v>0</v>
      </c>
      <c r="AX2316">
        <v>30</v>
      </c>
      <c r="AY2316">
        <v>24</v>
      </c>
      <c r="AZ2316">
        <v>54</v>
      </c>
      <c r="BA2316">
        <v>16</v>
      </c>
      <c r="BB2316">
        <v>2</v>
      </c>
      <c r="BC2316">
        <v>18</v>
      </c>
      <c r="BD2316">
        <v>16</v>
      </c>
      <c r="BE2316">
        <v>35</v>
      </c>
      <c r="BF2316">
        <v>51</v>
      </c>
      <c r="BG2316">
        <v>2</v>
      </c>
      <c r="BH2316">
        <v>3</v>
      </c>
      <c r="BI2316">
        <v>5</v>
      </c>
      <c r="BP2316">
        <v>2</v>
      </c>
      <c r="BR2316">
        <v>25</v>
      </c>
      <c r="BS2316">
        <v>4</v>
      </c>
      <c r="BT2316">
        <v>33</v>
      </c>
      <c r="BU2316">
        <v>0</v>
      </c>
      <c r="BV2316">
        <v>0</v>
      </c>
      <c r="BW2316">
        <v>64</v>
      </c>
      <c r="BX2316" t="s">
        <v>82</v>
      </c>
      <c r="BY2316" s="5"/>
      <c r="BZ2316" s="6"/>
      <c r="CA2316" s="7">
        <v>44885</v>
      </c>
      <c r="CE2316">
        <v>33</v>
      </c>
      <c r="CF2316">
        <v>24</v>
      </c>
      <c r="CG2316">
        <v>7</v>
      </c>
      <c r="CI2316">
        <f t="shared" si="234"/>
        <v>2022</v>
      </c>
      <c r="CJ2316" t="str">
        <f t="shared" si="235"/>
        <v>7703_2022</v>
      </c>
    </row>
    <row r="2317" spans="1:88" x14ac:dyDescent="0.25">
      <c r="A2317" t="s">
        <v>79</v>
      </c>
      <c r="B2317" t="s">
        <v>877</v>
      </c>
      <c r="C2317">
        <v>7704</v>
      </c>
      <c r="D2317">
        <v>-33.822491999999997</v>
      </c>
      <c r="E2317">
        <v>151.1867</v>
      </c>
      <c r="F2317">
        <v>3</v>
      </c>
      <c r="G2317" t="s">
        <v>908</v>
      </c>
      <c r="H2317">
        <v>60</v>
      </c>
      <c r="I2317">
        <v>240</v>
      </c>
      <c r="J2317">
        <v>150</v>
      </c>
      <c r="K2317">
        <v>330</v>
      </c>
      <c r="L2317">
        <v>330</v>
      </c>
      <c r="M2317">
        <v>150</v>
      </c>
      <c r="T2317">
        <v>10</v>
      </c>
      <c r="U2317">
        <v>30</v>
      </c>
      <c r="Y2317">
        <v>27</v>
      </c>
      <c r="Z2317">
        <v>74</v>
      </c>
      <c r="AD2317">
        <v>36</v>
      </c>
      <c r="AE2317">
        <v>79</v>
      </c>
      <c r="AX2317">
        <v>40</v>
      </c>
      <c r="AY2317">
        <v>63</v>
      </c>
      <c r="AZ2317">
        <v>103</v>
      </c>
      <c r="BA2317">
        <v>101</v>
      </c>
      <c r="BB2317">
        <v>89</v>
      </c>
      <c r="BC2317">
        <v>190</v>
      </c>
      <c r="BD2317">
        <v>115</v>
      </c>
      <c r="BE2317">
        <v>104</v>
      </c>
      <c r="BF2317">
        <v>219</v>
      </c>
      <c r="BP2317">
        <v>75</v>
      </c>
      <c r="BR2317">
        <v>139</v>
      </c>
      <c r="BS2317">
        <v>23</v>
      </c>
      <c r="BT2317">
        <v>19</v>
      </c>
      <c r="BU2317">
        <v>0</v>
      </c>
      <c r="BV2317">
        <v>0</v>
      </c>
      <c r="BW2317">
        <v>256</v>
      </c>
      <c r="BX2317" t="s">
        <v>82</v>
      </c>
      <c r="BY2317" s="5"/>
      <c r="BZ2317" s="6"/>
      <c r="CA2317" s="7">
        <v>44885</v>
      </c>
      <c r="CE2317">
        <v>87</v>
      </c>
      <c r="CF2317">
        <v>103</v>
      </c>
      <c r="CG2317">
        <v>66</v>
      </c>
      <c r="CI2317">
        <f t="shared" si="234"/>
        <v>2022</v>
      </c>
      <c r="CJ2317" t="str">
        <f t="shared" si="235"/>
        <v>7704_2022</v>
      </c>
    </row>
    <row r="2318" spans="1:88" x14ac:dyDescent="0.25">
      <c r="A2318" t="s">
        <v>79</v>
      </c>
      <c r="B2318" t="s">
        <v>877</v>
      </c>
      <c r="C2318">
        <v>7705</v>
      </c>
      <c r="D2318">
        <v>-33.819389000000001</v>
      </c>
      <c r="E2318">
        <v>151.19290000000001</v>
      </c>
      <c r="F2318">
        <v>3</v>
      </c>
      <c r="G2318" t="s">
        <v>909</v>
      </c>
      <c r="H2318">
        <v>170</v>
      </c>
      <c r="I2318">
        <v>350</v>
      </c>
      <c r="J2318">
        <v>243</v>
      </c>
      <c r="K2318">
        <v>63</v>
      </c>
      <c r="L2318">
        <v>351</v>
      </c>
      <c r="M2318">
        <v>171</v>
      </c>
      <c r="T2318">
        <v>11</v>
      </c>
      <c r="U2318">
        <v>129</v>
      </c>
      <c r="Y2318">
        <v>14</v>
      </c>
      <c r="Z2318">
        <v>6</v>
      </c>
      <c r="AD2318">
        <v>89</v>
      </c>
      <c r="AE2318">
        <v>25</v>
      </c>
      <c r="AX2318">
        <v>140</v>
      </c>
      <c r="AY2318">
        <v>103</v>
      </c>
      <c r="AZ2318">
        <v>243</v>
      </c>
      <c r="BA2318">
        <v>20</v>
      </c>
      <c r="BB2318">
        <v>36</v>
      </c>
      <c r="BC2318">
        <v>56</v>
      </c>
      <c r="BD2318">
        <v>114</v>
      </c>
      <c r="BE2318">
        <v>135</v>
      </c>
      <c r="BF2318">
        <v>249</v>
      </c>
      <c r="BP2318">
        <v>18</v>
      </c>
      <c r="BR2318">
        <v>231</v>
      </c>
      <c r="BS2318">
        <v>11</v>
      </c>
      <c r="BT2318">
        <v>12</v>
      </c>
      <c r="BU2318">
        <v>2</v>
      </c>
      <c r="BV2318">
        <v>0</v>
      </c>
      <c r="BW2318">
        <v>274</v>
      </c>
      <c r="BX2318" t="s">
        <v>82</v>
      </c>
      <c r="BY2318" s="5"/>
      <c r="BZ2318" s="6"/>
      <c r="CA2318" s="7">
        <v>44885</v>
      </c>
      <c r="CE2318">
        <v>88</v>
      </c>
      <c r="CF2318">
        <v>88</v>
      </c>
      <c r="CG2318">
        <v>98</v>
      </c>
      <c r="CI2318">
        <f t="shared" si="234"/>
        <v>2022</v>
      </c>
      <c r="CJ2318" t="str">
        <f t="shared" si="235"/>
        <v>7705_2022</v>
      </c>
    </row>
    <row r="2319" spans="1:88" x14ac:dyDescent="0.25">
      <c r="A2319" t="s">
        <v>79</v>
      </c>
      <c r="B2319" t="s">
        <v>877</v>
      </c>
      <c r="C2319">
        <v>7706</v>
      </c>
      <c r="D2319">
        <v>-33.796340999999998</v>
      </c>
      <c r="E2319">
        <v>151.16730000000001</v>
      </c>
      <c r="F2319">
        <v>4</v>
      </c>
      <c r="G2319" t="s">
        <v>910</v>
      </c>
      <c r="H2319">
        <v>30</v>
      </c>
      <c r="I2319">
        <v>210</v>
      </c>
      <c r="J2319">
        <v>140</v>
      </c>
      <c r="K2319">
        <v>320</v>
      </c>
      <c r="L2319">
        <v>275</v>
      </c>
      <c r="M2319">
        <v>95</v>
      </c>
      <c r="N2319">
        <v>345</v>
      </c>
      <c r="O2319">
        <v>165</v>
      </c>
      <c r="T2319">
        <v>1</v>
      </c>
      <c r="U2319">
        <v>0</v>
      </c>
      <c r="V2319">
        <v>0</v>
      </c>
      <c r="Y2319">
        <v>1</v>
      </c>
      <c r="Z2319">
        <v>47</v>
      </c>
      <c r="AA2319">
        <v>7</v>
      </c>
      <c r="AD2319">
        <v>0</v>
      </c>
      <c r="AE2319">
        <v>60</v>
      </c>
      <c r="AF2319">
        <v>3</v>
      </c>
      <c r="AI2319">
        <v>0</v>
      </c>
      <c r="AJ2319">
        <v>1</v>
      </c>
      <c r="AK2319">
        <v>0</v>
      </c>
      <c r="AX2319">
        <v>1</v>
      </c>
      <c r="AY2319">
        <v>1</v>
      </c>
      <c r="AZ2319">
        <v>2</v>
      </c>
      <c r="BA2319">
        <v>55</v>
      </c>
      <c r="BB2319">
        <v>62</v>
      </c>
      <c r="BC2319">
        <v>117</v>
      </c>
      <c r="BD2319">
        <v>63</v>
      </c>
      <c r="BE2319">
        <v>47</v>
      </c>
      <c r="BF2319">
        <v>110</v>
      </c>
      <c r="BG2319">
        <v>1</v>
      </c>
      <c r="BH2319">
        <v>10</v>
      </c>
      <c r="BI2319">
        <v>11</v>
      </c>
      <c r="BP2319">
        <v>22</v>
      </c>
      <c r="BR2319">
        <v>69</v>
      </c>
      <c r="BS2319">
        <v>11</v>
      </c>
      <c r="BT2319">
        <v>18</v>
      </c>
      <c r="BU2319">
        <v>0</v>
      </c>
      <c r="BV2319">
        <v>0</v>
      </c>
      <c r="BW2319">
        <v>120</v>
      </c>
      <c r="BX2319" t="s">
        <v>82</v>
      </c>
      <c r="BY2319" s="5"/>
      <c r="BZ2319" s="6"/>
      <c r="CA2319" s="7">
        <v>44885</v>
      </c>
      <c r="CE2319">
        <v>40</v>
      </c>
      <c r="CF2319">
        <v>53</v>
      </c>
      <c r="CG2319">
        <v>27</v>
      </c>
      <c r="CI2319">
        <f t="shared" si="234"/>
        <v>2022</v>
      </c>
      <c r="CJ2319" t="str">
        <f t="shared" si="235"/>
        <v>7706_2022</v>
      </c>
    </row>
    <row r="2320" spans="1:88" x14ac:dyDescent="0.25">
      <c r="A2320" t="s">
        <v>79</v>
      </c>
      <c r="B2320" t="s">
        <v>877</v>
      </c>
      <c r="C2320">
        <v>7707</v>
      </c>
      <c r="D2320">
        <v>-33.802447999999998</v>
      </c>
      <c r="E2320">
        <v>151.20910000000001</v>
      </c>
      <c r="F2320">
        <v>3</v>
      </c>
      <c r="G2320" t="s">
        <v>911</v>
      </c>
      <c r="H2320">
        <v>87</v>
      </c>
      <c r="I2320">
        <v>267</v>
      </c>
      <c r="J2320">
        <v>270</v>
      </c>
      <c r="K2320">
        <v>90</v>
      </c>
      <c r="L2320">
        <v>341</v>
      </c>
      <c r="M2320">
        <v>161</v>
      </c>
      <c r="T2320">
        <v>68</v>
      </c>
      <c r="U2320">
        <v>12</v>
      </c>
      <c r="Y2320">
        <v>52</v>
      </c>
      <c r="Z2320">
        <v>7</v>
      </c>
      <c r="AD2320">
        <v>6</v>
      </c>
      <c r="AE2320">
        <v>7</v>
      </c>
      <c r="AX2320">
        <v>80</v>
      </c>
      <c r="AY2320">
        <v>58</v>
      </c>
      <c r="AZ2320">
        <v>138</v>
      </c>
      <c r="BA2320">
        <v>59</v>
      </c>
      <c r="BB2320">
        <v>75</v>
      </c>
      <c r="BC2320">
        <v>134</v>
      </c>
      <c r="BD2320">
        <v>13</v>
      </c>
      <c r="BE2320">
        <v>19</v>
      </c>
      <c r="BF2320">
        <v>32</v>
      </c>
      <c r="BP2320">
        <v>17</v>
      </c>
      <c r="BR2320">
        <v>92</v>
      </c>
      <c r="BS2320">
        <v>19</v>
      </c>
      <c r="BT2320">
        <v>23</v>
      </c>
      <c r="BU2320">
        <v>0</v>
      </c>
      <c r="BV2320">
        <v>1</v>
      </c>
      <c r="BW2320">
        <v>152</v>
      </c>
      <c r="BX2320" t="s">
        <v>82</v>
      </c>
      <c r="BY2320" s="5"/>
      <c r="BZ2320" s="6"/>
      <c r="CA2320" s="7">
        <v>44885</v>
      </c>
      <c r="CE2320">
        <v>67</v>
      </c>
      <c r="CF2320">
        <v>40</v>
      </c>
      <c r="CG2320">
        <v>45</v>
      </c>
      <c r="CI2320">
        <f t="shared" si="234"/>
        <v>2022</v>
      </c>
      <c r="CJ2320" t="str">
        <f t="shared" si="235"/>
        <v>7707_2022</v>
      </c>
    </row>
    <row r="2321" spans="1:88" x14ac:dyDescent="0.25">
      <c r="A2321" t="s">
        <v>79</v>
      </c>
      <c r="B2321" t="s">
        <v>877</v>
      </c>
      <c r="C2321">
        <v>7708</v>
      </c>
      <c r="D2321">
        <v>-33.811917000000001</v>
      </c>
      <c r="E2321">
        <v>151.21789999999999</v>
      </c>
      <c r="F2321">
        <v>4</v>
      </c>
      <c r="G2321" t="s">
        <v>912</v>
      </c>
      <c r="H2321">
        <v>11</v>
      </c>
      <c r="I2321">
        <v>191</v>
      </c>
      <c r="J2321">
        <v>98</v>
      </c>
      <c r="K2321">
        <v>278</v>
      </c>
      <c r="L2321">
        <v>191</v>
      </c>
      <c r="M2321">
        <v>11</v>
      </c>
      <c r="N2321">
        <v>280</v>
      </c>
      <c r="O2321">
        <v>100</v>
      </c>
      <c r="T2321">
        <v>7</v>
      </c>
      <c r="U2321">
        <v>10</v>
      </c>
      <c r="V2321">
        <v>5</v>
      </c>
      <c r="Y2321">
        <v>13</v>
      </c>
      <c r="Z2321">
        <v>49</v>
      </c>
      <c r="AA2321">
        <v>123</v>
      </c>
      <c r="AD2321">
        <v>28</v>
      </c>
      <c r="AE2321">
        <v>31</v>
      </c>
      <c r="AF2321">
        <v>11</v>
      </c>
      <c r="AI2321">
        <v>4</v>
      </c>
      <c r="AJ2321">
        <v>147</v>
      </c>
      <c r="AK2321">
        <v>16</v>
      </c>
      <c r="AX2321">
        <v>22</v>
      </c>
      <c r="AY2321">
        <v>45</v>
      </c>
      <c r="AZ2321">
        <v>67</v>
      </c>
      <c r="BA2321">
        <v>185</v>
      </c>
      <c r="BB2321">
        <v>185</v>
      </c>
      <c r="BC2321">
        <v>370</v>
      </c>
      <c r="BD2321">
        <v>70</v>
      </c>
      <c r="BE2321">
        <v>75</v>
      </c>
      <c r="BF2321">
        <v>145</v>
      </c>
      <c r="BG2321">
        <v>167</v>
      </c>
      <c r="BH2321">
        <v>139</v>
      </c>
      <c r="BI2321">
        <v>306</v>
      </c>
      <c r="BP2321">
        <v>46</v>
      </c>
      <c r="BR2321">
        <v>310</v>
      </c>
      <c r="BS2321">
        <v>23</v>
      </c>
      <c r="BT2321">
        <v>46</v>
      </c>
      <c r="BU2321">
        <v>11</v>
      </c>
      <c r="BV2321">
        <v>8</v>
      </c>
      <c r="BW2321">
        <v>444</v>
      </c>
      <c r="BX2321" t="s">
        <v>82</v>
      </c>
      <c r="BY2321" s="5"/>
      <c r="BZ2321" s="6"/>
      <c r="CA2321" s="7">
        <v>44885</v>
      </c>
      <c r="CE2321">
        <v>157</v>
      </c>
      <c r="CF2321">
        <v>154</v>
      </c>
      <c r="CG2321">
        <v>133</v>
      </c>
      <c r="CI2321">
        <f t="shared" si="234"/>
        <v>2022</v>
      </c>
      <c r="CJ2321" t="str">
        <f t="shared" si="235"/>
        <v>7708_2022</v>
      </c>
    </row>
    <row r="2322" spans="1:88" x14ac:dyDescent="0.25">
      <c r="A2322" t="s">
        <v>79</v>
      </c>
      <c r="B2322" t="s">
        <v>877</v>
      </c>
      <c r="C2322">
        <v>7709</v>
      </c>
      <c r="D2322">
        <v>-33.812649</v>
      </c>
      <c r="E2322">
        <v>151.20150000000001</v>
      </c>
      <c r="F2322">
        <v>4</v>
      </c>
      <c r="G2322" t="s">
        <v>913</v>
      </c>
      <c r="H2322">
        <v>38</v>
      </c>
      <c r="I2322">
        <v>218</v>
      </c>
      <c r="J2322">
        <v>160</v>
      </c>
      <c r="K2322">
        <v>340</v>
      </c>
      <c r="L2322">
        <v>210</v>
      </c>
      <c r="M2322">
        <v>30</v>
      </c>
      <c r="N2322">
        <v>356</v>
      </c>
      <c r="O2322">
        <v>176</v>
      </c>
      <c r="T2322">
        <v>22</v>
      </c>
      <c r="U2322">
        <v>45</v>
      </c>
      <c r="V2322">
        <v>5</v>
      </c>
      <c r="Y2322">
        <v>15</v>
      </c>
      <c r="Z2322">
        <v>0</v>
      </c>
      <c r="AA2322">
        <v>18</v>
      </c>
      <c r="AD2322">
        <v>55</v>
      </c>
      <c r="AE2322">
        <v>0</v>
      </c>
      <c r="AF2322">
        <v>28</v>
      </c>
      <c r="AI2322">
        <v>7</v>
      </c>
      <c r="AJ2322">
        <v>35</v>
      </c>
      <c r="AK2322">
        <v>41</v>
      </c>
      <c r="AX2322">
        <v>72</v>
      </c>
      <c r="AY2322">
        <v>77</v>
      </c>
      <c r="AZ2322">
        <v>149</v>
      </c>
      <c r="BA2322">
        <v>33</v>
      </c>
      <c r="BB2322">
        <v>57</v>
      </c>
      <c r="BC2322">
        <v>90</v>
      </c>
      <c r="BD2322">
        <v>83</v>
      </c>
      <c r="BE2322">
        <v>86</v>
      </c>
      <c r="BF2322">
        <v>169</v>
      </c>
      <c r="BG2322">
        <v>83</v>
      </c>
      <c r="BH2322">
        <v>51</v>
      </c>
      <c r="BI2322">
        <v>134</v>
      </c>
      <c r="BP2322">
        <v>34</v>
      </c>
      <c r="BR2322">
        <v>152</v>
      </c>
      <c r="BS2322">
        <v>10</v>
      </c>
      <c r="BT2322">
        <v>38</v>
      </c>
      <c r="BU2322">
        <v>23</v>
      </c>
      <c r="BV2322">
        <v>14</v>
      </c>
      <c r="BW2322">
        <v>271</v>
      </c>
      <c r="BX2322" t="s">
        <v>82</v>
      </c>
      <c r="BY2322" s="5"/>
      <c r="BZ2322" s="6"/>
      <c r="CA2322" s="7">
        <v>44885</v>
      </c>
      <c r="CE2322">
        <v>120</v>
      </c>
      <c r="CF2322">
        <v>81</v>
      </c>
      <c r="CG2322">
        <v>70</v>
      </c>
      <c r="CI2322">
        <f t="shared" si="234"/>
        <v>2022</v>
      </c>
      <c r="CJ2322" t="str">
        <f t="shared" si="235"/>
        <v>7709_2022</v>
      </c>
    </row>
    <row r="2323" spans="1:88" x14ac:dyDescent="0.25">
      <c r="A2323" t="s">
        <v>79</v>
      </c>
      <c r="B2323" t="s">
        <v>877</v>
      </c>
      <c r="C2323">
        <v>7710</v>
      </c>
      <c r="D2323">
        <v>-33.786509000000002</v>
      </c>
      <c r="E2323">
        <v>151.1987</v>
      </c>
      <c r="F2323">
        <v>4</v>
      </c>
      <c r="G2323" t="s">
        <v>914</v>
      </c>
      <c r="H2323">
        <v>70</v>
      </c>
      <c r="I2323">
        <v>250</v>
      </c>
      <c r="J2323">
        <v>160</v>
      </c>
      <c r="K2323">
        <v>340</v>
      </c>
      <c r="L2323">
        <v>250</v>
      </c>
      <c r="M2323">
        <v>70</v>
      </c>
      <c r="N2323">
        <v>340</v>
      </c>
      <c r="O2323">
        <v>160</v>
      </c>
      <c r="T2323">
        <v>2</v>
      </c>
      <c r="U2323">
        <v>114</v>
      </c>
      <c r="V2323">
        <v>30</v>
      </c>
      <c r="Y2323">
        <v>1</v>
      </c>
      <c r="Z2323">
        <v>9</v>
      </c>
      <c r="AA2323">
        <v>6</v>
      </c>
      <c r="AD2323">
        <v>82</v>
      </c>
      <c r="AE2323">
        <v>6</v>
      </c>
      <c r="AF2323">
        <v>63</v>
      </c>
      <c r="AI2323">
        <v>42</v>
      </c>
      <c r="AJ2323">
        <v>8</v>
      </c>
      <c r="AK2323">
        <v>63</v>
      </c>
      <c r="AX2323">
        <v>146</v>
      </c>
      <c r="AY2323">
        <v>125</v>
      </c>
      <c r="AZ2323">
        <v>271</v>
      </c>
      <c r="BA2323">
        <v>16</v>
      </c>
      <c r="BB2323">
        <v>16</v>
      </c>
      <c r="BC2323">
        <v>32</v>
      </c>
      <c r="BD2323">
        <v>151</v>
      </c>
      <c r="BE2323">
        <v>186</v>
      </c>
      <c r="BF2323">
        <v>337</v>
      </c>
      <c r="BG2323">
        <v>113</v>
      </c>
      <c r="BH2323">
        <v>99</v>
      </c>
      <c r="BI2323">
        <v>212</v>
      </c>
      <c r="BP2323">
        <v>26</v>
      </c>
      <c r="BR2323">
        <v>387</v>
      </c>
      <c r="BS2323">
        <v>2</v>
      </c>
      <c r="BT2323">
        <v>7</v>
      </c>
      <c r="BU2323">
        <v>4</v>
      </c>
      <c r="BV2323">
        <v>0</v>
      </c>
      <c r="BW2323">
        <v>426</v>
      </c>
      <c r="BX2323" t="s">
        <v>82</v>
      </c>
      <c r="BY2323" s="5"/>
      <c r="BZ2323" s="6"/>
      <c r="CA2323" s="7">
        <v>44885</v>
      </c>
      <c r="CE2323">
        <v>172</v>
      </c>
      <c r="CF2323">
        <v>148</v>
      </c>
      <c r="CG2323">
        <v>106</v>
      </c>
      <c r="CI2323">
        <f t="shared" si="234"/>
        <v>2022</v>
      </c>
      <c r="CJ2323" t="str">
        <f t="shared" si="235"/>
        <v>7710_2022</v>
      </c>
    </row>
    <row r="2324" spans="1:88" x14ac:dyDescent="0.25">
      <c r="A2324" t="s">
        <v>111</v>
      </c>
      <c r="B2324" t="s">
        <v>402</v>
      </c>
      <c r="C2324">
        <v>7711</v>
      </c>
      <c r="D2324">
        <v>-36.749285</v>
      </c>
      <c r="E2324">
        <v>144.3159</v>
      </c>
      <c r="F2324">
        <v>4</v>
      </c>
      <c r="G2324" t="s">
        <v>915</v>
      </c>
      <c r="H2324">
        <v>30</v>
      </c>
      <c r="I2324">
        <v>210</v>
      </c>
      <c r="J2324">
        <v>120</v>
      </c>
      <c r="K2324">
        <v>300</v>
      </c>
      <c r="L2324">
        <v>210</v>
      </c>
      <c r="M2324">
        <v>30</v>
      </c>
      <c r="N2324">
        <v>304</v>
      </c>
      <c r="O2324">
        <v>124</v>
      </c>
      <c r="T2324">
        <v>3</v>
      </c>
      <c r="U2324">
        <v>0</v>
      </c>
      <c r="V2324">
        <v>3</v>
      </c>
      <c r="Y2324">
        <v>1</v>
      </c>
      <c r="Z2324">
        <v>1</v>
      </c>
      <c r="AA2324">
        <v>11</v>
      </c>
      <c r="AD2324">
        <v>0</v>
      </c>
      <c r="AE2324">
        <v>0</v>
      </c>
      <c r="AF2324">
        <v>1</v>
      </c>
      <c r="AI2324">
        <v>4</v>
      </c>
      <c r="AJ2324">
        <v>16</v>
      </c>
      <c r="AK2324">
        <v>0</v>
      </c>
      <c r="AX2324">
        <v>6</v>
      </c>
      <c r="AY2324">
        <v>5</v>
      </c>
      <c r="AZ2324">
        <v>11</v>
      </c>
      <c r="BA2324">
        <v>13</v>
      </c>
      <c r="BB2324">
        <v>19</v>
      </c>
      <c r="BC2324">
        <v>32</v>
      </c>
      <c r="BD2324">
        <v>1</v>
      </c>
      <c r="BE2324">
        <v>1</v>
      </c>
      <c r="BF2324">
        <v>2</v>
      </c>
      <c r="BG2324">
        <v>20</v>
      </c>
      <c r="BH2324">
        <v>15</v>
      </c>
      <c r="BI2324">
        <v>35</v>
      </c>
      <c r="BP2324">
        <v>26</v>
      </c>
      <c r="BR2324">
        <v>5</v>
      </c>
      <c r="BS2324">
        <v>6</v>
      </c>
      <c r="BT2324">
        <v>3</v>
      </c>
      <c r="BU2324">
        <v>0</v>
      </c>
      <c r="BV2324">
        <v>0</v>
      </c>
      <c r="BW2324">
        <v>40</v>
      </c>
      <c r="BX2324" t="s">
        <v>82</v>
      </c>
      <c r="BY2324" s="5"/>
      <c r="BZ2324" s="6"/>
      <c r="CA2324" s="7">
        <v>44878</v>
      </c>
      <c r="CE2324">
        <v>16</v>
      </c>
      <c r="CF2324">
        <v>13</v>
      </c>
      <c r="CG2324">
        <v>11</v>
      </c>
      <c r="CI2324">
        <f t="shared" si="234"/>
        <v>2022</v>
      </c>
      <c r="CJ2324" t="str">
        <f t="shared" si="235"/>
        <v>7711_2022</v>
      </c>
    </row>
    <row r="2325" spans="1:88" x14ac:dyDescent="0.25">
      <c r="A2325" t="s">
        <v>111</v>
      </c>
      <c r="B2325" t="s">
        <v>402</v>
      </c>
      <c r="C2325">
        <v>7712</v>
      </c>
      <c r="D2325">
        <v>-36.766500999999998</v>
      </c>
      <c r="E2325">
        <v>144.31469999999999</v>
      </c>
      <c r="F2325">
        <v>5</v>
      </c>
      <c r="G2325" t="s">
        <v>916</v>
      </c>
      <c r="H2325">
        <v>25</v>
      </c>
      <c r="I2325">
        <v>205</v>
      </c>
      <c r="J2325">
        <v>109</v>
      </c>
      <c r="K2325">
        <v>289</v>
      </c>
      <c r="L2325">
        <v>175</v>
      </c>
      <c r="M2325">
        <v>355</v>
      </c>
      <c r="N2325">
        <v>260</v>
      </c>
      <c r="O2325">
        <v>80</v>
      </c>
      <c r="P2325">
        <v>288</v>
      </c>
      <c r="Q2325">
        <v>108</v>
      </c>
      <c r="T2325">
        <v>13</v>
      </c>
      <c r="U2325">
        <v>14</v>
      </c>
      <c r="V2325">
        <v>5</v>
      </c>
      <c r="W2325">
        <v>25</v>
      </c>
      <c r="Y2325">
        <v>28</v>
      </c>
      <c r="Z2325">
        <v>9</v>
      </c>
      <c r="AA2325">
        <v>2</v>
      </c>
      <c r="AB2325">
        <v>29</v>
      </c>
      <c r="AD2325">
        <v>5</v>
      </c>
      <c r="AE2325">
        <v>2</v>
      </c>
      <c r="AF2325">
        <v>0</v>
      </c>
      <c r="AG2325">
        <v>12</v>
      </c>
      <c r="AI2325">
        <v>4</v>
      </c>
      <c r="AJ2325">
        <v>0</v>
      </c>
      <c r="AK2325">
        <v>0</v>
      </c>
      <c r="AL2325">
        <v>0</v>
      </c>
      <c r="AN2325">
        <v>19</v>
      </c>
      <c r="AO2325">
        <v>20</v>
      </c>
      <c r="AP2325">
        <v>7</v>
      </c>
      <c r="AQ2325">
        <v>0</v>
      </c>
      <c r="AX2325">
        <v>57</v>
      </c>
      <c r="AY2325">
        <v>56</v>
      </c>
      <c r="AZ2325">
        <v>113</v>
      </c>
      <c r="BA2325">
        <v>68</v>
      </c>
      <c r="BB2325">
        <v>35</v>
      </c>
      <c r="BC2325">
        <v>103</v>
      </c>
      <c r="BD2325">
        <v>19</v>
      </c>
      <c r="BE2325">
        <v>30</v>
      </c>
      <c r="BF2325">
        <v>49</v>
      </c>
      <c r="BG2325">
        <v>4</v>
      </c>
      <c r="BH2325">
        <v>7</v>
      </c>
      <c r="BI2325">
        <v>11</v>
      </c>
      <c r="BJ2325">
        <v>46</v>
      </c>
      <c r="BK2325">
        <v>66</v>
      </c>
      <c r="BL2325">
        <v>112</v>
      </c>
      <c r="BP2325">
        <v>31</v>
      </c>
      <c r="BR2325">
        <v>105</v>
      </c>
      <c r="BS2325">
        <v>21</v>
      </c>
      <c r="BT2325">
        <v>33</v>
      </c>
      <c r="BU2325">
        <v>4</v>
      </c>
      <c r="BV2325">
        <v>0</v>
      </c>
      <c r="BW2325">
        <v>194</v>
      </c>
      <c r="BX2325" t="s">
        <v>82</v>
      </c>
      <c r="BY2325" s="5"/>
      <c r="BZ2325" s="6"/>
      <c r="CA2325" s="7">
        <v>44878</v>
      </c>
      <c r="CE2325">
        <v>109</v>
      </c>
      <c r="CF2325">
        <v>56</v>
      </c>
      <c r="CG2325">
        <v>29</v>
      </c>
      <c r="CI2325">
        <f t="shared" si="234"/>
        <v>2022</v>
      </c>
      <c r="CJ2325" t="str">
        <f t="shared" si="235"/>
        <v>7712_2022</v>
      </c>
    </row>
    <row r="2326" spans="1:88" x14ac:dyDescent="0.25">
      <c r="A2326" t="s">
        <v>111</v>
      </c>
      <c r="B2326" t="s">
        <v>402</v>
      </c>
      <c r="C2326">
        <v>7713</v>
      </c>
      <c r="D2326">
        <v>-36.753732999999997</v>
      </c>
      <c r="E2326">
        <v>144.28880000000001</v>
      </c>
      <c r="F2326">
        <v>4</v>
      </c>
      <c r="G2326" t="s">
        <v>917</v>
      </c>
      <c r="H2326">
        <v>6</v>
      </c>
      <c r="I2326">
        <v>186</v>
      </c>
      <c r="J2326">
        <v>46</v>
      </c>
      <c r="K2326">
        <v>226</v>
      </c>
      <c r="L2326">
        <v>167</v>
      </c>
      <c r="M2326">
        <v>347</v>
      </c>
      <c r="N2326">
        <v>230</v>
      </c>
      <c r="O2326">
        <v>50</v>
      </c>
      <c r="T2326">
        <v>4</v>
      </c>
      <c r="U2326">
        <v>58</v>
      </c>
      <c r="V2326">
        <v>2</v>
      </c>
      <c r="Y2326">
        <v>5</v>
      </c>
      <c r="Z2326">
        <v>5</v>
      </c>
      <c r="AA2326">
        <v>10</v>
      </c>
      <c r="AD2326">
        <v>64</v>
      </c>
      <c r="AE2326">
        <v>1</v>
      </c>
      <c r="AF2326">
        <v>0</v>
      </c>
      <c r="AI2326">
        <v>6</v>
      </c>
      <c r="AJ2326">
        <v>12</v>
      </c>
      <c r="AK2326">
        <v>0</v>
      </c>
      <c r="AX2326">
        <v>64</v>
      </c>
      <c r="AY2326">
        <v>75</v>
      </c>
      <c r="AZ2326">
        <v>139</v>
      </c>
      <c r="BA2326">
        <v>20</v>
      </c>
      <c r="BB2326">
        <v>17</v>
      </c>
      <c r="BC2326">
        <v>37</v>
      </c>
      <c r="BD2326">
        <v>65</v>
      </c>
      <c r="BE2326">
        <v>63</v>
      </c>
      <c r="BF2326">
        <v>128</v>
      </c>
      <c r="BG2326">
        <v>18</v>
      </c>
      <c r="BH2326">
        <v>12</v>
      </c>
      <c r="BI2326">
        <v>30</v>
      </c>
      <c r="BP2326">
        <v>91</v>
      </c>
      <c r="BR2326">
        <v>51</v>
      </c>
      <c r="BS2326">
        <v>12</v>
      </c>
      <c r="BT2326">
        <v>13</v>
      </c>
      <c r="BU2326">
        <v>0</v>
      </c>
      <c r="BV2326">
        <v>0</v>
      </c>
      <c r="BW2326">
        <v>167</v>
      </c>
      <c r="BX2326" t="s">
        <v>82</v>
      </c>
      <c r="BY2326" s="5"/>
      <c r="BZ2326" s="6"/>
      <c r="CA2326" s="7">
        <v>44878</v>
      </c>
      <c r="CE2326">
        <v>70</v>
      </c>
      <c r="CF2326">
        <v>48</v>
      </c>
      <c r="CG2326">
        <v>49</v>
      </c>
      <c r="CI2326">
        <f t="shared" si="234"/>
        <v>2022</v>
      </c>
      <c r="CJ2326" t="str">
        <f t="shared" si="235"/>
        <v>7713_2022</v>
      </c>
    </row>
    <row r="2327" spans="1:88" x14ac:dyDescent="0.25">
      <c r="A2327" t="s">
        <v>111</v>
      </c>
      <c r="B2327" t="s">
        <v>402</v>
      </c>
      <c r="C2327">
        <v>7714</v>
      </c>
      <c r="D2327">
        <v>-36.763013000000001</v>
      </c>
      <c r="E2327">
        <v>144.2901</v>
      </c>
      <c r="F2327">
        <v>4</v>
      </c>
      <c r="G2327" t="s">
        <v>918</v>
      </c>
      <c r="H2327">
        <v>117</v>
      </c>
      <c r="I2327">
        <v>297</v>
      </c>
      <c r="J2327">
        <v>178</v>
      </c>
      <c r="K2327">
        <v>358</v>
      </c>
      <c r="L2327">
        <v>298</v>
      </c>
      <c r="M2327">
        <v>118</v>
      </c>
      <c r="N2327">
        <v>359</v>
      </c>
      <c r="O2327">
        <v>179</v>
      </c>
      <c r="T2327">
        <v>4</v>
      </c>
      <c r="U2327">
        <v>5</v>
      </c>
      <c r="V2327">
        <v>5</v>
      </c>
      <c r="Y2327">
        <v>5</v>
      </c>
      <c r="Z2327">
        <v>7</v>
      </c>
      <c r="AA2327">
        <v>46</v>
      </c>
      <c r="AD2327">
        <v>14</v>
      </c>
      <c r="AE2327">
        <v>6</v>
      </c>
      <c r="AF2327">
        <v>2</v>
      </c>
      <c r="AI2327">
        <v>6</v>
      </c>
      <c r="AJ2327">
        <v>45</v>
      </c>
      <c r="AK2327">
        <v>6</v>
      </c>
      <c r="AX2327">
        <v>14</v>
      </c>
      <c r="AY2327">
        <v>25</v>
      </c>
      <c r="AZ2327">
        <v>39</v>
      </c>
      <c r="BA2327">
        <v>58</v>
      </c>
      <c r="BB2327">
        <v>55</v>
      </c>
      <c r="BC2327">
        <v>113</v>
      </c>
      <c r="BD2327">
        <v>22</v>
      </c>
      <c r="BE2327">
        <v>18</v>
      </c>
      <c r="BF2327">
        <v>40</v>
      </c>
      <c r="BG2327">
        <v>57</v>
      </c>
      <c r="BH2327">
        <v>53</v>
      </c>
      <c r="BI2327">
        <v>110</v>
      </c>
      <c r="BP2327">
        <v>68</v>
      </c>
      <c r="BR2327">
        <v>59</v>
      </c>
      <c r="BS2327">
        <v>16</v>
      </c>
      <c r="BT2327">
        <v>6</v>
      </c>
      <c r="BU2327">
        <v>2</v>
      </c>
      <c r="BV2327">
        <v>0</v>
      </c>
      <c r="BW2327">
        <v>151</v>
      </c>
      <c r="BX2327" t="s">
        <v>82</v>
      </c>
      <c r="BY2327" s="5"/>
      <c r="BZ2327" s="6"/>
      <c r="CA2327" s="7">
        <v>44878</v>
      </c>
      <c r="CE2327">
        <v>60</v>
      </c>
      <c r="CF2327">
        <v>48</v>
      </c>
      <c r="CG2327">
        <v>43</v>
      </c>
      <c r="CI2327">
        <f t="shared" si="234"/>
        <v>2022</v>
      </c>
      <c r="CJ2327" t="str">
        <f t="shared" si="235"/>
        <v>7714_2022</v>
      </c>
    </row>
    <row r="2328" spans="1:88" x14ac:dyDescent="0.25">
      <c r="A2328" t="s">
        <v>111</v>
      </c>
      <c r="B2328" t="s">
        <v>402</v>
      </c>
      <c r="C2328">
        <v>7715</v>
      </c>
      <c r="D2328">
        <v>-36.771560999999998</v>
      </c>
      <c r="E2328">
        <v>144.2586</v>
      </c>
      <c r="F2328">
        <v>4</v>
      </c>
      <c r="G2328" t="s">
        <v>919</v>
      </c>
      <c r="H2328">
        <v>58</v>
      </c>
      <c r="I2328">
        <v>238</v>
      </c>
      <c r="J2328">
        <v>150</v>
      </c>
      <c r="K2328">
        <v>330</v>
      </c>
      <c r="L2328">
        <v>250</v>
      </c>
      <c r="M2328">
        <v>70</v>
      </c>
      <c r="N2328">
        <v>331</v>
      </c>
      <c r="O2328">
        <v>151</v>
      </c>
      <c r="T2328">
        <v>6</v>
      </c>
      <c r="U2328">
        <v>6</v>
      </c>
      <c r="V2328">
        <v>9</v>
      </c>
      <c r="Y2328">
        <v>4</v>
      </c>
      <c r="Z2328">
        <v>1</v>
      </c>
      <c r="AA2328">
        <v>4</v>
      </c>
      <c r="AD2328">
        <v>37</v>
      </c>
      <c r="AE2328">
        <v>2</v>
      </c>
      <c r="AF2328">
        <v>2</v>
      </c>
      <c r="AI2328">
        <v>4</v>
      </c>
      <c r="AJ2328">
        <v>3</v>
      </c>
      <c r="AK2328">
        <v>5</v>
      </c>
      <c r="AX2328">
        <v>21</v>
      </c>
      <c r="AY2328">
        <v>45</v>
      </c>
      <c r="AZ2328">
        <v>66</v>
      </c>
      <c r="BA2328">
        <v>9</v>
      </c>
      <c r="BB2328">
        <v>11</v>
      </c>
      <c r="BC2328">
        <v>20</v>
      </c>
      <c r="BD2328">
        <v>41</v>
      </c>
      <c r="BE2328">
        <v>12</v>
      </c>
      <c r="BF2328">
        <v>53</v>
      </c>
      <c r="BG2328">
        <v>12</v>
      </c>
      <c r="BH2328">
        <v>15</v>
      </c>
      <c r="BI2328">
        <v>27</v>
      </c>
      <c r="BP2328">
        <v>38</v>
      </c>
      <c r="BR2328">
        <v>23</v>
      </c>
      <c r="BS2328">
        <v>1</v>
      </c>
      <c r="BT2328">
        <v>15</v>
      </c>
      <c r="BU2328">
        <v>4</v>
      </c>
      <c r="BV2328">
        <v>2</v>
      </c>
      <c r="BW2328">
        <v>83</v>
      </c>
      <c r="BX2328" t="s">
        <v>82</v>
      </c>
      <c r="BY2328" s="5"/>
      <c r="BZ2328" s="6"/>
      <c r="CA2328" s="7">
        <v>44885</v>
      </c>
      <c r="CE2328">
        <v>22</v>
      </c>
      <c r="CF2328">
        <v>33</v>
      </c>
      <c r="CG2328">
        <v>28</v>
      </c>
      <c r="CI2328">
        <f t="shared" si="234"/>
        <v>2022</v>
      </c>
      <c r="CJ2328" t="str">
        <f t="shared" si="235"/>
        <v>7715_2022</v>
      </c>
    </row>
    <row r="2329" spans="1:88" x14ac:dyDescent="0.25">
      <c r="A2329" t="s">
        <v>111</v>
      </c>
      <c r="B2329" t="s">
        <v>114</v>
      </c>
      <c r="C2329">
        <v>7716</v>
      </c>
      <c r="D2329">
        <v>-37.80545</v>
      </c>
      <c r="E2329">
        <v>145.00049999999999</v>
      </c>
      <c r="F2329">
        <v>5</v>
      </c>
      <c r="G2329" t="s">
        <v>920</v>
      </c>
      <c r="H2329">
        <v>90</v>
      </c>
      <c r="I2329">
        <v>270</v>
      </c>
      <c r="J2329">
        <v>150</v>
      </c>
      <c r="K2329">
        <v>330</v>
      </c>
      <c r="L2329">
        <v>225</v>
      </c>
      <c r="M2329">
        <v>45</v>
      </c>
      <c r="N2329">
        <v>270</v>
      </c>
      <c r="O2329">
        <v>90</v>
      </c>
      <c r="P2329">
        <v>330</v>
      </c>
      <c r="Q2329">
        <v>150</v>
      </c>
      <c r="T2329">
        <v>10</v>
      </c>
      <c r="U2329">
        <v>6</v>
      </c>
      <c r="V2329">
        <v>178</v>
      </c>
      <c r="W2329">
        <v>14</v>
      </c>
      <c r="Y2329">
        <v>3</v>
      </c>
      <c r="Z2329">
        <v>7</v>
      </c>
      <c r="AA2329">
        <v>26</v>
      </c>
      <c r="AB2329">
        <v>0</v>
      </c>
      <c r="AD2329">
        <v>6</v>
      </c>
      <c r="AE2329">
        <v>2</v>
      </c>
      <c r="AF2329">
        <v>27</v>
      </c>
      <c r="AG2329">
        <v>9</v>
      </c>
      <c r="AI2329">
        <v>191</v>
      </c>
      <c r="AJ2329">
        <v>19</v>
      </c>
      <c r="AK2329">
        <v>14</v>
      </c>
      <c r="AL2329">
        <v>33</v>
      </c>
      <c r="AN2329">
        <v>17</v>
      </c>
      <c r="AO2329">
        <v>3</v>
      </c>
      <c r="AP2329">
        <v>12</v>
      </c>
      <c r="AQ2329">
        <v>16</v>
      </c>
      <c r="AX2329">
        <v>208</v>
      </c>
      <c r="AY2329">
        <v>217</v>
      </c>
      <c r="AZ2329">
        <v>425</v>
      </c>
      <c r="BA2329">
        <v>36</v>
      </c>
      <c r="BB2329">
        <v>34</v>
      </c>
      <c r="BC2329">
        <v>70</v>
      </c>
      <c r="BD2329">
        <v>44</v>
      </c>
      <c r="BE2329">
        <v>39</v>
      </c>
      <c r="BF2329">
        <v>83</v>
      </c>
      <c r="BG2329">
        <v>257</v>
      </c>
      <c r="BH2329">
        <v>247</v>
      </c>
      <c r="BI2329">
        <v>504</v>
      </c>
      <c r="BJ2329">
        <v>48</v>
      </c>
      <c r="BK2329">
        <v>56</v>
      </c>
      <c r="BL2329">
        <v>104</v>
      </c>
      <c r="BP2329">
        <v>181</v>
      </c>
      <c r="BR2329">
        <v>261</v>
      </c>
      <c r="BS2329">
        <v>78</v>
      </c>
      <c r="BT2329">
        <v>71</v>
      </c>
      <c r="BU2329">
        <v>2</v>
      </c>
      <c r="BV2329">
        <v>0</v>
      </c>
      <c r="BW2329">
        <v>593</v>
      </c>
      <c r="BX2329" t="s">
        <v>82</v>
      </c>
      <c r="BY2329" s="5"/>
      <c r="BZ2329" s="6"/>
      <c r="CA2329" s="7">
        <v>44878</v>
      </c>
      <c r="CE2329">
        <v>166</v>
      </c>
      <c r="CF2329">
        <v>271</v>
      </c>
      <c r="CG2329">
        <v>156</v>
      </c>
      <c r="CI2329">
        <f t="shared" si="234"/>
        <v>2022</v>
      </c>
      <c r="CJ2329" t="str">
        <f t="shared" si="235"/>
        <v>7716_2022</v>
      </c>
    </row>
    <row r="2330" spans="1:88" x14ac:dyDescent="0.25">
      <c r="A2330" t="s">
        <v>79</v>
      </c>
      <c r="B2330" t="s">
        <v>833</v>
      </c>
      <c r="C2330">
        <v>7717</v>
      </c>
      <c r="D2330">
        <v>-33.269224000000001</v>
      </c>
      <c r="E2330">
        <v>149.0857</v>
      </c>
      <c r="F2330">
        <v>4</v>
      </c>
      <c r="G2330" t="s">
        <v>921</v>
      </c>
      <c r="H2330">
        <v>15</v>
      </c>
      <c r="I2330">
        <v>195</v>
      </c>
      <c r="J2330">
        <v>162</v>
      </c>
      <c r="K2330">
        <v>342</v>
      </c>
      <c r="L2330">
        <v>192</v>
      </c>
      <c r="M2330">
        <v>12</v>
      </c>
      <c r="N2330">
        <v>283</v>
      </c>
      <c r="O2330">
        <v>103</v>
      </c>
      <c r="T2330">
        <v>7</v>
      </c>
      <c r="U2330">
        <v>7</v>
      </c>
      <c r="V2330">
        <v>2</v>
      </c>
      <c r="Y2330">
        <v>4</v>
      </c>
      <c r="Z2330">
        <v>0</v>
      </c>
      <c r="AA2330">
        <v>9</v>
      </c>
      <c r="AD2330">
        <v>2</v>
      </c>
      <c r="AE2330">
        <v>0</v>
      </c>
      <c r="AF2330">
        <v>0</v>
      </c>
      <c r="AI2330">
        <v>6</v>
      </c>
      <c r="AJ2330">
        <v>12</v>
      </c>
      <c r="AK2330">
        <v>3</v>
      </c>
      <c r="AX2330">
        <v>16</v>
      </c>
      <c r="AY2330">
        <v>12</v>
      </c>
      <c r="AZ2330">
        <v>28</v>
      </c>
      <c r="BA2330">
        <v>13</v>
      </c>
      <c r="BB2330">
        <v>19</v>
      </c>
      <c r="BC2330">
        <v>32</v>
      </c>
      <c r="BD2330">
        <v>2</v>
      </c>
      <c r="BE2330">
        <v>10</v>
      </c>
      <c r="BF2330">
        <v>12</v>
      </c>
      <c r="BG2330">
        <v>21</v>
      </c>
      <c r="BH2330">
        <v>11</v>
      </c>
      <c r="BI2330">
        <v>32</v>
      </c>
      <c r="BP2330">
        <v>11</v>
      </c>
      <c r="BR2330">
        <v>25</v>
      </c>
      <c r="BS2330">
        <v>0</v>
      </c>
      <c r="BT2330">
        <v>15</v>
      </c>
      <c r="BU2330">
        <v>0</v>
      </c>
      <c r="BV2330">
        <v>1</v>
      </c>
      <c r="BW2330">
        <v>52</v>
      </c>
      <c r="BX2330" t="s">
        <v>82</v>
      </c>
      <c r="BY2330" s="5"/>
      <c r="BZ2330" s="6"/>
      <c r="CA2330" s="7">
        <v>44892</v>
      </c>
      <c r="CE2330">
        <v>17</v>
      </c>
      <c r="CF2330">
        <v>14</v>
      </c>
      <c r="CG2330">
        <v>21</v>
      </c>
      <c r="CI2330">
        <f t="shared" si="234"/>
        <v>2022</v>
      </c>
      <c r="CJ2330" t="str">
        <f t="shared" si="235"/>
        <v>7717_2022</v>
      </c>
    </row>
    <row r="2331" spans="1:88" x14ac:dyDescent="0.25">
      <c r="A2331" t="s">
        <v>79</v>
      </c>
      <c r="B2331" t="s">
        <v>833</v>
      </c>
      <c r="C2331">
        <v>7718</v>
      </c>
      <c r="D2331">
        <v>-33.267583999999999</v>
      </c>
      <c r="E2331">
        <v>149.07367400000001</v>
      </c>
      <c r="F2331">
        <v>4</v>
      </c>
      <c r="G2331" t="s">
        <v>922</v>
      </c>
      <c r="H2331">
        <v>102</v>
      </c>
      <c r="I2331">
        <v>282</v>
      </c>
      <c r="J2331">
        <v>176</v>
      </c>
      <c r="K2331">
        <v>356</v>
      </c>
      <c r="L2331">
        <v>277</v>
      </c>
      <c r="M2331">
        <v>97</v>
      </c>
      <c r="N2331">
        <v>358</v>
      </c>
      <c r="O2331">
        <v>178</v>
      </c>
      <c r="T2331">
        <v>0</v>
      </c>
      <c r="U2331">
        <v>3</v>
      </c>
      <c r="V2331">
        <v>2</v>
      </c>
      <c r="Y2331">
        <v>0</v>
      </c>
      <c r="Z2331">
        <v>3</v>
      </c>
      <c r="AA2331">
        <v>6</v>
      </c>
      <c r="AD2331">
        <v>1</v>
      </c>
      <c r="AE2331">
        <v>0</v>
      </c>
      <c r="AF2331">
        <v>10</v>
      </c>
      <c r="AI2331">
        <v>1</v>
      </c>
      <c r="AJ2331">
        <v>8</v>
      </c>
      <c r="AK2331">
        <v>3</v>
      </c>
      <c r="AX2331">
        <v>5</v>
      </c>
      <c r="AY2331">
        <v>2</v>
      </c>
      <c r="AZ2331">
        <v>7</v>
      </c>
      <c r="BA2331">
        <v>9</v>
      </c>
      <c r="BB2331">
        <v>8</v>
      </c>
      <c r="BC2331">
        <v>17</v>
      </c>
      <c r="BD2331">
        <v>11</v>
      </c>
      <c r="BE2331">
        <v>9</v>
      </c>
      <c r="BF2331">
        <v>20</v>
      </c>
      <c r="BG2331">
        <v>12</v>
      </c>
      <c r="BH2331">
        <v>18</v>
      </c>
      <c r="BI2331">
        <v>30</v>
      </c>
      <c r="BP2331">
        <v>17</v>
      </c>
      <c r="BR2331">
        <v>11</v>
      </c>
      <c r="BS2331">
        <v>1</v>
      </c>
      <c r="BT2331">
        <v>8</v>
      </c>
      <c r="BU2331">
        <v>0</v>
      </c>
      <c r="BV2331">
        <v>0</v>
      </c>
      <c r="BW2331">
        <v>37</v>
      </c>
      <c r="BX2331" t="s">
        <v>82</v>
      </c>
      <c r="BY2331" s="5"/>
      <c r="BZ2331" s="6"/>
      <c r="CA2331" s="7">
        <v>44885</v>
      </c>
      <c r="CE2331">
        <v>14</v>
      </c>
      <c r="CF2331">
        <v>11</v>
      </c>
      <c r="CG2331">
        <v>12</v>
      </c>
      <c r="CI2331">
        <f t="shared" si="234"/>
        <v>2022</v>
      </c>
      <c r="CJ2331" t="str">
        <f t="shared" si="235"/>
        <v>7718_2022</v>
      </c>
    </row>
    <row r="2332" spans="1:88" x14ac:dyDescent="0.25">
      <c r="A2332" t="s">
        <v>79</v>
      </c>
      <c r="B2332" t="s">
        <v>833</v>
      </c>
      <c r="C2332">
        <v>7719</v>
      </c>
      <c r="D2332">
        <v>-33.256667</v>
      </c>
      <c r="E2332">
        <v>149.09510499999999</v>
      </c>
      <c r="F2332">
        <v>2</v>
      </c>
      <c r="G2332" t="s">
        <v>923</v>
      </c>
      <c r="H2332">
        <v>144</v>
      </c>
      <c r="I2332">
        <v>324</v>
      </c>
      <c r="J2332">
        <v>340</v>
      </c>
      <c r="K2332">
        <v>160</v>
      </c>
      <c r="T2332">
        <v>43</v>
      </c>
      <c r="Y2332">
        <v>33</v>
      </c>
      <c r="AX2332">
        <v>43</v>
      </c>
      <c r="AY2332">
        <v>33</v>
      </c>
      <c r="AZ2332">
        <v>76</v>
      </c>
      <c r="BA2332">
        <v>33</v>
      </c>
      <c r="BB2332">
        <v>43</v>
      </c>
      <c r="BC2332">
        <v>76</v>
      </c>
      <c r="BP2332">
        <v>15</v>
      </c>
      <c r="BR2332">
        <v>27</v>
      </c>
      <c r="BS2332">
        <v>12</v>
      </c>
      <c r="BT2332">
        <v>21</v>
      </c>
      <c r="BU2332">
        <v>1</v>
      </c>
      <c r="BV2332">
        <v>0</v>
      </c>
      <c r="BW2332">
        <v>76</v>
      </c>
      <c r="BX2332" t="s">
        <v>82</v>
      </c>
      <c r="BY2332" s="5"/>
      <c r="BZ2332" s="6"/>
      <c r="CA2332" s="7">
        <v>44885</v>
      </c>
      <c r="CE2332">
        <v>21</v>
      </c>
      <c r="CF2332">
        <v>31</v>
      </c>
      <c r="CG2332">
        <v>24</v>
      </c>
      <c r="CI2332">
        <f t="shared" si="234"/>
        <v>2022</v>
      </c>
      <c r="CJ2332" t="str">
        <f t="shared" si="235"/>
        <v>7719_2022</v>
      </c>
    </row>
    <row r="2333" spans="1:88" x14ac:dyDescent="0.25">
      <c r="A2333" t="s">
        <v>111</v>
      </c>
      <c r="B2333" t="s">
        <v>112</v>
      </c>
      <c r="C2333">
        <v>7724</v>
      </c>
      <c r="D2333">
        <v>-37.779007</v>
      </c>
      <c r="E2333">
        <v>145.03671</v>
      </c>
      <c r="F2333">
        <v>3</v>
      </c>
      <c r="G2333" t="s">
        <v>924</v>
      </c>
      <c r="H2333">
        <v>5</v>
      </c>
      <c r="I2333">
        <v>185</v>
      </c>
      <c r="J2333">
        <v>112</v>
      </c>
      <c r="K2333">
        <v>292</v>
      </c>
      <c r="L2333">
        <v>292</v>
      </c>
      <c r="M2333">
        <v>112</v>
      </c>
      <c r="T2333">
        <v>69</v>
      </c>
      <c r="U2333">
        <v>67</v>
      </c>
      <c r="Y2333">
        <v>72</v>
      </c>
      <c r="Z2333">
        <v>141</v>
      </c>
      <c r="AD2333">
        <v>34</v>
      </c>
      <c r="AE2333">
        <v>198</v>
      </c>
      <c r="AX2333">
        <v>136</v>
      </c>
      <c r="AY2333">
        <v>106</v>
      </c>
      <c r="AZ2333">
        <v>242</v>
      </c>
      <c r="BA2333">
        <v>213</v>
      </c>
      <c r="BB2333">
        <v>267</v>
      </c>
      <c r="BC2333">
        <v>480</v>
      </c>
      <c r="BD2333">
        <v>232</v>
      </c>
      <c r="BE2333">
        <v>208</v>
      </c>
      <c r="BF2333">
        <v>440</v>
      </c>
      <c r="BP2333">
        <v>233</v>
      </c>
      <c r="BR2333">
        <v>231</v>
      </c>
      <c r="BS2333">
        <v>83</v>
      </c>
      <c r="BT2333">
        <v>29</v>
      </c>
      <c r="BU2333">
        <v>4</v>
      </c>
      <c r="BV2333">
        <v>1</v>
      </c>
      <c r="BW2333">
        <v>581</v>
      </c>
      <c r="BX2333" t="s">
        <v>82</v>
      </c>
      <c r="BY2333" s="5"/>
      <c r="BZ2333" s="6"/>
      <c r="CA2333" s="7">
        <v>44906</v>
      </c>
      <c r="CE2333">
        <v>203</v>
      </c>
      <c r="CF2333">
        <v>214</v>
      </c>
      <c r="CG2333">
        <v>164</v>
      </c>
      <c r="CI2333">
        <f t="shared" si="234"/>
        <v>2022</v>
      </c>
      <c r="CJ2333" t="str">
        <f t="shared" si="235"/>
        <v>7724_2022</v>
      </c>
    </row>
    <row r="2334" spans="1:88" x14ac:dyDescent="0.25">
      <c r="A2334" t="s">
        <v>111</v>
      </c>
      <c r="B2334" t="s">
        <v>112</v>
      </c>
      <c r="C2334">
        <v>7725</v>
      </c>
      <c r="D2334">
        <v>-37.753884999999997</v>
      </c>
      <c r="E2334">
        <v>145.03148999999999</v>
      </c>
      <c r="F2334">
        <v>3</v>
      </c>
      <c r="G2334" t="s">
        <v>925</v>
      </c>
      <c r="H2334">
        <v>23</v>
      </c>
      <c r="I2334">
        <v>203</v>
      </c>
      <c r="J2334">
        <v>169</v>
      </c>
      <c r="K2334">
        <v>349</v>
      </c>
      <c r="L2334">
        <v>210</v>
      </c>
      <c r="M2334">
        <v>30</v>
      </c>
      <c r="T2334">
        <v>18</v>
      </c>
      <c r="U2334">
        <v>128</v>
      </c>
      <c r="Y2334">
        <v>25</v>
      </c>
      <c r="Z2334">
        <v>59</v>
      </c>
      <c r="AD2334">
        <v>133</v>
      </c>
      <c r="AE2334">
        <v>58</v>
      </c>
      <c r="AX2334">
        <v>146</v>
      </c>
      <c r="AY2334">
        <v>158</v>
      </c>
      <c r="AZ2334">
        <v>304</v>
      </c>
      <c r="BA2334">
        <v>84</v>
      </c>
      <c r="BB2334">
        <v>76</v>
      </c>
      <c r="BC2334">
        <v>160</v>
      </c>
      <c r="BD2334">
        <v>191</v>
      </c>
      <c r="BE2334">
        <v>187</v>
      </c>
      <c r="BF2334">
        <v>378</v>
      </c>
      <c r="BP2334">
        <v>214</v>
      </c>
      <c r="BR2334">
        <v>74</v>
      </c>
      <c r="BS2334">
        <v>70</v>
      </c>
      <c r="BT2334">
        <v>51</v>
      </c>
      <c r="BU2334">
        <v>3</v>
      </c>
      <c r="BV2334">
        <v>9</v>
      </c>
      <c r="BW2334">
        <v>421</v>
      </c>
      <c r="BX2334" t="s">
        <v>82</v>
      </c>
      <c r="BY2334" s="5"/>
      <c r="BZ2334" s="6"/>
      <c r="CA2334" s="7">
        <v>44878</v>
      </c>
      <c r="CE2334">
        <v>118</v>
      </c>
      <c r="CF2334">
        <v>153</v>
      </c>
      <c r="CG2334">
        <v>150</v>
      </c>
      <c r="CI2334">
        <f t="shared" si="234"/>
        <v>2022</v>
      </c>
      <c r="CJ2334" t="str">
        <f t="shared" si="235"/>
        <v>7725_2022</v>
      </c>
    </row>
    <row r="2335" spans="1:88" x14ac:dyDescent="0.25">
      <c r="A2335" t="s">
        <v>111</v>
      </c>
      <c r="B2335" t="s">
        <v>112</v>
      </c>
      <c r="C2335">
        <v>7726</v>
      </c>
      <c r="D2335">
        <v>-37.740478000000003</v>
      </c>
      <c r="E2335">
        <v>145.03325000000001</v>
      </c>
      <c r="F2335">
        <v>3</v>
      </c>
      <c r="G2335" t="s">
        <v>926</v>
      </c>
      <c r="H2335">
        <v>30</v>
      </c>
      <c r="I2335">
        <v>210</v>
      </c>
      <c r="J2335">
        <v>102</v>
      </c>
      <c r="K2335">
        <v>282</v>
      </c>
      <c r="L2335">
        <v>240</v>
      </c>
      <c r="M2335">
        <v>60</v>
      </c>
      <c r="T2335">
        <v>0</v>
      </c>
      <c r="U2335">
        <v>76</v>
      </c>
      <c r="Y2335">
        <v>2</v>
      </c>
      <c r="Z2335">
        <v>2</v>
      </c>
      <c r="AD2335">
        <v>67</v>
      </c>
      <c r="AE2335">
        <v>3</v>
      </c>
      <c r="AX2335">
        <v>76</v>
      </c>
      <c r="AY2335">
        <v>69</v>
      </c>
      <c r="AZ2335">
        <v>145</v>
      </c>
      <c r="BA2335">
        <v>4</v>
      </c>
      <c r="BB2335">
        <v>3</v>
      </c>
      <c r="BC2335">
        <v>7</v>
      </c>
      <c r="BD2335">
        <v>70</v>
      </c>
      <c r="BE2335">
        <v>78</v>
      </c>
      <c r="BF2335">
        <v>148</v>
      </c>
      <c r="BP2335">
        <v>88</v>
      </c>
      <c r="BR2335">
        <v>12</v>
      </c>
      <c r="BS2335">
        <v>37</v>
      </c>
      <c r="BT2335">
        <v>8</v>
      </c>
      <c r="BU2335">
        <v>5</v>
      </c>
      <c r="BV2335">
        <v>0</v>
      </c>
      <c r="BW2335">
        <v>150</v>
      </c>
      <c r="BX2335" t="s">
        <v>82</v>
      </c>
      <c r="BY2335" s="5"/>
      <c r="BZ2335" s="6"/>
      <c r="CA2335" s="7">
        <v>44885</v>
      </c>
      <c r="CE2335">
        <v>49</v>
      </c>
      <c r="CF2335">
        <v>41</v>
      </c>
      <c r="CG2335">
        <v>60</v>
      </c>
      <c r="CI2335">
        <f t="shared" si="234"/>
        <v>2022</v>
      </c>
      <c r="CJ2335" t="str">
        <f t="shared" si="235"/>
        <v>7726_2022</v>
      </c>
    </row>
    <row r="2336" spans="1:88" x14ac:dyDescent="0.25">
      <c r="A2336" t="s">
        <v>111</v>
      </c>
      <c r="B2336" t="s">
        <v>112</v>
      </c>
      <c r="C2336">
        <v>7727</v>
      </c>
      <c r="D2336">
        <v>-37.767488</v>
      </c>
      <c r="E2336">
        <v>145.03818999999999</v>
      </c>
      <c r="F2336">
        <v>3</v>
      </c>
      <c r="G2336" t="s">
        <v>927</v>
      </c>
      <c r="H2336">
        <v>97</v>
      </c>
      <c r="I2336">
        <v>277</v>
      </c>
      <c r="J2336">
        <v>193</v>
      </c>
      <c r="K2336">
        <v>13</v>
      </c>
      <c r="L2336">
        <v>277</v>
      </c>
      <c r="M2336">
        <v>97</v>
      </c>
      <c r="T2336">
        <v>85</v>
      </c>
      <c r="U2336">
        <v>65</v>
      </c>
      <c r="Y2336">
        <v>80</v>
      </c>
      <c r="Z2336">
        <v>5</v>
      </c>
      <c r="AD2336">
        <v>56</v>
      </c>
      <c r="AE2336">
        <v>9</v>
      </c>
      <c r="AX2336">
        <v>150</v>
      </c>
      <c r="AY2336">
        <v>136</v>
      </c>
      <c r="AZ2336">
        <v>286</v>
      </c>
      <c r="BA2336">
        <v>85</v>
      </c>
      <c r="BB2336">
        <v>94</v>
      </c>
      <c r="BC2336">
        <v>179</v>
      </c>
      <c r="BD2336">
        <v>65</v>
      </c>
      <c r="BE2336">
        <v>70</v>
      </c>
      <c r="BF2336">
        <v>135</v>
      </c>
      <c r="BP2336">
        <v>74</v>
      </c>
      <c r="BR2336">
        <v>164</v>
      </c>
      <c r="BS2336">
        <v>22</v>
      </c>
      <c r="BT2336">
        <v>37</v>
      </c>
      <c r="BU2336">
        <v>3</v>
      </c>
      <c r="BV2336">
        <v>0</v>
      </c>
      <c r="BW2336">
        <v>300</v>
      </c>
      <c r="BX2336" t="s">
        <v>82</v>
      </c>
      <c r="BY2336" s="5"/>
      <c r="BZ2336" s="6"/>
      <c r="CA2336" s="7">
        <v>44878</v>
      </c>
      <c r="CE2336">
        <v>83</v>
      </c>
      <c r="CF2336">
        <v>119</v>
      </c>
      <c r="CG2336">
        <v>98</v>
      </c>
      <c r="CI2336">
        <f t="shared" si="234"/>
        <v>2022</v>
      </c>
      <c r="CJ2336" t="str">
        <f t="shared" si="235"/>
        <v>7727_2022</v>
      </c>
    </row>
    <row r="2337" spans="1:88" x14ac:dyDescent="0.25">
      <c r="A2337" t="s">
        <v>111</v>
      </c>
      <c r="B2337" t="s">
        <v>112</v>
      </c>
      <c r="C2337">
        <v>7728</v>
      </c>
      <c r="D2337">
        <v>-37.693187999999999</v>
      </c>
      <c r="E2337">
        <v>145.1</v>
      </c>
      <c r="F2337">
        <v>3</v>
      </c>
      <c r="G2337" t="s">
        <v>928</v>
      </c>
      <c r="H2337">
        <v>200</v>
      </c>
      <c r="I2337">
        <v>20</v>
      </c>
      <c r="J2337">
        <v>267</v>
      </c>
      <c r="K2337">
        <v>87</v>
      </c>
      <c r="L2337">
        <v>357</v>
      </c>
      <c r="M2337">
        <v>177</v>
      </c>
      <c r="T2337">
        <v>4</v>
      </c>
      <c r="U2337">
        <v>29</v>
      </c>
      <c r="Y2337">
        <v>0</v>
      </c>
      <c r="Z2337">
        <v>7</v>
      </c>
      <c r="AD2337">
        <v>33</v>
      </c>
      <c r="AE2337">
        <v>0</v>
      </c>
      <c r="AX2337">
        <v>33</v>
      </c>
      <c r="AY2337">
        <v>33</v>
      </c>
      <c r="AZ2337">
        <v>66</v>
      </c>
      <c r="BA2337">
        <v>7</v>
      </c>
      <c r="BB2337">
        <v>4</v>
      </c>
      <c r="BC2337">
        <v>11</v>
      </c>
      <c r="BD2337">
        <v>33</v>
      </c>
      <c r="BE2337">
        <v>36</v>
      </c>
      <c r="BF2337">
        <v>69</v>
      </c>
      <c r="BP2337">
        <v>17</v>
      </c>
      <c r="BR2337">
        <v>34</v>
      </c>
      <c r="BS2337">
        <v>8</v>
      </c>
      <c r="BT2337">
        <v>14</v>
      </c>
      <c r="BU2337">
        <v>0</v>
      </c>
      <c r="BV2337">
        <v>0</v>
      </c>
      <c r="BW2337">
        <v>73</v>
      </c>
      <c r="BX2337" t="s">
        <v>82</v>
      </c>
      <c r="BY2337" s="5"/>
      <c r="BZ2337" s="6"/>
      <c r="CA2337" s="7">
        <v>44892</v>
      </c>
      <c r="CE2337">
        <v>27</v>
      </c>
      <c r="CF2337">
        <v>23</v>
      </c>
      <c r="CG2337">
        <v>23</v>
      </c>
      <c r="CI2337">
        <f t="shared" si="234"/>
        <v>2022</v>
      </c>
      <c r="CJ2337" t="str">
        <f t="shared" si="235"/>
        <v>7728_2022</v>
      </c>
    </row>
    <row r="2338" spans="1:88" x14ac:dyDescent="0.25">
      <c r="A2338" t="s">
        <v>111</v>
      </c>
      <c r="B2338" t="s">
        <v>112</v>
      </c>
      <c r="C2338">
        <v>7729</v>
      </c>
      <c r="D2338">
        <v>-37.699120999999998</v>
      </c>
      <c r="E2338">
        <v>145.10301999999999</v>
      </c>
      <c r="F2338">
        <v>4</v>
      </c>
      <c r="G2338" t="s">
        <v>929</v>
      </c>
      <c r="H2338">
        <v>81</v>
      </c>
      <c r="I2338">
        <v>261</v>
      </c>
      <c r="J2338">
        <v>185</v>
      </c>
      <c r="K2338">
        <v>5</v>
      </c>
      <c r="L2338">
        <v>297</v>
      </c>
      <c r="M2338">
        <v>117</v>
      </c>
      <c r="N2338">
        <v>354</v>
      </c>
      <c r="O2338">
        <v>174</v>
      </c>
      <c r="T2338">
        <v>4</v>
      </c>
      <c r="U2338">
        <v>21</v>
      </c>
      <c r="V2338">
        <v>6</v>
      </c>
      <c r="Y2338">
        <v>29</v>
      </c>
      <c r="Z2338">
        <v>93</v>
      </c>
      <c r="AA2338">
        <v>6</v>
      </c>
      <c r="AD2338">
        <v>39</v>
      </c>
      <c r="AE2338">
        <v>69</v>
      </c>
      <c r="AF2338">
        <v>4</v>
      </c>
      <c r="AI2338">
        <v>2</v>
      </c>
      <c r="AJ2338">
        <v>5</v>
      </c>
      <c r="AK2338">
        <v>5</v>
      </c>
      <c r="AX2338">
        <v>31</v>
      </c>
      <c r="AY2338">
        <v>70</v>
      </c>
      <c r="AZ2338">
        <v>101</v>
      </c>
      <c r="BA2338">
        <v>128</v>
      </c>
      <c r="BB2338">
        <v>78</v>
      </c>
      <c r="BC2338">
        <v>206</v>
      </c>
      <c r="BD2338">
        <v>112</v>
      </c>
      <c r="BE2338">
        <v>119</v>
      </c>
      <c r="BF2338">
        <v>231</v>
      </c>
      <c r="BG2338">
        <v>12</v>
      </c>
      <c r="BH2338">
        <v>16</v>
      </c>
      <c r="BI2338">
        <v>28</v>
      </c>
      <c r="BP2338">
        <v>44</v>
      </c>
      <c r="BR2338">
        <v>172</v>
      </c>
      <c r="BS2338">
        <v>25</v>
      </c>
      <c r="BT2338">
        <v>38</v>
      </c>
      <c r="BU2338">
        <v>4</v>
      </c>
      <c r="BV2338">
        <v>0</v>
      </c>
      <c r="BW2338">
        <v>283</v>
      </c>
      <c r="BX2338" t="s">
        <v>82</v>
      </c>
      <c r="BY2338" s="5"/>
      <c r="BZ2338" s="6"/>
      <c r="CA2338" s="7">
        <v>44885</v>
      </c>
      <c r="CE2338">
        <v>85</v>
      </c>
      <c r="CF2338">
        <v>112</v>
      </c>
      <c r="CG2338">
        <v>86</v>
      </c>
      <c r="CI2338">
        <f t="shared" si="234"/>
        <v>2022</v>
      </c>
      <c r="CJ2338" t="str">
        <f t="shared" si="235"/>
        <v>7729_2022</v>
      </c>
    </row>
    <row r="2339" spans="1:88" x14ac:dyDescent="0.25">
      <c r="A2339" t="s">
        <v>111</v>
      </c>
      <c r="B2339" t="s">
        <v>112</v>
      </c>
      <c r="C2339">
        <v>7730</v>
      </c>
      <c r="D2339">
        <v>-37.714705000000002</v>
      </c>
      <c r="E2339">
        <v>145.11212</v>
      </c>
      <c r="F2339">
        <v>3</v>
      </c>
      <c r="G2339" t="s">
        <v>930</v>
      </c>
      <c r="H2339">
        <v>27</v>
      </c>
      <c r="I2339">
        <v>207</v>
      </c>
      <c r="J2339">
        <v>180</v>
      </c>
      <c r="K2339">
        <v>360</v>
      </c>
      <c r="L2339">
        <v>234</v>
      </c>
      <c r="M2339">
        <v>54</v>
      </c>
      <c r="T2339">
        <v>84</v>
      </c>
      <c r="U2339">
        <v>30</v>
      </c>
      <c r="Y2339">
        <v>69</v>
      </c>
      <c r="Z2339">
        <v>6</v>
      </c>
      <c r="AD2339">
        <v>25</v>
      </c>
      <c r="AE2339">
        <v>4</v>
      </c>
      <c r="AX2339">
        <v>114</v>
      </c>
      <c r="AY2339">
        <v>94</v>
      </c>
      <c r="AZ2339">
        <v>208</v>
      </c>
      <c r="BA2339">
        <v>75</v>
      </c>
      <c r="BB2339">
        <v>88</v>
      </c>
      <c r="BC2339">
        <v>163</v>
      </c>
      <c r="BD2339">
        <v>29</v>
      </c>
      <c r="BE2339">
        <v>36</v>
      </c>
      <c r="BF2339">
        <v>65</v>
      </c>
      <c r="BP2339">
        <v>43</v>
      </c>
      <c r="BR2339">
        <v>104</v>
      </c>
      <c r="BS2339">
        <v>22</v>
      </c>
      <c r="BT2339">
        <v>46</v>
      </c>
      <c r="BU2339">
        <v>3</v>
      </c>
      <c r="BV2339">
        <v>0</v>
      </c>
      <c r="BW2339">
        <v>218</v>
      </c>
      <c r="BX2339" t="s">
        <v>82</v>
      </c>
      <c r="BY2339" s="5"/>
      <c r="BZ2339" s="6"/>
      <c r="CA2339" s="7">
        <v>44878</v>
      </c>
      <c r="CE2339">
        <v>86</v>
      </c>
      <c r="CF2339">
        <v>84</v>
      </c>
      <c r="CG2339">
        <v>48</v>
      </c>
      <c r="CI2339">
        <f t="shared" si="234"/>
        <v>2022</v>
      </c>
      <c r="CJ2339" t="str">
        <f t="shared" si="235"/>
        <v>7730_2022</v>
      </c>
    </row>
    <row r="2340" spans="1:88" x14ac:dyDescent="0.25">
      <c r="A2340" t="s">
        <v>111</v>
      </c>
      <c r="B2340" t="s">
        <v>112</v>
      </c>
      <c r="C2340">
        <v>7731</v>
      </c>
      <c r="D2340">
        <v>-37.736119000000002</v>
      </c>
      <c r="E2340">
        <v>145.06607</v>
      </c>
      <c r="F2340">
        <v>5</v>
      </c>
      <c r="G2340" t="s">
        <v>931</v>
      </c>
      <c r="H2340">
        <v>5</v>
      </c>
      <c r="I2340">
        <v>185</v>
      </c>
      <c r="J2340">
        <v>116</v>
      </c>
      <c r="K2340">
        <v>296</v>
      </c>
      <c r="L2340">
        <v>162</v>
      </c>
      <c r="M2340">
        <v>342</v>
      </c>
      <c r="N2340">
        <v>194</v>
      </c>
      <c r="O2340">
        <v>14</v>
      </c>
      <c r="P2340">
        <v>292</v>
      </c>
      <c r="Q2340">
        <v>112</v>
      </c>
      <c r="T2340">
        <v>19</v>
      </c>
      <c r="U2340">
        <v>41</v>
      </c>
      <c r="V2340">
        <v>104</v>
      </c>
      <c r="W2340">
        <v>24</v>
      </c>
      <c r="Y2340">
        <v>24</v>
      </c>
      <c r="Z2340">
        <v>0</v>
      </c>
      <c r="AA2340">
        <v>3</v>
      </c>
      <c r="AB2340">
        <v>20</v>
      </c>
      <c r="AD2340">
        <v>42</v>
      </c>
      <c r="AE2340">
        <v>3</v>
      </c>
      <c r="AF2340">
        <v>0</v>
      </c>
      <c r="AG2340">
        <v>6</v>
      </c>
      <c r="AI2340">
        <v>116</v>
      </c>
      <c r="AJ2340">
        <v>0</v>
      </c>
      <c r="AK2340">
        <v>1</v>
      </c>
      <c r="AL2340">
        <v>21</v>
      </c>
      <c r="AN2340">
        <v>31</v>
      </c>
      <c r="AO2340">
        <v>20</v>
      </c>
      <c r="AP2340">
        <v>6</v>
      </c>
      <c r="AQ2340">
        <v>30</v>
      </c>
      <c r="AX2340">
        <v>188</v>
      </c>
      <c r="AY2340">
        <v>213</v>
      </c>
      <c r="AZ2340">
        <v>401</v>
      </c>
      <c r="BA2340">
        <v>47</v>
      </c>
      <c r="BB2340">
        <v>42</v>
      </c>
      <c r="BC2340">
        <v>89</v>
      </c>
      <c r="BD2340">
        <v>51</v>
      </c>
      <c r="BE2340">
        <v>48</v>
      </c>
      <c r="BF2340">
        <v>99</v>
      </c>
      <c r="BG2340">
        <v>138</v>
      </c>
      <c r="BH2340">
        <v>137</v>
      </c>
      <c r="BI2340">
        <v>275</v>
      </c>
      <c r="BJ2340">
        <v>87</v>
      </c>
      <c r="BK2340">
        <v>71</v>
      </c>
      <c r="BL2340">
        <v>158</v>
      </c>
      <c r="BP2340">
        <v>40</v>
      </c>
      <c r="BR2340">
        <v>233</v>
      </c>
      <c r="BS2340">
        <v>73</v>
      </c>
      <c r="BT2340">
        <v>164</v>
      </c>
      <c r="BU2340">
        <v>1</v>
      </c>
      <c r="BV2340">
        <v>0</v>
      </c>
      <c r="BW2340">
        <v>511</v>
      </c>
      <c r="BX2340" t="s">
        <v>82</v>
      </c>
      <c r="BY2340" s="5"/>
      <c r="BZ2340" s="6"/>
      <c r="CA2340" s="7">
        <v>44878</v>
      </c>
      <c r="CE2340">
        <v>180</v>
      </c>
      <c r="CF2340">
        <v>215</v>
      </c>
      <c r="CG2340">
        <v>116</v>
      </c>
      <c r="CI2340">
        <f t="shared" si="234"/>
        <v>2022</v>
      </c>
      <c r="CJ2340" t="str">
        <f t="shared" si="235"/>
        <v>7731_2022</v>
      </c>
    </row>
    <row r="2341" spans="1:88" x14ac:dyDescent="0.25">
      <c r="A2341" t="s">
        <v>111</v>
      </c>
      <c r="B2341" t="s">
        <v>112</v>
      </c>
      <c r="C2341">
        <v>7732</v>
      </c>
      <c r="D2341">
        <v>-37.703752000000001</v>
      </c>
      <c r="E2341">
        <v>145.06473</v>
      </c>
      <c r="F2341">
        <v>3</v>
      </c>
      <c r="G2341" t="s">
        <v>932</v>
      </c>
      <c r="H2341">
        <v>101</v>
      </c>
      <c r="I2341">
        <v>281</v>
      </c>
      <c r="J2341">
        <v>190</v>
      </c>
      <c r="K2341">
        <v>10</v>
      </c>
      <c r="L2341">
        <v>285</v>
      </c>
      <c r="M2341">
        <v>105</v>
      </c>
      <c r="T2341">
        <v>25</v>
      </c>
      <c r="U2341">
        <v>26</v>
      </c>
      <c r="Y2341">
        <v>20</v>
      </c>
      <c r="Z2341">
        <v>17</v>
      </c>
      <c r="AD2341">
        <v>23</v>
      </c>
      <c r="AE2341">
        <v>14</v>
      </c>
      <c r="AX2341">
        <v>51</v>
      </c>
      <c r="AY2341">
        <v>43</v>
      </c>
      <c r="AZ2341">
        <v>94</v>
      </c>
      <c r="BA2341">
        <v>37</v>
      </c>
      <c r="BB2341">
        <v>39</v>
      </c>
      <c r="BC2341">
        <v>76</v>
      </c>
      <c r="BD2341">
        <v>37</v>
      </c>
      <c r="BE2341">
        <v>43</v>
      </c>
      <c r="BF2341">
        <v>80</v>
      </c>
      <c r="BP2341">
        <v>61</v>
      </c>
      <c r="BR2341">
        <v>17</v>
      </c>
      <c r="BS2341">
        <v>8</v>
      </c>
      <c r="BT2341">
        <v>23</v>
      </c>
      <c r="BU2341">
        <v>6</v>
      </c>
      <c r="BV2341">
        <v>10</v>
      </c>
      <c r="BW2341">
        <v>125</v>
      </c>
      <c r="BX2341" t="s">
        <v>82</v>
      </c>
      <c r="BY2341" s="5"/>
      <c r="BZ2341" s="6"/>
      <c r="CA2341" s="7">
        <v>44878</v>
      </c>
      <c r="CE2341">
        <v>46</v>
      </c>
      <c r="CF2341">
        <v>37</v>
      </c>
      <c r="CG2341">
        <v>42</v>
      </c>
      <c r="CI2341">
        <f t="shared" si="234"/>
        <v>2022</v>
      </c>
      <c r="CJ2341" t="str">
        <f t="shared" si="235"/>
        <v>7732_2022</v>
      </c>
    </row>
    <row r="2342" spans="1:88" x14ac:dyDescent="0.25">
      <c r="A2342" t="s">
        <v>111</v>
      </c>
      <c r="B2342" t="s">
        <v>112</v>
      </c>
      <c r="C2342">
        <v>7733</v>
      </c>
      <c r="D2342">
        <v>-37.707245</v>
      </c>
      <c r="E2342">
        <v>145.07849999999999</v>
      </c>
      <c r="F2342">
        <v>4</v>
      </c>
      <c r="G2342" t="s">
        <v>933</v>
      </c>
      <c r="H2342">
        <v>10</v>
      </c>
      <c r="I2342">
        <v>190</v>
      </c>
      <c r="J2342">
        <v>95</v>
      </c>
      <c r="K2342">
        <v>275</v>
      </c>
      <c r="L2342">
        <v>187</v>
      </c>
      <c r="M2342">
        <v>7</v>
      </c>
      <c r="N2342">
        <v>286</v>
      </c>
      <c r="O2342">
        <v>106</v>
      </c>
      <c r="T2342">
        <v>6</v>
      </c>
      <c r="U2342">
        <v>2</v>
      </c>
      <c r="V2342">
        <v>5</v>
      </c>
      <c r="Y2342">
        <v>1</v>
      </c>
      <c r="Z2342">
        <v>5</v>
      </c>
      <c r="AA2342">
        <v>20</v>
      </c>
      <c r="AD2342">
        <v>8</v>
      </c>
      <c r="AE2342">
        <v>1</v>
      </c>
      <c r="AF2342">
        <v>8</v>
      </c>
      <c r="AI2342">
        <v>2</v>
      </c>
      <c r="AJ2342">
        <v>22</v>
      </c>
      <c r="AK2342">
        <v>9</v>
      </c>
      <c r="AX2342">
        <v>13</v>
      </c>
      <c r="AY2342">
        <v>11</v>
      </c>
      <c r="AZ2342">
        <v>24</v>
      </c>
      <c r="BA2342">
        <v>26</v>
      </c>
      <c r="BB2342">
        <v>29</v>
      </c>
      <c r="BC2342">
        <v>55</v>
      </c>
      <c r="BD2342">
        <v>17</v>
      </c>
      <c r="BE2342">
        <v>16</v>
      </c>
      <c r="BF2342">
        <v>33</v>
      </c>
      <c r="BG2342">
        <v>33</v>
      </c>
      <c r="BH2342">
        <v>33</v>
      </c>
      <c r="BI2342">
        <v>66</v>
      </c>
      <c r="BP2342">
        <v>7</v>
      </c>
      <c r="BR2342">
        <v>54</v>
      </c>
      <c r="BS2342">
        <v>4</v>
      </c>
      <c r="BT2342">
        <v>24</v>
      </c>
      <c r="BU2342">
        <v>0</v>
      </c>
      <c r="BV2342">
        <v>0</v>
      </c>
      <c r="BW2342">
        <v>89</v>
      </c>
      <c r="BX2342" t="s">
        <v>82</v>
      </c>
      <c r="BY2342" s="5"/>
      <c r="BZ2342" s="6"/>
      <c r="CA2342" s="7">
        <v>44892</v>
      </c>
      <c r="CE2342">
        <v>37</v>
      </c>
      <c r="CF2342">
        <v>22</v>
      </c>
      <c r="CG2342">
        <v>30</v>
      </c>
      <c r="CI2342">
        <f t="shared" si="234"/>
        <v>2022</v>
      </c>
      <c r="CJ2342" t="str">
        <f t="shared" si="235"/>
        <v>7733_2022</v>
      </c>
    </row>
    <row r="2343" spans="1:88" x14ac:dyDescent="0.25">
      <c r="A2343" t="s">
        <v>111</v>
      </c>
      <c r="B2343" t="s">
        <v>112</v>
      </c>
      <c r="C2343">
        <v>7734</v>
      </c>
      <c r="D2343">
        <v>-37.73227</v>
      </c>
      <c r="E2343">
        <v>145.134806</v>
      </c>
      <c r="F2343">
        <v>4</v>
      </c>
      <c r="G2343" t="s">
        <v>934</v>
      </c>
      <c r="H2343">
        <v>109</v>
      </c>
      <c r="I2343">
        <v>289</v>
      </c>
      <c r="J2343">
        <v>187</v>
      </c>
      <c r="K2343">
        <v>7</v>
      </c>
      <c r="L2343">
        <v>293</v>
      </c>
      <c r="M2343">
        <v>113</v>
      </c>
      <c r="N2343">
        <v>356</v>
      </c>
      <c r="O2343">
        <v>176</v>
      </c>
      <c r="T2343">
        <v>17</v>
      </c>
      <c r="U2343">
        <v>12</v>
      </c>
      <c r="V2343">
        <v>6</v>
      </c>
      <c r="Y2343">
        <v>25</v>
      </c>
      <c r="Z2343">
        <v>0</v>
      </c>
      <c r="AA2343">
        <v>0</v>
      </c>
      <c r="AD2343">
        <v>23</v>
      </c>
      <c r="AE2343">
        <v>6</v>
      </c>
      <c r="AF2343">
        <v>6</v>
      </c>
      <c r="AI2343">
        <v>8</v>
      </c>
      <c r="AJ2343">
        <v>6</v>
      </c>
      <c r="AK2343">
        <v>2</v>
      </c>
      <c r="AX2343">
        <v>35</v>
      </c>
      <c r="AY2343">
        <v>56</v>
      </c>
      <c r="AZ2343">
        <v>91</v>
      </c>
      <c r="BA2343">
        <v>25</v>
      </c>
      <c r="BB2343">
        <v>29</v>
      </c>
      <c r="BC2343">
        <v>54</v>
      </c>
      <c r="BD2343">
        <v>35</v>
      </c>
      <c r="BE2343">
        <v>14</v>
      </c>
      <c r="BF2343">
        <v>49</v>
      </c>
      <c r="BG2343">
        <v>16</v>
      </c>
      <c r="BH2343">
        <v>12</v>
      </c>
      <c r="BI2343">
        <v>28</v>
      </c>
      <c r="BP2343">
        <v>80</v>
      </c>
      <c r="BR2343">
        <v>25</v>
      </c>
      <c r="BS2343">
        <v>1</v>
      </c>
      <c r="BT2343">
        <v>5</v>
      </c>
      <c r="BU2343">
        <v>0</v>
      </c>
      <c r="BV2343">
        <v>0</v>
      </c>
      <c r="BW2343">
        <v>111</v>
      </c>
      <c r="BX2343" t="s">
        <v>82</v>
      </c>
      <c r="BY2343" s="5"/>
      <c r="BZ2343" s="6"/>
      <c r="CA2343" s="7">
        <v>44878</v>
      </c>
      <c r="CE2343">
        <v>56</v>
      </c>
      <c r="CF2343">
        <v>29</v>
      </c>
      <c r="CG2343">
        <v>26</v>
      </c>
      <c r="CI2343">
        <f t="shared" si="234"/>
        <v>2022</v>
      </c>
      <c r="CJ2343" t="str">
        <f t="shared" si="235"/>
        <v>7734_2022</v>
      </c>
    </row>
    <row r="2344" spans="1:88" x14ac:dyDescent="0.25">
      <c r="A2344" t="s">
        <v>79</v>
      </c>
      <c r="B2344" t="s">
        <v>91</v>
      </c>
      <c r="C2344">
        <v>7735</v>
      </c>
      <c r="D2344">
        <v>-33.927124999999997</v>
      </c>
      <c r="E2344">
        <v>151.239</v>
      </c>
      <c r="F2344">
        <v>4</v>
      </c>
      <c r="G2344" t="s">
        <v>935</v>
      </c>
      <c r="H2344">
        <v>10</v>
      </c>
      <c r="I2344">
        <v>190</v>
      </c>
      <c r="J2344">
        <v>98</v>
      </c>
      <c r="K2344">
        <v>278</v>
      </c>
      <c r="L2344">
        <v>190</v>
      </c>
      <c r="M2344">
        <v>10</v>
      </c>
      <c r="N2344">
        <v>278</v>
      </c>
      <c r="O2344">
        <v>98</v>
      </c>
      <c r="T2344">
        <v>9</v>
      </c>
      <c r="U2344">
        <v>34</v>
      </c>
      <c r="V2344">
        <v>7</v>
      </c>
      <c r="Y2344">
        <v>9</v>
      </c>
      <c r="Z2344">
        <v>13</v>
      </c>
      <c r="AA2344">
        <v>10</v>
      </c>
      <c r="AD2344">
        <v>56</v>
      </c>
      <c r="AE2344">
        <v>9</v>
      </c>
      <c r="AF2344">
        <v>6</v>
      </c>
      <c r="AI2344">
        <v>7</v>
      </c>
      <c r="AJ2344">
        <v>5</v>
      </c>
      <c r="AK2344">
        <v>9</v>
      </c>
      <c r="AX2344">
        <v>50</v>
      </c>
      <c r="AY2344">
        <v>72</v>
      </c>
      <c r="AZ2344">
        <v>122</v>
      </c>
      <c r="BA2344">
        <v>32</v>
      </c>
      <c r="BB2344">
        <v>23</v>
      </c>
      <c r="BC2344">
        <v>55</v>
      </c>
      <c r="BD2344">
        <v>71</v>
      </c>
      <c r="BE2344">
        <v>56</v>
      </c>
      <c r="BF2344">
        <v>127</v>
      </c>
      <c r="BG2344">
        <v>21</v>
      </c>
      <c r="BH2344">
        <v>23</v>
      </c>
      <c r="BI2344">
        <v>44</v>
      </c>
      <c r="BP2344">
        <v>75</v>
      </c>
      <c r="BR2344">
        <v>65</v>
      </c>
      <c r="BS2344">
        <v>20</v>
      </c>
      <c r="BT2344">
        <v>12</v>
      </c>
      <c r="BU2344">
        <v>2</v>
      </c>
      <c r="BV2344">
        <v>0</v>
      </c>
      <c r="BW2344">
        <v>174</v>
      </c>
      <c r="BX2344" t="s">
        <v>82</v>
      </c>
      <c r="BY2344" s="5"/>
      <c r="BZ2344" s="6"/>
      <c r="CA2344" s="7">
        <v>44885</v>
      </c>
      <c r="CE2344">
        <v>77</v>
      </c>
      <c r="CF2344">
        <v>54</v>
      </c>
      <c r="CG2344">
        <v>43</v>
      </c>
      <c r="CI2344">
        <f t="shared" si="234"/>
        <v>2022</v>
      </c>
      <c r="CJ2344" t="str">
        <f t="shared" si="235"/>
        <v>7735_2022</v>
      </c>
    </row>
    <row r="2345" spans="1:88" x14ac:dyDescent="0.25">
      <c r="A2345" t="s">
        <v>79</v>
      </c>
      <c r="B2345" t="s">
        <v>91</v>
      </c>
      <c r="C2345">
        <v>7736</v>
      </c>
      <c r="D2345">
        <v>-33.918089999999999</v>
      </c>
      <c r="E2345">
        <v>151.24199999999999</v>
      </c>
      <c r="F2345">
        <v>4</v>
      </c>
      <c r="G2345" t="s">
        <v>936</v>
      </c>
      <c r="H2345">
        <v>98</v>
      </c>
      <c r="I2345">
        <v>278</v>
      </c>
      <c r="J2345">
        <v>160</v>
      </c>
      <c r="K2345">
        <v>340</v>
      </c>
      <c r="L2345">
        <v>265</v>
      </c>
      <c r="M2345">
        <v>85</v>
      </c>
      <c r="N2345">
        <v>325</v>
      </c>
      <c r="O2345">
        <v>145</v>
      </c>
      <c r="T2345">
        <v>34</v>
      </c>
      <c r="U2345">
        <v>45</v>
      </c>
      <c r="V2345">
        <v>237</v>
      </c>
      <c r="Y2345">
        <v>46</v>
      </c>
      <c r="Z2345">
        <v>54</v>
      </c>
      <c r="AA2345">
        <v>249</v>
      </c>
      <c r="AD2345">
        <v>23</v>
      </c>
      <c r="AE2345">
        <v>11</v>
      </c>
      <c r="AF2345">
        <v>9</v>
      </c>
      <c r="AI2345">
        <v>285</v>
      </c>
      <c r="AJ2345">
        <v>259</v>
      </c>
      <c r="AK2345">
        <v>5</v>
      </c>
      <c r="AX2345">
        <v>316</v>
      </c>
      <c r="AY2345">
        <v>354</v>
      </c>
      <c r="AZ2345">
        <v>670</v>
      </c>
      <c r="BA2345">
        <v>349</v>
      </c>
      <c r="BB2345">
        <v>304</v>
      </c>
      <c r="BC2345">
        <v>653</v>
      </c>
      <c r="BD2345">
        <v>43</v>
      </c>
      <c r="BE2345">
        <v>104</v>
      </c>
      <c r="BF2345">
        <v>147</v>
      </c>
      <c r="BG2345">
        <v>549</v>
      </c>
      <c r="BH2345">
        <v>495</v>
      </c>
      <c r="BI2345">
        <v>1044</v>
      </c>
      <c r="BP2345">
        <v>140</v>
      </c>
      <c r="BR2345">
        <v>1052</v>
      </c>
      <c r="BS2345">
        <v>30</v>
      </c>
      <c r="BT2345">
        <v>34</v>
      </c>
      <c r="BU2345">
        <v>0</v>
      </c>
      <c r="BV2345">
        <v>1</v>
      </c>
      <c r="BW2345">
        <v>1257</v>
      </c>
      <c r="BX2345" t="s">
        <v>82</v>
      </c>
      <c r="BY2345" s="5"/>
      <c r="BZ2345" s="6"/>
      <c r="CA2345" s="7">
        <v>44885</v>
      </c>
      <c r="CE2345">
        <v>387</v>
      </c>
      <c r="CF2345">
        <v>463</v>
      </c>
      <c r="CG2345">
        <v>407</v>
      </c>
      <c r="CI2345">
        <f t="shared" si="234"/>
        <v>2022</v>
      </c>
      <c r="CJ2345" t="str">
        <f t="shared" si="235"/>
        <v>7736_2022</v>
      </c>
    </row>
    <row r="2346" spans="1:88" x14ac:dyDescent="0.25">
      <c r="A2346" t="s">
        <v>79</v>
      </c>
      <c r="B2346" t="s">
        <v>91</v>
      </c>
      <c r="C2346">
        <v>7737</v>
      </c>
      <c r="D2346">
        <v>-33.904581</v>
      </c>
      <c r="E2346">
        <v>151.23609999999999</v>
      </c>
      <c r="F2346">
        <v>4</v>
      </c>
      <c r="G2346" t="s">
        <v>937</v>
      </c>
      <c r="H2346">
        <v>55</v>
      </c>
      <c r="I2346">
        <v>235</v>
      </c>
      <c r="J2346">
        <v>145</v>
      </c>
      <c r="K2346">
        <v>325</v>
      </c>
      <c r="L2346">
        <v>240</v>
      </c>
      <c r="M2346">
        <v>60</v>
      </c>
      <c r="N2346">
        <v>330</v>
      </c>
      <c r="O2346">
        <v>150</v>
      </c>
      <c r="T2346">
        <v>6</v>
      </c>
      <c r="U2346">
        <v>46</v>
      </c>
      <c r="V2346">
        <v>18</v>
      </c>
      <c r="Y2346">
        <v>1</v>
      </c>
      <c r="Z2346">
        <v>7</v>
      </c>
      <c r="AA2346">
        <v>52</v>
      </c>
      <c r="AD2346">
        <v>41</v>
      </c>
      <c r="AE2346">
        <v>6</v>
      </c>
      <c r="AF2346">
        <v>8</v>
      </c>
      <c r="AI2346">
        <v>38</v>
      </c>
      <c r="AJ2346">
        <v>87</v>
      </c>
      <c r="AK2346">
        <v>10</v>
      </c>
      <c r="AX2346">
        <v>70</v>
      </c>
      <c r="AY2346">
        <v>80</v>
      </c>
      <c r="AZ2346">
        <v>150</v>
      </c>
      <c r="BA2346">
        <v>60</v>
      </c>
      <c r="BB2346">
        <v>99</v>
      </c>
      <c r="BC2346">
        <v>159</v>
      </c>
      <c r="BD2346">
        <v>55</v>
      </c>
      <c r="BE2346">
        <v>63</v>
      </c>
      <c r="BF2346">
        <v>118</v>
      </c>
      <c r="BG2346">
        <v>135</v>
      </c>
      <c r="BH2346">
        <v>78</v>
      </c>
      <c r="BI2346">
        <v>213</v>
      </c>
      <c r="BP2346">
        <v>97</v>
      </c>
      <c r="BR2346">
        <v>149</v>
      </c>
      <c r="BS2346">
        <v>39</v>
      </c>
      <c r="BT2346">
        <v>35</v>
      </c>
      <c r="BU2346">
        <v>0</v>
      </c>
      <c r="BV2346">
        <v>0</v>
      </c>
      <c r="BW2346">
        <v>320</v>
      </c>
      <c r="BX2346" t="s">
        <v>82</v>
      </c>
      <c r="BY2346" s="5"/>
      <c r="BZ2346" s="6"/>
      <c r="CA2346" s="7">
        <v>44892</v>
      </c>
      <c r="CE2346">
        <v>127</v>
      </c>
      <c r="CF2346">
        <v>94</v>
      </c>
      <c r="CG2346">
        <v>99</v>
      </c>
      <c r="CI2346">
        <f t="shared" si="234"/>
        <v>2022</v>
      </c>
      <c r="CJ2346" t="str">
        <f t="shared" si="235"/>
        <v>7737_2022</v>
      </c>
    </row>
    <row r="2347" spans="1:88" x14ac:dyDescent="0.25">
      <c r="A2347" t="s">
        <v>79</v>
      </c>
      <c r="B2347" t="s">
        <v>91</v>
      </c>
      <c r="C2347">
        <v>7738</v>
      </c>
      <c r="D2347">
        <v>-33.928697</v>
      </c>
      <c r="E2347">
        <v>151.255</v>
      </c>
      <c r="F2347">
        <v>3</v>
      </c>
      <c r="G2347" t="s">
        <v>938</v>
      </c>
      <c r="H2347">
        <v>13</v>
      </c>
      <c r="I2347">
        <v>193</v>
      </c>
      <c r="J2347">
        <v>103</v>
      </c>
      <c r="K2347">
        <v>283</v>
      </c>
      <c r="L2347">
        <v>256</v>
      </c>
      <c r="M2347">
        <v>76</v>
      </c>
      <c r="T2347">
        <v>91</v>
      </c>
      <c r="U2347">
        <v>29</v>
      </c>
      <c r="Y2347">
        <v>133</v>
      </c>
      <c r="Z2347">
        <v>63</v>
      </c>
      <c r="AD2347">
        <v>36</v>
      </c>
      <c r="AE2347">
        <v>56</v>
      </c>
      <c r="AX2347">
        <v>120</v>
      </c>
      <c r="AY2347">
        <v>169</v>
      </c>
      <c r="AZ2347">
        <v>289</v>
      </c>
      <c r="BA2347">
        <v>196</v>
      </c>
      <c r="BB2347">
        <v>147</v>
      </c>
      <c r="BC2347">
        <v>343</v>
      </c>
      <c r="BD2347">
        <v>92</v>
      </c>
      <c r="BE2347">
        <v>92</v>
      </c>
      <c r="BF2347">
        <v>184</v>
      </c>
      <c r="BP2347">
        <v>108</v>
      </c>
      <c r="BR2347">
        <v>239</v>
      </c>
      <c r="BS2347">
        <v>26</v>
      </c>
      <c r="BT2347">
        <v>35</v>
      </c>
      <c r="BU2347">
        <v>0</v>
      </c>
      <c r="BV2347">
        <v>0</v>
      </c>
      <c r="BW2347">
        <v>408</v>
      </c>
      <c r="BX2347" t="s">
        <v>82</v>
      </c>
      <c r="BY2347" s="5"/>
      <c r="BZ2347" s="6"/>
      <c r="CA2347" s="7">
        <v>44885</v>
      </c>
      <c r="CE2347">
        <v>160</v>
      </c>
      <c r="CF2347">
        <v>132</v>
      </c>
      <c r="CG2347">
        <v>116</v>
      </c>
      <c r="CI2347">
        <f t="shared" si="234"/>
        <v>2022</v>
      </c>
      <c r="CJ2347" t="str">
        <f t="shared" si="235"/>
        <v>7738_2022</v>
      </c>
    </row>
    <row r="2348" spans="1:88" x14ac:dyDescent="0.25">
      <c r="A2348" t="s">
        <v>277</v>
      </c>
      <c r="B2348" t="s">
        <v>473</v>
      </c>
      <c r="C2348">
        <v>6291</v>
      </c>
      <c r="D2348">
        <v>-34.996676999999998</v>
      </c>
      <c r="E2348">
        <v>138.604997</v>
      </c>
      <c r="F2348">
        <v>2</v>
      </c>
      <c r="G2348" t="s">
        <v>474</v>
      </c>
      <c r="H2348">
        <v>34</v>
      </c>
      <c r="I2348">
        <v>214</v>
      </c>
      <c r="J2348">
        <v>215</v>
      </c>
      <c r="K2348">
        <v>35</v>
      </c>
      <c r="T2348">
        <v>22</v>
      </c>
      <c r="Y2348">
        <v>72</v>
      </c>
      <c r="AX2348">
        <v>22</v>
      </c>
      <c r="AY2348">
        <v>72</v>
      </c>
      <c r="AZ2348">
        <v>94</v>
      </c>
      <c r="BA2348">
        <v>72</v>
      </c>
      <c r="BB2348">
        <v>22</v>
      </c>
      <c r="BC2348">
        <v>94</v>
      </c>
      <c r="BP2348">
        <v>60</v>
      </c>
      <c r="BR2348">
        <v>26</v>
      </c>
      <c r="BS2348">
        <v>3</v>
      </c>
      <c r="BT2348">
        <v>5</v>
      </c>
      <c r="BU2348">
        <v>0</v>
      </c>
      <c r="BV2348">
        <v>0</v>
      </c>
      <c r="BW2348">
        <v>94</v>
      </c>
      <c r="BX2348">
        <v>55</v>
      </c>
      <c r="BY2348">
        <v>0.70909999999999995</v>
      </c>
      <c r="BZ2348" s="6">
        <v>0.71</v>
      </c>
      <c r="CA2348" s="7">
        <v>45242</v>
      </c>
      <c r="CE2348">
        <v>24</v>
      </c>
      <c r="CF2348">
        <v>21</v>
      </c>
      <c r="CG2348">
        <v>49</v>
      </c>
      <c r="CI2348">
        <f t="shared" si="234"/>
        <v>2023</v>
      </c>
      <c r="CJ2348" t="str">
        <f t="shared" si="235"/>
        <v>6291_2023</v>
      </c>
    </row>
    <row r="2349" spans="1:88" x14ac:dyDescent="0.25">
      <c r="A2349" t="s">
        <v>277</v>
      </c>
      <c r="B2349" t="s">
        <v>473</v>
      </c>
      <c r="C2349">
        <v>6640</v>
      </c>
      <c r="D2349">
        <v>-35.010522000000002</v>
      </c>
      <c r="E2349">
        <v>138.60089600000001</v>
      </c>
      <c r="F2349">
        <v>5</v>
      </c>
      <c r="G2349" t="s">
        <v>591</v>
      </c>
      <c r="H2349">
        <v>50</v>
      </c>
      <c r="I2349">
        <v>230</v>
      </c>
      <c r="J2349">
        <v>180</v>
      </c>
      <c r="K2349">
        <v>360</v>
      </c>
      <c r="L2349">
        <v>229</v>
      </c>
      <c r="M2349">
        <v>49</v>
      </c>
      <c r="N2349">
        <v>270</v>
      </c>
      <c r="O2349">
        <v>90</v>
      </c>
      <c r="P2349">
        <v>345</v>
      </c>
      <c r="Q2349">
        <v>165</v>
      </c>
      <c r="T2349">
        <v>21</v>
      </c>
      <c r="U2349">
        <v>11</v>
      </c>
      <c r="V2349">
        <v>2</v>
      </c>
      <c r="W2349">
        <v>15</v>
      </c>
      <c r="Y2349">
        <v>7</v>
      </c>
      <c r="Z2349">
        <v>0</v>
      </c>
      <c r="AA2349">
        <v>1</v>
      </c>
      <c r="AB2349">
        <v>2</v>
      </c>
      <c r="AD2349">
        <v>14</v>
      </c>
      <c r="AE2349">
        <v>0</v>
      </c>
      <c r="AF2349">
        <v>0</v>
      </c>
      <c r="AG2349">
        <v>1</v>
      </c>
      <c r="AI2349">
        <v>8</v>
      </c>
      <c r="AJ2349">
        <v>1</v>
      </c>
      <c r="AK2349">
        <v>1</v>
      </c>
      <c r="AL2349">
        <v>3</v>
      </c>
      <c r="AN2349">
        <v>0</v>
      </c>
      <c r="AO2349">
        <v>0</v>
      </c>
      <c r="AP2349">
        <v>5</v>
      </c>
      <c r="AQ2349">
        <v>0</v>
      </c>
      <c r="AX2349">
        <v>49</v>
      </c>
      <c r="AY2349">
        <v>29</v>
      </c>
      <c r="AZ2349">
        <v>78</v>
      </c>
      <c r="BA2349">
        <v>10</v>
      </c>
      <c r="BB2349">
        <v>22</v>
      </c>
      <c r="BC2349">
        <v>32</v>
      </c>
      <c r="BD2349">
        <v>15</v>
      </c>
      <c r="BE2349">
        <v>17</v>
      </c>
      <c r="BF2349">
        <v>32</v>
      </c>
      <c r="BG2349">
        <v>13</v>
      </c>
      <c r="BH2349">
        <v>3</v>
      </c>
      <c r="BI2349">
        <v>16</v>
      </c>
      <c r="BJ2349">
        <v>5</v>
      </c>
      <c r="BK2349">
        <v>21</v>
      </c>
      <c r="BL2349">
        <v>26</v>
      </c>
      <c r="BP2349">
        <v>40</v>
      </c>
      <c r="BR2349">
        <v>14</v>
      </c>
      <c r="BS2349">
        <v>4</v>
      </c>
      <c r="BT2349">
        <v>34</v>
      </c>
      <c r="BU2349">
        <v>0</v>
      </c>
      <c r="BV2349">
        <v>0</v>
      </c>
      <c r="BW2349">
        <v>92</v>
      </c>
      <c r="BX2349">
        <v>46</v>
      </c>
      <c r="BY2349">
        <v>1</v>
      </c>
      <c r="BZ2349" s="6">
        <v>1</v>
      </c>
      <c r="CA2349" s="7">
        <v>45242</v>
      </c>
      <c r="CE2349">
        <v>34</v>
      </c>
      <c r="CF2349">
        <v>28</v>
      </c>
      <c r="CG2349">
        <v>30</v>
      </c>
      <c r="CI2349">
        <f t="shared" si="234"/>
        <v>2023</v>
      </c>
      <c r="CJ2349" t="str">
        <f t="shared" si="235"/>
        <v>6640_2023</v>
      </c>
    </row>
    <row r="2350" spans="1:88" x14ac:dyDescent="0.25">
      <c r="A2350" t="s">
        <v>277</v>
      </c>
      <c r="B2350" t="s">
        <v>473</v>
      </c>
      <c r="C2350">
        <v>6641</v>
      </c>
      <c r="D2350">
        <v>-35.030386999999997</v>
      </c>
      <c r="E2350">
        <v>138.606799</v>
      </c>
      <c r="F2350">
        <v>2</v>
      </c>
      <c r="G2350" t="s">
        <v>592</v>
      </c>
      <c r="H2350">
        <v>70</v>
      </c>
      <c r="I2350">
        <v>250</v>
      </c>
      <c r="J2350">
        <v>232</v>
      </c>
      <c r="K2350">
        <v>52</v>
      </c>
      <c r="T2350">
        <v>30</v>
      </c>
      <c r="Y2350">
        <v>35</v>
      </c>
      <c r="AX2350">
        <v>30</v>
      </c>
      <c r="AY2350">
        <v>35</v>
      </c>
      <c r="AZ2350">
        <v>65</v>
      </c>
      <c r="BA2350">
        <v>35</v>
      </c>
      <c r="BB2350">
        <v>30</v>
      </c>
      <c r="BC2350">
        <v>65</v>
      </c>
      <c r="BP2350">
        <v>51</v>
      </c>
      <c r="BR2350">
        <v>3</v>
      </c>
      <c r="BS2350">
        <v>5</v>
      </c>
      <c r="BT2350">
        <v>6</v>
      </c>
      <c r="BU2350">
        <v>0</v>
      </c>
      <c r="BV2350">
        <v>0</v>
      </c>
      <c r="BW2350">
        <v>65</v>
      </c>
      <c r="BX2350">
        <v>16</v>
      </c>
      <c r="BY2350">
        <v>3.0625</v>
      </c>
      <c r="BZ2350" s="6">
        <v>3.06</v>
      </c>
      <c r="CA2350" s="7">
        <v>45242</v>
      </c>
      <c r="CE2350">
        <v>21</v>
      </c>
      <c r="CF2350">
        <v>24</v>
      </c>
      <c r="CG2350">
        <v>20</v>
      </c>
      <c r="CI2350">
        <f t="shared" si="234"/>
        <v>2023</v>
      </c>
      <c r="CJ2350" t="str">
        <f t="shared" si="235"/>
        <v>6641_2023</v>
      </c>
    </row>
    <row r="2351" spans="1:88" x14ac:dyDescent="0.25">
      <c r="A2351" t="s">
        <v>277</v>
      </c>
      <c r="B2351" t="s">
        <v>473</v>
      </c>
      <c r="C2351">
        <v>7139</v>
      </c>
      <c r="D2351">
        <v>-34.989798999999998</v>
      </c>
      <c r="E2351">
        <v>138.61510000000001</v>
      </c>
      <c r="F2351">
        <v>4</v>
      </c>
      <c r="G2351" t="s">
        <v>735</v>
      </c>
      <c r="H2351">
        <v>0</v>
      </c>
      <c r="I2351">
        <v>180</v>
      </c>
      <c r="J2351">
        <v>75</v>
      </c>
      <c r="K2351">
        <v>255</v>
      </c>
      <c r="L2351">
        <v>200</v>
      </c>
      <c r="M2351">
        <v>20</v>
      </c>
      <c r="N2351">
        <v>290</v>
      </c>
      <c r="O2351">
        <v>110</v>
      </c>
      <c r="T2351">
        <v>5</v>
      </c>
      <c r="U2351">
        <v>1</v>
      </c>
      <c r="V2351">
        <v>0</v>
      </c>
      <c r="Y2351">
        <v>7</v>
      </c>
      <c r="Z2351">
        <v>5</v>
      </c>
      <c r="AA2351">
        <v>5</v>
      </c>
      <c r="AD2351">
        <v>1</v>
      </c>
      <c r="AE2351">
        <v>9</v>
      </c>
      <c r="AF2351">
        <v>1</v>
      </c>
      <c r="AI2351">
        <v>2</v>
      </c>
      <c r="AJ2351">
        <v>21</v>
      </c>
      <c r="AK2351">
        <v>1</v>
      </c>
      <c r="AX2351">
        <v>6</v>
      </c>
      <c r="AY2351">
        <v>10</v>
      </c>
      <c r="AZ2351">
        <v>16</v>
      </c>
      <c r="BA2351">
        <v>17</v>
      </c>
      <c r="BB2351">
        <v>35</v>
      </c>
      <c r="BC2351">
        <v>52</v>
      </c>
      <c r="BD2351">
        <v>11</v>
      </c>
      <c r="BE2351">
        <v>7</v>
      </c>
      <c r="BF2351">
        <v>18</v>
      </c>
      <c r="BG2351">
        <v>24</v>
      </c>
      <c r="BH2351">
        <v>6</v>
      </c>
      <c r="BI2351">
        <v>30</v>
      </c>
      <c r="BP2351">
        <v>0</v>
      </c>
      <c r="BR2351">
        <v>28</v>
      </c>
      <c r="BS2351">
        <v>22</v>
      </c>
      <c r="BT2351">
        <v>6</v>
      </c>
      <c r="BU2351">
        <v>2</v>
      </c>
      <c r="BV2351">
        <v>0</v>
      </c>
      <c r="BW2351">
        <v>58</v>
      </c>
      <c r="BX2351">
        <v>46</v>
      </c>
      <c r="BY2351">
        <v>0.26090000000000002</v>
      </c>
      <c r="BZ2351" s="6">
        <v>0.26</v>
      </c>
      <c r="CA2351" s="7">
        <v>45242</v>
      </c>
      <c r="CE2351">
        <v>12</v>
      </c>
      <c r="CF2351">
        <v>15</v>
      </c>
      <c r="CG2351">
        <v>31</v>
      </c>
      <c r="CI2351">
        <f t="shared" si="234"/>
        <v>2023</v>
      </c>
      <c r="CJ2351" t="str">
        <f t="shared" si="235"/>
        <v>7139_2023</v>
      </c>
    </row>
    <row r="2352" spans="1:88" x14ac:dyDescent="0.25">
      <c r="A2352" t="s">
        <v>277</v>
      </c>
      <c r="B2352" t="s">
        <v>473</v>
      </c>
      <c r="C2352">
        <v>7254</v>
      </c>
      <c r="D2352">
        <v>-34.982947000000003</v>
      </c>
      <c r="E2352">
        <v>138.62780000000001</v>
      </c>
      <c r="F2352">
        <v>4</v>
      </c>
      <c r="G2352" t="s">
        <v>784</v>
      </c>
      <c r="H2352">
        <v>90</v>
      </c>
      <c r="I2352">
        <v>270</v>
      </c>
      <c r="J2352">
        <v>170</v>
      </c>
      <c r="K2352">
        <v>350</v>
      </c>
      <c r="L2352">
        <v>240</v>
      </c>
      <c r="M2352">
        <v>60</v>
      </c>
      <c r="N2352">
        <v>350</v>
      </c>
      <c r="O2352">
        <v>170</v>
      </c>
      <c r="T2352">
        <v>35</v>
      </c>
      <c r="U2352">
        <v>17</v>
      </c>
      <c r="V2352">
        <v>25</v>
      </c>
      <c r="Y2352">
        <v>31</v>
      </c>
      <c r="Z2352">
        <v>10</v>
      </c>
      <c r="AA2352">
        <v>8</v>
      </c>
      <c r="AD2352">
        <v>8</v>
      </c>
      <c r="AE2352">
        <v>13</v>
      </c>
      <c r="AF2352">
        <v>7</v>
      </c>
      <c r="AI2352">
        <v>14</v>
      </c>
      <c r="AJ2352">
        <v>24</v>
      </c>
      <c r="AK2352">
        <v>2</v>
      </c>
      <c r="AX2352">
        <v>77</v>
      </c>
      <c r="AY2352">
        <v>53</v>
      </c>
      <c r="AZ2352">
        <v>130</v>
      </c>
      <c r="BA2352">
        <v>49</v>
      </c>
      <c r="BB2352">
        <v>72</v>
      </c>
      <c r="BC2352">
        <v>121</v>
      </c>
      <c r="BD2352">
        <v>28</v>
      </c>
      <c r="BE2352">
        <v>29</v>
      </c>
      <c r="BF2352">
        <v>57</v>
      </c>
      <c r="BG2352">
        <v>40</v>
      </c>
      <c r="BH2352">
        <v>40</v>
      </c>
      <c r="BI2352">
        <v>80</v>
      </c>
      <c r="BP2352">
        <v>10</v>
      </c>
      <c r="BR2352">
        <v>130</v>
      </c>
      <c r="BS2352">
        <v>16</v>
      </c>
      <c r="BT2352">
        <v>37</v>
      </c>
      <c r="BU2352">
        <v>1</v>
      </c>
      <c r="BV2352">
        <v>0</v>
      </c>
      <c r="BW2352">
        <v>194</v>
      </c>
      <c r="BX2352">
        <v>192</v>
      </c>
      <c r="BY2352">
        <v>1.04E-2</v>
      </c>
      <c r="BZ2352" s="6">
        <v>0.01</v>
      </c>
      <c r="CA2352" s="7">
        <v>45242</v>
      </c>
      <c r="CE2352">
        <v>57</v>
      </c>
      <c r="CF2352">
        <v>83</v>
      </c>
      <c r="CG2352">
        <v>54</v>
      </c>
      <c r="CI2352">
        <f t="shared" si="234"/>
        <v>2023</v>
      </c>
      <c r="CJ2352" t="str">
        <f t="shared" si="235"/>
        <v>7254_2023</v>
      </c>
    </row>
    <row r="2353" spans="1:88" x14ac:dyDescent="0.25">
      <c r="A2353" t="s">
        <v>277</v>
      </c>
      <c r="B2353" t="s">
        <v>473</v>
      </c>
      <c r="C2353">
        <v>7256</v>
      </c>
      <c r="D2353">
        <v>-34.996262999999999</v>
      </c>
      <c r="E2353">
        <v>138.651036</v>
      </c>
      <c r="F2353">
        <v>2</v>
      </c>
      <c r="G2353" t="s">
        <v>786</v>
      </c>
      <c r="H2353">
        <v>11</v>
      </c>
      <c r="I2353">
        <v>191</v>
      </c>
      <c r="J2353">
        <v>190</v>
      </c>
      <c r="K2353">
        <v>10</v>
      </c>
      <c r="U2353">
        <v>15</v>
      </c>
      <c r="AD2353">
        <v>6</v>
      </c>
      <c r="AX2353">
        <v>15</v>
      </c>
      <c r="AY2353">
        <v>6</v>
      </c>
      <c r="AZ2353">
        <v>21</v>
      </c>
      <c r="BD2353">
        <v>6</v>
      </c>
      <c r="BE2353">
        <v>15</v>
      </c>
      <c r="BF2353">
        <v>21</v>
      </c>
      <c r="BP2353">
        <v>4</v>
      </c>
      <c r="BR2353">
        <v>8</v>
      </c>
      <c r="BS2353">
        <v>4</v>
      </c>
      <c r="BT2353">
        <v>5</v>
      </c>
      <c r="BU2353">
        <v>0</v>
      </c>
      <c r="BV2353">
        <v>0</v>
      </c>
      <c r="BW2353">
        <v>21</v>
      </c>
      <c r="BX2353">
        <v>12</v>
      </c>
      <c r="BY2353">
        <v>0.75</v>
      </c>
      <c r="BZ2353" s="6">
        <v>0.75</v>
      </c>
      <c r="CA2353" s="7">
        <v>45242</v>
      </c>
      <c r="CE2353">
        <v>6</v>
      </c>
      <c r="CF2353">
        <v>9</v>
      </c>
      <c r="CG2353">
        <v>6</v>
      </c>
      <c r="CI2353">
        <f t="shared" si="234"/>
        <v>2023</v>
      </c>
      <c r="CJ2353" t="str">
        <f t="shared" si="235"/>
        <v>7256_2023</v>
      </c>
    </row>
    <row r="2354" spans="1:88" x14ac:dyDescent="0.25">
      <c r="A2354" t="s">
        <v>277</v>
      </c>
      <c r="B2354" t="s">
        <v>473</v>
      </c>
      <c r="C2354">
        <v>7257</v>
      </c>
      <c r="D2354">
        <v>-35.047131</v>
      </c>
      <c r="E2354">
        <v>138.61348599999999</v>
      </c>
      <c r="F2354">
        <v>4</v>
      </c>
      <c r="G2354" t="s">
        <v>787</v>
      </c>
      <c r="H2354">
        <v>93</v>
      </c>
      <c r="I2354">
        <v>273</v>
      </c>
      <c r="J2354">
        <v>132</v>
      </c>
      <c r="K2354">
        <v>312</v>
      </c>
      <c r="L2354">
        <v>248</v>
      </c>
      <c r="M2354">
        <v>68</v>
      </c>
      <c r="N2354">
        <v>359</v>
      </c>
      <c r="O2354">
        <v>179</v>
      </c>
      <c r="T2354">
        <v>11</v>
      </c>
      <c r="U2354">
        <v>6</v>
      </c>
      <c r="V2354">
        <v>2</v>
      </c>
      <c r="Y2354">
        <v>1</v>
      </c>
      <c r="Z2354">
        <v>0</v>
      </c>
      <c r="AA2354">
        <v>15</v>
      </c>
      <c r="AD2354">
        <v>2</v>
      </c>
      <c r="AE2354">
        <v>2</v>
      </c>
      <c r="AF2354">
        <v>8</v>
      </c>
      <c r="AI2354">
        <v>1</v>
      </c>
      <c r="AJ2354">
        <v>25</v>
      </c>
      <c r="AK2354">
        <v>6</v>
      </c>
      <c r="AX2354">
        <v>19</v>
      </c>
      <c r="AY2354">
        <v>4</v>
      </c>
      <c r="AZ2354">
        <v>23</v>
      </c>
      <c r="BA2354">
        <v>16</v>
      </c>
      <c r="BB2354">
        <v>38</v>
      </c>
      <c r="BC2354">
        <v>54</v>
      </c>
      <c r="BD2354">
        <v>12</v>
      </c>
      <c r="BE2354">
        <v>12</v>
      </c>
      <c r="BF2354">
        <v>24</v>
      </c>
      <c r="BG2354">
        <v>32</v>
      </c>
      <c r="BH2354">
        <v>25</v>
      </c>
      <c r="BI2354">
        <v>57</v>
      </c>
      <c r="BP2354">
        <v>41</v>
      </c>
      <c r="BR2354">
        <v>20</v>
      </c>
      <c r="BS2354">
        <v>2</v>
      </c>
      <c r="BT2354">
        <v>12</v>
      </c>
      <c r="BU2354">
        <v>4</v>
      </c>
      <c r="BV2354">
        <v>0</v>
      </c>
      <c r="BW2354">
        <v>79</v>
      </c>
      <c r="BX2354">
        <v>20</v>
      </c>
      <c r="BY2354">
        <v>2.95</v>
      </c>
      <c r="BZ2354" s="6">
        <v>2.95</v>
      </c>
      <c r="CA2354" s="7">
        <v>45242</v>
      </c>
      <c r="CE2354">
        <v>41</v>
      </c>
      <c r="CF2354">
        <v>24</v>
      </c>
      <c r="CG2354">
        <v>14</v>
      </c>
      <c r="CI2354">
        <f t="shared" si="234"/>
        <v>2023</v>
      </c>
      <c r="CJ2354" t="str">
        <f t="shared" si="235"/>
        <v>7257_2023</v>
      </c>
    </row>
    <row r="2355" spans="1:88" x14ac:dyDescent="0.25">
      <c r="A2355" t="s">
        <v>277</v>
      </c>
      <c r="B2355" t="s">
        <v>473</v>
      </c>
      <c r="C2355">
        <v>7434</v>
      </c>
      <c r="D2355">
        <v>-35.036473999999998</v>
      </c>
      <c r="E2355">
        <v>138.602735</v>
      </c>
      <c r="F2355">
        <v>4</v>
      </c>
      <c r="G2355" t="s">
        <v>809</v>
      </c>
      <c r="H2355">
        <v>9</v>
      </c>
      <c r="I2355">
        <v>189</v>
      </c>
      <c r="J2355">
        <v>150</v>
      </c>
      <c r="K2355">
        <v>330</v>
      </c>
      <c r="L2355">
        <v>220</v>
      </c>
      <c r="M2355">
        <v>40</v>
      </c>
      <c r="N2355">
        <v>258</v>
      </c>
      <c r="O2355">
        <v>78</v>
      </c>
      <c r="T2355">
        <v>9</v>
      </c>
      <c r="U2355">
        <v>3</v>
      </c>
      <c r="V2355">
        <v>2</v>
      </c>
      <c r="Y2355">
        <v>9</v>
      </c>
      <c r="Z2355">
        <v>19</v>
      </c>
      <c r="AA2355">
        <v>6</v>
      </c>
      <c r="AD2355">
        <v>6</v>
      </c>
      <c r="AE2355">
        <v>8</v>
      </c>
      <c r="AF2355">
        <v>1</v>
      </c>
      <c r="AI2355">
        <v>5</v>
      </c>
      <c r="AJ2355">
        <v>9</v>
      </c>
      <c r="AK2355">
        <v>3</v>
      </c>
      <c r="AX2355">
        <v>14</v>
      </c>
      <c r="AY2355">
        <v>20</v>
      </c>
      <c r="AZ2355">
        <v>34</v>
      </c>
      <c r="BA2355">
        <v>34</v>
      </c>
      <c r="BB2355">
        <v>26</v>
      </c>
      <c r="BC2355">
        <v>60</v>
      </c>
      <c r="BD2355">
        <v>15</v>
      </c>
      <c r="BE2355">
        <v>25</v>
      </c>
      <c r="BF2355">
        <v>40</v>
      </c>
      <c r="BG2355">
        <v>17</v>
      </c>
      <c r="BH2355">
        <v>9</v>
      </c>
      <c r="BI2355">
        <v>26</v>
      </c>
      <c r="BP2355">
        <v>69</v>
      </c>
      <c r="BR2355">
        <v>3</v>
      </c>
      <c r="BS2355">
        <v>5</v>
      </c>
      <c r="BT2355">
        <v>3</v>
      </c>
      <c r="BU2355">
        <v>0</v>
      </c>
      <c r="BV2355">
        <v>0</v>
      </c>
      <c r="BW2355">
        <v>80</v>
      </c>
      <c r="BX2355">
        <v>67</v>
      </c>
      <c r="BY2355">
        <v>0.19400000000000001</v>
      </c>
      <c r="BZ2355" s="6">
        <v>0.19</v>
      </c>
      <c r="CA2355" s="7">
        <v>45242</v>
      </c>
      <c r="CE2355">
        <v>21</v>
      </c>
      <c r="CF2355">
        <v>39</v>
      </c>
      <c r="CG2355">
        <v>20</v>
      </c>
      <c r="CI2355">
        <f t="shared" si="234"/>
        <v>2023</v>
      </c>
      <c r="CJ2355" t="str">
        <f t="shared" si="235"/>
        <v>7434_2023</v>
      </c>
    </row>
    <row r="2356" spans="1:88" x14ac:dyDescent="0.25">
      <c r="A2356" t="s">
        <v>277</v>
      </c>
      <c r="B2356" t="s">
        <v>473</v>
      </c>
      <c r="C2356">
        <v>7868</v>
      </c>
      <c r="D2356">
        <v>-35.012003</v>
      </c>
      <c r="E2356">
        <v>138.60810000000001</v>
      </c>
      <c r="F2356">
        <v>2</v>
      </c>
      <c r="G2356" t="s">
        <v>939</v>
      </c>
      <c r="H2356">
        <v>170</v>
      </c>
      <c r="I2356">
        <v>350</v>
      </c>
      <c r="J2356">
        <v>347</v>
      </c>
      <c r="K2356">
        <v>167</v>
      </c>
      <c r="T2356">
        <v>4</v>
      </c>
      <c r="Y2356">
        <v>16</v>
      </c>
      <c r="AX2356">
        <v>4</v>
      </c>
      <c r="AY2356">
        <v>16</v>
      </c>
      <c r="AZ2356">
        <v>20</v>
      </c>
      <c r="BA2356">
        <v>16</v>
      </c>
      <c r="BB2356">
        <v>4</v>
      </c>
      <c r="BC2356">
        <v>20</v>
      </c>
      <c r="BP2356">
        <v>2</v>
      </c>
      <c r="BR2356">
        <v>10</v>
      </c>
      <c r="BS2356">
        <v>1</v>
      </c>
      <c r="BT2356">
        <v>7</v>
      </c>
      <c r="BU2356">
        <v>0</v>
      </c>
      <c r="BV2356">
        <v>0</v>
      </c>
      <c r="BW2356">
        <v>20</v>
      </c>
      <c r="CA2356" s="7">
        <v>45242</v>
      </c>
      <c r="CE2356">
        <v>5</v>
      </c>
      <c r="CF2356">
        <v>13</v>
      </c>
      <c r="CG2356">
        <v>2</v>
      </c>
      <c r="CI2356">
        <f t="shared" si="234"/>
        <v>2023</v>
      </c>
      <c r="CJ2356" t="str">
        <f t="shared" si="235"/>
        <v>7868_2023</v>
      </c>
    </row>
    <row r="2357" spans="1:88" x14ac:dyDescent="0.25">
      <c r="A2357" t="s">
        <v>277</v>
      </c>
      <c r="B2357" t="s">
        <v>473</v>
      </c>
      <c r="C2357">
        <v>7869</v>
      </c>
      <c r="D2357">
        <v>-35.007582999999997</v>
      </c>
      <c r="E2357">
        <v>138.67875000000001</v>
      </c>
      <c r="F2357">
        <v>2</v>
      </c>
      <c r="G2357" t="s">
        <v>940</v>
      </c>
      <c r="H2357">
        <v>92</v>
      </c>
      <c r="I2357">
        <v>272</v>
      </c>
      <c r="J2357">
        <v>279</v>
      </c>
      <c r="K2357">
        <v>99</v>
      </c>
      <c r="T2357">
        <v>70</v>
      </c>
      <c r="Y2357">
        <v>55</v>
      </c>
      <c r="AX2357">
        <v>70</v>
      </c>
      <c r="AY2357">
        <v>55</v>
      </c>
      <c r="AZ2357">
        <v>125</v>
      </c>
      <c r="BA2357">
        <v>55</v>
      </c>
      <c r="BB2357">
        <v>70</v>
      </c>
      <c r="BC2357">
        <v>125</v>
      </c>
      <c r="BP2357">
        <v>62</v>
      </c>
      <c r="BR2357">
        <v>37</v>
      </c>
      <c r="BS2357">
        <v>17</v>
      </c>
      <c r="BT2357">
        <v>7</v>
      </c>
      <c r="BU2357">
        <v>0</v>
      </c>
      <c r="BV2357">
        <v>2</v>
      </c>
      <c r="BW2357">
        <v>125</v>
      </c>
      <c r="CA2357" s="7">
        <v>45242</v>
      </c>
      <c r="CE2357">
        <v>67</v>
      </c>
      <c r="CF2357">
        <v>35</v>
      </c>
      <c r="CG2357">
        <v>23</v>
      </c>
      <c r="CI2357">
        <f t="shared" si="234"/>
        <v>2023</v>
      </c>
      <c r="CJ2357" t="str">
        <f t="shared" si="235"/>
        <v>7869_2023</v>
      </c>
    </row>
    <row r="2358" spans="1:88" x14ac:dyDescent="0.25">
      <c r="A2358" t="s">
        <v>79</v>
      </c>
      <c r="B2358" t="s">
        <v>941</v>
      </c>
      <c r="C2358">
        <v>7873</v>
      </c>
      <c r="D2358">
        <v>-36.070306000000002</v>
      </c>
      <c r="E2358">
        <v>146.92119400000001</v>
      </c>
      <c r="F2358">
        <v>4</v>
      </c>
      <c r="G2358" t="s">
        <v>942</v>
      </c>
      <c r="H2358">
        <v>53</v>
      </c>
      <c r="I2358">
        <v>233</v>
      </c>
      <c r="J2358">
        <v>120</v>
      </c>
      <c r="K2358">
        <v>300</v>
      </c>
      <c r="L2358">
        <v>253</v>
      </c>
      <c r="M2358">
        <v>73</v>
      </c>
      <c r="N2358">
        <v>285</v>
      </c>
      <c r="O2358">
        <v>105</v>
      </c>
      <c r="T2358">
        <v>1</v>
      </c>
      <c r="U2358">
        <v>43</v>
      </c>
      <c r="V2358">
        <v>6</v>
      </c>
      <c r="Y2358">
        <v>4</v>
      </c>
      <c r="Z2358">
        <v>4</v>
      </c>
      <c r="AA2358">
        <v>0</v>
      </c>
      <c r="AD2358">
        <v>67</v>
      </c>
      <c r="AE2358">
        <v>3</v>
      </c>
      <c r="AF2358">
        <v>1</v>
      </c>
      <c r="AI2358">
        <v>4</v>
      </c>
      <c r="AJ2358">
        <v>1</v>
      </c>
      <c r="AK2358">
        <v>0</v>
      </c>
      <c r="AX2358">
        <v>50</v>
      </c>
      <c r="AY2358">
        <v>75</v>
      </c>
      <c r="AZ2358">
        <v>125</v>
      </c>
      <c r="BA2358">
        <v>8</v>
      </c>
      <c r="BB2358">
        <v>5</v>
      </c>
      <c r="BC2358">
        <v>13</v>
      </c>
      <c r="BD2358">
        <v>71</v>
      </c>
      <c r="BE2358">
        <v>47</v>
      </c>
      <c r="BF2358">
        <v>118</v>
      </c>
      <c r="BG2358">
        <v>5</v>
      </c>
      <c r="BH2358">
        <v>7</v>
      </c>
      <c r="BI2358">
        <v>12</v>
      </c>
      <c r="BP2358">
        <v>78</v>
      </c>
      <c r="BR2358">
        <v>26</v>
      </c>
      <c r="BS2358">
        <v>6</v>
      </c>
      <c r="BT2358">
        <v>7</v>
      </c>
      <c r="BU2358">
        <v>7</v>
      </c>
      <c r="BV2358">
        <v>10</v>
      </c>
      <c r="BW2358">
        <v>134</v>
      </c>
      <c r="CA2358" s="7">
        <v>45242</v>
      </c>
      <c r="CE2358">
        <v>40</v>
      </c>
      <c r="CF2358">
        <v>57</v>
      </c>
      <c r="CG2358">
        <v>37</v>
      </c>
      <c r="CI2358">
        <f t="shared" si="234"/>
        <v>2023</v>
      </c>
      <c r="CJ2358" t="str">
        <f t="shared" si="235"/>
        <v>7873_2023</v>
      </c>
    </row>
    <row r="2359" spans="1:88" x14ac:dyDescent="0.25">
      <c r="A2359" t="s">
        <v>79</v>
      </c>
      <c r="B2359" t="s">
        <v>941</v>
      </c>
      <c r="C2359">
        <v>7874</v>
      </c>
      <c r="D2359">
        <v>-36.083610999999998</v>
      </c>
      <c r="E2359">
        <v>146.90727799999999</v>
      </c>
      <c r="F2359">
        <v>3</v>
      </c>
      <c r="G2359" t="s">
        <v>943</v>
      </c>
      <c r="H2359">
        <v>53</v>
      </c>
      <c r="I2359">
        <v>233</v>
      </c>
      <c r="J2359">
        <v>152</v>
      </c>
      <c r="K2359">
        <v>332</v>
      </c>
      <c r="L2359">
        <v>314</v>
      </c>
      <c r="M2359">
        <v>134</v>
      </c>
      <c r="T2359">
        <v>66</v>
      </c>
      <c r="U2359">
        <v>27</v>
      </c>
      <c r="Y2359">
        <v>43</v>
      </c>
      <c r="Z2359">
        <v>29</v>
      </c>
      <c r="AD2359">
        <v>23</v>
      </c>
      <c r="AE2359">
        <v>37</v>
      </c>
      <c r="AX2359">
        <v>93</v>
      </c>
      <c r="AY2359">
        <v>66</v>
      </c>
      <c r="AZ2359">
        <v>159</v>
      </c>
      <c r="BA2359">
        <v>72</v>
      </c>
      <c r="BB2359">
        <v>103</v>
      </c>
      <c r="BC2359">
        <v>175</v>
      </c>
      <c r="BD2359">
        <v>60</v>
      </c>
      <c r="BE2359">
        <v>56</v>
      </c>
      <c r="BF2359">
        <v>116</v>
      </c>
      <c r="BP2359">
        <v>82</v>
      </c>
      <c r="BR2359">
        <v>97</v>
      </c>
      <c r="BS2359">
        <v>8</v>
      </c>
      <c r="BT2359">
        <v>32</v>
      </c>
      <c r="BU2359">
        <v>2</v>
      </c>
      <c r="BV2359">
        <v>4</v>
      </c>
      <c r="BW2359">
        <v>225</v>
      </c>
      <c r="CA2359" s="7">
        <v>45249</v>
      </c>
      <c r="CE2359">
        <v>67</v>
      </c>
      <c r="CF2359">
        <v>111</v>
      </c>
      <c r="CG2359">
        <v>47</v>
      </c>
      <c r="CI2359">
        <f t="shared" si="234"/>
        <v>2023</v>
      </c>
      <c r="CJ2359" t="str">
        <f t="shared" si="235"/>
        <v>7874_2023</v>
      </c>
    </row>
    <row r="2360" spans="1:88" x14ac:dyDescent="0.25">
      <c r="A2360" t="s">
        <v>79</v>
      </c>
      <c r="B2360" t="s">
        <v>941</v>
      </c>
      <c r="C2360">
        <v>7875</v>
      </c>
      <c r="D2360">
        <v>-36.076428999999997</v>
      </c>
      <c r="E2360">
        <v>146.92825999999999</v>
      </c>
      <c r="F2360">
        <v>2</v>
      </c>
      <c r="G2360" t="s">
        <v>944</v>
      </c>
      <c r="H2360">
        <v>20</v>
      </c>
      <c r="I2360">
        <v>200</v>
      </c>
      <c r="J2360">
        <v>210</v>
      </c>
      <c r="K2360">
        <v>30</v>
      </c>
      <c r="T2360">
        <v>77</v>
      </c>
      <c r="Y2360">
        <v>54</v>
      </c>
      <c r="AX2360">
        <v>77</v>
      </c>
      <c r="AY2360">
        <v>54</v>
      </c>
      <c r="AZ2360">
        <v>131</v>
      </c>
      <c r="BA2360">
        <v>54</v>
      </c>
      <c r="BB2360">
        <v>77</v>
      </c>
      <c r="BC2360">
        <v>131</v>
      </c>
      <c r="BP2360">
        <v>66</v>
      </c>
      <c r="BR2360">
        <v>41</v>
      </c>
      <c r="BS2360">
        <v>3</v>
      </c>
      <c r="BT2360">
        <v>17</v>
      </c>
      <c r="BU2360">
        <v>0</v>
      </c>
      <c r="BV2360">
        <v>4</v>
      </c>
      <c r="BW2360">
        <v>131</v>
      </c>
      <c r="CA2360" s="7">
        <v>45242</v>
      </c>
      <c r="CE2360">
        <v>57</v>
      </c>
      <c r="CF2360">
        <v>46</v>
      </c>
      <c r="CG2360">
        <v>28</v>
      </c>
      <c r="CI2360">
        <f t="shared" si="234"/>
        <v>2023</v>
      </c>
      <c r="CJ2360" t="str">
        <f t="shared" si="235"/>
        <v>7875_2023</v>
      </c>
    </row>
    <row r="2361" spans="1:88" x14ac:dyDescent="0.25">
      <c r="A2361" t="s">
        <v>111</v>
      </c>
      <c r="B2361" t="s">
        <v>112</v>
      </c>
      <c r="C2361">
        <v>4137</v>
      </c>
      <c r="D2361">
        <v>-37.750163999999998</v>
      </c>
      <c r="E2361">
        <v>145.09272799999999</v>
      </c>
      <c r="F2361">
        <v>3</v>
      </c>
      <c r="G2361" t="s">
        <v>113</v>
      </c>
      <c r="H2361">
        <v>120</v>
      </c>
      <c r="I2361">
        <v>300</v>
      </c>
      <c r="J2361">
        <v>292</v>
      </c>
      <c r="K2361">
        <v>112</v>
      </c>
      <c r="L2361">
        <v>320</v>
      </c>
      <c r="M2361">
        <v>140</v>
      </c>
      <c r="U2361">
        <v>241</v>
      </c>
      <c r="V2361">
        <v>13</v>
      </c>
      <c r="AD2361">
        <v>216</v>
      </c>
      <c r="AF2361">
        <v>25</v>
      </c>
      <c r="AI2361">
        <v>18</v>
      </c>
      <c r="AK2361">
        <v>48</v>
      </c>
      <c r="AX2361">
        <v>254</v>
      </c>
      <c r="AY2361">
        <v>234</v>
      </c>
      <c r="AZ2361">
        <v>488</v>
      </c>
      <c r="BD2361">
        <v>241</v>
      </c>
      <c r="BE2361">
        <v>289</v>
      </c>
      <c r="BF2361">
        <v>530</v>
      </c>
      <c r="BG2361">
        <v>66</v>
      </c>
      <c r="BH2361">
        <v>38</v>
      </c>
      <c r="BI2361">
        <v>104</v>
      </c>
      <c r="BP2361">
        <v>275</v>
      </c>
      <c r="BR2361">
        <v>100</v>
      </c>
      <c r="BS2361">
        <v>126</v>
      </c>
      <c r="BT2361">
        <v>59</v>
      </c>
      <c r="BU2361">
        <v>1</v>
      </c>
      <c r="BV2361">
        <v>0</v>
      </c>
      <c r="BW2361">
        <v>561</v>
      </c>
      <c r="BX2361">
        <v>459</v>
      </c>
      <c r="BY2361">
        <v>0.22220000000000001</v>
      </c>
      <c r="BZ2361" s="6">
        <v>0.22</v>
      </c>
      <c r="CA2361" s="7">
        <v>45242</v>
      </c>
      <c r="CE2361">
        <v>217</v>
      </c>
      <c r="CF2361">
        <v>164</v>
      </c>
      <c r="CG2361">
        <v>180</v>
      </c>
      <c r="CI2361">
        <f t="shared" si="234"/>
        <v>2023</v>
      </c>
      <c r="CJ2361" t="str">
        <f t="shared" si="235"/>
        <v>4137_2023</v>
      </c>
    </row>
    <row r="2362" spans="1:88" x14ac:dyDescent="0.25">
      <c r="A2362" t="s">
        <v>111</v>
      </c>
      <c r="B2362" t="s">
        <v>112</v>
      </c>
      <c r="C2362">
        <v>7724</v>
      </c>
      <c r="D2362">
        <v>-37.779007</v>
      </c>
      <c r="E2362">
        <v>145.03671</v>
      </c>
      <c r="F2362">
        <v>3</v>
      </c>
      <c r="G2362" t="s">
        <v>924</v>
      </c>
      <c r="H2362">
        <v>5</v>
      </c>
      <c r="I2362">
        <v>185</v>
      </c>
      <c r="J2362">
        <v>112</v>
      </c>
      <c r="K2362">
        <v>292</v>
      </c>
      <c r="L2362">
        <v>292</v>
      </c>
      <c r="M2362">
        <v>112</v>
      </c>
      <c r="T2362">
        <v>61</v>
      </c>
      <c r="U2362">
        <v>59</v>
      </c>
      <c r="Y2362">
        <v>85</v>
      </c>
      <c r="Z2362">
        <v>219</v>
      </c>
      <c r="AD2362">
        <v>51</v>
      </c>
      <c r="AE2362">
        <v>207</v>
      </c>
      <c r="AX2362">
        <v>120</v>
      </c>
      <c r="AY2362">
        <v>136</v>
      </c>
      <c r="AZ2362">
        <v>256</v>
      </c>
      <c r="BA2362">
        <v>304</v>
      </c>
      <c r="BB2362">
        <v>268</v>
      </c>
      <c r="BC2362">
        <v>572</v>
      </c>
      <c r="BD2362">
        <v>258</v>
      </c>
      <c r="BE2362">
        <v>278</v>
      </c>
      <c r="BF2362">
        <v>536</v>
      </c>
      <c r="BP2362">
        <v>239</v>
      </c>
      <c r="BR2362">
        <v>231</v>
      </c>
      <c r="BS2362">
        <v>145</v>
      </c>
      <c r="BT2362">
        <v>65</v>
      </c>
      <c r="BU2362">
        <v>0</v>
      </c>
      <c r="BV2362">
        <v>2</v>
      </c>
      <c r="BW2362">
        <v>682</v>
      </c>
      <c r="BX2362">
        <v>581</v>
      </c>
      <c r="BY2362">
        <v>0.17380000000000001</v>
      </c>
      <c r="BZ2362" s="6">
        <v>0.17</v>
      </c>
      <c r="CA2362" s="7">
        <v>45242</v>
      </c>
      <c r="CE2362">
        <v>246</v>
      </c>
      <c r="CF2362">
        <v>228</v>
      </c>
      <c r="CG2362">
        <v>208</v>
      </c>
      <c r="CI2362">
        <f t="shared" si="234"/>
        <v>2023</v>
      </c>
      <c r="CJ2362" t="str">
        <f t="shared" si="235"/>
        <v>7724_2023</v>
      </c>
    </row>
    <row r="2363" spans="1:88" x14ac:dyDescent="0.25">
      <c r="A2363" t="s">
        <v>111</v>
      </c>
      <c r="B2363" t="s">
        <v>112</v>
      </c>
      <c r="C2363">
        <v>7725</v>
      </c>
      <c r="D2363">
        <v>-37.753884999999997</v>
      </c>
      <c r="E2363">
        <v>145.03148999999999</v>
      </c>
      <c r="F2363">
        <v>3</v>
      </c>
      <c r="G2363" t="s">
        <v>925</v>
      </c>
      <c r="H2363">
        <v>23</v>
      </c>
      <c r="I2363">
        <v>203</v>
      </c>
      <c r="J2363">
        <v>169</v>
      </c>
      <c r="K2363">
        <v>349</v>
      </c>
      <c r="L2363">
        <v>210</v>
      </c>
      <c r="M2363">
        <v>30</v>
      </c>
      <c r="T2363">
        <v>15</v>
      </c>
      <c r="U2363">
        <v>115</v>
      </c>
      <c r="Y2363">
        <v>14</v>
      </c>
      <c r="Z2363">
        <v>58</v>
      </c>
      <c r="AD2363">
        <v>125</v>
      </c>
      <c r="AE2363">
        <v>38</v>
      </c>
      <c r="AX2363">
        <v>130</v>
      </c>
      <c r="AY2363">
        <v>139</v>
      </c>
      <c r="AZ2363">
        <v>269</v>
      </c>
      <c r="BA2363">
        <v>72</v>
      </c>
      <c r="BB2363">
        <v>53</v>
      </c>
      <c r="BC2363">
        <v>125</v>
      </c>
      <c r="BD2363">
        <v>163</v>
      </c>
      <c r="BE2363">
        <v>173</v>
      </c>
      <c r="BF2363">
        <v>336</v>
      </c>
      <c r="BP2363">
        <v>203</v>
      </c>
      <c r="BR2363">
        <v>87</v>
      </c>
      <c r="BS2363">
        <v>46</v>
      </c>
      <c r="BT2363">
        <v>29</v>
      </c>
      <c r="BU2363">
        <v>0</v>
      </c>
      <c r="BV2363">
        <v>0</v>
      </c>
      <c r="BW2363">
        <v>365</v>
      </c>
      <c r="BX2363">
        <v>421</v>
      </c>
      <c r="BY2363">
        <v>-0.13300000000000001</v>
      </c>
      <c r="BZ2363" s="6">
        <v>-0.13</v>
      </c>
      <c r="CA2363" s="7">
        <v>45242</v>
      </c>
      <c r="CE2363">
        <v>121</v>
      </c>
      <c r="CF2363">
        <v>107</v>
      </c>
      <c r="CG2363">
        <v>137</v>
      </c>
      <c r="CI2363">
        <f t="shared" si="234"/>
        <v>2023</v>
      </c>
      <c r="CJ2363" t="str">
        <f t="shared" si="235"/>
        <v>7725_2023</v>
      </c>
    </row>
    <row r="2364" spans="1:88" x14ac:dyDescent="0.25">
      <c r="A2364" t="s">
        <v>111</v>
      </c>
      <c r="B2364" t="s">
        <v>112</v>
      </c>
      <c r="C2364">
        <v>7726</v>
      </c>
      <c r="D2364">
        <v>-37.740478000000003</v>
      </c>
      <c r="E2364">
        <v>145.03325000000001</v>
      </c>
      <c r="F2364">
        <v>3</v>
      </c>
      <c r="G2364" t="s">
        <v>926</v>
      </c>
      <c r="H2364">
        <v>30</v>
      </c>
      <c r="I2364">
        <v>210</v>
      </c>
      <c r="J2364">
        <v>102</v>
      </c>
      <c r="K2364">
        <v>282</v>
      </c>
      <c r="L2364">
        <v>240</v>
      </c>
      <c r="M2364">
        <v>60</v>
      </c>
      <c r="T2364">
        <v>20</v>
      </c>
      <c r="U2364">
        <v>122</v>
      </c>
      <c r="Y2364">
        <v>10</v>
      </c>
      <c r="Z2364">
        <v>5</v>
      </c>
      <c r="AD2364">
        <v>134</v>
      </c>
      <c r="AE2364">
        <v>7</v>
      </c>
      <c r="AX2364">
        <v>142</v>
      </c>
      <c r="AY2364">
        <v>144</v>
      </c>
      <c r="AZ2364">
        <v>286</v>
      </c>
      <c r="BA2364">
        <v>15</v>
      </c>
      <c r="BB2364">
        <v>27</v>
      </c>
      <c r="BC2364">
        <v>42</v>
      </c>
      <c r="BD2364">
        <v>141</v>
      </c>
      <c r="BE2364">
        <v>127</v>
      </c>
      <c r="BF2364">
        <v>268</v>
      </c>
      <c r="BP2364">
        <v>187</v>
      </c>
      <c r="BR2364">
        <v>58</v>
      </c>
      <c r="BS2364">
        <v>40</v>
      </c>
      <c r="BT2364">
        <v>11</v>
      </c>
      <c r="BU2364">
        <v>2</v>
      </c>
      <c r="BV2364">
        <v>0</v>
      </c>
      <c r="BW2364">
        <v>298</v>
      </c>
      <c r="BX2364">
        <v>150</v>
      </c>
      <c r="BY2364">
        <v>0.98670000000000002</v>
      </c>
      <c r="BZ2364" s="6">
        <v>0.99</v>
      </c>
      <c r="CA2364" s="7">
        <v>45242</v>
      </c>
      <c r="CE2364">
        <v>92</v>
      </c>
      <c r="CF2364">
        <v>112</v>
      </c>
      <c r="CG2364">
        <v>94</v>
      </c>
      <c r="CI2364">
        <f t="shared" si="234"/>
        <v>2023</v>
      </c>
      <c r="CJ2364" t="str">
        <f t="shared" si="235"/>
        <v>7726_2023</v>
      </c>
    </row>
    <row r="2365" spans="1:88" x14ac:dyDescent="0.25">
      <c r="A2365" t="s">
        <v>111</v>
      </c>
      <c r="B2365" t="s">
        <v>112</v>
      </c>
      <c r="C2365">
        <v>7727</v>
      </c>
      <c r="D2365">
        <v>-37.767488</v>
      </c>
      <c r="E2365">
        <v>145.03818999999999</v>
      </c>
      <c r="F2365">
        <v>3</v>
      </c>
      <c r="G2365" t="s">
        <v>927</v>
      </c>
      <c r="H2365">
        <v>97</v>
      </c>
      <c r="I2365">
        <v>277</v>
      </c>
      <c r="J2365">
        <v>193</v>
      </c>
      <c r="K2365">
        <v>13</v>
      </c>
      <c r="L2365">
        <v>277</v>
      </c>
      <c r="M2365">
        <v>97</v>
      </c>
      <c r="T2365">
        <v>79</v>
      </c>
      <c r="U2365">
        <v>56</v>
      </c>
      <c r="Y2365">
        <v>68</v>
      </c>
      <c r="Z2365">
        <v>7</v>
      </c>
      <c r="AD2365">
        <v>49</v>
      </c>
      <c r="AE2365">
        <v>12</v>
      </c>
      <c r="AX2365">
        <v>135</v>
      </c>
      <c r="AY2365">
        <v>117</v>
      </c>
      <c r="AZ2365">
        <v>252</v>
      </c>
      <c r="BA2365">
        <v>75</v>
      </c>
      <c r="BB2365">
        <v>91</v>
      </c>
      <c r="BC2365">
        <v>166</v>
      </c>
      <c r="BD2365">
        <v>61</v>
      </c>
      <c r="BE2365">
        <v>63</v>
      </c>
      <c r="BF2365">
        <v>124</v>
      </c>
      <c r="BP2365">
        <v>59</v>
      </c>
      <c r="BR2365">
        <v>138</v>
      </c>
      <c r="BS2365">
        <v>15</v>
      </c>
      <c r="BT2365">
        <v>49</v>
      </c>
      <c r="BU2365">
        <v>10</v>
      </c>
      <c r="BV2365">
        <v>0</v>
      </c>
      <c r="BW2365">
        <v>271</v>
      </c>
      <c r="BX2365">
        <v>300</v>
      </c>
      <c r="BY2365">
        <v>-9.6699999999999994E-2</v>
      </c>
      <c r="BZ2365" s="6">
        <v>-0.1</v>
      </c>
      <c r="CA2365" s="7">
        <v>45242</v>
      </c>
      <c r="CE2365">
        <v>94</v>
      </c>
      <c r="CF2365">
        <v>81</v>
      </c>
      <c r="CG2365">
        <v>96</v>
      </c>
      <c r="CI2365">
        <f t="shared" si="234"/>
        <v>2023</v>
      </c>
      <c r="CJ2365" t="str">
        <f t="shared" si="235"/>
        <v>7727_2023</v>
      </c>
    </row>
    <row r="2366" spans="1:88" x14ac:dyDescent="0.25">
      <c r="A2366" t="s">
        <v>111</v>
      </c>
      <c r="B2366" t="s">
        <v>112</v>
      </c>
      <c r="C2366">
        <v>7729</v>
      </c>
      <c r="D2366">
        <v>-37.699120999999998</v>
      </c>
      <c r="E2366">
        <v>145.10301999999999</v>
      </c>
      <c r="F2366">
        <v>4</v>
      </c>
      <c r="G2366" t="s">
        <v>929</v>
      </c>
      <c r="H2366">
        <v>81</v>
      </c>
      <c r="I2366">
        <v>261</v>
      </c>
      <c r="J2366">
        <v>185</v>
      </c>
      <c r="K2366">
        <v>5</v>
      </c>
      <c r="L2366">
        <v>297</v>
      </c>
      <c r="M2366">
        <v>117</v>
      </c>
      <c r="N2366">
        <v>354</v>
      </c>
      <c r="O2366">
        <v>174</v>
      </c>
      <c r="T2366">
        <v>29</v>
      </c>
      <c r="U2366">
        <v>63</v>
      </c>
      <c r="V2366">
        <v>0</v>
      </c>
      <c r="Y2366">
        <v>9</v>
      </c>
      <c r="Z2366">
        <v>39</v>
      </c>
      <c r="AA2366">
        <v>4</v>
      </c>
      <c r="AD2366">
        <v>62</v>
      </c>
      <c r="AE2366">
        <v>25</v>
      </c>
      <c r="AF2366">
        <v>0</v>
      </c>
      <c r="AI2366">
        <v>4</v>
      </c>
      <c r="AJ2366">
        <v>0</v>
      </c>
      <c r="AK2366">
        <v>0</v>
      </c>
      <c r="AX2366">
        <v>92</v>
      </c>
      <c r="AY2366">
        <v>75</v>
      </c>
      <c r="AZ2366">
        <v>167</v>
      </c>
      <c r="BA2366">
        <v>52</v>
      </c>
      <c r="BB2366">
        <v>54</v>
      </c>
      <c r="BC2366">
        <v>106</v>
      </c>
      <c r="BD2366">
        <v>87</v>
      </c>
      <c r="BE2366">
        <v>102</v>
      </c>
      <c r="BF2366">
        <v>189</v>
      </c>
      <c r="BG2366">
        <v>4</v>
      </c>
      <c r="BH2366">
        <v>4</v>
      </c>
      <c r="BI2366">
        <v>8</v>
      </c>
      <c r="BP2366">
        <v>39</v>
      </c>
      <c r="BR2366">
        <v>129</v>
      </c>
      <c r="BS2366">
        <v>25</v>
      </c>
      <c r="BT2366">
        <v>29</v>
      </c>
      <c r="BU2366">
        <v>13</v>
      </c>
      <c r="BV2366">
        <v>0</v>
      </c>
      <c r="BW2366">
        <v>235</v>
      </c>
      <c r="BX2366">
        <v>283</v>
      </c>
      <c r="BY2366">
        <v>-0.1696</v>
      </c>
      <c r="BZ2366" s="6">
        <v>-0.17</v>
      </c>
      <c r="CA2366" s="7">
        <v>45242</v>
      </c>
      <c r="CE2366">
        <v>92</v>
      </c>
      <c r="CF2366">
        <v>83</v>
      </c>
      <c r="CG2366">
        <v>60</v>
      </c>
      <c r="CI2366">
        <f t="shared" si="234"/>
        <v>2023</v>
      </c>
      <c r="CJ2366" t="str">
        <f t="shared" si="235"/>
        <v>7729_2023</v>
      </c>
    </row>
    <row r="2367" spans="1:88" x14ac:dyDescent="0.25">
      <c r="A2367" t="s">
        <v>111</v>
      </c>
      <c r="B2367" t="s">
        <v>112</v>
      </c>
      <c r="C2367">
        <v>7730</v>
      </c>
      <c r="D2367">
        <v>-37.714705000000002</v>
      </c>
      <c r="E2367">
        <v>145.11212</v>
      </c>
      <c r="F2367">
        <v>3</v>
      </c>
      <c r="G2367" t="s">
        <v>930</v>
      </c>
      <c r="H2367">
        <v>27</v>
      </c>
      <c r="I2367">
        <v>207</v>
      </c>
      <c r="J2367">
        <v>180</v>
      </c>
      <c r="K2367">
        <v>360</v>
      </c>
      <c r="L2367">
        <v>234</v>
      </c>
      <c r="M2367">
        <v>54</v>
      </c>
      <c r="T2367">
        <v>75</v>
      </c>
      <c r="U2367">
        <v>21</v>
      </c>
      <c r="Y2367">
        <v>56</v>
      </c>
      <c r="Z2367">
        <v>1</v>
      </c>
      <c r="AD2367">
        <v>28</v>
      </c>
      <c r="AE2367">
        <v>6</v>
      </c>
      <c r="AX2367">
        <v>96</v>
      </c>
      <c r="AY2367">
        <v>84</v>
      </c>
      <c r="AZ2367">
        <v>180</v>
      </c>
      <c r="BA2367">
        <v>57</v>
      </c>
      <c r="BB2367">
        <v>81</v>
      </c>
      <c r="BC2367">
        <v>138</v>
      </c>
      <c r="BD2367">
        <v>34</v>
      </c>
      <c r="BE2367">
        <v>22</v>
      </c>
      <c r="BF2367">
        <v>56</v>
      </c>
      <c r="BP2367">
        <v>36</v>
      </c>
      <c r="BR2367">
        <v>92</v>
      </c>
      <c r="BS2367">
        <v>26</v>
      </c>
      <c r="BT2367">
        <v>30</v>
      </c>
      <c r="BU2367">
        <v>0</v>
      </c>
      <c r="BV2367">
        <v>3</v>
      </c>
      <c r="BW2367">
        <v>187</v>
      </c>
      <c r="BX2367">
        <v>218</v>
      </c>
      <c r="BY2367">
        <v>-0.14219999999999999</v>
      </c>
      <c r="BZ2367" s="6">
        <v>-0.14000000000000001</v>
      </c>
      <c r="CA2367" s="7">
        <v>45242</v>
      </c>
      <c r="CE2367">
        <v>64</v>
      </c>
      <c r="CF2367">
        <v>75</v>
      </c>
      <c r="CG2367">
        <v>48</v>
      </c>
      <c r="CI2367">
        <f t="shared" si="234"/>
        <v>2023</v>
      </c>
      <c r="CJ2367" t="str">
        <f t="shared" si="235"/>
        <v>7730_2023</v>
      </c>
    </row>
    <row r="2368" spans="1:88" x14ac:dyDescent="0.25">
      <c r="A2368" t="s">
        <v>111</v>
      </c>
      <c r="B2368" t="s">
        <v>112</v>
      </c>
      <c r="C2368">
        <v>7731</v>
      </c>
      <c r="D2368">
        <v>-37.736119000000002</v>
      </c>
      <c r="E2368">
        <v>145.06607</v>
      </c>
      <c r="F2368">
        <v>5</v>
      </c>
      <c r="G2368" t="s">
        <v>931</v>
      </c>
      <c r="H2368">
        <v>5</v>
      </c>
      <c r="I2368">
        <v>185</v>
      </c>
      <c r="J2368">
        <v>116</v>
      </c>
      <c r="K2368">
        <v>296</v>
      </c>
      <c r="L2368">
        <v>162</v>
      </c>
      <c r="M2368">
        <v>342</v>
      </c>
      <c r="N2368">
        <v>194</v>
      </c>
      <c r="O2368">
        <v>14</v>
      </c>
      <c r="P2368">
        <v>292</v>
      </c>
      <c r="Q2368">
        <v>112</v>
      </c>
      <c r="T2368">
        <v>14</v>
      </c>
      <c r="U2368">
        <v>34</v>
      </c>
      <c r="V2368">
        <v>86</v>
      </c>
      <c r="W2368">
        <v>22</v>
      </c>
      <c r="Y2368">
        <v>26</v>
      </c>
      <c r="Z2368">
        <v>1</v>
      </c>
      <c r="AA2368">
        <v>3</v>
      </c>
      <c r="AB2368">
        <v>21</v>
      </c>
      <c r="AD2368">
        <v>47</v>
      </c>
      <c r="AE2368">
        <v>1</v>
      </c>
      <c r="AF2368">
        <v>0</v>
      </c>
      <c r="AG2368">
        <v>5</v>
      </c>
      <c r="AI2368">
        <v>89</v>
      </c>
      <c r="AJ2368">
        <v>0</v>
      </c>
      <c r="AK2368">
        <v>0</v>
      </c>
      <c r="AL2368">
        <v>11</v>
      </c>
      <c r="AN2368">
        <v>29</v>
      </c>
      <c r="AO2368">
        <v>14</v>
      </c>
      <c r="AP2368">
        <v>7</v>
      </c>
      <c r="AQ2368">
        <v>16</v>
      </c>
      <c r="AX2368">
        <v>156</v>
      </c>
      <c r="AY2368">
        <v>191</v>
      </c>
      <c r="AZ2368">
        <v>347</v>
      </c>
      <c r="BA2368">
        <v>51</v>
      </c>
      <c r="BB2368">
        <v>29</v>
      </c>
      <c r="BC2368">
        <v>80</v>
      </c>
      <c r="BD2368">
        <v>53</v>
      </c>
      <c r="BE2368">
        <v>42</v>
      </c>
      <c r="BF2368">
        <v>95</v>
      </c>
      <c r="BG2368">
        <v>100</v>
      </c>
      <c r="BH2368">
        <v>105</v>
      </c>
      <c r="BI2368">
        <v>205</v>
      </c>
      <c r="BJ2368">
        <v>66</v>
      </c>
      <c r="BK2368">
        <v>59</v>
      </c>
      <c r="BL2368">
        <v>125</v>
      </c>
      <c r="BP2368">
        <v>24</v>
      </c>
      <c r="BR2368">
        <v>158</v>
      </c>
      <c r="BS2368">
        <v>52</v>
      </c>
      <c r="BT2368">
        <v>192</v>
      </c>
      <c r="BU2368">
        <v>0</v>
      </c>
      <c r="BV2368">
        <v>0</v>
      </c>
      <c r="BW2368">
        <v>426</v>
      </c>
      <c r="BX2368">
        <v>511</v>
      </c>
      <c r="BY2368">
        <v>-0.1663</v>
      </c>
      <c r="BZ2368" s="6">
        <v>-0.17</v>
      </c>
      <c r="CA2368" s="7">
        <v>45242</v>
      </c>
      <c r="CE2368">
        <v>142</v>
      </c>
      <c r="CF2368">
        <v>153</v>
      </c>
      <c r="CG2368">
        <v>131</v>
      </c>
      <c r="CI2368">
        <f t="shared" si="234"/>
        <v>2023</v>
      </c>
      <c r="CJ2368" t="str">
        <f t="shared" si="235"/>
        <v>7731_2023</v>
      </c>
    </row>
    <row r="2369" spans="1:88" x14ac:dyDescent="0.25">
      <c r="A2369" t="s">
        <v>111</v>
      </c>
      <c r="B2369" t="s">
        <v>112</v>
      </c>
      <c r="C2369">
        <v>7732</v>
      </c>
      <c r="D2369">
        <v>-37.703752000000001</v>
      </c>
      <c r="E2369">
        <v>145.06473</v>
      </c>
      <c r="F2369">
        <v>3</v>
      </c>
      <c r="G2369" t="s">
        <v>932</v>
      </c>
      <c r="H2369">
        <v>101</v>
      </c>
      <c r="I2369">
        <v>281</v>
      </c>
      <c r="J2369">
        <v>190</v>
      </c>
      <c r="K2369">
        <v>10</v>
      </c>
      <c r="L2369">
        <v>285</v>
      </c>
      <c r="M2369">
        <v>105</v>
      </c>
      <c r="T2369">
        <v>2</v>
      </c>
      <c r="U2369">
        <v>20</v>
      </c>
      <c r="Y2369">
        <v>1</v>
      </c>
      <c r="Z2369">
        <v>7</v>
      </c>
      <c r="AD2369">
        <v>14</v>
      </c>
      <c r="AE2369">
        <v>4</v>
      </c>
      <c r="AX2369">
        <v>22</v>
      </c>
      <c r="AY2369">
        <v>15</v>
      </c>
      <c r="AZ2369">
        <v>37</v>
      </c>
      <c r="BA2369">
        <v>8</v>
      </c>
      <c r="BB2369">
        <v>6</v>
      </c>
      <c r="BC2369">
        <v>14</v>
      </c>
      <c r="BD2369">
        <v>18</v>
      </c>
      <c r="BE2369">
        <v>27</v>
      </c>
      <c r="BF2369">
        <v>45</v>
      </c>
      <c r="BP2369">
        <v>1</v>
      </c>
      <c r="BR2369">
        <v>24</v>
      </c>
      <c r="BS2369">
        <v>1</v>
      </c>
      <c r="BT2369">
        <v>17</v>
      </c>
      <c r="BU2369">
        <v>5</v>
      </c>
      <c r="BV2369">
        <v>0</v>
      </c>
      <c r="BW2369">
        <v>48</v>
      </c>
      <c r="BX2369">
        <v>125</v>
      </c>
      <c r="BY2369">
        <v>-0.61599999999999999</v>
      </c>
      <c r="BZ2369" s="6">
        <v>-0.62</v>
      </c>
      <c r="CA2369" s="7">
        <v>45242</v>
      </c>
      <c r="CE2369">
        <v>13</v>
      </c>
      <c r="CF2369">
        <v>15</v>
      </c>
      <c r="CG2369">
        <v>20</v>
      </c>
      <c r="CI2369">
        <f t="shared" si="234"/>
        <v>2023</v>
      </c>
      <c r="CJ2369" t="str">
        <f t="shared" si="235"/>
        <v>7732_2023</v>
      </c>
    </row>
    <row r="2370" spans="1:88" x14ac:dyDescent="0.25">
      <c r="A2370" t="s">
        <v>111</v>
      </c>
      <c r="B2370" t="s">
        <v>112</v>
      </c>
      <c r="C2370">
        <v>7734</v>
      </c>
      <c r="D2370">
        <v>-37.73227</v>
      </c>
      <c r="E2370">
        <v>145.134806</v>
      </c>
      <c r="F2370">
        <v>4</v>
      </c>
      <c r="G2370" t="s">
        <v>934</v>
      </c>
      <c r="H2370">
        <v>109</v>
      </c>
      <c r="I2370">
        <v>289</v>
      </c>
      <c r="J2370">
        <v>187</v>
      </c>
      <c r="K2370">
        <v>7</v>
      </c>
      <c r="L2370">
        <v>293</v>
      </c>
      <c r="M2370">
        <v>113</v>
      </c>
      <c r="N2370">
        <v>356</v>
      </c>
      <c r="O2370">
        <v>176</v>
      </c>
      <c r="T2370">
        <v>38</v>
      </c>
      <c r="U2370">
        <v>29</v>
      </c>
      <c r="V2370">
        <v>12</v>
      </c>
      <c r="Y2370">
        <v>28</v>
      </c>
      <c r="Z2370">
        <v>0</v>
      </c>
      <c r="AA2370">
        <v>7</v>
      </c>
      <c r="AD2370">
        <v>31</v>
      </c>
      <c r="AE2370">
        <v>0</v>
      </c>
      <c r="AF2370">
        <v>4</v>
      </c>
      <c r="AI2370">
        <v>13</v>
      </c>
      <c r="AJ2370">
        <v>1</v>
      </c>
      <c r="AK2370">
        <v>7</v>
      </c>
      <c r="AX2370">
        <v>79</v>
      </c>
      <c r="AY2370">
        <v>72</v>
      </c>
      <c r="AZ2370">
        <v>151</v>
      </c>
      <c r="BA2370">
        <v>35</v>
      </c>
      <c r="BB2370">
        <v>39</v>
      </c>
      <c r="BC2370">
        <v>74</v>
      </c>
      <c r="BD2370">
        <v>35</v>
      </c>
      <c r="BE2370">
        <v>36</v>
      </c>
      <c r="BF2370">
        <v>71</v>
      </c>
      <c r="BG2370">
        <v>21</v>
      </c>
      <c r="BH2370">
        <v>23</v>
      </c>
      <c r="BI2370">
        <v>44</v>
      </c>
      <c r="BP2370">
        <v>113</v>
      </c>
      <c r="BR2370">
        <v>44</v>
      </c>
      <c r="BS2370">
        <v>4</v>
      </c>
      <c r="BT2370">
        <v>7</v>
      </c>
      <c r="BU2370">
        <v>0</v>
      </c>
      <c r="BV2370">
        <v>2</v>
      </c>
      <c r="BW2370">
        <v>170</v>
      </c>
      <c r="BX2370">
        <v>111</v>
      </c>
      <c r="BY2370">
        <v>0.53149999999999997</v>
      </c>
      <c r="BZ2370" s="6">
        <v>0.53</v>
      </c>
      <c r="CA2370" s="7">
        <v>45242</v>
      </c>
      <c r="CE2370">
        <v>100</v>
      </c>
      <c r="CF2370">
        <v>37</v>
      </c>
      <c r="CG2370">
        <v>33</v>
      </c>
      <c r="CI2370">
        <f t="shared" si="234"/>
        <v>2023</v>
      </c>
      <c r="CJ2370" t="str">
        <f t="shared" si="235"/>
        <v>7734_2023</v>
      </c>
    </row>
    <row r="2371" spans="1:88" x14ac:dyDescent="0.25">
      <c r="A2371" t="s">
        <v>111</v>
      </c>
      <c r="B2371" t="s">
        <v>112</v>
      </c>
      <c r="C2371">
        <v>7952</v>
      </c>
      <c r="D2371">
        <v>-37.750830999999998</v>
      </c>
      <c r="E2371">
        <v>145.08214899999999</v>
      </c>
      <c r="F2371">
        <v>3</v>
      </c>
      <c r="G2371" t="s">
        <v>945</v>
      </c>
      <c r="H2371">
        <v>15</v>
      </c>
      <c r="I2371">
        <v>195</v>
      </c>
      <c r="J2371">
        <v>80</v>
      </c>
      <c r="K2371">
        <v>260</v>
      </c>
      <c r="L2371">
        <v>190</v>
      </c>
      <c r="M2371">
        <v>10</v>
      </c>
      <c r="T2371">
        <v>13</v>
      </c>
      <c r="U2371">
        <v>134</v>
      </c>
      <c r="Y2371">
        <v>21</v>
      </c>
      <c r="Z2371">
        <v>173</v>
      </c>
      <c r="AD2371">
        <v>131</v>
      </c>
      <c r="AE2371">
        <v>96</v>
      </c>
      <c r="AX2371">
        <v>147</v>
      </c>
      <c r="AY2371">
        <v>152</v>
      </c>
      <c r="AZ2371">
        <v>299</v>
      </c>
      <c r="BA2371">
        <v>194</v>
      </c>
      <c r="BB2371">
        <v>109</v>
      </c>
      <c r="BC2371">
        <v>303</v>
      </c>
      <c r="BD2371">
        <v>227</v>
      </c>
      <c r="BE2371">
        <v>307</v>
      </c>
      <c r="BF2371">
        <v>534</v>
      </c>
      <c r="BP2371">
        <v>262</v>
      </c>
      <c r="BR2371">
        <v>134</v>
      </c>
      <c r="BS2371">
        <v>125</v>
      </c>
      <c r="BT2371">
        <v>38</v>
      </c>
      <c r="BU2371">
        <v>3</v>
      </c>
      <c r="BV2371">
        <v>6</v>
      </c>
      <c r="BW2371">
        <v>568</v>
      </c>
      <c r="CA2371" s="7">
        <v>45242</v>
      </c>
      <c r="CE2371">
        <v>225</v>
      </c>
      <c r="CF2371">
        <v>163</v>
      </c>
      <c r="CG2371">
        <v>180</v>
      </c>
      <c r="CI2371">
        <f t="shared" ref="CI2371:CI2434" si="236">YEAR(CA2371)</f>
        <v>2023</v>
      </c>
      <c r="CJ2371" t="str">
        <f t="shared" ref="CJ2371:CJ2434" si="237">_xlfn.CONCAT(C2371,"_",CI2371)</f>
        <v>7952_2023</v>
      </c>
    </row>
    <row r="2372" spans="1:88" x14ac:dyDescent="0.25">
      <c r="A2372" t="s">
        <v>111</v>
      </c>
      <c r="B2372" t="s">
        <v>112</v>
      </c>
      <c r="C2372">
        <v>7954</v>
      </c>
      <c r="D2372">
        <v>-37.727545999999997</v>
      </c>
      <c r="E2372">
        <v>145.106483</v>
      </c>
      <c r="F2372">
        <v>2</v>
      </c>
      <c r="G2372" t="s">
        <v>946</v>
      </c>
      <c r="H2372">
        <v>142</v>
      </c>
      <c r="I2372">
        <v>322</v>
      </c>
      <c r="J2372">
        <v>355</v>
      </c>
      <c r="K2372">
        <v>175</v>
      </c>
      <c r="T2372">
        <v>105</v>
      </c>
      <c r="Y2372">
        <v>96</v>
      </c>
      <c r="AX2372">
        <v>105</v>
      </c>
      <c r="AY2372">
        <v>96</v>
      </c>
      <c r="AZ2372">
        <v>201</v>
      </c>
      <c r="BA2372">
        <v>96</v>
      </c>
      <c r="BB2372">
        <v>105</v>
      </c>
      <c r="BC2372">
        <v>201</v>
      </c>
      <c r="BP2372">
        <v>31</v>
      </c>
      <c r="BR2372">
        <v>95</v>
      </c>
      <c r="BS2372">
        <v>37</v>
      </c>
      <c r="BT2372">
        <v>38</v>
      </c>
      <c r="BU2372">
        <v>0</v>
      </c>
      <c r="BV2372">
        <v>0</v>
      </c>
      <c r="BW2372">
        <v>201</v>
      </c>
      <c r="CA2372" s="7">
        <v>45242</v>
      </c>
      <c r="CE2372">
        <v>82</v>
      </c>
      <c r="CF2372">
        <v>63</v>
      </c>
      <c r="CG2372">
        <v>56</v>
      </c>
      <c r="CI2372">
        <f t="shared" si="236"/>
        <v>2023</v>
      </c>
      <c r="CJ2372" t="str">
        <f t="shared" si="237"/>
        <v>7954_2023</v>
      </c>
    </row>
    <row r="2373" spans="1:88" x14ac:dyDescent="0.25">
      <c r="A2373" t="s">
        <v>111</v>
      </c>
      <c r="B2373" t="s">
        <v>112</v>
      </c>
      <c r="C2373">
        <v>6344</v>
      </c>
      <c r="D2373">
        <v>-37.755144000000001</v>
      </c>
      <c r="E2373">
        <v>145.07432900000001</v>
      </c>
      <c r="F2373">
        <v>3</v>
      </c>
      <c r="G2373" t="s">
        <v>525</v>
      </c>
      <c r="H2373">
        <v>6</v>
      </c>
      <c r="I2373">
        <v>186</v>
      </c>
      <c r="J2373">
        <v>93</v>
      </c>
      <c r="K2373">
        <v>273</v>
      </c>
      <c r="L2373">
        <v>221</v>
      </c>
      <c r="M2373">
        <v>41</v>
      </c>
      <c r="T2373">
        <v>40</v>
      </c>
      <c r="U2373">
        <v>90</v>
      </c>
      <c r="Y2373">
        <v>67</v>
      </c>
      <c r="Z2373">
        <v>159</v>
      </c>
      <c r="AD2373">
        <v>100</v>
      </c>
      <c r="AE2373">
        <v>143</v>
      </c>
      <c r="AX2373">
        <v>130</v>
      </c>
      <c r="AY2373">
        <v>167</v>
      </c>
      <c r="AZ2373">
        <v>297</v>
      </c>
      <c r="BA2373">
        <v>226</v>
      </c>
      <c r="BB2373">
        <v>183</v>
      </c>
      <c r="BC2373">
        <v>409</v>
      </c>
      <c r="BD2373">
        <v>243</v>
      </c>
      <c r="BE2373">
        <v>249</v>
      </c>
      <c r="BF2373">
        <v>492</v>
      </c>
      <c r="BP2373">
        <v>208</v>
      </c>
      <c r="BR2373">
        <v>244</v>
      </c>
      <c r="BS2373">
        <v>81</v>
      </c>
      <c r="BT2373">
        <v>66</v>
      </c>
      <c r="BU2373">
        <v>0</v>
      </c>
      <c r="BV2373">
        <v>0</v>
      </c>
      <c r="BW2373">
        <v>599</v>
      </c>
      <c r="BX2373">
        <v>503</v>
      </c>
      <c r="BY2373">
        <v>0.19089999999999999</v>
      </c>
      <c r="BZ2373" s="6">
        <v>0.19</v>
      </c>
      <c r="CA2373" s="7">
        <v>45249</v>
      </c>
      <c r="CE2373">
        <v>179</v>
      </c>
      <c r="CF2373">
        <v>211</v>
      </c>
      <c r="CG2373">
        <v>209</v>
      </c>
      <c r="CI2373">
        <f t="shared" si="236"/>
        <v>2023</v>
      </c>
      <c r="CJ2373" t="str">
        <f t="shared" si="237"/>
        <v>6344_2023</v>
      </c>
    </row>
    <row r="2374" spans="1:88" x14ac:dyDescent="0.25">
      <c r="A2374" t="s">
        <v>111</v>
      </c>
      <c r="B2374" t="s">
        <v>112</v>
      </c>
      <c r="C2374">
        <v>7951</v>
      </c>
      <c r="D2374">
        <v>-37.759968999999998</v>
      </c>
      <c r="E2374">
        <v>145.07564400000001</v>
      </c>
      <c r="F2374">
        <v>2</v>
      </c>
      <c r="G2374" t="s">
        <v>947</v>
      </c>
      <c r="H2374">
        <v>90</v>
      </c>
      <c r="I2374">
        <v>270</v>
      </c>
      <c r="J2374">
        <v>270</v>
      </c>
      <c r="K2374">
        <v>90</v>
      </c>
      <c r="T2374">
        <v>266</v>
      </c>
      <c r="Y2374">
        <v>199</v>
      </c>
      <c r="AX2374">
        <v>266</v>
      </c>
      <c r="AY2374">
        <v>199</v>
      </c>
      <c r="AZ2374">
        <v>465</v>
      </c>
      <c r="BA2374">
        <v>199</v>
      </c>
      <c r="BB2374">
        <v>266</v>
      </c>
      <c r="BC2374">
        <v>465</v>
      </c>
      <c r="BP2374">
        <v>249</v>
      </c>
      <c r="BR2374">
        <v>31</v>
      </c>
      <c r="BS2374">
        <v>175</v>
      </c>
      <c r="BT2374">
        <v>10</v>
      </c>
      <c r="BU2374">
        <v>0</v>
      </c>
      <c r="BV2374">
        <v>0</v>
      </c>
      <c r="BW2374">
        <v>465</v>
      </c>
      <c r="CA2374" s="7">
        <v>45249</v>
      </c>
      <c r="CE2374">
        <v>202</v>
      </c>
      <c r="CF2374">
        <v>115</v>
      </c>
      <c r="CG2374">
        <v>148</v>
      </c>
      <c r="CI2374">
        <f t="shared" si="236"/>
        <v>2023</v>
      </c>
      <c r="CJ2374" t="str">
        <f t="shared" si="237"/>
        <v>7951_2023</v>
      </c>
    </row>
    <row r="2375" spans="1:88" x14ac:dyDescent="0.25">
      <c r="A2375" t="s">
        <v>111</v>
      </c>
      <c r="B2375" t="s">
        <v>112</v>
      </c>
      <c r="C2375">
        <v>7953</v>
      </c>
      <c r="D2375">
        <v>-37.719403999999997</v>
      </c>
      <c r="E2375">
        <v>145.09520499999999</v>
      </c>
      <c r="F2375">
        <v>5</v>
      </c>
      <c r="G2375" t="s">
        <v>948</v>
      </c>
      <c r="H2375">
        <v>5</v>
      </c>
      <c r="I2375">
        <v>185</v>
      </c>
      <c r="J2375">
        <v>132</v>
      </c>
      <c r="K2375">
        <v>312</v>
      </c>
      <c r="L2375">
        <v>200</v>
      </c>
      <c r="M2375">
        <v>20</v>
      </c>
      <c r="N2375">
        <v>283</v>
      </c>
      <c r="O2375">
        <v>103</v>
      </c>
      <c r="P2375">
        <v>320</v>
      </c>
      <c r="Q2375">
        <v>140</v>
      </c>
      <c r="T2375">
        <v>0</v>
      </c>
      <c r="U2375">
        <v>0</v>
      </c>
      <c r="V2375">
        <v>2</v>
      </c>
      <c r="W2375">
        <v>2</v>
      </c>
      <c r="Y2375">
        <v>1</v>
      </c>
      <c r="Z2375">
        <v>0</v>
      </c>
      <c r="AA2375">
        <v>1</v>
      </c>
      <c r="AB2375">
        <v>5</v>
      </c>
      <c r="AD2375">
        <v>1</v>
      </c>
      <c r="AE2375">
        <v>0</v>
      </c>
      <c r="AF2375">
        <v>0</v>
      </c>
      <c r="AG2375">
        <v>0</v>
      </c>
      <c r="AI2375">
        <v>0</v>
      </c>
      <c r="AJ2375">
        <v>0</v>
      </c>
      <c r="AK2375">
        <v>0</v>
      </c>
      <c r="AL2375">
        <v>0</v>
      </c>
      <c r="AN2375">
        <v>2</v>
      </c>
      <c r="AO2375">
        <v>11</v>
      </c>
      <c r="AP2375">
        <v>4</v>
      </c>
      <c r="AQ2375">
        <v>3</v>
      </c>
      <c r="AX2375">
        <v>4</v>
      </c>
      <c r="AY2375">
        <v>4</v>
      </c>
      <c r="AZ2375">
        <v>8</v>
      </c>
      <c r="BA2375">
        <v>7</v>
      </c>
      <c r="BB2375">
        <v>11</v>
      </c>
      <c r="BC2375">
        <v>18</v>
      </c>
      <c r="BD2375">
        <v>1</v>
      </c>
      <c r="BE2375">
        <v>4</v>
      </c>
      <c r="BF2375">
        <v>5</v>
      </c>
      <c r="BG2375">
        <v>0</v>
      </c>
      <c r="BH2375">
        <v>6</v>
      </c>
      <c r="BI2375">
        <v>6</v>
      </c>
      <c r="BJ2375">
        <v>20</v>
      </c>
      <c r="BK2375">
        <v>7</v>
      </c>
      <c r="BL2375">
        <v>27</v>
      </c>
      <c r="BP2375">
        <v>1</v>
      </c>
      <c r="BR2375">
        <v>16</v>
      </c>
      <c r="BS2375">
        <v>2</v>
      </c>
      <c r="BT2375">
        <v>10</v>
      </c>
      <c r="BU2375">
        <v>1</v>
      </c>
      <c r="BV2375">
        <v>2</v>
      </c>
      <c r="BW2375">
        <v>32</v>
      </c>
      <c r="CA2375" s="7">
        <v>45263</v>
      </c>
      <c r="CE2375">
        <v>11</v>
      </c>
      <c r="CF2375">
        <v>11</v>
      </c>
      <c r="CG2375">
        <v>10</v>
      </c>
      <c r="CI2375">
        <f t="shared" si="236"/>
        <v>2023</v>
      </c>
      <c r="CJ2375" t="str">
        <f t="shared" si="237"/>
        <v>7953_2023</v>
      </c>
    </row>
    <row r="2376" spans="1:88" x14ac:dyDescent="0.25">
      <c r="A2376" t="s">
        <v>111</v>
      </c>
      <c r="B2376" t="s">
        <v>112</v>
      </c>
      <c r="C2376">
        <v>8012</v>
      </c>
      <c r="D2376">
        <v>-37.693193000000001</v>
      </c>
      <c r="E2376">
        <v>145.10020299999999</v>
      </c>
      <c r="F2376">
        <v>5</v>
      </c>
      <c r="G2376" t="s">
        <v>949</v>
      </c>
      <c r="H2376">
        <v>84</v>
      </c>
      <c r="I2376">
        <v>264</v>
      </c>
      <c r="J2376">
        <v>155</v>
      </c>
      <c r="K2376">
        <v>335</v>
      </c>
      <c r="L2376">
        <v>215</v>
      </c>
      <c r="M2376">
        <v>35</v>
      </c>
      <c r="N2376">
        <v>270</v>
      </c>
      <c r="O2376">
        <v>90</v>
      </c>
      <c r="P2376">
        <v>345</v>
      </c>
      <c r="Q2376">
        <v>165</v>
      </c>
      <c r="T2376">
        <v>1</v>
      </c>
      <c r="U2376">
        <v>2</v>
      </c>
      <c r="V2376">
        <v>0</v>
      </c>
      <c r="W2376">
        <v>0</v>
      </c>
      <c r="Y2376">
        <v>0</v>
      </c>
      <c r="Z2376">
        <v>1</v>
      </c>
      <c r="AA2376">
        <v>0</v>
      </c>
      <c r="AB2376">
        <v>6</v>
      </c>
      <c r="AD2376">
        <v>2</v>
      </c>
      <c r="AE2376">
        <v>2</v>
      </c>
      <c r="AF2376">
        <v>0</v>
      </c>
      <c r="AG2376">
        <v>34</v>
      </c>
      <c r="AI2376">
        <v>1</v>
      </c>
      <c r="AJ2376">
        <v>0</v>
      </c>
      <c r="AK2376">
        <v>2</v>
      </c>
      <c r="AL2376">
        <v>0</v>
      </c>
      <c r="AN2376">
        <v>5</v>
      </c>
      <c r="AO2376">
        <v>1</v>
      </c>
      <c r="AP2376">
        <v>34</v>
      </c>
      <c r="AQ2376">
        <v>0</v>
      </c>
      <c r="AX2376">
        <v>3</v>
      </c>
      <c r="AY2376">
        <v>8</v>
      </c>
      <c r="AZ2376">
        <v>11</v>
      </c>
      <c r="BA2376">
        <v>7</v>
      </c>
      <c r="BB2376">
        <v>4</v>
      </c>
      <c r="BC2376">
        <v>11</v>
      </c>
      <c r="BD2376">
        <v>38</v>
      </c>
      <c r="BE2376">
        <v>39</v>
      </c>
      <c r="BF2376">
        <v>77</v>
      </c>
      <c r="BG2376">
        <v>3</v>
      </c>
      <c r="BH2376">
        <v>0</v>
      </c>
      <c r="BI2376">
        <v>3</v>
      </c>
      <c r="BJ2376">
        <v>40</v>
      </c>
      <c r="BK2376">
        <v>40</v>
      </c>
      <c r="BL2376">
        <v>80</v>
      </c>
      <c r="BP2376">
        <v>20</v>
      </c>
      <c r="BR2376">
        <v>37</v>
      </c>
      <c r="BS2376">
        <v>17</v>
      </c>
      <c r="BT2376">
        <v>8</v>
      </c>
      <c r="BU2376">
        <v>0</v>
      </c>
      <c r="BV2376">
        <v>9</v>
      </c>
      <c r="BW2376">
        <v>91</v>
      </c>
      <c r="BX2376">
        <v>73</v>
      </c>
      <c r="BY2376">
        <v>0.24660000000000001</v>
      </c>
      <c r="BZ2376" s="6">
        <v>0.25</v>
      </c>
      <c r="CA2376" s="7">
        <v>45270</v>
      </c>
      <c r="CE2376">
        <v>17</v>
      </c>
      <c r="CF2376">
        <v>41</v>
      </c>
      <c r="CG2376">
        <v>33</v>
      </c>
      <c r="CI2376">
        <f t="shared" si="236"/>
        <v>2023</v>
      </c>
      <c r="CJ2376" t="str">
        <f t="shared" si="237"/>
        <v>8012_2023</v>
      </c>
    </row>
    <row r="2377" spans="1:88" x14ac:dyDescent="0.25">
      <c r="A2377" t="s">
        <v>111</v>
      </c>
      <c r="B2377" t="s">
        <v>389</v>
      </c>
      <c r="C2377">
        <v>6210</v>
      </c>
      <c r="D2377">
        <v>-38.604165999999999</v>
      </c>
      <c r="E2377">
        <v>145.57851099999999</v>
      </c>
      <c r="F2377">
        <v>4</v>
      </c>
      <c r="G2377" t="s">
        <v>390</v>
      </c>
      <c r="H2377">
        <v>6</v>
      </c>
      <c r="I2377">
        <v>186</v>
      </c>
      <c r="J2377">
        <v>118</v>
      </c>
      <c r="K2377">
        <v>298</v>
      </c>
      <c r="L2377">
        <v>176</v>
      </c>
      <c r="M2377">
        <v>356</v>
      </c>
      <c r="N2377">
        <v>302</v>
      </c>
      <c r="O2377">
        <v>122</v>
      </c>
      <c r="T2377">
        <v>7</v>
      </c>
      <c r="U2377">
        <v>3</v>
      </c>
      <c r="V2377">
        <v>16</v>
      </c>
      <c r="Y2377">
        <v>2</v>
      </c>
      <c r="Z2377">
        <v>8</v>
      </c>
      <c r="AA2377">
        <v>14</v>
      </c>
      <c r="AD2377">
        <v>15</v>
      </c>
      <c r="AE2377">
        <v>3</v>
      </c>
      <c r="AF2377">
        <v>8</v>
      </c>
      <c r="AI2377">
        <v>10</v>
      </c>
      <c r="AJ2377">
        <v>16</v>
      </c>
      <c r="AK2377">
        <v>5</v>
      </c>
      <c r="AX2377">
        <v>26</v>
      </c>
      <c r="AY2377">
        <v>27</v>
      </c>
      <c r="AZ2377">
        <v>53</v>
      </c>
      <c r="BA2377">
        <v>24</v>
      </c>
      <c r="BB2377">
        <v>26</v>
      </c>
      <c r="BC2377">
        <v>50</v>
      </c>
      <c r="BD2377">
        <v>26</v>
      </c>
      <c r="BE2377">
        <v>16</v>
      </c>
      <c r="BF2377">
        <v>42</v>
      </c>
      <c r="BG2377">
        <v>31</v>
      </c>
      <c r="BH2377">
        <v>38</v>
      </c>
      <c r="BI2377">
        <v>69</v>
      </c>
      <c r="BP2377">
        <v>69</v>
      </c>
      <c r="BR2377">
        <v>26</v>
      </c>
      <c r="BS2377">
        <v>1</v>
      </c>
      <c r="BT2377">
        <v>10</v>
      </c>
      <c r="BU2377">
        <v>1</v>
      </c>
      <c r="BV2377">
        <v>0</v>
      </c>
      <c r="BW2377">
        <v>107</v>
      </c>
      <c r="BX2377">
        <v>114</v>
      </c>
      <c r="BY2377">
        <v>-6.1400000000000003E-2</v>
      </c>
      <c r="BZ2377" s="6">
        <v>-0.06</v>
      </c>
      <c r="CA2377" s="7">
        <v>45242</v>
      </c>
      <c r="CE2377">
        <v>28</v>
      </c>
      <c r="CF2377">
        <v>43</v>
      </c>
      <c r="CG2377">
        <v>36</v>
      </c>
      <c r="CI2377">
        <f t="shared" si="236"/>
        <v>2023</v>
      </c>
      <c r="CJ2377" t="str">
        <f t="shared" si="237"/>
        <v>6210_2023</v>
      </c>
    </row>
    <row r="2378" spans="1:88" x14ac:dyDescent="0.25">
      <c r="A2378" t="s">
        <v>111</v>
      </c>
      <c r="B2378" t="s">
        <v>389</v>
      </c>
      <c r="C2378">
        <v>6872</v>
      </c>
      <c r="D2378">
        <v>-38.525641999999998</v>
      </c>
      <c r="E2378">
        <v>145.44779</v>
      </c>
      <c r="F2378">
        <v>4</v>
      </c>
      <c r="G2378" t="s">
        <v>950</v>
      </c>
      <c r="H2378">
        <v>42</v>
      </c>
      <c r="I2378">
        <v>222</v>
      </c>
      <c r="J2378">
        <v>161</v>
      </c>
      <c r="K2378">
        <v>341</v>
      </c>
      <c r="L2378">
        <v>203</v>
      </c>
      <c r="M2378">
        <v>23</v>
      </c>
      <c r="N2378">
        <v>357</v>
      </c>
      <c r="O2378">
        <v>177</v>
      </c>
      <c r="T2378">
        <v>0</v>
      </c>
      <c r="U2378">
        <v>4</v>
      </c>
      <c r="V2378">
        <v>0</v>
      </c>
      <c r="Y2378">
        <v>0</v>
      </c>
      <c r="Z2378">
        <v>9</v>
      </c>
      <c r="AA2378">
        <v>6</v>
      </c>
      <c r="AD2378">
        <v>3</v>
      </c>
      <c r="AE2378">
        <v>38</v>
      </c>
      <c r="AF2378">
        <v>2</v>
      </c>
      <c r="AI2378">
        <v>0</v>
      </c>
      <c r="AJ2378">
        <v>2</v>
      </c>
      <c r="AK2378">
        <v>0</v>
      </c>
      <c r="AX2378">
        <v>4</v>
      </c>
      <c r="AY2378">
        <v>3</v>
      </c>
      <c r="AZ2378">
        <v>7</v>
      </c>
      <c r="BA2378">
        <v>15</v>
      </c>
      <c r="BB2378">
        <v>40</v>
      </c>
      <c r="BC2378">
        <v>55</v>
      </c>
      <c r="BD2378">
        <v>43</v>
      </c>
      <c r="BE2378">
        <v>13</v>
      </c>
      <c r="BF2378">
        <v>56</v>
      </c>
      <c r="BG2378">
        <v>2</v>
      </c>
      <c r="BH2378">
        <v>8</v>
      </c>
      <c r="BI2378">
        <v>10</v>
      </c>
      <c r="BP2378">
        <v>38</v>
      </c>
      <c r="BR2378">
        <v>11</v>
      </c>
      <c r="BS2378">
        <v>1</v>
      </c>
      <c r="BT2378">
        <v>7</v>
      </c>
      <c r="BU2378">
        <v>0</v>
      </c>
      <c r="BV2378">
        <v>7</v>
      </c>
      <c r="BW2378">
        <v>64</v>
      </c>
      <c r="CA2378" s="7">
        <v>45242</v>
      </c>
      <c r="CE2378">
        <v>37</v>
      </c>
      <c r="CF2378">
        <v>10</v>
      </c>
      <c r="CG2378">
        <v>17</v>
      </c>
      <c r="CI2378">
        <f t="shared" si="236"/>
        <v>2023</v>
      </c>
      <c r="CJ2378" t="str">
        <f t="shared" si="237"/>
        <v>6872_2023</v>
      </c>
    </row>
    <row r="2379" spans="1:88" x14ac:dyDescent="0.25">
      <c r="A2379" t="s">
        <v>111</v>
      </c>
      <c r="B2379" t="s">
        <v>389</v>
      </c>
      <c r="C2379">
        <v>6873</v>
      </c>
      <c r="D2379">
        <v>-38.550246000000001</v>
      </c>
      <c r="E2379">
        <v>145.47663399999999</v>
      </c>
      <c r="F2379">
        <v>3</v>
      </c>
      <c r="G2379" t="s">
        <v>951</v>
      </c>
      <c r="H2379">
        <v>42</v>
      </c>
      <c r="I2379">
        <v>222</v>
      </c>
      <c r="J2379">
        <v>134</v>
      </c>
      <c r="K2379">
        <v>314</v>
      </c>
      <c r="L2379">
        <v>310</v>
      </c>
      <c r="M2379">
        <v>130</v>
      </c>
      <c r="T2379">
        <v>49</v>
      </c>
      <c r="U2379">
        <v>15</v>
      </c>
      <c r="Y2379">
        <v>55</v>
      </c>
      <c r="Z2379">
        <v>34</v>
      </c>
      <c r="AD2379">
        <v>15</v>
      </c>
      <c r="AE2379">
        <v>55</v>
      </c>
      <c r="AX2379">
        <v>64</v>
      </c>
      <c r="AY2379">
        <v>70</v>
      </c>
      <c r="AZ2379">
        <v>134</v>
      </c>
      <c r="BA2379">
        <v>89</v>
      </c>
      <c r="BB2379">
        <v>104</v>
      </c>
      <c r="BC2379">
        <v>193</v>
      </c>
      <c r="BD2379">
        <v>70</v>
      </c>
      <c r="BE2379">
        <v>49</v>
      </c>
      <c r="BF2379">
        <v>119</v>
      </c>
      <c r="BP2379">
        <v>72</v>
      </c>
      <c r="BR2379">
        <v>115</v>
      </c>
      <c r="BS2379">
        <v>7</v>
      </c>
      <c r="BT2379">
        <v>27</v>
      </c>
      <c r="BU2379">
        <v>0</v>
      </c>
      <c r="BV2379">
        <v>2</v>
      </c>
      <c r="BW2379">
        <v>223</v>
      </c>
      <c r="CA2379" s="7">
        <v>45242</v>
      </c>
      <c r="CE2379">
        <v>91</v>
      </c>
      <c r="CF2379">
        <v>77</v>
      </c>
      <c r="CG2379">
        <v>55</v>
      </c>
      <c r="CI2379">
        <f t="shared" si="236"/>
        <v>2023</v>
      </c>
      <c r="CJ2379" t="str">
        <f t="shared" si="237"/>
        <v>6873_2023</v>
      </c>
    </row>
    <row r="2380" spans="1:88" x14ac:dyDescent="0.25">
      <c r="A2380" t="s">
        <v>111</v>
      </c>
      <c r="B2380" t="s">
        <v>389</v>
      </c>
      <c r="C2380">
        <v>7122</v>
      </c>
      <c r="D2380">
        <v>-38.514977999999999</v>
      </c>
      <c r="E2380">
        <v>145.34902600000001</v>
      </c>
      <c r="F2380">
        <v>2</v>
      </c>
      <c r="G2380" t="s">
        <v>952</v>
      </c>
      <c r="H2380">
        <v>55</v>
      </c>
      <c r="I2380">
        <v>235</v>
      </c>
      <c r="J2380">
        <v>253</v>
      </c>
      <c r="K2380">
        <v>73</v>
      </c>
      <c r="T2380">
        <v>49</v>
      </c>
      <c r="Y2380">
        <v>41</v>
      </c>
      <c r="AX2380">
        <v>49</v>
      </c>
      <c r="AY2380">
        <v>41</v>
      </c>
      <c r="AZ2380">
        <v>90</v>
      </c>
      <c r="BA2380">
        <v>41</v>
      </c>
      <c r="BB2380">
        <v>49</v>
      </c>
      <c r="BC2380">
        <v>90</v>
      </c>
      <c r="BP2380">
        <v>47</v>
      </c>
      <c r="BR2380">
        <v>21</v>
      </c>
      <c r="BS2380">
        <v>8</v>
      </c>
      <c r="BT2380">
        <v>13</v>
      </c>
      <c r="BU2380">
        <v>1</v>
      </c>
      <c r="BV2380">
        <v>0</v>
      </c>
      <c r="BW2380">
        <v>90</v>
      </c>
      <c r="CA2380" s="7">
        <v>45242</v>
      </c>
      <c r="CE2380">
        <v>32</v>
      </c>
      <c r="CF2380">
        <v>26</v>
      </c>
      <c r="CG2380">
        <v>32</v>
      </c>
      <c r="CI2380">
        <f t="shared" si="236"/>
        <v>2023</v>
      </c>
      <c r="CJ2380" t="str">
        <f t="shared" si="237"/>
        <v>7122_2023</v>
      </c>
    </row>
    <row r="2381" spans="1:88" x14ac:dyDescent="0.25">
      <c r="A2381" t="s">
        <v>111</v>
      </c>
      <c r="B2381" t="s">
        <v>389</v>
      </c>
      <c r="C2381">
        <v>7879</v>
      </c>
      <c r="D2381">
        <v>-38.465715799999998</v>
      </c>
      <c r="E2381">
        <v>145.2388885</v>
      </c>
      <c r="F2381">
        <v>2</v>
      </c>
      <c r="G2381" t="s">
        <v>953</v>
      </c>
      <c r="H2381">
        <v>1</v>
      </c>
      <c r="I2381">
        <v>181</v>
      </c>
      <c r="J2381">
        <v>181</v>
      </c>
      <c r="K2381">
        <v>1</v>
      </c>
      <c r="T2381">
        <v>25</v>
      </c>
      <c r="Y2381">
        <v>27</v>
      </c>
      <c r="AX2381">
        <v>25</v>
      </c>
      <c r="AY2381">
        <v>27</v>
      </c>
      <c r="AZ2381">
        <v>52</v>
      </c>
      <c r="BA2381">
        <v>27</v>
      </c>
      <c r="BB2381">
        <v>25</v>
      </c>
      <c r="BC2381">
        <v>52</v>
      </c>
      <c r="BP2381">
        <v>23</v>
      </c>
      <c r="BR2381">
        <v>23</v>
      </c>
      <c r="BS2381">
        <v>2</v>
      </c>
      <c r="BT2381">
        <v>1</v>
      </c>
      <c r="BU2381">
        <v>3</v>
      </c>
      <c r="BV2381">
        <v>0</v>
      </c>
      <c r="BW2381">
        <v>52</v>
      </c>
      <c r="CA2381" s="7">
        <v>45242</v>
      </c>
      <c r="CE2381">
        <v>16</v>
      </c>
      <c r="CF2381">
        <v>13</v>
      </c>
      <c r="CG2381">
        <v>23</v>
      </c>
      <c r="CI2381">
        <f t="shared" si="236"/>
        <v>2023</v>
      </c>
      <c r="CJ2381" t="str">
        <f t="shared" si="237"/>
        <v>7879_2023</v>
      </c>
    </row>
    <row r="2382" spans="1:88" x14ac:dyDescent="0.25">
      <c r="A2382" t="s">
        <v>111</v>
      </c>
      <c r="B2382" t="s">
        <v>389</v>
      </c>
      <c r="C2382">
        <v>7880</v>
      </c>
      <c r="D2382">
        <v>-38.520893000000001</v>
      </c>
      <c r="E2382">
        <v>145.39058600000001</v>
      </c>
      <c r="F2382">
        <v>2</v>
      </c>
      <c r="G2382" t="s">
        <v>954</v>
      </c>
      <c r="H2382">
        <v>75</v>
      </c>
      <c r="I2382">
        <v>255</v>
      </c>
      <c r="J2382">
        <v>260</v>
      </c>
      <c r="K2382">
        <v>80</v>
      </c>
      <c r="T2382">
        <v>14</v>
      </c>
      <c r="Y2382">
        <v>11</v>
      </c>
      <c r="AX2382">
        <v>14</v>
      </c>
      <c r="AY2382">
        <v>11</v>
      </c>
      <c r="AZ2382">
        <v>25</v>
      </c>
      <c r="BA2382">
        <v>11</v>
      </c>
      <c r="BB2382">
        <v>14</v>
      </c>
      <c r="BC2382">
        <v>25</v>
      </c>
      <c r="BP2382">
        <v>9</v>
      </c>
      <c r="BR2382">
        <v>11</v>
      </c>
      <c r="BS2382">
        <v>3</v>
      </c>
      <c r="BT2382">
        <v>2</v>
      </c>
      <c r="BU2382">
        <v>0</v>
      </c>
      <c r="BV2382">
        <v>0</v>
      </c>
      <c r="BW2382">
        <v>25</v>
      </c>
      <c r="CA2382" s="7">
        <v>45242</v>
      </c>
      <c r="CE2382">
        <v>14</v>
      </c>
      <c r="CF2382">
        <v>5</v>
      </c>
      <c r="CG2382">
        <v>6</v>
      </c>
      <c r="CI2382">
        <f t="shared" si="236"/>
        <v>2023</v>
      </c>
      <c r="CJ2382" t="str">
        <f t="shared" si="237"/>
        <v>7880_2023</v>
      </c>
    </row>
    <row r="2383" spans="1:88" x14ac:dyDescent="0.25">
      <c r="A2383" t="s">
        <v>111</v>
      </c>
      <c r="B2383" t="s">
        <v>389</v>
      </c>
      <c r="C2383">
        <v>7881</v>
      </c>
      <c r="D2383">
        <v>-38.637765000000002</v>
      </c>
      <c r="E2383">
        <v>145.726417</v>
      </c>
      <c r="F2383">
        <v>2</v>
      </c>
      <c r="G2383" t="s">
        <v>955</v>
      </c>
      <c r="H2383">
        <v>22</v>
      </c>
      <c r="I2383">
        <v>202</v>
      </c>
      <c r="J2383">
        <v>202</v>
      </c>
      <c r="K2383">
        <v>22</v>
      </c>
      <c r="T2383">
        <v>223</v>
      </c>
      <c r="Y2383">
        <v>234</v>
      </c>
      <c r="AX2383">
        <v>223</v>
      </c>
      <c r="AY2383">
        <v>234</v>
      </c>
      <c r="AZ2383">
        <v>457</v>
      </c>
      <c r="BA2383">
        <v>234</v>
      </c>
      <c r="BB2383">
        <v>223</v>
      </c>
      <c r="BC2383">
        <v>457</v>
      </c>
      <c r="BP2383">
        <v>111</v>
      </c>
      <c r="BR2383">
        <v>258</v>
      </c>
      <c r="BS2383">
        <v>27</v>
      </c>
      <c r="BT2383">
        <v>50</v>
      </c>
      <c r="BU2383">
        <v>11</v>
      </c>
      <c r="BV2383">
        <v>0</v>
      </c>
      <c r="BW2383">
        <v>457</v>
      </c>
      <c r="CA2383" s="7">
        <v>45242</v>
      </c>
      <c r="CE2383">
        <v>170</v>
      </c>
      <c r="CF2383">
        <v>151</v>
      </c>
      <c r="CG2383">
        <v>136</v>
      </c>
      <c r="CI2383">
        <f t="shared" si="236"/>
        <v>2023</v>
      </c>
      <c r="CJ2383" t="str">
        <f t="shared" si="237"/>
        <v>7881_2023</v>
      </c>
    </row>
    <row r="2384" spans="1:88" x14ac:dyDescent="0.25">
      <c r="A2384" t="s">
        <v>111</v>
      </c>
      <c r="B2384" t="s">
        <v>389</v>
      </c>
      <c r="C2384">
        <v>7882</v>
      </c>
      <c r="D2384">
        <v>-38.418008999999998</v>
      </c>
      <c r="E2384">
        <v>145.45543699999999</v>
      </c>
      <c r="F2384">
        <v>2</v>
      </c>
      <c r="G2384" t="s">
        <v>956</v>
      </c>
      <c r="H2384">
        <v>97</v>
      </c>
      <c r="I2384">
        <v>277</v>
      </c>
      <c r="J2384">
        <v>279</v>
      </c>
      <c r="K2384">
        <v>99</v>
      </c>
      <c r="T2384">
        <v>0</v>
      </c>
      <c r="Y2384">
        <v>3</v>
      </c>
      <c r="AX2384">
        <v>0</v>
      </c>
      <c r="AY2384">
        <v>3</v>
      </c>
      <c r="AZ2384">
        <v>3</v>
      </c>
      <c r="BA2384">
        <v>3</v>
      </c>
      <c r="BB2384">
        <v>0</v>
      </c>
      <c r="BC2384">
        <v>3</v>
      </c>
      <c r="BP2384">
        <v>3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3</v>
      </c>
      <c r="CA2384" s="7">
        <v>45242</v>
      </c>
      <c r="CE2384">
        <v>1</v>
      </c>
      <c r="CF2384">
        <v>0</v>
      </c>
      <c r="CG2384">
        <v>2</v>
      </c>
      <c r="CI2384">
        <f t="shared" si="236"/>
        <v>2023</v>
      </c>
      <c r="CJ2384" t="str">
        <f t="shared" si="237"/>
        <v>7882_2023</v>
      </c>
    </row>
    <row r="2385" spans="1:88" x14ac:dyDescent="0.25">
      <c r="A2385" t="s">
        <v>79</v>
      </c>
      <c r="B2385" t="s">
        <v>957</v>
      </c>
      <c r="C2385">
        <v>7884</v>
      </c>
      <c r="D2385">
        <v>-33.948236000000001</v>
      </c>
      <c r="E2385">
        <v>151.166504</v>
      </c>
      <c r="F2385">
        <v>2</v>
      </c>
      <c r="G2385" t="s">
        <v>958</v>
      </c>
      <c r="H2385">
        <v>158</v>
      </c>
      <c r="I2385">
        <v>338</v>
      </c>
      <c r="J2385">
        <v>335</v>
      </c>
      <c r="K2385">
        <v>155</v>
      </c>
      <c r="T2385">
        <v>195</v>
      </c>
      <c r="Y2385">
        <v>216</v>
      </c>
      <c r="AX2385">
        <v>195</v>
      </c>
      <c r="AY2385">
        <v>216</v>
      </c>
      <c r="AZ2385">
        <v>411</v>
      </c>
      <c r="BA2385">
        <v>216</v>
      </c>
      <c r="BB2385">
        <v>195</v>
      </c>
      <c r="BC2385">
        <v>411</v>
      </c>
      <c r="BP2385">
        <v>216</v>
      </c>
      <c r="BR2385">
        <v>131</v>
      </c>
      <c r="BS2385">
        <v>14</v>
      </c>
      <c r="BT2385">
        <v>50</v>
      </c>
      <c r="BU2385">
        <v>0</v>
      </c>
      <c r="BV2385">
        <v>0</v>
      </c>
      <c r="BW2385">
        <v>411</v>
      </c>
      <c r="CA2385" s="7">
        <v>45242</v>
      </c>
      <c r="CE2385">
        <v>163</v>
      </c>
      <c r="CF2385">
        <v>138</v>
      </c>
      <c r="CG2385">
        <v>110</v>
      </c>
      <c r="CI2385">
        <f t="shared" si="236"/>
        <v>2023</v>
      </c>
      <c r="CJ2385" t="str">
        <f t="shared" si="237"/>
        <v>7884_2023</v>
      </c>
    </row>
    <row r="2386" spans="1:88" x14ac:dyDescent="0.25">
      <c r="A2386" t="s">
        <v>79</v>
      </c>
      <c r="B2386" t="s">
        <v>957</v>
      </c>
      <c r="C2386">
        <v>7885</v>
      </c>
      <c r="D2386">
        <v>-33.978560000000002</v>
      </c>
      <c r="E2386">
        <v>151.14995999999999</v>
      </c>
      <c r="F2386">
        <v>2</v>
      </c>
      <c r="G2386" t="s">
        <v>959</v>
      </c>
      <c r="H2386">
        <v>190</v>
      </c>
      <c r="I2386">
        <v>10</v>
      </c>
      <c r="J2386">
        <v>348</v>
      </c>
      <c r="K2386">
        <v>168</v>
      </c>
      <c r="T2386">
        <v>317</v>
      </c>
      <c r="Y2386">
        <v>462</v>
      </c>
      <c r="AX2386">
        <v>317</v>
      </c>
      <c r="AY2386">
        <v>462</v>
      </c>
      <c r="AZ2386">
        <v>779</v>
      </c>
      <c r="BA2386">
        <v>462</v>
      </c>
      <c r="BB2386">
        <v>317</v>
      </c>
      <c r="BC2386">
        <v>779</v>
      </c>
      <c r="BP2386">
        <v>409</v>
      </c>
      <c r="BR2386">
        <v>263</v>
      </c>
      <c r="BS2386">
        <v>75</v>
      </c>
      <c r="BT2386">
        <v>25</v>
      </c>
      <c r="BU2386">
        <v>3</v>
      </c>
      <c r="BV2386">
        <v>4</v>
      </c>
      <c r="BW2386">
        <v>779</v>
      </c>
      <c r="CA2386" s="7">
        <v>45242</v>
      </c>
      <c r="CE2386">
        <v>404</v>
      </c>
      <c r="CF2386">
        <v>225</v>
      </c>
      <c r="CG2386">
        <v>150</v>
      </c>
      <c r="CI2386">
        <f t="shared" si="236"/>
        <v>2023</v>
      </c>
      <c r="CJ2386" t="str">
        <f t="shared" si="237"/>
        <v>7885_2023</v>
      </c>
    </row>
    <row r="2387" spans="1:88" x14ac:dyDescent="0.25">
      <c r="A2387" t="s">
        <v>79</v>
      </c>
      <c r="B2387" t="s">
        <v>957</v>
      </c>
      <c r="C2387">
        <v>7886</v>
      </c>
      <c r="D2387">
        <v>-33.957016000000003</v>
      </c>
      <c r="E2387">
        <v>151.20433700000001</v>
      </c>
      <c r="F2387">
        <v>4</v>
      </c>
      <c r="G2387" t="s">
        <v>960</v>
      </c>
      <c r="H2387">
        <v>46</v>
      </c>
      <c r="I2387">
        <v>226</v>
      </c>
      <c r="J2387">
        <v>122</v>
      </c>
      <c r="K2387">
        <v>302</v>
      </c>
      <c r="L2387">
        <v>217</v>
      </c>
      <c r="M2387">
        <v>37</v>
      </c>
      <c r="N2387">
        <v>300</v>
      </c>
      <c r="O2387">
        <v>120</v>
      </c>
      <c r="T2387">
        <v>17</v>
      </c>
      <c r="U2387">
        <v>81</v>
      </c>
      <c r="V2387">
        <v>21</v>
      </c>
      <c r="Y2387">
        <v>6</v>
      </c>
      <c r="Z2387">
        <v>3</v>
      </c>
      <c r="AA2387">
        <v>12</v>
      </c>
      <c r="AD2387">
        <v>100</v>
      </c>
      <c r="AE2387">
        <v>2</v>
      </c>
      <c r="AF2387">
        <v>26</v>
      </c>
      <c r="AI2387">
        <v>36</v>
      </c>
      <c r="AJ2387">
        <v>13</v>
      </c>
      <c r="AK2387">
        <v>41</v>
      </c>
      <c r="AX2387">
        <v>119</v>
      </c>
      <c r="AY2387">
        <v>142</v>
      </c>
      <c r="AZ2387">
        <v>261</v>
      </c>
      <c r="BA2387">
        <v>21</v>
      </c>
      <c r="BB2387">
        <v>32</v>
      </c>
      <c r="BC2387">
        <v>53</v>
      </c>
      <c r="BD2387">
        <v>128</v>
      </c>
      <c r="BE2387">
        <v>125</v>
      </c>
      <c r="BF2387">
        <v>253</v>
      </c>
      <c r="BG2387">
        <v>90</v>
      </c>
      <c r="BH2387">
        <v>59</v>
      </c>
      <c r="BI2387">
        <v>149</v>
      </c>
      <c r="BP2387">
        <v>19</v>
      </c>
      <c r="BR2387">
        <v>233</v>
      </c>
      <c r="BS2387">
        <v>12</v>
      </c>
      <c r="BT2387">
        <v>86</v>
      </c>
      <c r="BU2387">
        <v>8</v>
      </c>
      <c r="BV2387">
        <v>0</v>
      </c>
      <c r="BW2387">
        <v>358</v>
      </c>
      <c r="CA2387" s="7">
        <v>45249</v>
      </c>
      <c r="CE2387">
        <v>99</v>
      </c>
      <c r="CF2387">
        <v>158</v>
      </c>
      <c r="CG2387">
        <v>101</v>
      </c>
      <c r="CI2387">
        <f t="shared" si="236"/>
        <v>2023</v>
      </c>
      <c r="CJ2387" t="str">
        <f t="shared" si="237"/>
        <v>7886_2023</v>
      </c>
    </row>
    <row r="2388" spans="1:88" x14ac:dyDescent="0.25">
      <c r="A2388" t="s">
        <v>79</v>
      </c>
      <c r="B2388" t="s">
        <v>957</v>
      </c>
      <c r="C2388">
        <v>7887</v>
      </c>
      <c r="D2388">
        <v>-33.94567</v>
      </c>
      <c r="E2388">
        <v>151.22166000000001</v>
      </c>
      <c r="F2388">
        <v>4</v>
      </c>
      <c r="G2388" t="s">
        <v>961</v>
      </c>
      <c r="H2388">
        <v>35</v>
      </c>
      <c r="I2388">
        <v>215</v>
      </c>
      <c r="J2388">
        <v>112</v>
      </c>
      <c r="K2388">
        <v>292</v>
      </c>
      <c r="L2388">
        <v>179</v>
      </c>
      <c r="M2388">
        <v>359</v>
      </c>
      <c r="N2388">
        <v>320</v>
      </c>
      <c r="O2388">
        <v>140</v>
      </c>
      <c r="T2388">
        <v>7</v>
      </c>
      <c r="U2388">
        <v>11</v>
      </c>
      <c r="V2388">
        <v>10</v>
      </c>
      <c r="Y2388">
        <v>2</v>
      </c>
      <c r="Z2388">
        <v>7</v>
      </c>
      <c r="AA2388">
        <v>17</v>
      </c>
      <c r="AD2388">
        <v>17</v>
      </c>
      <c r="AE2388">
        <v>6</v>
      </c>
      <c r="AF2388">
        <v>5</v>
      </c>
      <c r="AI2388">
        <v>22</v>
      </c>
      <c r="AJ2388">
        <v>37</v>
      </c>
      <c r="AK2388">
        <v>11</v>
      </c>
      <c r="AX2388">
        <v>28</v>
      </c>
      <c r="AY2388">
        <v>41</v>
      </c>
      <c r="AZ2388">
        <v>69</v>
      </c>
      <c r="BA2388">
        <v>26</v>
      </c>
      <c r="BB2388">
        <v>50</v>
      </c>
      <c r="BC2388">
        <v>76</v>
      </c>
      <c r="BD2388">
        <v>28</v>
      </c>
      <c r="BE2388">
        <v>29</v>
      </c>
      <c r="BF2388">
        <v>57</v>
      </c>
      <c r="BG2388">
        <v>70</v>
      </c>
      <c r="BH2388">
        <v>32</v>
      </c>
      <c r="BI2388">
        <v>102</v>
      </c>
      <c r="BP2388">
        <v>56</v>
      </c>
      <c r="BR2388">
        <v>87</v>
      </c>
      <c r="BS2388">
        <v>0</v>
      </c>
      <c r="BT2388">
        <v>4</v>
      </c>
      <c r="BU2388">
        <v>5</v>
      </c>
      <c r="BV2388">
        <v>0</v>
      </c>
      <c r="BW2388">
        <v>152</v>
      </c>
      <c r="CA2388" s="7">
        <v>45242</v>
      </c>
      <c r="CE2388">
        <v>53</v>
      </c>
      <c r="CF2388">
        <v>41</v>
      </c>
      <c r="CG2388">
        <v>58</v>
      </c>
      <c r="CI2388">
        <f t="shared" si="236"/>
        <v>2023</v>
      </c>
      <c r="CJ2388" t="str">
        <f t="shared" si="237"/>
        <v>7887_2023</v>
      </c>
    </row>
    <row r="2389" spans="1:88" x14ac:dyDescent="0.25">
      <c r="A2389" t="s">
        <v>79</v>
      </c>
      <c r="B2389" t="s">
        <v>957</v>
      </c>
      <c r="C2389">
        <v>7898</v>
      </c>
      <c r="D2389">
        <v>-34.005536999999997</v>
      </c>
      <c r="E2389">
        <v>151.128063</v>
      </c>
      <c r="F2389">
        <v>2</v>
      </c>
      <c r="G2389" t="s">
        <v>962</v>
      </c>
      <c r="H2389">
        <v>13</v>
      </c>
      <c r="I2389">
        <v>193</v>
      </c>
      <c r="J2389">
        <v>190</v>
      </c>
      <c r="K2389">
        <v>10</v>
      </c>
      <c r="T2389">
        <v>208</v>
      </c>
      <c r="Y2389">
        <v>115</v>
      </c>
      <c r="AX2389">
        <v>208</v>
      </c>
      <c r="AY2389">
        <v>115</v>
      </c>
      <c r="AZ2389">
        <v>323</v>
      </c>
      <c r="BA2389">
        <v>115</v>
      </c>
      <c r="BB2389">
        <v>208</v>
      </c>
      <c r="BC2389">
        <v>323</v>
      </c>
      <c r="BP2389">
        <v>116</v>
      </c>
      <c r="BR2389">
        <v>150</v>
      </c>
      <c r="BS2389">
        <v>17</v>
      </c>
      <c r="BT2389">
        <v>35</v>
      </c>
      <c r="BU2389">
        <v>5</v>
      </c>
      <c r="BV2389">
        <v>0</v>
      </c>
      <c r="BW2389">
        <v>323</v>
      </c>
      <c r="CA2389" s="7">
        <v>45242</v>
      </c>
      <c r="CE2389">
        <v>145</v>
      </c>
      <c r="CF2389">
        <v>108</v>
      </c>
      <c r="CG2389">
        <v>70</v>
      </c>
      <c r="CI2389">
        <f t="shared" si="236"/>
        <v>2023</v>
      </c>
      <c r="CJ2389" t="str">
        <f t="shared" si="237"/>
        <v>7898_2023</v>
      </c>
    </row>
    <row r="2390" spans="1:88" x14ac:dyDescent="0.25">
      <c r="A2390" t="s">
        <v>79</v>
      </c>
      <c r="B2390" t="s">
        <v>957</v>
      </c>
      <c r="C2390">
        <v>7870</v>
      </c>
      <c r="D2390">
        <v>-34.005499999999998</v>
      </c>
      <c r="E2390">
        <v>151.12863999999999</v>
      </c>
      <c r="F2390">
        <v>3</v>
      </c>
      <c r="G2390" t="s">
        <v>963</v>
      </c>
      <c r="H2390">
        <v>27</v>
      </c>
      <c r="I2390">
        <v>207</v>
      </c>
      <c r="J2390">
        <v>201</v>
      </c>
      <c r="K2390">
        <v>21</v>
      </c>
      <c r="L2390">
        <v>356</v>
      </c>
      <c r="M2390">
        <v>176</v>
      </c>
      <c r="CA2390" s="7">
        <v>45270</v>
      </c>
      <c r="CI2390">
        <f t="shared" si="236"/>
        <v>2023</v>
      </c>
      <c r="CJ2390" t="str">
        <f t="shared" si="237"/>
        <v>7870_2023</v>
      </c>
    </row>
    <row r="2391" spans="1:88" x14ac:dyDescent="0.25">
      <c r="A2391" t="s">
        <v>79</v>
      </c>
      <c r="B2391" t="s">
        <v>957</v>
      </c>
      <c r="C2391">
        <v>7883</v>
      </c>
      <c r="D2391">
        <v>-33.947670000000002</v>
      </c>
      <c r="E2391">
        <v>151.15564000000001</v>
      </c>
      <c r="F2391">
        <v>2</v>
      </c>
      <c r="G2391" t="s">
        <v>964</v>
      </c>
      <c r="H2391">
        <v>55</v>
      </c>
      <c r="I2391">
        <v>235</v>
      </c>
      <c r="J2391">
        <v>228</v>
      </c>
      <c r="K2391">
        <v>48</v>
      </c>
      <c r="T2391">
        <v>150</v>
      </c>
      <c r="Y2391">
        <v>181</v>
      </c>
      <c r="AX2391">
        <v>150</v>
      </c>
      <c r="AY2391">
        <v>181</v>
      </c>
      <c r="AZ2391">
        <v>331</v>
      </c>
      <c r="BA2391">
        <v>181</v>
      </c>
      <c r="BB2391">
        <v>150</v>
      </c>
      <c r="BC2391">
        <v>331</v>
      </c>
      <c r="BP2391">
        <v>288</v>
      </c>
      <c r="BR2391">
        <v>32</v>
      </c>
      <c r="BS2391">
        <v>7</v>
      </c>
      <c r="BT2391">
        <v>4</v>
      </c>
      <c r="BU2391">
        <v>0</v>
      </c>
      <c r="BV2391">
        <v>0</v>
      </c>
      <c r="BW2391">
        <v>331</v>
      </c>
      <c r="CA2391" s="7">
        <v>45249</v>
      </c>
      <c r="CE2391">
        <v>120</v>
      </c>
      <c r="CF2391">
        <v>134</v>
      </c>
      <c r="CG2391">
        <v>77</v>
      </c>
      <c r="CI2391">
        <f t="shared" si="236"/>
        <v>2023</v>
      </c>
      <c r="CJ2391" t="str">
        <f t="shared" si="237"/>
        <v>7883_2023</v>
      </c>
    </row>
    <row r="2392" spans="1:88" x14ac:dyDescent="0.25">
      <c r="A2392" t="s">
        <v>140</v>
      </c>
      <c r="B2392" t="s">
        <v>965</v>
      </c>
      <c r="C2392">
        <v>7206</v>
      </c>
      <c r="D2392">
        <v>-31.924703999999998</v>
      </c>
      <c r="E2392">
        <v>115.950669</v>
      </c>
      <c r="F2392">
        <v>4</v>
      </c>
      <c r="G2392" t="s">
        <v>966</v>
      </c>
      <c r="H2392">
        <v>42</v>
      </c>
      <c r="I2392">
        <v>222</v>
      </c>
      <c r="J2392">
        <v>135</v>
      </c>
      <c r="K2392">
        <v>315</v>
      </c>
      <c r="L2392">
        <v>222</v>
      </c>
      <c r="M2392">
        <v>42</v>
      </c>
      <c r="N2392">
        <v>296</v>
      </c>
      <c r="O2392">
        <v>116</v>
      </c>
      <c r="T2392">
        <v>2</v>
      </c>
      <c r="U2392">
        <v>10</v>
      </c>
      <c r="V2392">
        <v>9</v>
      </c>
      <c r="Y2392">
        <v>0</v>
      </c>
      <c r="Z2392">
        <v>2</v>
      </c>
      <c r="AA2392">
        <v>4</v>
      </c>
      <c r="AD2392">
        <v>10</v>
      </c>
      <c r="AE2392">
        <v>2</v>
      </c>
      <c r="AF2392">
        <v>5</v>
      </c>
      <c r="AI2392">
        <v>11</v>
      </c>
      <c r="AJ2392">
        <v>3</v>
      </c>
      <c r="AK2392">
        <v>3</v>
      </c>
      <c r="AX2392">
        <v>21</v>
      </c>
      <c r="AY2392">
        <v>21</v>
      </c>
      <c r="AZ2392">
        <v>42</v>
      </c>
      <c r="BA2392">
        <v>6</v>
      </c>
      <c r="BB2392">
        <v>7</v>
      </c>
      <c r="BC2392">
        <v>13</v>
      </c>
      <c r="BD2392">
        <v>17</v>
      </c>
      <c r="BE2392">
        <v>15</v>
      </c>
      <c r="BF2392">
        <v>32</v>
      </c>
      <c r="BG2392">
        <v>17</v>
      </c>
      <c r="BH2392">
        <v>18</v>
      </c>
      <c r="BI2392">
        <v>35</v>
      </c>
      <c r="BP2392">
        <v>30</v>
      </c>
      <c r="BR2392">
        <v>16</v>
      </c>
      <c r="BS2392">
        <v>2</v>
      </c>
      <c r="BT2392">
        <v>11</v>
      </c>
      <c r="BU2392">
        <v>2</v>
      </c>
      <c r="BV2392">
        <v>0</v>
      </c>
      <c r="BW2392">
        <v>61</v>
      </c>
      <c r="CA2392" s="7">
        <v>45242</v>
      </c>
      <c r="CE2392">
        <v>27</v>
      </c>
      <c r="CF2392">
        <v>13</v>
      </c>
      <c r="CG2392">
        <v>21</v>
      </c>
      <c r="CI2392">
        <f t="shared" si="236"/>
        <v>2023</v>
      </c>
      <c r="CJ2392" t="str">
        <f t="shared" si="237"/>
        <v>7206_2023</v>
      </c>
    </row>
    <row r="2393" spans="1:88" x14ac:dyDescent="0.25">
      <c r="A2393" t="s">
        <v>140</v>
      </c>
      <c r="B2393" t="s">
        <v>965</v>
      </c>
      <c r="C2393">
        <v>7208</v>
      </c>
      <c r="D2393">
        <v>-31.955504999999999</v>
      </c>
      <c r="E2393">
        <v>115.901061</v>
      </c>
      <c r="F2393">
        <v>4</v>
      </c>
      <c r="G2393" t="s">
        <v>967</v>
      </c>
      <c r="H2393">
        <v>45</v>
      </c>
      <c r="I2393">
        <v>225</v>
      </c>
      <c r="J2393">
        <v>132</v>
      </c>
      <c r="K2393">
        <v>312</v>
      </c>
      <c r="L2393">
        <v>223</v>
      </c>
      <c r="M2393">
        <v>43</v>
      </c>
      <c r="N2393">
        <v>313</v>
      </c>
      <c r="O2393">
        <v>133</v>
      </c>
      <c r="T2393">
        <v>0</v>
      </c>
      <c r="U2393">
        <v>29</v>
      </c>
      <c r="V2393">
        <v>29</v>
      </c>
      <c r="Y2393">
        <v>0</v>
      </c>
      <c r="Z2393">
        <v>4</v>
      </c>
      <c r="AA2393">
        <v>9</v>
      </c>
      <c r="AD2393">
        <v>19</v>
      </c>
      <c r="AE2393">
        <v>3</v>
      </c>
      <c r="AF2393">
        <v>23</v>
      </c>
      <c r="AI2393">
        <v>15</v>
      </c>
      <c r="AJ2393">
        <v>12</v>
      </c>
      <c r="AK2393">
        <v>16</v>
      </c>
      <c r="AX2393">
        <v>58</v>
      </c>
      <c r="AY2393">
        <v>34</v>
      </c>
      <c r="AZ2393">
        <v>92</v>
      </c>
      <c r="BA2393">
        <v>13</v>
      </c>
      <c r="BB2393">
        <v>15</v>
      </c>
      <c r="BC2393">
        <v>28</v>
      </c>
      <c r="BD2393">
        <v>45</v>
      </c>
      <c r="BE2393">
        <v>49</v>
      </c>
      <c r="BF2393">
        <v>94</v>
      </c>
      <c r="BG2393">
        <v>43</v>
      </c>
      <c r="BH2393">
        <v>61</v>
      </c>
      <c r="BI2393">
        <v>104</v>
      </c>
      <c r="BP2393">
        <v>89</v>
      </c>
      <c r="BR2393">
        <v>59</v>
      </c>
      <c r="BS2393">
        <v>3</v>
      </c>
      <c r="BT2393">
        <v>2</v>
      </c>
      <c r="BU2393">
        <v>6</v>
      </c>
      <c r="BV2393">
        <v>0</v>
      </c>
      <c r="BW2393">
        <v>159</v>
      </c>
      <c r="CA2393" s="7">
        <v>45242</v>
      </c>
      <c r="CE2393">
        <v>62</v>
      </c>
      <c r="CF2393">
        <v>56</v>
      </c>
      <c r="CG2393">
        <v>41</v>
      </c>
      <c r="CI2393">
        <f t="shared" si="236"/>
        <v>2023</v>
      </c>
      <c r="CJ2393" t="str">
        <f t="shared" si="237"/>
        <v>7208_2023</v>
      </c>
    </row>
    <row r="2394" spans="1:88" x14ac:dyDescent="0.25">
      <c r="A2394" t="s">
        <v>140</v>
      </c>
      <c r="B2394" t="s">
        <v>965</v>
      </c>
      <c r="C2394">
        <v>7645</v>
      </c>
      <c r="D2394">
        <v>-31.968536</v>
      </c>
      <c r="E2394">
        <v>115.91549999999999</v>
      </c>
      <c r="F2394">
        <v>4</v>
      </c>
      <c r="G2394" t="s">
        <v>968</v>
      </c>
      <c r="H2394">
        <v>55</v>
      </c>
      <c r="I2394">
        <v>235</v>
      </c>
      <c r="J2394">
        <v>140</v>
      </c>
      <c r="K2394">
        <v>320</v>
      </c>
      <c r="L2394">
        <v>234</v>
      </c>
      <c r="M2394">
        <v>54</v>
      </c>
      <c r="N2394">
        <v>317</v>
      </c>
      <c r="O2394">
        <v>137</v>
      </c>
      <c r="T2394">
        <v>0</v>
      </c>
      <c r="U2394">
        <v>4</v>
      </c>
      <c r="V2394">
        <v>1</v>
      </c>
      <c r="Y2394">
        <v>0</v>
      </c>
      <c r="Z2394">
        <v>1</v>
      </c>
      <c r="AA2394">
        <v>0</v>
      </c>
      <c r="AD2394">
        <v>6</v>
      </c>
      <c r="AE2394">
        <v>0</v>
      </c>
      <c r="AF2394">
        <v>2</v>
      </c>
      <c r="AI2394">
        <v>0</v>
      </c>
      <c r="AJ2394">
        <v>2</v>
      </c>
      <c r="AK2394">
        <v>2</v>
      </c>
      <c r="AX2394">
        <v>5</v>
      </c>
      <c r="AY2394">
        <v>6</v>
      </c>
      <c r="AZ2394">
        <v>11</v>
      </c>
      <c r="BA2394">
        <v>1</v>
      </c>
      <c r="BB2394">
        <v>2</v>
      </c>
      <c r="BC2394">
        <v>3</v>
      </c>
      <c r="BD2394">
        <v>8</v>
      </c>
      <c r="BE2394">
        <v>7</v>
      </c>
      <c r="BF2394">
        <v>15</v>
      </c>
      <c r="BG2394">
        <v>4</v>
      </c>
      <c r="BH2394">
        <v>3</v>
      </c>
      <c r="BI2394">
        <v>7</v>
      </c>
      <c r="BP2394">
        <v>5</v>
      </c>
      <c r="BR2394">
        <v>7</v>
      </c>
      <c r="BS2394">
        <v>2</v>
      </c>
      <c r="BT2394">
        <v>0</v>
      </c>
      <c r="BU2394">
        <v>4</v>
      </c>
      <c r="BV2394">
        <v>0</v>
      </c>
      <c r="BW2394">
        <v>18</v>
      </c>
      <c r="CA2394" s="7">
        <v>45249</v>
      </c>
      <c r="CE2394">
        <v>6</v>
      </c>
      <c r="CF2394">
        <v>5</v>
      </c>
      <c r="CG2394">
        <v>7</v>
      </c>
      <c r="CI2394">
        <f t="shared" si="236"/>
        <v>2023</v>
      </c>
      <c r="CJ2394" t="str">
        <f t="shared" si="237"/>
        <v>7645_2023</v>
      </c>
    </row>
    <row r="2395" spans="1:88" x14ac:dyDescent="0.25">
      <c r="A2395" t="s">
        <v>140</v>
      </c>
      <c r="B2395" t="s">
        <v>965</v>
      </c>
      <c r="C2395">
        <v>7780</v>
      </c>
      <c r="D2395">
        <v>-31.956754</v>
      </c>
      <c r="E2395">
        <v>115.9423</v>
      </c>
      <c r="F2395">
        <v>4</v>
      </c>
      <c r="G2395" t="s">
        <v>969</v>
      </c>
      <c r="H2395">
        <v>45</v>
      </c>
      <c r="I2395">
        <v>225</v>
      </c>
      <c r="J2395">
        <v>135</v>
      </c>
      <c r="K2395">
        <v>315</v>
      </c>
      <c r="L2395">
        <v>225</v>
      </c>
      <c r="M2395">
        <v>45</v>
      </c>
      <c r="N2395">
        <v>315</v>
      </c>
      <c r="O2395">
        <v>135</v>
      </c>
      <c r="T2395">
        <v>5</v>
      </c>
      <c r="U2395">
        <v>8</v>
      </c>
      <c r="V2395">
        <v>0</v>
      </c>
      <c r="Y2395">
        <v>3</v>
      </c>
      <c r="Z2395">
        <v>3</v>
      </c>
      <c r="AA2395">
        <v>8</v>
      </c>
      <c r="AD2395">
        <v>7</v>
      </c>
      <c r="AE2395">
        <v>2</v>
      </c>
      <c r="AF2395">
        <v>0</v>
      </c>
      <c r="AI2395">
        <v>4</v>
      </c>
      <c r="AJ2395">
        <v>6</v>
      </c>
      <c r="AK2395">
        <v>0</v>
      </c>
      <c r="AX2395">
        <v>13</v>
      </c>
      <c r="AY2395">
        <v>14</v>
      </c>
      <c r="AZ2395">
        <v>27</v>
      </c>
      <c r="BA2395">
        <v>14</v>
      </c>
      <c r="BB2395">
        <v>13</v>
      </c>
      <c r="BC2395">
        <v>27</v>
      </c>
      <c r="BD2395">
        <v>9</v>
      </c>
      <c r="BE2395">
        <v>11</v>
      </c>
      <c r="BF2395">
        <v>20</v>
      </c>
      <c r="BG2395">
        <v>10</v>
      </c>
      <c r="BH2395">
        <v>8</v>
      </c>
      <c r="BI2395">
        <v>18</v>
      </c>
      <c r="BP2395">
        <v>15</v>
      </c>
      <c r="BR2395">
        <v>24</v>
      </c>
      <c r="BS2395">
        <v>0</v>
      </c>
      <c r="BT2395">
        <v>5</v>
      </c>
      <c r="BU2395">
        <v>2</v>
      </c>
      <c r="BV2395">
        <v>0</v>
      </c>
      <c r="BW2395">
        <v>46</v>
      </c>
      <c r="CA2395" s="7">
        <v>45242</v>
      </c>
      <c r="CE2395">
        <v>17</v>
      </c>
      <c r="CF2395">
        <v>13</v>
      </c>
      <c r="CG2395">
        <v>16</v>
      </c>
      <c r="CI2395">
        <f t="shared" si="236"/>
        <v>2023</v>
      </c>
      <c r="CJ2395" t="str">
        <f t="shared" si="237"/>
        <v>7780_2023</v>
      </c>
    </row>
    <row r="2396" spans="1:88" x14ac:dyDescent="0.25">
      <c r="A2396" t="s">
        <v>140</v>
      </c>
      <c r="B2396" t="s">
        <v>965</v>
      </c>
      <c r="C2396">
        <v>7919</v>
      </c>
      <c r="D2396">
        <v>-31.972839</v>
      </c>
      <c r="E2396">
        <v>115.923507</v>
      </c>
      <c r="F2396">
        <v>4</v>
      </c>
      <c r="G2396" t="s">
        <v>970</v>
      </c>
      <c r="H2396">
        <v>45</v>
      </c>
      <c r="I2396">
        <v>225</v>
      </c>
      <c r="J2396">
        <v>135</v>
      </c>
      <c r="K2396">
        <v>315</v>
      </c>
      <c r="L2396">
        <v>225</v>
      </c>
      <c r="M2396">
        <v>45</v>
      </c>
      <c r="N2396">
        <v>315</v>
      </c>
      <c r="O2396">
        <v>135</v>
      </c>
      <c r="T2396">
        <v>0</v>
      </c>
      <c r="U2396">
        <v>16</v>
      </c>
      <c r="V2396">
        <v>4</v>
      </c>
      <c r="Y2396">
        <v>2</v>
      </c>
      <c r="Z2396">
        <v>1</v>
      </c>
      <c r="AA2396">
        <v>18</v>
      </c>
      <c r="AD2396">
        <v>13</v>
      </c>
      <c r="AE2396">
        <v>0</v>
      </c>
      <c r="AF2396">
        <v>2</v>
      </c>
      <c r="AI2396">
        <v>3</v>
      </c>
      <c r="AJ2396">
        <v>3</v>
      </c>
      <c r="AK2396">
        <v>0</v>
      </c>
      <c r="AX2396">
        <v>20</v>
      </c>
      <c r="AY2396">
        <v>18</v>
      </c>
      <c r="AZ2396">
        <v>38</v>
      </c>
      <c r="BA2396">
        <v>21</v>
      </c>
      <c r="BB2396">
        <v>3</v>
      </c>
      <c r="BC2396">
        <v>24</v>
      </c>
      <c r="BD2396">
        <v>15</v>
      </c>
      <c r="BE2396">
        <v>17</v>
      </c>
      <c r="BF2396">
        <v>32</v>
      </c>
      <c r="BG2396">
        <v>6</v>
      </c>
      <c r="BH2396">
        <v>24</v>
      </c>
      <c r="BI2396">
        <v>30</v>
      </c>
      <c r="BP2396">
        <v>22</v>
      </c>
      <c r="BR2396">
        <v>31</v>
      </c>
      <c r="BS2396">
        <v>2</v>
      </c>
      <c r="BT2396">
        <v>4</v>
      </c>
      <c r="BU2396">
        <v>1</v>
      </c>
      <c r="BV2396">
        <v>2</v>
      </c>
      <c r="BW2396">
        <v>62</v>
      </c>
      <c r="CA2396" s="7">
        <v>45242</v>
      </c>
      <c r="CE2396">
        <v>25</v>
      </c>
      <c r="CF2396">
        <v>19</v>
      </c>
      <c r="CG2396">
        <v>18</v>
      </c>
      <c r="CI2396">
        <f t="shared" si="236"/>
        <v>2023</v>
      </c>
      <c r="CJ2396" t="str">
        <f t="shared" si="237"/>
        <v>7919_2023</v>
      </c>
    </row>
    <row r="2397" spans="1:88" x14ac:dyDescent="0.25">
      <c r="A2397" t="s">
        <v>140</v>
      </c>
      <c r="B2397" t="s">
        <v>965</v>
      </c>
      <c r="C2397">
        <v>7922</v>
      </c>
      <c r="D2397">
        <v>-31.930537000000001</v>
      </c>
      <c r="E2397">
        <v>115.939061</v>
      </c>
      <c r="F2397">
        <v>3</v>
      </c>
      <c r="G2397" t="s">
        <v>971</v>
      </c>
      <c r="H2397">
        <v>135</v>
      </c>
      <c r="I2397">
        <v>315</v>
      </c>
      <c r="J2397">
        <v>225</v>
      </c>
      <c r="K2397">
        <v>45</v>
      </c>
      <c r="L2397">
        <v>315</v>
      </c>
      <c r="M2397">
        <v>135</v>
      </c>
      <c r="T2397">
        <v>0</v>
      </c>
      <c r="U2397">
        <v>1</v>
      </c>
      <c r="Y2397">
        <v>0</v>
      </c>
      <c r="Z2397">
        <v>1</v>
      </c>
      <c r="AD2397">
        <v>1</v>
      </c>
      <c r="AE2397">
        <v>1</v>
      </c>
      <c r="AX2397">
        <v>1</v>
      </c>
      <c r="AY2397">
        <v>1</v>
      </c>
      <c r="AZ2397">
        <v>2</v>
      </c>
      <c r="BA2397">
        <v>1</v>
      </c>
      <c r="BB2397">
        <v>1</v>
      </c>
      <c r="BC2397">
        <v>2</v>
      </c>
      <c r="BD2397">
        <v>2</v>
      </c>
      <c r="BE2397">
        <v>2</v>
      </c>
      <c r="BF2397">
        <v>4</v>
      </c>
      <c r="BP2397">
        <v>2</v>
      </c>
      <c r="BR2397">
        <v>0</v>
      </c>
      <c r="BS2397">
        <v>0</v>
      </c>
      <c r="BT2397">
        <v>0</v>
      </c>
      <c r="BU2397">
        <v>2</v>
      </c>
      <c r="BV2397">
        <v>0</v>
      </c>
      <c r="BW2397">
        <v>4</v>
      </c>
      <c r="CA2397" s="7">
        <v>45242</v>
      </c>
      <c r="CE2397">
        <v>0</v>
      </c>
      <c r="CF2397">
        <v>4</v>
      </c>
      <c r="CG2397">
        <v>0</v>
      </c>
      <c r="CI2397">
        <f t="shared" si="236"/>
        <v>2023</v>
      </c>
      <c r="CJ2397" t="str">
        <f t="shared" si="237"/>
        <v>7922_2023</v>
      </c>
    </row>
    <row r="2398" spans="1:88" x14ac:dyDescent="0.25">
      <c r="A2398" t="s">
        <v>140</v>
      </c>
      <c r="B2398" t="s">
        <v>965</v>
      </c>
      <c r="C2398">
        <v>7925</v>
      </c>
      <c r="D2398">
        <v>-31.933475000000001</v>
      </c>
      <c r="E2398">
        <v>115.91728999999999</v>
      </c>
      <c r="F2398">
        <v>2</v>
      </c>
      <c r="G2398" t="s">
        <v>972</v>
      </c>
      <c r="H2398">
        <v>135</v>
      </c>
      <c r="I2398">
        <v>315</v>
      </c>
      <c r="J2398">
        <v>305</v>
      </c>
      <c r="K2398">
        <v>125</v>
      </c>
      <c r="T2398">
        <v>37</v>
      </c>
      <c r="Y2398">
        <v>55</v>
      </c>
      <c r="AX2398">
        <v>37</v>
      </c>
      <c r="AY2398">
        <v>55</v>
      </c>
      <c r="AZ2398">
        <v>92</v>
      </c>
      <c r="BA2398">
        <v>55</v>
      </c>
      <c r="BB2398">
        <v>37</v>
      </c>
      <c r="BC2398">
        <v>92</v>
      </c>
      <c r="BP2398">
        <v>37</v>
      </c>
      <c r="BR2398">
        <v>39</v>
      </c>
      <c r="BS2398">
        <v>10</v>
      </c>
      <c r="BT2398">
        <v>4</v>
      </c>
      <c r="BU2398">
        <v>2</v>
      </c>
      <c r="BV2398">
        <v>0</v>
      </c>
      <c r="BW2398">
        <v>92</v>
      </c>
      <c r="CA2398" s="7">
        <v>45242</v>
      </c>
      <c r="CE2398">
        <v>33</v>
      </c>
      <c r="CF2398">
        <v>27</v>
      </c>
      <c r="CG2398">
        <v>32</v>
      </c>
      <c r="CI2398">
        <f t="shared" si="236"/>
        <v>2023</v>
      </c>
      <c r="CJ2398" t="str">
        <f t="shared" si="237"/>
        <v>7925_2023</v>
      </c>
    </row>
    <row r="2399" spans="1:88" x14ac:dyDescent="0.25">
      <c r="A2399" t="s">
        <v>140</v>
      </c>
      <c r="B2399" t="s">
        <v>965</v>
      </c>
      <c r="C2399">
        <v>7779</v>
      </c>
      <c r="D2399">
        <v>-31.945409999999999</v>
      </c>
      <c r="E2399">
        <v>115.94110000000001</v>
      </c>
      <c r="F2399">
        <v>4</v>
      </c>
      <c r="G2399" t="s">
        <v>973</v>
      </c>
      <c r="H2399">
        <v>45</v>
      </c>
      <c r="I2399">
        <v>225</v>
      </c>
      <c r="J2399">
        <v>135</v>
      </c>
      <c r="K2399">
        <v>315</v>
      </c>
      <c r="L2399">
        <v>225</v>
      </c>
      <c r="M2399">
        <v>45</v>
      </c>
      <c r="N2399">
        <v>314</v>
      </c>
      <c r="O2399">
        <v>134</v>
      </c>
      <c r="T2399">
        <v>1</v>
      </c>
      <c r="U2399">
        <v>25</v>
      </c>
      <c r="V2399">
        <v>0</v>
      </c>
      <c r="Y2399">
        <v>2</v>
      </c>
      <c r="Z2399">
        <v>11</v>
      </c>
      <c r="AA2399">
        <v>2</v>
      </c>
      <c r="AD2399">
        <v>26</v>
      </c>
      <c r="AE2399">
        <v>10</v>
      </c>
      <c r="AF2399">
        <v>3</v>
      </c>
      <c r="AI2399">
        <v>3</v>
      </c>
      <c r="AJ2399">
        <v>1</v>
      </c>
      <c r="AK2399">
        <v>1</v>
      </c>
      <c r="AX2399">
        <v>26</v>
      </c>
      <c r="AY2399">
        <v>31</v>
      </c>
      <c r="AZ2399">
        <v>57</v>
      </c>
      <c r="BA2399">
        <v>15</v>
      </c>
      <c r="BB2399">
        <v>12</v>
      </c>
      <c r="BC2399">
        <v>27</v>
      </c>
      <c r="BD2399">
        <v>39</v>
      </c>
      <c r="BE2399">
        <v>37</v>
      </c>
      <c r="BF2399">
        <v>76</v>
      </c>
      <c r="BG2399">
        <v>5</v>
      </c>
      <c r="BH2399">
        <v>5</v>
      </c>
      <c r="BI2399">
        <v>10</v>
      </c>
      <c r="BP2399">
        <v>8</v>
      </c>
      <c r="BR2399">
        <v>71</v>
      </c>
      <c r="BS2399">
        <v>0</v>
      </c>
      <c r="BT2399">
        <v>1</v>
      </c>
      <c r="BU2399">
        <v>3</v>
      </c>
      <c r="BV2399">
        <v>2</v>
      </c>
      <c r="BW2399">
        <v>85</v>
      </c>
      <c r="CA2399" s="7">
        <v>45249</v>
      </c>
      <c r="CE2399">
        <v>36</v>
      </c>
      <c r="CF2399">
        <v>21</v>
      </c>
      <c r="CG2399">
        <v>28</v>
      </c>
      <c r="CI2399">
        <f t="shared" si="236"/>
        <v>2023</v>
      </c>
      <c r="CJ2399" t="str">
        <f t="shared" si="237"/>
        <v>7779_2023</v>
      </c>
    </row>
    <row r="2400" spans="1:88" x14ac:dyDescent="0.25">
      <c r="A2400" t="s">
        <v>140</v>
      </c>
      <c r="B2400" t="s">
        <v>965</v>
      </c>
      <c r="C2400">
        <v>7921</v>
      </c>
      <c r="D2400">
        <v>-31.961756999999999</v>
      </c>
      <c r="E2400">
        <v>115.913892</v>
      </c>
      <c r="F2400">
        <v>4</v>
      </c>
      <c r="G2400" t="s">
        <v>974</v>
      </c>
      <c r="H2400">
        <v>45</v>
      </c>
      <c r="I2400">
        <v>225</v>
      </c>
      <c r="J2400">
        <v>135</v>
      </c>
      <c r="K2400">
        <v>315</v>
      </c>
      <c r="L2400">
        <v>225</v>
      </c>
      <c r="M2400">
        <v>45</v>
      </c>
      <c r="N2400">
        <v>315</v>
      </c>
      <c r="O2400">
        <v>135</v>
      </c>
      <c r="T2400">
        <v>14</v>
      </c>
      <c r="U2400">
        <v>0</v>
      </c>
      <c r="V2400">
        <v>4</v>
      </c>
      <c r="Y2400">
        <v>5</v>
      </c>
      <c r="Z2400">
        <v>5</v>
      </c>
      <c r="AA2400">
        <v>9</v>
      </c>
      <c r="AD2400">
        <v>3</v>
      </c>
      <c r="AE2400">
        <v>9</v>
      </c>
      <c r="AF2400">
        <v>6</v>
      </c>
      <c r="AI2400">
        <v>0</v>
      </c>
      <c r="AJ2400">
        <v>8</v>
      </c>
      <c r="AK2400">
        <v>3</v>
      </c>
      <c r="AX2400">
        <v>18</v>
      </c>
      <c r="AY2400">
        <v>8</v>
      </c>
      <c r="AZ2400">
        <v>26</v>
      </c>
      <c r="BA2400">
        <v>19</v>
      </c>
      <c r="BB2400">
        <v>31</v>
      </c>
      <c r="BC2400">
        <v>50</v>
      </c>
      <c r="BD2400">
        <v>18</v>
      </c>
      <c r="BE2400">
        <v>8</v>
      </c>
      <c r="BF2400">
        <v>26</v>
      </c>
      <c r="BG2400">
        <v>11</v>
      </c>
      <c r="BH2400">
        <v>19</v>
      </c>
      <c r="BI2400">
        <v>30</v>
      </c>
      <c r="BP2400">
        <v>15</v>
      </c>
      <c r="BR2400">
        <v>37</v>
      </c>
      <c r="BS2400">
        <v>0</v>
      </c>
      <c r="BT2400">
        <v>8</v>
      </c>
      <c r="BU2400">
        <v>2</v>
      </c>
      <c r="BV2400">
        <v>4</v>
      </c>
      <c r="BW2400">
        <v>66</v>
      </c>
      <c r="CA2400" s="7">
        <v>45263</v>
      </c>
      <c r="CE2400">
        <v>21</v>
      </c>
      <c r="CF2400">
        <v>32</v>
      </c>
      <c r="CG2400">
        <v>13</v>
      </c>
      <c r="CI2400">
        <f t="shared" si="236"/>
        <v>2023</v>
      </c>
      <c r="CJ2400" t="str">
        <f t="shared" si="237"/>
        <v>7921_2023</v>
      </c>
    </row>
    <row r="2401" spans="1:88" x14ac:dyDescent="0.25">
      <c r="A2401" t="s">
        <v>140</v>
      </c>
      <c r="B2401" t="s">
        <v>965</v>
      </c>
      <c r="C2401">
        <v>7781</v>
      </c>
      <c r="D2401">
        <v>-31.964538000000001</v>
      </c>
      <c r="E2401">
        <v>115.92870000000001</v>
      </c>
      <c r="F2401">
        <v>4</v>
      </c>
      <c r="G2401" t="s">
        <v>975</v>
      </c>
      <c r="H2401">
        <v>45</v>
      </c>
      <c r="I2401">
        <v>225</v>
      </c>
      <c r="J2401">
        <v>135</v>
      </c>
      <c r="K2401">
        <v>315</v>
      </c>
      <c r="L2401">
        <v>225</v>
      </c>
      <c r="M2401">
        <v>45</v>
      </c>
      <c r="N2401">
        <v>314</v>
      </c>
      <c r="O2401">
        <v>134</v>
      </c>
      <c r="T2401">
        <v>0</v>
      </c>
      <c r="U2401">
        <v>1</v>
      </c>
      <c r="V2401">
        <v>1</v>
      </c>
      <c r="Y2401">
        <v>0</v>
      </c>
      <c r="Z2401">
        <v>3</v>
      </c>
      <c r="AA2401">
        <v>2</v>
      </c>
      <c r="AD2401">
        <v>0</v>
      </c>
      <c r="AE2401">
        <v>5</v>
      </c>
      <c r="AF2401">
        <v>2</v>
      </c>
      <c r="AI2401">
        <v>1</v>
      </c>
      <c r="AJ2401">
        <v>4</v>
      </c>
      <c r="AK2401">
        <v>0</v>
      </c>
      <c r="AX2401">
        <v>2</v>
      </c>
      <c r="AY2401">
        <v>1</v>
      </c>
      <c r="AZ2401">
        <v>3</v>
      </c>
      <c r="BA2401">
        <v>5</v>
      </c>
      <c r="BB2401">
        <v>9</v>
      </c>
      <c r="BC2401">
        <v>14</v>
      </c>
      <c r="BD2401">
        <v>7</v>
      </c>
      <c r="BE2401">
        <v>4</v>
      </c>
      <c r="BF2401">
        <v>11</v>
      </c>
      <c r="BG2401">
        <v>5</v>
      </c>
      <c r="BH2401">
        <v>5</v>
      </c>
      <c r="BI2401">
        <v>10</v>
      </c>
      <c r="BP2401">
        <v>7</v>
      </c>
      <c r="BR2401">
        <v>9</v>
      </c>
      <c r="BS2401">
        <v>0</v>
      </c>
      <c r="BT2401">
        <v>1</v>
      </c>
      <c r="BU2401">
        <v>0</v>
      </c>
      <c r="BV2401">
        <v>2</v>
      </c>
      <c r="BW2401">
        <v>19</v>
      </c>
      <c r="CA2401" s="7">
        <v>45277</v>
      </c>
      <c r="CE2401">
        <v>7</v>
      </c>
      <c r="CF2401">
        <v>5</v>
      </c>
      <c r="CG2401">
        <v>7</v>
      </c>
      <c r="CI2401">
        <f t="shared" si="236"/>
        <v>2023</v>
      </c>
      <c r="CJ2401" t="str">
        <f t="shared" si="237"/>
        <v>7781_2023</v>
      </c>
    </row>
    <row r="2402" spans="1:88" x14ac:dyDescent="0.25">
      <c r="A2402" t="s">
        <v>111</v>
      </c>
      <c r="B2402" t="s">
        <v>114</v>
      </c>
      <c r="C2402">
        <v>4156</v>
      </c>
      <c r="D2402">
        <v>-37.781730000000003</v>
      </c>
      <c r="E2402">
        <v>145.06248600000001</v>
      </c>
      <c r="F2402">
        <v>3</v>
      </c>
      <c r="G2402" t="s">
        <v>115</v>
      </c>
      <c r="H2402">
        <v>20</v>
      </c>
      <c r="I2402">
        <v>200</v>
      </c>
      <c r="J2402">
        <v>117</v>
      </c>
      <c r="K2402">
        <v>297</v>
      </c>
      <c r="L2402">
        <v>299</v>
      </c>
      <c r="M2402">
        <v>119</v>
      </c>
      <c r="T2402">
        <v>96</v>
      </c>
      <c r="U2402">
        <v>100</v>
      </c>
      <c r="Y2402">
        <v>95</v>
      </c>
      <c r="Z2402">
        <v>116</v>
      </c>
      <c r="AD2402">
        <v>112</v>
      </c>
      <c r="AE2402">
        <v>85</v>
      </c>
      <c r="AX2402">
        <v>196</v>
      </c>
      <c r="AY2402">
        <v>207</v>
      </c>
      <c r="AZ2402">
        <v>403</v>
      </c>
      <c r="BA2402">
        <v>211</v>
      </c>
      <c r="BB2402">
        <v>181</v>
      </c>
      <c r="BC2402">
        <v>392</v>
      </c>
      <c r="BD2402">
        <v>197</v>
      </c>
      <c r="BE2402">
        <v>216</v>
      </c>
      <c r="BF2402">
        <v>413</v>
      </c>
      <c r="BP2402">
        <v>427</v>
      </c>
      <c r="BR2402">
        <v>63</v>
      </c>
      <c r="BS2402">
        <v>99</v>
      </c>
      <c r="BT2402">
        <v>9</v>
      </c>
      <c r="BU2402">
        <v>6</v>
      </c>
      <c r="BV2402">
        <v>0</v>
      </c>
      <c r="BW2402">
        <v>604</v>
      </c>
      <c r="BX2402">
        <v>354</v>
      </c>
      <c r="BY2402">
        <v>0.70620000000000005</v>
      </c>
      <c r="BZ2402" s="6">
        <v>0.71</v>
      </c>
      <c r="CA2402" s="7">
        <v>45242</v>
      </c>
      <c r="CE2402">
        <v>178</v>
      </c>
      <c r="CF2402">
        <v>216</v>
      </c>
      <c r="CG2402">
        <v>210</v>
      </c>
      <c r="CI2402">
        <f t="shared" si="236"/>
        <v>2023</v>
      </c>
      <c r="CJ2402" t="str">
        <f t="shared" si="237"/>
        <v>4156_2023</v>
      </c>
    </row>
    <row r="2403" spans="1:88" x14ac:dyDescent="0.25">
      <c r="A2403" t="s">
        <v>111</v>
      </c>
      <c r="B2403" t="s">
        <v>114</v>
      </c>
      <c r="C2403">
        <v>4219</v>
      </c>
      <c r="D2403">
        <v>-37.837623999999998</v>
      </c>
      <c r="E2403">
        <v>145.037327</v>
      </c>
      <c r="F2403">
        <v>3</v>
      </c>
      <c r="G2403" t="s">
        <v>116</v>
      </c>
      <c r="H2403">
        <v>56</v>
      </c>
      <c r="I2403">
        <v>236</v>
      </c>
      <c r="J2403">
        <v>135</v>
      </c>
      <c r="K2403">
        <v>315</v>
      </c>
      <c r="L2403">
        <v>285</v>
      </c>
      <c r="M2403">
        <v>105</v>
      </c>
      <c r="T2403">
        <v>19</v>
      </c>
      <c r="U2403">
        <v>98</v>
      </c>
      <c r="Y2403">
        <v>19</v>
      </c>
      <c r="Z2403">
        <v>330</v>
      </c>
      <c r="AD2403">
        <v>56</v>
      </c>
      <c r="AE2403">
        <v>325</v>
      </c>
      <c r="AX2403">
        <v>117</v>
      </c>
      <c r="AY2403">
        <v>75</v>
      </c>
      <c r="AZ2403">
        <v>192</v>
      </c>
      <c r="BA2403">
        <v>349</v>
      </c>
      <c r="BB2403">
        <v>344</v>
      </c>
      <c r="BC2403">
        <v>693</v>
      </c>
      <c r="BD2403">
        <v>381</v>
      </c>
      <c r="BE2403">
        <v>428</v>
      </c>
      <c r="BF2403">
        <v>809</v>
      </c>
      <c r="BP2403">
        <v>523</v>
      </c>
      <c r="BR2403">
        <v>112</v>
      </c>
      <c r="BS2403">
        <v>173</v>
      </c>
      <c r="BT2403">
        <v>32</v>
      </c>
      <c r="BU2403">
        <v>7</v>
      </c>
      <c r="BV2403">
        <v>0</v>
      </c>
      <c r="BW2403">
        <v>847</v>
      </c>
      <c r="BX2403">
        <v>887</v>
      </c>
      <c r="BY2403">
        <v>-4.5100000000000001E-2</v>
      </c>
      <c r="BZ2403" s="6">
        <v>-0.05</v>
      </c>
      <c r="CA2403" s="7">
        <v>45242</v>
      </c>
      <c r="CE2403">
        <v>266</v>
      </c>
      <c r="CF2403">
        <v>309</v>
      </c>
      <c r="CG2403">
        <v>272</v>
      </c>
      <c r="CI2403">
        <f t="shared" si="236"/>
        <v>2023</v>
      </c>
      <c r="CJ2403" t="str">
        <f t="shared" si="237"/>
        <v>4219_2023</v>
      </c>
    </row>
    <row r="2404" spans="1:88" x14ac:dyDescent="0.25">
      <c r="A2404" t="s">
        <v>111</v>
      </c>
      <c r="B2404" t="s">
        <v>114</v>
      </c>
      <c r="C2404">
        <v>4927</v>
      </c>
      <c r="D2404">
        <v>-37.780675000000002</v>
      </c>
      <c r="E2404">
        <v>145.093906</v>
      </c>
      <c r="F2404">
        <v>4</v>
      </c>
      <c r="G2404" t="s">
        <v>145</v>
      </c>
      <c r="H2404">
        <v>3</v>
      </c>
      <c r="I2404">
        <v>183</v>
      </c>
      <c r="J2404">
        <v>115</v>
      </c>
      <c r="K2404">
        <v>295</v>
      </c>
      <c r="L2404">
        <v>180</v>
      </c>
      <c r="M2404">
        <v>360</v>
      </c>
      <c r="N2404">
        <v>299</v>
      </c>
      <c r="O2404">
        <v>119</v>
      </c>
      <c r="T2404">
        <v>29</v>
      </c>
      <c r="U2404">
        <v>11</v>
      </c>
      <c r="V2404">
        <v>14</v>
      </c>
      <c r="Y2404">
        <v>29</v>
      </c>
      <c r="Z2404">
        <v>4</v>
      </c>
      <c r="AA2404">
        <v>193</v>
      </c>
      <c r="AD2404">
        <v>13</v>
      </c>
      <c r="AE2404">
        <v>2</v>
      </c>
      <c r="AF2404">
        <v>2</v>
      </c>
      <c r="AI2404">
        <v>9</v>
      </c>
      <c r="AJ2404">
        <v>155</v>
      </c>
      <c r="AK2404">
        <v>6</v>
      </c>
      <c r="AX2404">
        <v>54</v>
      </c>
      <c r="AY2404">
        <v>51</v>
      </c>
      <c r="AZ2404">
        <v>105</v>
      </c>
      <c r="BA2404">
        <v>226</v>
      </c>
      <c r="BB2404">
        <v>186</v>
      </c>
      <c r="BC2404">
        <v>412</v>
      </c>
      <c r="BD2404">
        <v>17</v>
      </c>
      <c r="BE2404">
        <v>21</v>
      </c>
      <c r="BF2404">
        <v>38</v>
      </c>
      <c r="BG2404">
        <v>170</v>
      </c>
      <c r="BH2404">
        <v>209</v>
      </c>
      <c r="BI2404">
        <v>379</v>
      </c>
      <c r="BP2404">
        <v>241</v>
      </c>
      <c r="BR2404">
        <v>137</v>
      </c>
      <c r="BS2404">
        <v>49</v>
      </c>
      <c r="BT2404">
        <v>25</v>
      </c>
      <c r="BU2404">
        <v>8</v>
      </c>
      <c r="BV2404">
        <v>7</v>
      </c>
      <c r="BW2404">
        <v>467</v>
      </c>
      <c r="BX2404">
        <v>635</v>
      </c>
      <c r="BY2404">
        <v>-0.2646</v>
      </c>
      <c r="BZ2404" s="6">
        <v>-0.26</v>
      </c>
      <c r="CA2404" s="7">
        <v>45242</v>
      </c>
      <c r="CE2404">
        <v>137</v>
      </c>
      <c r="CF2404">
        <v>170</v>
      </c>
      <c r="CG2404">
        <v>160</v>
      </c>
      <c r="CI2404">
        <f t="shared" si="236"/>
        <v>2023</v>
      </c>
      <c r="CJ2404" t="str">
        <f t="shared" si="237"/>
        <v>4927_2023</v>
      </c>
    </row>
    <row r="2405" spans="1:88" x14ac:dyDescent="0.25">
      <c r="A2405" t="s">
        <v>111</v>
      </c>
      <c r="B2405" t="s">
        <v>114</v>
      </c>
      <c r="C2405">
        <v>5657</v>
      </c>
      <c r="D2405">
        <v>-37.788108999999999</v>
      </c>
      <c r="E2405">
        <v>145.02575400000001</v>
      </c>
      <c r="F2405">
        <v>4</v>
      </c>
      <c r="G2405" t="s">
        <v>239</v>
      </c>
      <c r="H2405">
        <v>25</v>
      </c>
      <c r="I2405">
        <v>205</v>
      </c>
      <c r="J2405">
        <v>83</v>
      </c>
      <c r="K2405">
        <v>263</v>
      </c>
      <c r="L2405">
        <v>167</v>
      </c>
      <c r="M2405">
        <v>347</v>
      </c>
      <c r="N2405">
        <v>286</v>
      </c>
      <c r="O2405">
        <v>106</v>
      </c>
      <c r="T2405">
        <v>5</v>
      </c>
      <c r="U2405">
        <v>128</v>
      </c>
      <c r="V2405">
        <v>16</v>
      </c>
      <c r="Y2405">
        <v>2</v>
      </c>
      <c r="Z2405">
        <v>14</v>
      </c>
      <c r="AA2405">
        <v>87</v>
      </c>
      <c r="AD2405">
        <v>119</v>
      </c>
      <c r="AE2405">
        <v>19</v>
      </c>
      <c r="AF2405">
        <v>120</v>
      </c>
      <c r="AI2405">
        <v>159</v>
      </c>
      <c r="AJ2405">
        <v>29</v>
      </c>
      <c r="AK2405">
        <v>110</v>
      </c>
      <c r="AX2405">
        <v>149</v>
      </c>
      <c r="AY2405">
        <v>280</v>
      </c>
      <c r="AZ2405">
        <v>429</v>
      </c>
      <c r="BA2405">
        <v>103</v>
      </c>
      <c r="BB2405">
        <v>53</v>
      </c>
      <c r="BC2405">
        <v>156</v>
      </c>
      <c r="BD2405">
        <v>258</v>
      </c>
      <c r="BE2405">
        <v>252</v>
      </c>
      <c r="BF2405">
        <v>510</v>
      </c>
      <c r="BG2405">
        <v>298</v>
      </c>
      <c r="BH2405">
        <v>223</v>
      </c>
      <c r="BI2405">
        <v>521</v>
      </c>
      <c r="BP2405">
        <v>620</v>
      </c>
      <c r="BR2405">
        <v>85</v>
      </c>
      <c r="BS2405">
        <v>72</v>
      </c>
      <c r="BT2405">
        <v>29</v>
      </c>
      <c r="BU2405">
        <v>0</v>
      </c>
      <c r="BV2405">
        <v>2</v>
      </c>
      <c r="BW2405">
        <v>808</v>
      </c>
      <c r="BX2405">
        <v>684</v>
      </c>
      <c r="BY2405">
        <v>0.18129999999999999</v>
      </c>
      <c r="BZ2405" s="6">
        <v>0.18</v>
      </c>
      <c r="CA2405" s="7">
        <v>45242</v>
      </c>
      <c r="CE2405">
        <v>279</v>
      </c>
      <c r="CF2405">
        <v>260</v>
      </c>
      <c r="CG2405">
        <v>269</v>
      </c>
      <c r="CI2405">
        <f t="shared" si="236"/>
        <v>2023</v>
      </c>
      <c r="CJ2405" t="str">
        <f t="shared" si="237"/>
        <v>5657_2023</v>
      </c>
    </row>
    <row r="2406" spans="1:88" x14ac:dyDescent="0.25">
      <c r="A2406" t="s">
        <v>111</v>
      </c>
      <c r="B2406" t="s">
        <v>114</v>
      </c>
      <c r="C2406">
        <v>5658</v>
      </c>
      <c r="D2406">
        <v>-37.781083000000002</v>
      </c>
      <c r="E2406">
        <v>145.062803</v>
      </c>
      <c r="F2406">
        <v>3</v>
      </c>
      <c r="G2406" t="s">
        <v>241</v>
      </c>
      <c r="H2406">
        <v>100</v>
      </c>
      <c r="I2406">
        <v>280</v>
      </c>
      <c r="J2406">
        <v>202</v>
      </c>
      <c r="K2406">
        <v>22</v>
      </c>
      <c r="L2406">
        <v>317</v>
      </c>
      <c r="M2406">
        <v>137</v>
      </c>
      <c r="T2406">
        <v>154</v>
      </c>
      <c r="U2406">
        <v>155</v>
      </c>
      <c r="Y2406">
        <v>123</v>
      </c>
      <c r="Z2406">
        <v>78</v>
      </c>
      <c r="AD2406">
        <v>115</v>
      </c>
      <c r="AE2406">
        <v>50</v>
      </c>
      <c r="AX2406">
        <v>309</v>
      </c>
      <c r="AY2406">
        <v>238</v>
      </c>
      <c r="AZ2406">
        <v>547</v>
      </c>
      <c r="BA2406">
        <v>201</v>
      </c>
      <c r="BB2406">
        <v>204</v>
      </c>
      <c r="BC2406">
        <v>405</v>
      </c>
      <c r="BD2406">
        <v>165</v>
      </c>
      <c r="BE2406">
        <v>233</v>
      </c>
      <c r="BF2406">
        <v>398</v>
      </c>
      <c r="BP2406">
        <v>336</v>
      </c>
      <c r="BR2406">
        <v>139</v>
      </c>
      <c r="BS2406">
        <v>171</v>
      </c>
      <c r="BT2406">
        <v>27</v>
      </c>
      <c r="BU2406">
        <v>2</v>
      </c>
      <c r="BV2406">
        <v>0</v>
      </c>
      <c r="BW2406">
        <v>675</v>
      </c>
      <c r="BX2406">
        <v>403</v>
      </c>
      <c r="BY2406">
        <v>0.67490000000000006</v>
      </c>
      <c r="BZ2406" s="6">
        <v>0.67</v>
      </c>
      <c r="CA2406" s="7">
        <v>45242</v>
      </c>
      <c r="CE2406">
        <v>228</v>
      </c>
      <c r="CF2406">
        <v>247</v>
      </c>
      <c r="CG2406">
        <v>200</v>
      </c>
      <c r="CI2406">
        <f t="shared" si="236"/>
        <v>2023</v>
      </c>
      <c r="CJ2406" t="str">
        <f t="shared" si="237"/>
        <v>5658_2023</v>
      </c>
    </row>
    <row r="2407" spans="1:88" x14ac:dyDescent="0.25">
      <c r="A2407" t="s">
        <v>111</v>
      </c>
      <c r="B2407" t="s">
        <v>114</v>
      </c>
      <c r="C2407">
        <v>5663</v>
      </c>
      <c r="D2407">
        <v>-37.855218999999998</v>
      </c>
      <c r="E2407">
        <v>145.05999700000001</v>
      </c>
      <c r="F2407">
        <v>3</v>
      </c>
      <c r="G2407" t="s">
        <v>247</v>
      </c>
      <c r="H2407">
        <v>31</v>
      </c>
      <c r="I2407">
        <v>211</v>
      </c>
      <c r="J2407">
        <v>185</v>
      </c>
      <c r="K2407">
        <v>5</v>
      </c>
      <c r="L2407">
        <v>293</v>
      </c>
      <c r="M2407">
        <v>113</v>
      </c>
      <c r="T2407">
        <v>14</v>
      </c>
      <c r="U2407">
        <v>0</v>
      </c>
      <c r="Y2407">
        <v>7</v>
      </c>
      <c r="Z2407">
        <v>238</v>
      </c>
      <c r="AD2407">
        <v>1</v>
      </c>
      <c r="AE2407">
        <v>208</v>
      </c>
      <c r="AX2407">
        <v>14</v>
      </c>
      <c r="AY2407">
        <v>8</v>
      </c>
      <c r="AZ2407">
        <v>22</v>
      </c>
      <c r="BA2407">
        <v>245</v>
      </c>
      <c r="BB2407">
        <v>222</v>
      </c>
      <c r="BC2407">
        <v>467</v>
      </c>
      <c r="BD2407">
        <v>209</v>
      </c>
      <c r="BE2407">
        <v>238</v>
      </c>
      <c r="BF2407">
        <v>447</v>
      </c>
      <c r="BP2407">
        <v>100</v>
      </c>
      <c r="BR2407">
        <v>195</v>
      </c>
      <c r="BS2407">
        <v>92</v>
      </c>
      <c r="BT2407">
        <v>78</v>
      </c>
      <c r="BU2407">
        <v>3</v>
      </c>
      <c r="BV2407">
        <v>0</v>
      </c>
      <c r="BW2407">
        <v>468</v>
      </c>
      <c r="BX2407">
        <v>1031</v>
      </c>
      <c r="BY2407">
        <v>-0.54610000000000003</v>
      </c>
      <c r="BZ2407" s="6">
        <v>-0.55000000000000004</v>
      </c>
      <c r="CA2407" s="7">
        <v>45242</v>
      </c>
      <c r="CE2407">
        <v>184</v>
      </c>
      <c r="CF2407">
        <v>129</v>
      </c>
      <c r="CG2407">
        <v>155</v>
      </c>
      <c r="CI2407">
        <f t="shared" si="236"/>
        <v>2023</v>
      </c>
      <c r="CJ2407" t="str">
        <f t="shared" si="237"/>
        <v>5663_2023</v>
      </c>
    </row>
    <row r="2408" spans="1:88" x14ac:dyDescent="0.25">
      <c r="A2408" t="s">
        <v>111</v>
      </c>
      <c r="B2408" t="s">
        <v>114</v>
      </c>
      <c r="C2408">
        <v>5667</v>
      </c>
      <c r="D2408">
        <v>-37.858635</v>
      </c>
      <c r="E2408">
        <v>145.08251899999999</v>
      </c>
      <c r="F2408">
        <v>3</v>
      </c>
      <c r="G2408" t="s">
        <v>250</v>
      </c>
      <c r="H2408">
        <v>15</v>
      </c>
      <c r="I2408">
        <v>195</v>
      </c>
      <c r="J2408">
        <v>198</v>
      </c>
      <c r="K2408">
        <v>18</v>
      </c>
      <c r="L2408">
        <v>264</v>
      </c>
      <c r="M2408">
        <v>84</v>
      </c>
      <c r="T2408">
        <v>141</v>
      </c>
      <c r="U2408">
        <v>34</v>
      </c>
      <c r="Y2408">
        <v>119</v>
      </c>
      <c r="Z2408">
        <v>139</v>
      </c>
      <c r="AD2408">
        <v>47</v>
      </c>
      <c r="AE2408">
        <v>88</v>
      </c>
      <c r="AX2408">
        <v>175</v>
      </c>
      <c r="AY2408">
        <v>166</v>
      </c>
      <c r="AZ2408">
        <v>341</v>
      </c>
      <c r="BA2408">
        <v>258</v>
      </c>
      <c r="BB2408">
        <v>229</v>
      </c>
      <c r="BC2408">
        <v>487</v>
      </c>
      <c r="BD2408">
        <v>135</v>
      </c>
      <c r="BE2408">
        <v>173</v>
      </c>
      <c r="BF2408">
        <v>308</v>
      </c>
      <c r="BP2408">
        <v>172</v>
      </c>
      <c r="BR2408">
        <v>244</v>
      </c>
      <c r="BS2408">
        <v>85</v>
      </c>
      <c r="BT2408">
        <v>56</v>
      </c>
      <c r="BU2408">
        <v>9</v>
      </c>
      <c r="BV2408">
        <v>2</v>
      </c>
      <c r="BW2408">
        <v>568</v>
      </c>
      <c r="BX2408">
        <v>534</v>
      </c>
      <c r="BY2408">
        <v>6.3700000000000007E-2</v>
      </c>
      <c r="BZ2408" s="6">
        <v>0.06</v>
      </c>
      <c r="CA2408" s="7">
        <v>45242</v>
      </c>
      <c r="CE2408">
        <v>191</v>
      </c>
      <c r="CF2408">
        <v>189</v>
      </c>
      <c r="CG2408">
        <v>188</v>
      </c>
      <c r="CI2408">
        <f t="shared" si="236"/>
        <v>2023</v>
      </c>
      <c r="CJ2408" t="str">
        <f t="shared" si="237"/>
        <v>5667_2023</v>
      </c>
    </row>
    <row r="2409" spans="1:88" x14ac:dyDescent="0.25">
      <c r="A2409" t="s">
        <v>111</v>
      </c>
      <c r="B2409" t="s">
        <v>114</v>
      </c>
      <c r="C2409">
        <v>5668</v>
      </c>
      <c r="D2409">
        <v>-37.824548999999998</v>
      </c>
      <c r="E2409">
        <v>145.069076</v>
      </c>
      <c r="F2409">
        <v>3</v>
      </c>
      <c r="G2409" t="s">
        <v>252</v>
      </c>
      <c r="H2409">
        <v>119</v>
      </c>
      <c r="I2409">
        <v>299</v>
      </c>
      <c r="J2409">
        <v>175</v>
      </c>
      <c r="K2409">
        <v>355</v>
      </c>
      <c r="L2409">
        <v>331</v>
      </c>
      <c r="M2409">
        <v>151</v>
      </c>
      <c r="T2409">
        <v>4</v>
      </c>
      <c r="U2409">
        <v>164</v>
      </c>
      <c r="Y2409">
        <v>37</v>
      </c>
      <c r="Z2409">
        <v>36</v>
      </c>
      <c r="AD2409">
        <v>186</v>
      </c>
      <c r="AE2409">
        <v>65</v>
      </c>
      <c r="AX2409">
        <v>168</v>
      </c>
      <c r="AY2409">
        <v>223</v>
      </c>
      <c r="AZ2409">
        <v>391</v>
      </c>
      <c r="BA2409">
        <v>73</v>
      </c>
      <c r="BB2409">
        <v>69</v>
      </c>
      <c r="BC2409">
        <v>142</v>
      </c>
      <c r="BD2409">
        <v>251</v>
      </c>
      <c r="BE2409">
        <v>200</v>
      </c>
      <c r="BF2409">
        <v>451</v>
      </c>
      <c r="BP2409">
        <v>152</v>
      </c>
      <c r="BR2409">
        <v>219</v>
      </c>
      <c r="BS2409">
        <v>82</v>
      </c>
      <c r="BT2409">
        <v>35</v>
      </c>
      <c r="BU2409">
        <v>4</v>
      </c>
      <c r="BV2409">
        <v>0</v>
      </c>
      <c r="BW2409">
        <v>492</v>
      </c>
      <c r="BX2409">
        <v>586</v>
      </c>
      <c r="BY2409">
        <v>-0.16039999999999999</v>
      </c>
      <c r="BZ2409" s="6">
        <v>-0.16</v>
      </c>
      <c r="CA2409" s="7">
        <v>45242</v>
      </c>
      <c r="CE2409">
        <v>147</v>
      </c>
      <c r="CF2409">
        <v>167</v>
      </c>
      <c r="CG2409">
        <v>178</v>
      </c>
      <c r="CI2409">
        <f t="shared" si="236"/>
        <v>2023</v>
      </c>
      <c r="CJ2409" t="str">
        <f t="shared" si="237"/>
        <v>5668_2023</v>
      </c>
    </row>
    <row r="2410" spans="1:88" x14ac:dyDescent="0.25">
      <c r="A2410" t="s">
        <v>111</v>
      </c>
      <c r="B2410" t="s">
        <v>114</v>
      </c>
      <c r="C2410">
        <v>5669</v>
      </c>
      <c r="D2410">
        <v>-37.796627999999998</v>
      </c>
      <c r="E2410">
        <v>145.04176100000001</v>
      </c>
      <c r="F2410">
        <v>4</v>
      </c>
      <c r="G2410" t="s">
        <v>254</v>
      </c>
      <c r="H2410">
        <v>111</v>
      </c>
      <c r="I2410">
        <v>291</v>
      </c>
      <c r="J2410">
        <v>149</v>
      </c>
      <c r="K2410">
        <v>329</v>
      </c>
      <c r="L2410">
        <v>290</v>
      </c>
      <c r="M2410">
        <v>110</v>
      </c>
      <c r="N2410">
        <v>356</v>
      </c>
      <c r="O2410">
        <v>176</v>
      </c>
      <c r="T2410">
        <v>9</v>
      </c>
      <c r="U2410">
        <v>79</v>
      </c>
      <c r="V2410">
        <v>41</v>
      </c>
      <c r="Y2410">
        <v>7</v>
      </c>
      <c r="Z2410">
        <v>9</v>
      </c>
      <c r="AA2410">
        <v>25</v>
      </c>
      <c r="AD2410">
        <v>79</v>
      </c>
      <c r="AE2410">
        <v>13</v>
      </c>
      <c r="AF2410">
        <v>12</v>
      </c>
      <c r="AI2410">
        <v>51</v>
      </c>
      <c r="AJ2410">
        <v>48</v>
      </c>
      <c r="AK2410">
        <v>7</v>
      </c>
      <c r="AX2410">
        <v>129</v>
      </c>
      <c r="AY2410">
        <v>137</v>
      </c>
      <c r="AZ2410">
        <v>266</v>
      </c>
      <c r="BA2410">
        <v>41</v>
      </c>
      <c r="BB2410">
        <v>70</v>
      </c>
      <c r="BC2410">
        <v>111</v>
      </c>
      <c r="BD2410">
        <v>104</v>
      </c>
      <c r="BE2410">
        <v>95</v>
      </c>
      <c r="BF2410">
        <v>199</v>
      </c>
      <c r="BG2410">
        <v>106</v>
      </c>
      <c r="BH2410">
        <v>78</v>
      </c>
      <c r="BI2410">
        <v>184</v>
      </c>
      <c r="BP2410">
        <v>121</v>
      </c>
      <c r="BR2410">
        <v>145</v>
      </c>
      <c r="BS2410">
        <v>59</v>
      </c>
      <c r="BT2410">
        <v>54</v>
      </c>
      <c r="BU2410">
        <v>0</v>
      </c>
      <c r="BV2410">
        <v>1</v>
      </c>
      <c r="BW2410">
        <v>380</v>
      </c>
      <c r="BX2410">
        <v>412</v>
      </c>
      <c r="BY2410">
        <v>-7.7700000000000005E-2</v>
      </c>
      <c r="BZ2410" s="6">
        <v>-0.08</v>
      </c>
      <c r="CA2410" s="7">
        <v>45242</v>
      </c>
      <c r="CE2410">
        <v>151</v>
      </c>
      <c r="CF2410">
        <v>132</v>
      </c>
      <c r="CG2410">
        <v>97</v>
      </c>
      <c r="CI2410">
        <f t="shared" si="236"/>
        <v>2023</v>
      </c>
      <c r="CJ2410" t="str">
        <f t="shared" si="237"/>
        <v>5669_2023</v>
      </c>
    </row>
    <row r="2411" spans="1:88" x14ac:dyDescent="0.25">
      <c r="A2411" t="s">
        <v>111</v>
      </c>
      <c r="B2411" t="s">
        <v>114</v>
      </c>
      <c r="C2411">
        <v>7433</v>
      </c>
      <c r="D2411">
        <v>-37.790047000000001</v>
      </c>
      <c r="E2411">
        <v>145.04287500000001</v>
      </c>
      <c r="F2411">
        <v>4</v>
      </c>
      <c r="G2411" t="s">
        <v>808</v>
      </c>
      <c r="H2411">
        <v>16</v>
      </c>
      <c r="I2411">
        <v>196</v>
      </c>
      <c r="J2411">
        <v>97</v>
      </c>
      <c r="K2411">
        <v>277</v>
      </c>
      <c r="L2411">
        <v>224</v>
      </c>
      <c r="M2411">
        <v>44</v>
      </c>
      <c r="N2411">
        <v>270</v>
      </c>
      <c r="O2411">
        <v>90</v>
      </c>
      <c r="T2411">
        <v>48</v>
      </c>
      <c r="U2411">
        <v>87</v>
      </c>
      <c r="V2411">
        <v>67</v>
      </c>
      <c r="Y2411">
        <v>52</v>
      </c>
      <c r="Z2411">
        <v>24</v>
      </c>
      <c r="AA2411">
        <v>147</v>
      </c>
      <c r="AD2411">
        <v>121</v>
      </c>
      <c r="AE2411">
        <v>26</v>
      </c>
      <c r="AF2411">
        <v>59</v>
      </c>
      <c r="AI2411">
        <v>107</v>
      </c>
      <c r="AJ2411">
        <v>138</v>
      </c>
      <c r="AK2411">
        <v>51</v>
      </c>
      <c r="AX2411">
        <v>202</v>
      </c>
      <c r="AY2411">
        <v>280</v>
      </c>
      <c r="AZ2411">
        <v>482</v>
      </c>
      <c r="BA2411">
        <v>223</v>
      </c>
      <c r="BB2411">
        <v>212</v>
      </c>
      <c r="BC2411">
        <v>435</v>
      </c>
      <c r="BD2411">
        <v>206</v>
      </c>
      <c r="BE2411">
        <v>162</v>
      </c>
      <c r="BF2411">
        <v>368</v>
      </c>
      <c r="BG2411">
        <v>296</v>
      </c>
      <c r="BH2411">
        <v>273</v>
      </c>
      <c r="BI2411">
        <v>569</v>
      </c>
      <c r="BP2411">
        <v>485</v>
      </c>
      <c r="BR2411">
        <v>226</v>
      </c>
      <c r="BS2411">
        <v>150</v>
      </c>
      <c r="BT2411">
        <v>65</v>
      </c>
      <c r="BU2411">
        <v>0</v>
      </c>
      <c r="BV2411">
        <v>1</v>
      </c>
      <c r="BW2411">
        <v>927</v>
      </c>
      <c r="BX2411">
        <v>782</v>
      </c>
      <c r="BY2411">
        <v>0.18540000000000001</v>
      </c>
      <c r="BZ2411" s="6">
        <v>0.19</v>
      </c>
      <c r="CA2411" s="7">
        <v>45242</v>
      </c>
      <c r="CE2411">
        <v>316</v>
      </c>
      <c r="CF2411">
        <v>338</v>
      </c>
      <c r="CG2411">
        <v>273</v>
      </c>
      <c r="CI2411">
        <f t="shared" si="236"/>
        <v>2023</v>
      </c>
      <c r="CJ2411" t="str">
        <f t="shared" si="237"/>
        <v>7433_2023</v>
      </c>
    </row>
    <row r="2412" spans="1:88" x14ac:dyDescent="0.25">
      <c r="A2412" t="s">
        <v>111</v>
      </c>
      <c r="B2412" t="s">
        <v>114</v>
      </c>
      <c r="C2412">
        <v>7716</v>
      </c>
      <c r="D2412">
        <v>-37.80545</v>
      </c>
      <c r="E2412">
        <v>145.00049999999999</v>
      </c>
      <c r="F2412">
        <v>5</v>
      </c>
      <c r="G2412" t="s">
        <v>920</v>
      </c>
      <c r="H2412">
        <v>90</v>
      </c>
      <c r="I2412">
        <v>270</v>
      </c>
      <c r="J2412">
        <v>150</v>
      </c>
      <c r="K2412">
        <v>330</v>
      </c>
      <c r="L2412">
        <v>225</v>
      </c>
      <c r="M2412">
        <v>45</v>
      </c>
      <c r="N2412">
        <v>270</v>
      </c>
      <c r="O2412">
        <v>90</v>
      </c>
      <c r="P2412">
        <v>330</v>
      </c>
      <c r="Q2412">
        <v>150</v>
      </c>
      <c r="T2412">
        <v>0</v>
      </c>
      <c r="U2412">
        <v>16</v>
      </c>
      <c r="V2412">
        <v>187</v>
      </c>
      <c r="W2412">
        <v>17</v>
      </c>
      <c r="Y2412">
        <v>1</v>
      </c>
      <c r="Z2412">
        <v>2</v>
      </c>
      <c r="AA2412">
        <v>28</v>
      </c>
      <c r="AB2412">
        <v>0</v>
      </c>
      <c r="AD2412">
        <v>9</v>
      </c>
      <c r="AE2412">
        <v>1</v>
      </c>
      <c r="AF2412">
        <v>36</v>
      </c>
      <c r="AG2412">
        <v>29</v>
      </c>
      <c r="AI2412">
        <v>191</v>
      </c>
      <c r="AJ2412">
        <v>41</v>
      </c>
      <c r="AK2412">
        <v>63</v>
      </c>
      <c r="AL2412">
        <v>60</v>
      </c>
      <c r="AN2412">
        <v>6</v>
      </c>
      <c r="AO2412">
        <v>0</v>
      </c>
      <c r="AP2412">
        <v>8</v>
      </c>
      <c r="AQ2412">
        <v>45</v>
      </c>
      <c r="AX2412">
        <v>220</v>
      </c>
      <c r="AY2412">
        <v>207</v>
      </c>
      <c r="AZ2412">
        <v>427</v>
      </c>
      <c r="BA2412">
        <v>31</v>
      </c>
      <c r="BB2412">
        <v>42</v>
      </c>
      <c r="BC2412">
        <v>73</v>
      </c>
      <c r="BD2412">
        <v>75</v>
      </c>
      <c r="BE2412">
        <v>89</v>
      </c>
      <c r="BF2412">
        <v>164</v>
      </c>
      <c r="BG2412">
        <v>355</v>
      </c>
      <c r="BH2412">
        <v>296</v>
      </c>
      <c r="BI2412">
        <v>651</v>
      </c>
      <c r="BJ2412">
        <v>59</v>
      </c>
      <c r="BK2412">
        <v>106</v>
      </c>
      <c r="BL2412">
        <v>165</v>
      </c>
      <c r="BP2412">
        <v>252</v>
      </c>
      <c r="BR2412">
        <v>274</v>
      </c>
      <c r="BS2412">
        <v>91</v>
      </c>
      <c r="BT2412">
        <v>120</v>
      </c>
      <c r="BU2412">
        <v>0</v>
      </c>
      <c r="BV2412">
        <v>3</v>
      </c>
      <c r="BW2412">
        <v>740</v>
      </c>
      <c r="BX2412">
        <v>593</v>
      </c>
      <c r="BY2412">
        <v>0.24790000000000001</v>
      </c>
      <c r="BZ2412" s="6">
        <v>0.25</v>
      </c>
      <c r="CA2412" s="7">
        <v>45242</v>
      </c>
      <c r="CE2412">
        <v>232</v>
      </c>
      <c r="CF2412">
        <v>252</v>
      </c>
      <c r="CG2412">
        <v>256</v>
      </c>
      <c r="CI2412">
        <f t="shared" si="236"/>
        <v>2023</v>
      </c>
      <c r="CJ2412" t="str">
        <f t="shared" si="237"/>
        <v>7716_2023</v>
      </c>
    </row>
    <row r="2413" spans="1:88" x14ac:dyDescent="0.25">
      <c r="A2413" t="s">
        <v>111</v>
      </c>
      <c r="B2413" t="s">
        <v>114</v>
      </c>
      <c r="C2413">
        <v>7899</v>
      </c>
      <c r="D2413">
        <v>-37.791136999999999</v>
      </c>
      <c r="E2413">
        <v>145.04120499999999</v>
      </c>
      <c r="F2413">
        <v>4</v>
      </c>
      <c r="G2413" t="s">
        <v>976</v>
      </c>
      <c r="H2413">
        <v>76</v>
      </c>
      <c r="I2413">
        <v>256</v>
      </c>
      <c r="J2413">
        <v>172</v>
      </c>
      <c r="K2413">
        <v>352</v>
      </c>
      <c r="L2413">
        <v>255</v>
      </c>
      <c r="M2413">
        <v>75</v>
      </c>
      <c r="N2413">
        <v>350</v>
      </c>
      <c r="O2413">
        <v>170</v>
      </c>
      <c r="T2413">
        <v>13</v>
      </c>
      <c r="U2413">
        <v>31</v>
      </c>
      <c r="V2413">
        <v>14</v>
      </c>
      <c r="Y2413">
        <v>3</v>
      </c>
      <c r="Z2413">
        <v>2</v>
      </c>
      <c r="AA2413">
        <v>123</v>
      </c>
      <c r="AD2413">
        <v>24</v>
      </c>
      <c r="AE2413">
        <v>9</v>
      </c>
      <c r="AF2413">
        <v>78</v>
      </c>
      <c r="AI2413">
        <v>14</v>
      </c>
      <c r="AJ2413">
        <v>117</v>
      </c>
      <c r="AK2413">
        <v>58</v>
      </c>
      <c r="AX2413">
        <v>58</v>
      </c>
      <c r="AY2413">
        <v>41</v>
      </c>
      <c r="AZ2413">
        <v>99</v>
      </c>
      <c r="BA2413">
        <v>128</v>
      </c>
      <c r="BB2413">
        <v>139</v>
      </c>
      <c r="BC2413">
        <v>267</v>
      </c>
      <c r="BD2413">
        <v>111</v>
      </c>
      <c r="BE2413">
        <v>91</v>
      </c>
      <c r="BF2413">
        <v>202</v>
      </c>
      <c r="BG2413">
        <v>189</v>
      </c>
      <c r="BH2413">
        <v>215</v>
      </c>
      <c r="BI2413">
        <v>404</v>
      </c>
      <c r="BP2413">
        <v>170</v>
      </c>
      <c r="BR2413">
        <v>199</v>
      </c>
      <c r="BS2413">
        <v>42</v>
      </c>
      <c r="BT2413">
        <v>73</v>
      </c>
      <c r="BU2413">
        <v>1</v>
      </c>
      <c r="BV2413">
        <v>1</v>
      </c>
      <c r="BW2413">
        <v>486</v>
      </c>
      <c r="CA2413" s="7">
        <v>45242</v>
      </c>
      <c r="CE2413">
        <v>166</v>
      </c>
      <c r="CF2413">
        <v>191</v>
      </c>
      <c r="CG2413">
        <v>129</v>
      </c>
      <c r="CI2413">
        <f t="shared" si="236"/>
        <v>2023</v>
      </c>
      <c r="CJ2413" t="str">
        <f t="shared" si="237"/>
        <v>7899_2023</v>
      </c>
    </row>
    <row r="2414" spans="1:88" x14ac:dyDescent="0.25">
      <c r="A2414" t="s">
        <v>111</v>
      </c>
      <c r="B2414" t="s">
        <v>114</v>
      </c>
      <c r="C2414">
        <v>7900</v>
      </c>
      <c r="D2414">
        <v>-37.788639000000003</v>
      </c>
      <c r="E2414">
        <v>145.05969400000001</v>
      </c>
      <c r="F2414">
        <v>3</v>
      </c>
      <c r="G2414" t="s">
        <v>977</v>
      </c>
      <c r="H2414">
        <v>5</v>
      </c>
      <c r="I2414">
        <v>185</v>
      </c>
      <c r="J2414">
        <v>180</v>
      </c>
      <c r="K2414">
        <v>360</v>
      </c>
      <c r="L2414">
        <v>267</v>
      </c>
      <c r="M2414">
        <v>87</v>
      </c>
      <c r="T2414">
        <v>78</v>
      </c>
      <c r="U2414">
        <v>9</v>
      </c>
      <c r="Y2414">
        <v>161</v>
      </c>
      <c r="Z2414">
        <v>10</v>
      </c>
      <c r="AD2414">
        <v>11</v>
      </c>
      <c r="AE2414">
        <v>33</v>
      </c>
      <c r="AX2414">
        <v>87</v>
      </c>
      <c r="AY2414">
        <v>172</v>
      </c>
      <c r="AZ2414">
        <v>259</v>
      </c>
      <c r="BA2414">
        <v>171</v>
      </c>
      <c r="BB2414">
        <v>111</v>
      </c>
      <c r="BC2414">
        <v>282</v>
      </c>
      <c r="BD2414">
        <v>44</v>
      </c>
      <c r="BE2414">
        <v>19</v>
      </c>
      <c r="BF2414">
        <v>63</v>
      </c>
      <c r="BP2414">
        <v>38</v>
      </c>
      <c r="BR2414">
        <v>124</v>
      </c>
      <c r="BS2414">
        <v>45</v>
      </c>
      <c r="BT2414">
        <v>95</v>
      </c>
      <c r="BU2414">
        <v>0</v>
      </c>
      <c r="BV2414">
        <v>0</v>
      </c>
      <c r="BW2414">
        <v>302</v>
      </c>
      <c r="CA2414" s="7">
        <v>45242</v>
      </c>
      <c r="CE2414">
        <v>92</v>
      </c>
      <c r="CF2414">
        <v>130</v>
      </c>
      <c r="CG2414">
        <v>80</v>
      </c>
      <c r="CI2414">
        <f t="shared" si="236"/>
        <v>2023</v>
      </c>
      <c r="CJ2414" t="str">
        <f t="shared" si="237"/>
        <v>7900_2023</v>
      </c>
    </row>
    <row r="2415" spans="1:88" x14ac:dyDescent="0.25">
      <c r="A2415" t="s">
        <v>111</v>
      </c>
      <c r="B2415" t="s">
        <v>114</v>
      </c>
      <c r="C2415">
        <v>7901</v>
      </c>
      <c r="D2415">
        <v>-37.853650999999999</v>
      </c>
      <c r="E2415">
        <v>145.06738200000001</v>
      </c>
      <c r="F2415">
        <v>4</v>
      </c>
      <c r="G2415" t="s">
        <v>978</v>
      </c>
      <c r="H2415">
        <v>7</v>
      </c>
      <c r="I2415">
        <v>187</v>
      </c>
      <c r="J2415">
        <v>95</v>
      </c>
      <c r="K2415">
        <v>275</v>
      </c>
      <c r="L2415">
        <v>187</v>
      </c>
      <c r="M2415">
        <v>7</v>
      </c>
      <c r="N2415">
        <v>275</v>
      </c>
      <c r="O2415">
        <v>95</v>
      </c>
      <c r="T2415">
        <v>10</v>
      </c>
      <c r="U2415">
        <v>69</v>
      </c>
      <c r="V2415">
        <v>20</v>
      </c>
      <c r="Y2415">
        <v>8</v>
      </c>
      <c r="Z2415">
        <v>23</v>
      </c>
      <c r="AA2415">
        <v>146</v>
      </c>
      <c r="AD2415">
        <v>35</v>
      </c>
      <c r="AE2415">
        <v>17</v>
      </c>
      <c r="AF2415">
        <v>49</v>
      </c>
      <c r="AI2415">
        <v>30</v>
      </c>
      <c r="AJ2415">
        <v>188</v>
      </c>
      <c r="AK2415">
        <v>69</v>
      </c>
      <c r="AX2415">
        <v>99</v>
      </c>
      <c r="AY2415">
        <v>73</v>
      </c>
      <c r="AZ2415">
        <v>172</v>
      </c>
      <c r="BA2415">
        <v>177</v>
      </c>
      <c r="BB2415">
        <v>215</v>
      </c>
      <c r="BC2415">
        <v>392</v>
      </c>
      <c r="BD2415">
        <v>101</v>
      </c>
      <c r="BE2415">
        <v>161</v>
      </c>
      <c r="BF2415">
        <v>262</v>
      </c>
      <c r="BG2415">
        <v>287</v>
      </c>
      <c r="BH2415">
        <v>215</v>
      </c>
      <c r="BI2415">
        <v>502</v>
      </c>
      <c r="BP2415">
        <v>84</v>
      </c>
      <c r="BR2415">
        <v>386</v>
      </c>
      <c r="BS2415">
        <v>91</v>
      </c>
      <c r="BT2415">
        <v>101</v>
      </c>
      <c r="BU2415">
        <v>2</v>
      </c>
      <c r="BV2415">
        <v>0</v>
      </c>
      <c r="BW2415">
        <v>664</v>
      </c>
      <c r="CA2415" s="7">
        <v>45242</v>
      </c>
      <c r="CE2415">
        <v>223</v>
      </c>
      <c r="CF2415">
        <v>256</v>
      </c>
      <c r="CG2415">
        <v>185</v>
      </c>
      <c r="CI2415">
        <f t="shared" si="236"/>
        <v>2023</v>
      </c>
      <c r="CJ2415" t="str">
        <f t="shared" si="237"/>
        <v>7901_2023</v>
      </c>
    </row>
    <row r="2416" spans="1:88" x14ac:dyDescent="0.25">
      <c r="A2416" t="s">
        <v>111</v>
      </c>
      <c r="B2416" t="s">
        <v>114</v>
      </c>
      <c r="C2416">
        <v>7902</v>
      </c>
      <c r="D2416">
        <v>-37.852246000000001</v>
      </c>
      <c r="E2416">
        <v>145.069906</v>
      </c>
      <c r="F2416">
        <v>3</v>
      </c>
      <c r="G2416" t="s">
        <v>979</v>
      </c>
      <c r="H2416">
        <v>86</v>
      </c>
      <c r="I2416">
        <v>266</v>
      </c>
      <c r="J2416">
        <v>222</v>
      </c>
      <c r="K2416">
        <v>42</v>
      </c>
      <c r="L2416">
        <v>290</v>
      </c>
      <c r="M2416">
        <v>110</v>
      </c>
      <c r="T2416">
        <v>93</v>
      </c>
      <c r="U2416">
        <v>6</v>
      </c>
      <c r="Y2416">
        <v>87</v>
      </c>
      <c r="Z2416">
        <v>1</v>
      </c>
      <c r="AD2416">
        <v>12</v>
      </c>
      <c r="AE2416">
        <v>1</v>
      </c>
      <c r="AX2416">
        <v>99</v>
      </c>
      <c r="AY2416">
        <v>99</v>
      </c>
      <c r="AZ2416">
        <v>198</v>
      </c>
      <c r="BA2416">
        <v>88</v>
      </c>
      <c r="BB2416">
        <v>94</v>
      </c>
      <c r="BC2416">
        <v>182</v>
      </c>
      <c r="BD2416">
        <v>13</v>
      </c>
      <c r="BE2416">
        <v>7</v>
      </c>
      <c r="BF2416">
        <v>20</v>
      </c>
      <c r="BP2416">
        <v>32</v>
      </c>
      <c r="BR2416">
        <v>67</v>
      </c>
      <c r="BS2416">
        <v>18</v>
      </c>
      <c r="BT2416">
        <v>71</v>
      </c>
      <c r="BU2416">
        <v>0</v>
      </c>
      <c r="BV2416">
        <v>12</v>
      </c>
      <c r="BW2416">
        <v>200</v>
      </c>
      <c r="CA2416" s="7">
        <v>45242</v>
      </c>
      <c r="CE2416">
        <v>73</v>
      </c>
      <c r="CF2416">
        <v>68</v>
      </c>
      <c r="CG2416">
        <v>59</v>
      </c>
      <c r="CI2416">
        <f t="shared" si="236"/>
        <v>2023</v>
      </c>
      <c r="CJ2416" t="str">
        <f t="shared" si="237"/>
        <v>7902_2023</v>
      </c>
    </row>
    <row r="2417" spans="1:88" x14ac:dyDescent="0.25">
      <c r="A2417" t="s">
        <v>111</v>
      </c>
      <c r="B2417" t="s">
        <v>114</v>
      </c>
      <c r="C2417">
        <v>7903</v>
      </c>
      <c r="D2417">
        <v>-37.875495000000001</v>
      </c>
      <c r="E2417">
        <v>145.07358300000001</v>
      </c>
      <c r="F2417">
        <v>4</v>
      </c>
      <c r="G2417" t="s">
        <v>980</v>
      </c>
      <c r="H2417">
        <v>1</v>
      </c>
      <c r="I2417">
        <v>181</v>
      </c>
      <c r="J2417">
        <v>90</v>
      </c>
      <c r="K2417">
        <v>270</v>
      </c>
      <c r="L2417">
        <v>180</v>
      </c>
      <c r="M2417">
        <v>360</v>
      </c>
      <c r="N2417">
        <v>270</v>
      </c>
      <c r="O2417">
        <v>90</v>
      </c>
      <c r="T2417">
        <v>2</v>
      </c>
      <c r="U2417">
        <v>253</v>
      </c>
      <c r="V2417">
        <v>0</v>
      </c>
      <c r="Y2417">
        <v>7</v>
      </c>
      <c r="Z2417">
        <v>24</v>
      </c>
      <c r="AA2417">
        <v>3</v>
      </c>
      <c r="AD2417">
        <v>298</v>
      </c>
      <c r="AE2417">
        <v>41</v>
      </c>
      <c r="AF2417">
        <v>0</v>
      </c>
      <c r="AI2417">
        <v>12</v>
      </c>
      <c r="AJ2417">
        <v>1</v>
      </c>
      <c r="AK2417">
        <v>1</v>
      </c>
      <c r="AX2417">
        <v>255</v>
      </c>
      <c r="AY2417">
        <v>317</v>
      </c>
      <c r="AZ2417">
        <v>572</v>
      </c>
      <c r="BA2417">
        <v>34</v>
      </c>
      <c r="BB2417">
        <v>44</v>
      </c>
      <c r="BC2417">
        <v>78</v>
      </c>
      <c r="BD2417">
        <v>339</v>
      </c>
      <c r="BE2417">
        <v>278</v>
      </c>
      <c r="BF2417">
        <v>617</v>
      </c>
      <c r="BG2417">
        <v>14</v>
      </c>
      <c r="BH2417">
        <v>3</v>
      </c>
      <c r="BI2417">
        <v>17</v>
      </c>
      <c r="BP2417">
        <v>297</v>
      </c>
      <c r="BR2417">
        <v>194</v>
      </c>
      <c r="BS2417">
        <v>104</v>
      </c>
      <c r="BT2417">
        <v>36</v>
      </c>
      <c r="BU2417">
        <v>11</v>
      </c>
      <c r="BV2417">
        <v>0</v>
      </c>
      <c r="BW2417">
        <v>642</v>
      </c>
      <c r="CA2417" s="7">
        <v>45242</v>
      </c>
      <c r="CE2417">
        <v>213</v>
      </c>
      <c r="CF2417">
        <v>248</v>
      </c>
      <c r="CG2417">
        <v>181</v>
      </c>
      <c r="CI2417">
        <f t="shared" si="236"/>
        <v>2023</v>
      </c>
      <c r="CJ2417" t="str">
        <f t="shared" si="237"/>
        <v>7903_2023</v>
      </c>
    </row>
    <row r="2418" spans="1:88" x14ac:dyDescent="0.25">
      <c r="A2418" t="s">
        <v>111</v>
      </c>
      <c r="B2418" t="s">
        <v>114</v>
      </c>
      <c r="C2418">
        <v>7904</v>
      </c>
      <c r="D2418">
        <v>-37.798499</v>
      </c>
      <c r="E2418">
        <v>145.04732200000001</v>
      </c>
      <c r="F2418">
        <v>3</v>
      </c>
      <c r="G2418" t="s">
        <v>981</v>
      </c>
      <c r="H2418">
        <v>117</v>
      </c>
      <c r="I2418">
        <v>297</v>
      </c>
      <c r="J2418">
        <v>245</v>
      </c>
      <c r="K2418">
        <v>65</v>
      </c>
      <c r="L2418">
        <v>345</v>
      </c>
      <c r="M2418">
        <v>165</v>
      </c>
      <c r="T2418">
        <v>8</v>
      </c>
      <c r="U2418">
        <v>95</v>
      </c>
      <c r="Y2418">
        <v>13</v>
      </c>
      <c r="Z2418">
        <v>7</v>
      </c>
      <c r="AD2418">
        <v>87</v>
      </c>
      <c r="AE2418">
        <v>10</v>
      </c>
      <c r="AX2418">
        <v>103</v>
      </c>
      <c r="AY2418">
        <v>100</v>
      </c>
      <c r="AZ2418">
        <v>203</v>
      </c>
      <c r="BA2418">
        <v>20</v>
      </c>
      <c r="BB2418">
        <v>18</v>
      </c>
      <c r="BC2418">
        <v>38</v>
      </c>
      <c r="BD2418">
        <v>97</v>
      </c>
      <c r="BE2418">
        <v>102</v>
      </c>
      <c r="BF2418">
        <v>199</v>
      </c>
      <c r="BP2418">
        <v>98</v>
      </c>
      <c r="BR2418">
        <v>54</v>
      </c>
      <c r="BS2418">
        <v>42</v>
      </c>
      <c r="BT2418">
        <v>25</v>
      </c>
      <c r="BU2418">
        <v>0</v>
      </c>
      <c r="BV2418">
        <v>1</v>
      </c>
      <c r="BW2418">
        <v>220</v>
      </c>
      <c r="CA2418" s="7">
        <v>45242</v>
      </c>
      <c r="CE2418">
        <v>79</v>
      </c>
      <c r="CF2418">
        <v>80</v>
      </c>
      <c r="CG2418">
        <v>61</v>
      </c>
      <c r="CI2418">
        <f t="shared" si="236"/>
        <v>2023</v>
      </c>
      <c r="CJ2418" t="str">
        <f t="shared" si="237"/>
        <v>7904_2023</v>
      </c>
    </row>
    <row r="2419" spans="1:88" x14ac:dyDescent="0.25">
      <c r="A2419" t="s">
        <v>111</v>
      </c>
      <c r="B2419" t="s">
        <v>982</v>
      </c>
      <c r="C2419">
        <v>7968</v>
      </c>
      <c r="D2419">
        <v>-36.360075999999999</v>
      </c>
      <c r="E2419">
        <v>144.7029</v>
      </c>
      <c r="F2419">
        <v>4</v>
      </c>
      <c r="G2419" t="s">
        <v>983</v>
      </c>
      <c r="H2419">
        <v>76</v>
      </c>
      <c r="I2419">
        <v>256</v>
      </c>
      <c r="J2419">
        <v>145</v>
      </c>
      <c r="K2419">
        <v>325</v>
      </c>
      <c r="L2419">
        <v>270</v>
      </c>
      <c r="M2419">
        <v>90</v>
      </c>
      <c r="N2419">
        <v>332</v>
      </c>
      <c r="O2419">
        <v>152</v>
      </c>
      <c r="T2419">
        <v>18</v>
      </c>
      <c r="U2419">
        <v>15</v>
      </c>
      <c r="V2419">
        <v>4</v>
      </c>
      <c r="Y2419">
        <v>6</v>
      </c>
      <c r="Z2419">
        <v>0</v>
      </c>
      <c r="AA2419">
        <v>2</v>
      </c>
      <c r="AD2419">
        <v>19</v>
      </c>
      <c r="AE2419">
        <v>3</v>
      </c>
      <c r="AF2419">
        <v>10</v>
      </c>
      <c r="AI2419">
        <v>4</v>
      </c>
      <c r="AJ2419">
        <v>3</v>
      </c>
      <c r="AK2419">
        <v>7</v>
      </c>
      <c r="AX2419">
        <v>37</v>
      </c>
      <c r="AY2419">
        <v>29</v>
      </c>
      <c r="AZ2419">
        <v>66</v>
      </c>
      <c r="BA2419">
        <v>8</v>
      </c>
      <c r="BB2419">
        <v>24</v>
      </c>
      <c r="BC2419">
        <v>32</v>
      </c>
      <c r="BD2419">
        <v>32</v>
      </c>
      <c r="BE2419">
        <v>22</v>
      </c>
      <c r="BF2419">
        <v>54</v>
      </c>
      <c r="BG2419">
        <v>14</v>
      </c>
      <c r="BH2419">
        <v>16</v>
      </c>
      <c r="BI2419">
        <v>30</v>
      </c>
      <c r="BP2419">
        <v>16</v>
      </c>
      <c r="BR2419">
        <v>54</v>
      </c>
      <c r="BS2419">
        <v>1</v>
      </c>
      <c r="BT2419">
        <v>16</v>
      </c>
      <c r="BU2419">
        <v>4</v>
      </c>
      <c r="BV2419">
        <v>0</v>
      </c>
      <c r="BW2419">
        <v>91</v>
      </c>
      <c r="CA2419" s="7">
        <v>45242</v>
      </c>
      <c r="CE2419">
        <v>35</v>
      </c>
      <c r="CF2419">
        <v>29</v>
      </c>
      <c r="CG2419">
        <v>27</v>
      </c>
      <c r="CI2419">
        <f t="shared" si="236"/>
        <v>2023</v>
      </c>
      <c r="CJ2419" t="str">
        <f t="shared" si="237"/>
        <v>7968_2023</v>
      </c>
    </row>
    <row r="2420" spans="1:88" x14ac:dyDescent="0.25">
      <c r="A2420" t="s">
        <v>111</v>
      </c>
      <c r="B2420" t="s">
        <v>982</v>
      </c>
      <c r="C2420">
        <v>7969</v>
      </c>
      <c r="D2420">
        <v>-36.586576000000001</v>
      </c>
      <c r="E2420">
        <v>145.015704</v>
      </c>
      <c r="F2420">
        <v>4</v>
      </c>
      <c r="G2420" t="s">
        <v>984</v>
      </c>
      <c r="H2420">
        <v>98</v>
      </c>
      <c r="I2420">
        <v>278</v>
      </c>
      <c r="J2420">
        <v>168</v>
      </c>
      <c r="K2420">
        <v>348</v>
      </c>
      <c r="L2420">
        <v>279</v>
      </c>
      <c r="M2420">
        <v>99</v>
      </c>
      <c r="N2420">
        <v>351</v>
      </c>
      <c r="O2420">
        <v>171</v>
      </c>
      <c r="T2420">
        <v>3</v>
      </c>
      <c r="U2420">
        <v>8</v>
      </c>
      <c r="V2420">
        <v>10</v>
      </c>
      <c r="Y2420">
        <v>6</v>
      </c>
      <c r="Z2420">
        <v>5</v>
      </c>
      <c r="AA2420">
        <v>32</v>
      </c>
      <c r="AD2420">
        <v>15</v>
      </c>
      <c r="AE2420">
        <v>8</v>
      </c>
      <c r="AF2420">
        <v>1</v>
      </c>
      <c r="AI2420">
        <v>11</v>
      </c>
      <c r="AJ2420">
        <v>13</v>
      </c>
      <c r="AK2420">
        <v>5</v>
      </c>
      <c r="AX2420">
        <v>21</v>
      </c>
      <c r="AY2420">
        <v>32</v>
      </c>
      <c r="AZ2420">
        <v>53</v>
      </c>
      <c r="BA2420">
        <v>43</v>
      </c>
      <c r="BB2420">
        <v>24</v>
      </c>
      <c r="BC2420">
        <v>67</v>
      </c>
      <c r="BD2420">
        <v>24</v>
      </c>
      <c r="BE2420">
        <v>18</v>
      </c>
      <c r="BF2420">
        <v>42</v>
      </c>
      <c r="BG2420">
        <v>29</v>
      </c>
      <c r="BH2420">
        <v>43</v>
      </c>
      <c r="BI2420">
        <v>72</v>
      </c>
      <c r="BP2420">
        <v>10</v>
      </c>
      <c r="BR2420">
        <v>93</v>
      </c>
      <c r="BS2420">
        <v>0</v>
      </c>
      <c r="BT2420">
        <v>11</v>
      </c>
      <c r="BU2420">
        <v>3</v>
      </c>
      <c r="BV2420">
        <v>0</v>
      </c>
      <c r="BW2420">
        <v>117</v>
      </c>
      <c r="CA2420" s="7">
        <v>45242</v>
      </c>
      <c r="CE2420">
        <v>37</v>
      </c>
      <c r="CF2420">
        <v>34</v>
      </c>
      <c r="CG2420">
        <v>46</v>
      </c>
      <c r="CI2420">
        <f t="shared" si="236"/>
        <v>2023</v>
      </c>
      <c r="CJ2420" t="str">
        <f t="shared" si="237"/>
        <v>7969_2023</v>
      </c>
    </row>
    <row r="2421" spans="1:88" x14ac:dyDescent="0.25">
      <c r="A2421" t="s">
        <v>111</v>
      </c>
      <c r="B2421" t="s">
        <v>982</v>
      </c>
      <c r="C2421">
        <v>7970</v>
      </c>
      <c r="D2421">
        <v>-36.124955</v>
      </c>
      <c r="E2421">
        <v>144.752273</v>
      </c>
      <c r="F2421">
        <v>4</v>
      </c>
      <c r="G2421" t="s">
        <v>985</v>
      </c>
      <c r="H2421">
        <v>32</v>
      </c>
      <c r="I2421">
        <v>212</v>
      </c>
      <c r="J2421">
        <v>120</v>
      </c>
      <c r="K2421">
        <v>300</v>
      </c>
      <c r="L2421">
        <v>221</v>
      </c>
      <c r="M2421">
        <v>41</v>
      </c>
      <c r="N2421">
        <v>300</v>
      </c>
      <c r="O2421">
        <v>120</v>
      </c>
      <c r="T2421">
        <v>1</v>
      </c>
      <c r="U2421">
        <v>20</v>
      </c>
      <c r="V2421">
        <v>31</v>
      </c>
      <c r="Y2421">
        <v>9</v>
      </c>
      <c r="Z2421">
        <v>1</v>
      </c>
      <c r="AA2421">
        <v>9</v>
      </c>
      <c r="AD2421">
        <v>13</v>
      </c>
      <c r="AE2421">
        <v>0</v>
      </c>
      <c r="AF2421">
        <v>2</v>
      </c>
      <c r="AI2421">
        <v>44</v>
      </c>
      <c r="AJ2421">
        <v>16</v>
      </c>
      <c r="AK2421">
        <v>0</v>
      </c>
      <c r="AX2421">
        <v>52</v>
      </c>
      <c r="AY2421">
        <v>66</v>
      </c>
      <c r="AZ2421">
        <v>118</v>
      </c>
      <c r="BA2421">
        <v>19</v>
      </c>
      <c r="BB2421">
        <v>17</v>
      </c>
      <c r="BC2421">
        <v>36</v>
      </c>
      <c r="BD2421">
        <v>15</v>
      </c>
      <c r="BE2421">
        <v>21</v>
      </c>
      <c r="BF2421">
        <v>36</v>
      </c>
      <c r="BG2421">
        <v>60</v>
      </c>
      <c r="BH2421">
        <v>42</v>
      </c>
      <c r="BI2421">
        <v>102</v>
      </c>
      <c r="BP2421">
        <v>70</v>
      </c>
      <c r="BR2421">
        <v>47</v>
      </c>
      <c r="BS2421">
        <v>16</v>
      </c>
      <c r="BT2421">
        <v>9</v>
      </c>
      <c r="BU2421">
        <v>4</v>
      </c>
      <c r="BV2421">
        <v>0</v>
      </c>
      <c r="BW2421">
        <v>146</v>
      </c>
      <c r="CA2421" s="7">
        <v>45242</v>
      </c>
      <c r="CE2421">
        <v>63</v>
      </c>
      <c r="CF2421">
        <v>51</v>
      </c>
      <c r="CG2421">
        <v>32</v>
      </c>
      <c r="CI2421">
        <f t="shared" si="236"/>
        <v>2023</v>
      </c>
      <c r="CJ2421" t="str">
        <f t="shared" si="237"/>
        <v>7970_2023</v>
      </c>
    </row>
    <row r="2422" spans="1:88" x14ac:dyDescent="0.25">
      <c r="A2422" t="s">
        <v>111</v>
      </c>
      <c r="B2422" t="s">
        <v>982</v>
      </c>
      <c r="C2422">
        <v>7971</v>
      </c>
      <c r="D2422">
        <v>-36.140540000000001</v>
      </c>
      <c r="E2422">
        <v>144.729725</v>
      </c>
      <c r="F2422">
        <v>4</v>
      </c>
      <c r="G2422" t="s">
        <v>986</v>
      </c>
      <c r="H2422">
        <v>90</v>
      </c>
      <c r="I2422">
        <v>270</v>
      </c>
      <c r="J2422">
        <v>175</v>
      </c>
      <c r="K2422">
        <v>355</v>
      </c>
      <c r="L2422">
        <v>270</v>
      </c>
      <c r="M2422">
        <v>90</v>
      </c>
      <c r="N2422">
        <v>355</v>
      </c>
      <c r="O2422">
        <v>175</v>
      </c>
      <c r="T2422">
        <v>3</v>
      </c>
      <c r="U2422">
        <v>3</v>
      </c>
      <c r="V2422">
        <v>0</v>
      </c>
      <c r="Y2422">
        <v>7</v>
      </c>
      <c r="Z2422">
        <v>8</v>
      </c>
      <c r="AA2422">
        <v>3</v>
      </c>
      <c r="AD2422">
        <v>2</v>
      </c>
      <c r="AE2422">
        <v>2</v>
      </c>
      <c r="AF2422">
        <v>2</v>
      </c>
      <c r="AI2422">
        <v>2</v>
      </c>
      <c r="AJ2422">
        <v>3</v>
      </c>
      <c r="AK2422">
        <v>3</v>
      </c>
      <c r="AX2422">
        <v>6</v>
      </c>
      <c r="AY2422">
        <v>11</v>
      </c>
      <c r="AZ2422">
        <v>17</v>
      </c>
      <c r="BA2422">
        <v>18</v>
      </c>
      <c r="BB2422">
        <v>8</v>
      </c>
      <c r="BC2422">
        <v>26</v>
      </c>
      <c r="BD2422">
        <v>6</v>
      </c>
      <c r="BE2422">
        <v>14</v>
      </c>
      <c r="BF2422">
        <v>20</v>
      </c>
      <c r="BG2422">
        <v>8</v>
      </c>
      <c r="BH2422">
        <v>5</v>
      </c>
      <c r="BI2422">
        <v>13</v>
      </c>
      <c r="BP2422">
        <v>13</v>
      </c>
      <c r="BR2422">
        <v>17</v>
      </c>
      <c r="BS2422">
        <v>0</v>
      </c>
      <c r="BT2422">
        <v>5</v>
      </c>
      <c r="BU2422">
        <v>3</v>
      </c>
      <c r="BV2422">
        <v>0</v>
      </c>
      <c r="BW2422">
        <v>38</v>
      </c>
      <c r="CA2422" s="7">
        <v>45242</v>
      </c>
      <c r="CE2422">
        <v>16</v>
      </c>
      <c r="CF2422">
        <v>9</v>
      </c>
      <c r="CG2422">
        <v>13</v>
      </c>
      <c r="CI2422">
        <f t="shared" si="236"/>
        <v>2023</v>
      </c>
      <c r="CJ2422" t="str">
        <f t="shared" si="237"/>
        <v>7971_2023</v>
      </c>
    </row>
    <row r="2423" spans="1:88" x14ac:dyDescent="0.25">
      <c r="A2423" t="s">
        <v>79</v>
      </c>
      <c r="B2423" t="s">
        <v>439</v>
      </c>
      <c r="C2423">
        <v>6255</v>
      </c>
      <c r="D2423">
        <v>-33.915100000000002</v>
      </c>
      <c r="E2423">
        <v>151.13485299999999</v>
      </c>
      <c r="F2423">
        <v>5</v>
      </c>
      <c r="G2423" t="s">
        <v>440</v>
      </c>
      <c r="H2423">
        <v>56</v>
      </c>
      <c r="I2423">
        <v>236</v>
      </c>
      <c r="J2423">
        <v>76</v>
      </c>
      <c r="K2423">
        <v>256</v>
      </c>
      <c r="L2423">
        <v>150</v>
      </c>
      <c r="M2423">
        <v>330</v>
      </c>
      <c r="N2423">
        <v>236</v>
      </c>
      <c r="O2423">
        <v>56</v>
      </c>
      <c r="P2423">
        <v>324</v>
      </c>
      <c r="Q2423">
        <v>144</v>
      </c>
      <c r="T2423">
        <v>21</v>
      </c>
      <c r="U2423">
        <v>4</v>
      </c>
      <c r="V2423">
        <v>16</v>
      </c>
      <c r="W2423">
        <v>30</v>
      </c>
      <c r="Y2423">
        <v>17</v>
      </c>
      <c r="Z2423">
        <v>15</v>
      </c>
      <c r="AA2423">
        <v>19</v>
      </c>
      <c r="AB2423">
        <v>198</v>
      </c>
      <c r="AD2423">
        <v>14</v>
      </c>
      <c r="AE2423">
        <v>2</v>
      </c>
      <c r="AF2423">
        <v>4</v>
      </c>
      <c r="AG2423">
        <v>17</v>
      </c>
      <c r="AI2423">
        <v>6</v>
      </c>
      <c r="AJ2423">
        <v>4</v>
      </c>
      <c r="AK2423">
        <v>2</v>
      </c>
      <c r="AL2423">
        <v>22</v>
      </c>
      <c r="AN2423">
        <v>25</v>
      </c>
      <c r="AO2423">
        <v>159</v>
      </c>
      <c r="AP2423">
        <v>18</v>
      </c>
      <c r="AQ2423">
        <v>22</v>
      </c>
      <c r="AX2423">
        <v>71</v>
      </c>
      <c r="AY2423">
        <v>62</v>
      </c>
      <c r="AZ2423">
        <v>133</v>
      </c>
      <c r="BA2423">
        <v>249</v>
      </c>
      <c r="BB2423">
        <v>186</v>
      </c>
      <c r="BC2423">
        <v>435</v>
      </c>
      <c r="BD2423">
        <v>37</v>
      </c>
      <c r="BE2423">
        <v>39</v>
      </c>
      <c r="BF2423">
        <v>76</v>
      </c>
      <c r="BG2423">
        <v>34</v>
      </c>
      <c r="BH2423">
        <v>61</v>
      </c>
      <c r="BI2423">
        <v>95</v>
      </c>
      <c r="BJ2423">
        <v>224</v>
      </c>
      <c r="BK2423">
        <v>267</v>
      </c>
      <c r="BL2423">
        <v>491</v>
      </c>
      <c r="BP2423">
        <v>269</v>
      </c>
      <c r="BR2423">
        <v>215</v>
      </c>
      <c r="BS2423">
        <v>74</v>
      </c>
      <c r="BT2423">
        <v>49</v>
      </c>
      <c r="BU2423">
        <v>5</v>
      </c>
      <c r="BV2423">
        <v>3</v>
      </c>
      <c r="BW2423">
        <v>615</v>
      </c>
      <c r="BX2423">
        <v>546</v>
      </c>
      <c r="BY2423">
        <v>0.12640000000000001</v>
      </c>
      <c r="BZ2423" s="6">
        <v>0.13</v>
      </c>
      <c r="CA2423" s="7">
        <v>45242</v>
      </c>
      <c r="CE2423">
        <v>256</v>
      </c>
      <c r="CF2423">
        <v>205</v>
      </c>
      <c r="CG2423">
        <v>154</v>
      </c>
      <c r="CI2423">
        <f t="shared" si="236"/>
        <v>2023</v>
      </c>
      <c r="CJ2423" t="str">
        <f t="shared" si="237"/>
        <v>6255_2023</v>
      </c>
    </row>
    <row r="2424" spans="1:88" x14ac:dyDescent="0.25">
      <c r="A2424" t="s">
        <v>79</v>
      </c>
      <c r="B2424" t="s">
        <v>439</v>
      </c>
      <c r="C2424">
        <v>6256</v>
      </c>
      <c r="D2424">
        <v>-33.914243999999997</v>
      </c>
      <c r="E2424">
        <v>151.12210400000001</v>
      </c>
      <c r="F2424">
        <v>4</v>
      </c>
      <c r="G2424" t="s">
        <v>441</v>
      </c>
      <c r="H2424">
        <v>61</v>
      </c>
      <c r="I2424">
        <v>241</v>
      </c>
      <c r="J2424">
        <v>163</v>
      </c>
      <c r="K2424">
        <v>343</v>
      </c>
      <c r="L2424">
        <v>264</v>
      </c>
      <c r="M2424">
        <v>84</v>
      </c>
      <c r="N2424">
        <v>347</v>
      </c>
      <c r="O2424">
        <v>167</v>
      </c>
      <c r="T2424">
        <v>102</v>
      </c>
      <c r="U2424">
        <v>91</v>
      </c>
      <c r="V2424">
        <v>17</v>
      </c>
      <c r="Y2424">
        <v>122</v>
      </c>
      <c r="Z2424">
        <v>30</v>
      </c>
      <c r="AA2424">
        <v>25</v>
      </c>
      <c r="AD2424">
        <v>60</v>
      </c>
      <c r="AE2424">
        <v>8</v>
      </c>
      <c r="AF2424">
        <v>5</v>
      </c>
      <c r="AI2424">
        <v>27</v>
      </c>
      <c r="AJ2424">
        <v>33</v>
      </c>
      <c r="AK2424">
        <v>2</v>
      </c>
      <c r="AX2424">
        <v>210</v>
      </c>
      <c r="AY2424">
        <v>209</v>
      </c>
      <c r="AZ2424">
        <v>419</v>
      </c>
      <c r="BA2424">
        <v>177</v>
      </c>
      <c r="BB2424">
        <v>143</v>
      </c>
      <c r="BC2424">
        <v>320</v>
      </c>
      <c r="BD2424">
        <v>73</v>
      </c>
      <c r="BE2424">
        <v>123</v>
      </c>
      <c r="BF2424">
        <v>196</v>
      </c>
      <c r="BG2424">
        <v>62</v>
      </c>
      <c r="BH2424">
        <v>47</v>
      </c>
      <c r="BI2424">
        <v>109</v>
      </c>
      <c r="BP2424">
        <v>163</v>
      </c>
      <c r="BR2424">
        <v>236</v>
      </c>
      <c r="BS2424">
        <v>50</v>
      </c>
      <c r="BT2424">
        <v>72</v>
      </c>
      <c r="BU2424">
        <v>1</v>
      </c>
      <c r="BV2424">
        <v>0</v>
      </c>
      <c r="BW2424">
        <v>522</v>
      </c>
      <c r="BX2424">
        <v>437</v>
      </c>
      <c r="BY2424">
        <v>0.19450000000000001</v>
      </c>
      <c r="BZ2424" s="6">
        <v>0.19</v>
      </c>
      <c r="CA2424" s="7">
        <v>45242</v>
      </c>
      <c r="CE2424">
        <v>202</v>
      </c>
      <c r="CF2424">
        <v>178</v>
      </c>
      <c r="CG2424">
        <v>142</v>
      </c>
      <c r="CI2424">
        <f t="shared" si="236"/>
        <v>2023</v>
      </c>
      <c r="CJ2424" t="str">
        <f t="shared" si="237"/>
        <v>6256_2023</v>
      </c>
    </row>
    <row r="2425" spans="1:88" x14ac:dyDescent="0.25">
      <c r="A2425" t="s">
        <v>79</v>
      </c>
      <c r="B2425" t="s">
        <v>439</v>
      </c>
      <c r="C2425">
        <v>7522</v>
      </c>
      <c r="D2425">
        <v>-33.951962999999999</v>
      </c>
      <c r="E2425">
        <v>151.042136</v>
      </c>
      <c r="F2425">
        <v>3</v>
      </c>
      <c r="G2425" t="s">
        <v>870</v>
      </c>
      <c r="H2425">
        <v>95</v>
      </c>
      <c r="I2425">
        <v>275</v>
      </c>
      <c r="J2425">
        <v>190</v>
      </c>
      <c r="K2425">
        <v>10</v>
      </c>
      <c r="L2425">
        <v>305</v>
      </c>
      <c r="M2425">
        <v>125</v>
      </c>
      <c r="T2425">
        <v>7</v>
      </c>
      <c r="U2425">
        <v>2</v>
      </c>
      <c r="Y2425">
        <v>13</v>
      </c>
      <c r="Z2425">
        <v>20</v>
      </c>
      <c r="AD2425">
        <v>11</v>
      </c>
      <c r="AE2425">
        <v>13</v>
      </c>
      <c r="AX2425">
        <v>9</v>
      </c>
      <c r="AY2425">
        <v>24</v>
      </c>
      <c r="AZ2425">
        <v>33</v>
      </c>
      <c r="BA2425">
        <v>33</v>
      </c>
      <c r="BB2425">
        <v>20</v>
      </c>
      <c r="BC2425">
        <v>53</v>
      </c>
      <c r="BD2425">
        <v>24</v>
      </c>
      <c r="BE2425">
        <v>22</v>
      </c>
      <c r="BF2425">
        <v>46</v>
      </c>
      <c r="BP2425">
        <v>9</v>
      </c>
      <c r="BR2425">
        <v>52</v>
      </c>
      <c r="BS2425">
        <v>3</v>
      </c>
      <c r="BT2425">
        <v>1</v>
      </c>
      <c r="BU2425">
        <v>1</v>
      </c>
      <c r="BV2425">
        <v>0</v>
      </c>
      <c r="BW2425">
        <v>66</v>
      </c>
      <c r="BX2425">
        <v>144</v>
      </c>
      <c r="BY2425">
        <v>-0.54169999999999996</v>
      </c>
      <c r="BZ2425" s="6">
        <v>-0.54</v>
      </c>
      <c r="CA2425" s="7">
        <v>45242</v>
      </c>
      <c r="CE2425">
        <v>31</v>
      </c>
      <c r="CF2425">
        <v>24</v>
      </c>
      <c r="CG2425">
        <v>11</v>
      </c>
      <c r="CI2425">
        <f t="shared" si="236"/>
        <v>2023</v>
      </c>
      <c r="CJ2425" t="str">
        <f t="shared" si="237"/>
        <v>7522_2023</v>
      </c>
    </row>
    <row r="2426" spans="1:88" x14ac:dyDescent="0.25">
      <c r="A2426" t="s">
        <v>79</v>
      </c>
      <c r="B2426" t="s">
        <v>439</v>
      </c>
      <c r="C2426">
        <v>7523</v>
      </c>
      <c r="D2426">
        <v>-33.936785999999998</v>
      </c>
      <c r="E2426">
        <v>151.11335700000001</v>
      </c>
      <c r="F2426">
        <v>4</v>
      </c>
      <c r="G2426" t="s">
        <v>871</v>
      </c>
      <c r="H2426">
        <v>45</v>
      </c>
      <c r="I2426">
        <v>225</v>
      </c>
      <c r="J2426">
        <v>111</v>
      </c>
      <c r="K2426">
        <v>291</v>
      </c>
      <c r="L2426">
        <v>193</v>
      </c>
      <c r="M2426">
        <v>13</v>
      </c>
      <c r="N2426">
        <v>290</v>
      </c>
      <c r="O2426">
        <v>110</v>
      </c>
      <c r="T2426">
        <v>10</v>
      </c>
      <c r="U2426">
        <v>0</v>
      </c>
      <c r="V2426">
        <v>2</v>
      </c>
      <c r="Y2426">
        <v>3</v>
      </c>
      <c r="Z2426">
        <v>0</v>
      </c>
      <c r="AA2426">
        <v>37</v>
      </c>
      <c r="AD2426">
        <v>0</v>
      </c>
      <c r="AE2426">
        <v>1</v>
      </c>
      <c r="AF2426">
        <v>2</v>
      </c>
      <c r="AI2426">
        <v>4</v>
      </c>
      <c r="AJ2426">
        <v>44</v>
      </c>
      <c r="AK2426">
        <v>1</v>
      </c>
      <c r="AX2426">
        <v>12</v>
      </c>
      <c r="AY2426">
        <v>7</v>
      </c>
      <c r="AZ2426">
        <v>19</v>
      </c>
      <c r="BA2426">
        <v>40</v>
      </c>
      <c r="BB2426">
        <v>55</v>
      </c>
      <c r="BC2426">
        <v>95</v>
      </c>
      <c r="BD2426">
        <v>3</v>
      </c>
      <c r="BE2426">
        <v>1</v>
      </c>
      <c r="BF2426">
        <v>4</v>
      </c>
      <c r="BG2426">
        <v>49</v>
      </c>
      <c r="BH2426">
        <v>41</v>
      </c>
      <c r="BI2426">
        <v>90</v>
      </c>
      <c r="BP2426">
        <v>16</v>
      </c>
      <c r="BR2426">
        <v>71</v>
      </c>
      <c r="BS2426">
        <v>9</v>
      </c>
      <c r="BT2426">
        <v>5</v>
      </c>
      <c r="BU2426">
        <v>0</v>
      </c>
      <c r="BV2426">
        <v>3</v>
      </c>
      <c r="BW2426">
        <v>104</v>
      </c>
      <c r="BX2426">
        <v>157</v>
      </c>
      <c r="BY2426">
        <v>-0.33760000000000001</v>
      </c>
      <c r="BZ2426" s="6">
        <v>-0.34</v>
      </c>
      <c r="CA2426" s="7">
        <v>45242</v>
      </c>
      <c r="CE2426">
        <v>44</v>
      </c>
      <c r="CF2426">
        <v>43</v>
      </c>
      <c r="CG2426">
        <v>17</v>
      </c>
      <c r="CI2426">
        <f t="shared" si="236"/>
        <v>2023</v>
      </c>
      <c r="CJ2426" t="str">
        <f t="shared" si="237"/>
        <v>7523_2023</v>
      </c>
    </row>
    <row r="2427" spans="1:88" x14ac:dyDescent="0.25">
      <c r="A2427" t="s">
        <v>79</v>
      </c>
      <c r="B2427" t="s">
        <v>439</v>
      </c>
      <c r="C2427">
        <v>7893</v>
      </c>
      <c r="D2427">
        <v>-33.902652000000003</v>
      </c>
      <c r="E2427">
        <v>151.110164</v>
      </c>
      <c r="F2427">
        <v>3</v>
      </c>
      <c r="G2427" t="s">
        <v>987</v>
      </c>
      <c r="H2427">
        <v>12</v>
      </c>
      <c r="I2427">
        <v>192</v>
      </c>
      <c r="J2427">
        <v>139</v>
      </c>
      <c r="K2427">
        <v>319</v>
      </c>
      <c r="L2427">
        <v>310</v>
      </c>
      <c r="M2427">
        <v>130</v>
      </c>
      <c r="T2427">
        <v>28</v>
      </c>
      <c r="U2427">
        <v>19</v>
      </c>
      <c r="Y2427">
        <v>52</v>
      </c>
      <c r="Z2427">
        <v>176</v>
      </c>
      <c r="AD2427">
        <v>18</v>
      </c>
      <c r="AE2427">
        <v>151</v>
      </c>
      <c r="AX2427">
        <v>47</v>
      </c>
      <c r="AY2427">
        <v>70</v>
      </c>
      <c r="AZ2427">
        <v>117</v>
      </c>
      <c r="BA2427">
        <v>228</v>
      </c>
      <c r="BB2427">
        <v>179</v>
      </c>
      <c r="BC2427">
        <v>407</v>
      </c>
      <c r="BD2427">
        <v>169</v>
      </c>
      <c r="BE2427">
        <v>195</v>
      </c>
      <c r="BF2427">
        <v>364</v>
      </c>
      <c r="BP2427">
        <v>200</v>
      </c>
      <c r="BR2427">
        <v>180</v>
      </c>
      <c r="BS2427">
        <v>51</v>
      </c>
      <c r="BT2427">
        <v>7</v>
      </c>
      <c r="BU2427">
        <v>6</v>
      </c>
      <c r="BV2427">
        <v>0</v>
      </c>
      <c r="BW2427">
        <v>444</v>
      </c>
      <c r="CA2427" s="7">
        <v>45242</v>
      </c>
      <c r="CE2427">
        <v>162</v>
      </c>
      <c r="CF2427">
        <v>162</v>
      </c>
      <c r="CG2427">
        <v>120</v>
      </c>
      <c r="CI2427">
        <f t="shared" si="236"/>
        <v>2023</v>
      </c>
      <c r="CJ2427" t="str">
        <f t="shared" si="237"/>
        <v>7893_2023</v>
      </c>
    </row>
    <row r="2428" spans="1:88" x14ac:dyDescent="0.25">
      <c r="A2428" t="s">
        <v>79</v>
      </c>
      <c r="B2428" t="s">
        <v>439</v>
      </c>
      <c r="C2428">
        <v>7529</v>
      </c>
      <c r="D2428">
        <v>-33.893917000000002</v>
      </c>
      <c r="E2428">
        <v>151.01452800000001</v>
      </c>
      <c r="F2428">
        <v>3</v>
      </c>
      <c r="G2428" t="s">
        <v>874</v>
      </c>
      <c r="H2428">
        <v>6</v>
      </c>
      <c r="I2428">
        <v>186</v>
      </c>
      <c r="J2428">
        <v>170</v>
      </c>
      <c r="K2428">
        <v>350</v>
      </c>
      <c r="L2428">
        <v>276</v>
      </c>
      <c r="M2428">
        <v>96</v>
      </c>
      <c r="T2428">
        <v>88</v>
      </c>
      <c r="U2428">
        <v>20</v>
      </c>
      <c r="Y2428">
        <v>45</v>
      </c>
      <c r="Z2428">
        <v>15</v>
      </c>
      <c r="AD2428">
        <v>20</v>
      </c>
      <c r="AE2428">
        <v>11</v>
      </c>
      <c r="AX2428">
        <v>108</v>
      </c>
      <c r="AY2428">
        <v>65</v>
      </c>
      <c r="AZ2428">
        <v>173</v>
      </c>
      <c r="BA2428">
        <v>60</v>
      </c>
      <c r="BB2428">
        <v>99</v>
      </c>
      <c r="BC2428">
        <v>159</v>
      </c>
      <c r="BD2428">
        <v>31</v>
      </c>
      <c r="BE2428">
        <v>35</v>
      </c>
      <c r="BF2428">
        <v>66</v>
      </c>
      <c r="BP2428">
        <v>5</v>
      </c>
      <c r="BR2428">
        <v>147</v>
      </c>
      <c r="BS2428">
        <v>9</v>
      </c>
      <c r="BT2428">
        <v>23</v>
      </c>
      <c r="BU2428">
        <v>3</v>
      </c>
      <c r="BV2428">
        <v>12</v>
      </c>
      <c r="BW2428">
        <v>199</v>
      </c>
      <c r="BX2428">
        <v>139</v>
      </c>
      <c r="BY2428">
        <v>0.43169999999999997</v>
      </c>
      <c r="BZ2428" s="6">
        <v>0.43</v>
      </c>
      <c r="CA2428" s="7">
        <v>45270</v>
      </c>
      <c r="CE2428">
        <v>86</v>
      </c>
      <c r="CF2428">
        <v>52</v>
      </c>
      <c r="CG2428">
        <v>61</v>
      </c>
      <c r="CI2428">
        <f t="shared" si="236"/>
        <v>2023</v>
      </c>
      <c r="CJ2428" t="str">
        <f t="shared" si="237"/>
        <v>7529_2023</v>
      </c>
    </row>
    <row r="2429" spans="1:88" x14ac:dyDescent="0.25">
      <c r="A2429" t="s">
        <v>79</v>
      </c>
      <c r="B2429" t="s">
        <v>439</v>
      </c>
      <c r="C2429">
        <v>7530</v>
      </c>
      <c r="D2429">
        <v>-33.911150999999997</v>
      </c>
      <c r="E2429">
        <v>151.01974300000001</v>
      </c>
      <c r="F2429">
        <v>4</v>
      </c>
      <c r="G2429" t="s">
        <v>875</v>
      </c>
      <c r="H2429">
        <v>10</v>
      </c>
      <c r="I2429">
        <v>190</v>
      </c>
      <c r="J2429">
        <v>100</v>
      </c>
      <c r="K2429">
        <v>280</v>
      </c>
      <c r="L2429">
        <v>190</v>
      </c>
      <c r="M2429">
        <v>10</v>
      </c>
      <c r="N2429">
        <v>280</v>
      </c>
      <c r="O2429">
        <v>100</v>
      </c>
      <c r="T2429">
        <v>1</v>
      </c>
      <c r="U2429">
        <v>5</v>
      </c>
      <c r="V2429">
        <v>2</v>
      </c>
      <c r="Y2429">
        <v>2</v>
      </c>
      <c r="Z2429">
        <v>3</v>
      </c>
      <c r="AA2429">
        <v>4</v>
      </c>
      <c r="AD2429">
        <v>4</v>
      </c>
      <c r="AE2429">
        <v>4</v>
      </c>
      <c r="AF2429">
        <v>1</v>
      </c>
      <c r="AI2429">
        <v>2</v>
      </c>
      <c r="AJ2429">
        <v>2</v>
      </c>
      <c r="AK2429">
        <v>5</v>
      </c>
      <c r="AX2429">
        <v>8</v>
      </c>
      <c r="AY2429">
        <v>8</v>
      </c>
      <c r="AZ2429">
        <v>16</v>
      </c>
      <c r="BA2429">
        <v>9</v>
      </c>
      <c r="BB2429">
        <v>7</v>
      </c>
      <c r="BC2429">
        <v>16</v>
      </c>
      <c r="BD2429">
        <v>9</v>
      </c>
      <c r="BE2429">
        <v>13</v>
      </c>
      <c r="BF2429">
        <v>22</v>
      </c>
      <c r="BG2429">
        <v>9</v>
      </c>
      <c r="BH2429">
        <v>7</v>
      </c>
      <c r="BI2429">
        <v>16</v>
      </c>
      <c r="BP2429">
        <v>5</v>
      </c>
      <c r="BR2429">
        <v>28</v>
      </c>
      <c r="BS2429">
        <v>0</v>
      </c>
      <c r="BT2429">
        <v>1</v>
      </c>
      <c r="BU2429">
        <v>1</v>
      </c>
      <c r="BV2429">
        <v>0</v>
      </c>
      <c r="BW2429">
        <v>35</v>
      </c>
      <c r="BX2429">
        <v>36</v>
      </c>
      <c r="BY2429">
        <v>-2.7799999999999998E-2</v>
      </c>
      <c r="BZ2429" s="6">
        <v>-0.03</v>
      </c>
      <c r="CA2429" s="7">
        <v>45249</v>
      </c>
      <c r="CE2429">
        <v>21</v>
      </c>
      <c r="CF2429">
        <v>7</v>
      </c>
      <c r="CG2429">
        <v>7</v>
      </c>
      <c r="CI2429">
        <f t="shared" si="236"/>
        <v>2023</v>
      </c>
      <c r="CJ2429" t="str">
        <f t="shared" si="237"/>
        <v>7530_2023</v>
      </c>
    </row>
    <row r="2430" spans="1:88" x14ac:dyDescent="0.25">
      <c r="A2430" t="s">
        <v>79</v>
      </c>
      <c r="B2430" t="s">
        <v>439</v>
      </c>
      <c r="C2430">
        <v>7531</v>
      </c>
      <c r="D2430">
        <v>-33.928130000000003</v>
      </c>
      <c r="E2430">
        <v>151.12024299999999</v>
      </c>
      <c r="F2430">
        <v>3</v>
      </c>
      <c r="G2430" t="s">
        <v>876</v>
      </c>
      <c r="H2430">
        <v>87</v>
      </c>
      <c r="I2430">
        <v>267</v>
      </c>
      <c r="J2430">
        <v>180</v>
      </c>
      <c r="K2430">
        <v>360</v>
      </c>
      <c r="L2430">
        <v>246</v>
      </c>
      <c r="M2430">
        <v>66</v>
      </c>
      <c r="T2430">
        <v>5</v>
      </c>
      <c r="U2430">
        <v>13</v>
      </c>
      <c r="Y2430">
        <v>10</v>
      </c>
      <c r="Z2430">
        <v>8</v>
      </c>
      <c r="AD2430">
        <v>18</v>
      </c>
      <c r="AE2430">
        <v>3</v>
      </c>
      <c r="AX2430">
        <v>18</v>
      </c>
      <c r="AY2430">
        <v>28</v>
      </c>
      <c r="AZ2430">
        <v>46</v>
      </c>
      <c r="BA2430">
        <v>18</v>
      </c>
      <c r="BB2430">
        <v>8</v>
      </c>
      <c r="BC2430">
        <v>26</v>
      </c>
      <c r="BD2430">
        <v>21</v>
      </c>
      <c r="BE2430">
        <v>21</v>
      </c>
      <c r="BF2430">
        <v>42</v>
      </c>
      <c r="BP2430">
        <v>3</v>
      </c>
      <c r="BR2430">
        <v>43</v>
      </c>
      <c r="BS2430">
        <v>5</v>
      </c>
      <c r="BT2430">
        <v>6</v>
      </c>
      <c r="BU2430">
        <v>0</v>
      </c>
      <c r="BV2430">
        <v>0</v>
      </c>
      <c r="BW2430">
        <v>57</v>
      </c>
      <c r="BX2430">
        <v>60</v>
      </c>
      <c r="BY2430">
        <v>-0.05</v>
      </c>
      <c r="BZ2430" s="6">
        <v>-0.05</v>
      </c>
      <c r="CA2430" s="7">
        <v>45249</v>
      </c>
      <c r="CE2430">
        <v>25</v>
      </c>
      <c r="CF2430">
        <v>13</v>
      </c>
      <c r="CG2430">
        <v>19</v>
      </c>
      <c r="CI2430">
        <f t="shared" si="236"/>
        <v>2023</v>
      </c>
      <c r="CJ2430" t="str">
        <f t="shared" si="237"/>
        <v>7531_2023</v>
      </c>
    </row>
    <row r="2431" spans="1:88" x14ac:dyDescent="0.25">
      <c r="A2431" t="s">
        <v>79</v>
      </c>
      <c r="B2431" t="s">
        <v>439</v>
      </c>
      <c r="C2431">
        <v>7894</v>
      </c>
      <c r="D2431">
        <v>-33.907041999999997</v>
      </c>
      <c r="E2431">
        <v>150.981675</v>
      </c>
      <c r="F2431">
        <v>3</v>
      </c>
      <c r="G2431" t="s">
        <v>988</v>
      </c>
      <c r="H2431">
        <v>80</v>
      </c>
      <c r="I2431">
        <v>260</v>
      </c>
      <c r="J2431">
        <v>169</v>
      </c>
      <c r="K2431">
        <v>349</v>
      </c>
      <c r="L2431">
        <v>349</v>
      </c>
      <c r="M2431">
        <v>169</v>
      </c>
      <c r="T2431">
        <v>12</v>
      </c>
      <c r="U2431">
        <v>19</v>
      </c>
      <c r="Y2431">
        <v>2</v>
      </c>
      <c r="Z2431">
        <v>10</v>
      </c>
      <c r="AD2431">
        <v>26</v>
      </c>
      <c r="AE2431">
        <v>36</v>
      </c>
      <c r="AX2431">
        <v>31</v>
      </c>
      <c r="AY2431">
        <v>28</v>
      </c>
      <c r="AZ2431">
        <v>59</v>
      </c>
      <c r="BA2431">
        <v>12</v>
      </c>
      <c r="BB2431">
        <v>48</v>
      </c>
      <c r="BC2431">
        <v>60</v>
      </c>
      <c r="BD2431">
        <v>62</v>
      </c>
      <c r="BE2431">
        <v>29</v>
      </c>
      <c r="BF2431">
        <v>91</v>
      </c>
      <c r="BP2431">
        <v>4</v>
      </c>
      <c r="BR2431">
        <v>79</v>
      </c>
      <c r="BS2431">
        <v>1</v>
      </c>
      <c r="BT2431">
        <v>19</v>
      </c>
      <c r="BU2431">
        <v>2</v>
      </c>
      <c r="BV2431">
        <v>0</v>
      </c>
      <c r="BW2431">
        <v>105</v>
      </c>
      <c r="CA2431" s="7">
        <v>45249</v>
      </c>
      <c r="CE2431">
        <v>45</v>
      </c>
      <c r="CF2431">
        <v>17</v>
      </c>
      <c r="CG2431">
        <v>43</v>
      </c>
      <c r="CI2431">
        <f t="shared" si="236"/>
        <v>2023</v>
      </c>
      <c r="CJ2431" t="str">
        <f t="shared" si="237"/>
        <v>7894_2023</v>
      </c>
    </row>
    <row r="2432" spans="1:88" x14ac:dyDescent="0.25">
      <c r="A2432" t="s">
        <v>140</v>
      </c>
      <c r="B2432" t="s">
        <v>380</v>
      </c>
      <c r="C2432">
        <v>6050</v>
      </c>
      <c r="D2432">
        <v>-32.013711000000001</v>
      </c>
      <c r="E2432">
        <v>115.753209</v>
      </c>
      <c r="F2432">
        <v>3</v>
      </c>
      <c r="G2432" t="s">
        <v>384</v>
      </c>
      <c r="H2432">
        <v>28</v>
      </c>
      <c r="I2432">
        <v>208</v>
      </c>
      <c r="J2432">
        <v>204</v>
      </c>
      <c r="K2432">
        <v>24</v>
      </c>
      <c r="L2432">
        <v>343</v>
      </c>
      <c r="M2432">
        <v>163</v>
      </c>
      <c r="T2432">
        <v>4</v>
      </c>
      <c r="U2432">
        <v>2</v>
      </c>
      <c r="Y2432">
        <v>7</v>
      </c>
      <c r="Z2432">
        <v>21</v>
      </c>
      <c r="AD2432">
        <v>4</v>
      </c>
      <c r="AE2432">
        <v>23</v>
      </c>
      <c r="AX2432">
        <v>6</v>
      </c>
      <c r="AY2432">
        <v>11</v>
      </c>
      <c r="AZ2432">
        <v>17</v>
      </c>
      <c r="BA2432">
        <v>28</v>
      </c>
      <c r="BB2432">
        <v>27</v>
      </c>
      <c r="BC2432">
        <v>55</v>
      </c>
      <c r="BD2432">
        <v>27</v>
      </c>
      <c r="BE2432">
        <v>23</v>
      </c>
      <c r="BF2432">
        <v>50</v>
      </c>
      <c r="BP2432">
        <v>55</v>
      </c>
      <c r="BR2432">
        <v>1</v>
      </c>
      <c r="BS2432">
        <v>1</v>
      </c>
      <c r="BT2432">
        <v>0</v>
      </c>
      <c r="BU2432">
        <v>4</v>
      </c>
      <c r="BV2432">
        <v>0</v>
      </c>
      <c r="BW2432">
        <v>61</v>
      </c>
      <c r="CA2432" s="7">
        <v>45242</v>
      </c>
      <c r="CE2432">
        <v>30</v>
      </c>
      <c r="CF2432">
        <v>26</v>
      </c>
      <c r="CG2432">
        <v>5</v>
      </c>
      <c r="CI2432">
        <f t="shared" si="236"/>
        <v>2023</v>
      </c>
      <c r="CJ2432" t="str">
        <f t="shared" si="237"/>
        <v>6050_2023</v>
      </c>
    </row>
    <row r="2433" spans="1:88" x14ac:dyDescent="0.25">
      <c r="A2433" t="s">
        <v>140</v>
      </c>
      <c r="B2433" t="s">
        <v>380</v>
      </c>
      <c r="C2433">
        <v>6051</v>
      </c>
      <c r="D2433">
        <v>-31.989684</v>
      </c>
      <c r="E2433">
        <v>115.76421999999999</v>
      </c>
      <c r="F2433">
        <v>4</v>
      </c>
      <c r="G2433" t="s">
        <v>989</v>
      </c>
      <c r="H2433">
        <v>21</v>
      </c>
      <c r="I2433">
        <v>201</v>
      </c>
      <c r="J2433">
        <v>91</v>
      </c>
      <c r="K2433">
        <v>271</v>
      </c>
      <c r="L2433">
        <v>198</v>
      </c>
      <c r="M2433">
        <v>18</v>
      </c>
      <c r="N2433">
        <v>272</v>
      </c>
      <c r="O2433">
        <v>92</v>
      </c>
      <c r="T2433">
        <v>5</v>
      </c>
      <c r="U2433">
        <v>15</v>
      </c>
      <c r="V2433">
        <v>1</v>
      </c>
      <c r="Y2433">
        <v>4</v>
      </c>
      <c r="Z2433">
        <v>1</v>
      </c>
      <c r="AA2433">
        <v>1</v>
      </c>
      <c r="AD2433">
        <v>9</v>
      </c>
      <c r="AE2433">
        <v>0</v>
      </c>
      <c r="AF2433">
        <v>2</v>
      </c>
      <c r="AI2433">
        <v>3</v>
      </c>
      <c r="AJ2433">
        <v>6</v>
      </c>
      <c r="AK2433">
        <v>1</v>
      </c>
      <c r="AX2433">
        <v>21</v>
      </c>
      <c r="AY2433">
        <v>16</v>
      </c>
      <c r="AZ2433">
        <v>37</v>
      </c>
      <c r="BA2433">
        <v>6</v>
      </c>
      <c r="BB2433">
        <v>11</v>
      </c>
      <c r="BC2433">
        <v>17</v>
      </c>
      <c r="BD2433">
        <v>11</v>
      </c>
      <c r="BE2433">
        <v>17</v>
      </c>
      <c r="BF2433">
        <v>28</v>
      </c>
      <c r="BG2433">
        <v>10</v>
      </c>
      <c r="BH2433">
        <v>4</v>
      </c>
      <c r="BI2433">
        <v>14</v>
      </c>
      <c r="BP2433">
        <v>26</v>
      </c>
      <c r="BR2433">
        <v>13</v>
      </c>
      <c r="BS2433">
        <v>5</v>
      </c>
      <c r="BT2433">
        <v>3</v>
      </c>
      <c r="BU2433">
        <v>1</v>
      </c>
      <c r="BV2433">
        <v>0</v>
      </c>
      <c r="BW2433">
        <v>48</v>
      </c>
      <c r="CA2433" s="7">
        <v>45242</v>
      </c>
      <c r="CE2433">
        <v>12</v>
      </c>
      <c r="CF2433">
        <v>22</v>
      </c>
      <c r="CG2433">
        <v>14</v>
      </c>
      <c r="CI2433">
        <f t="shared" si="236"/>
        <v>2023</v>
      </c>
      <c r="CJ2433" t="str">
        <f t="shared" si="237"/>
        <v>6051_2023</v>
      </c>
    </row>
    <row r="2434" spans="1:88" x14ac:dyDescent="0.25">
      <c r="A2434" t="s">
        <v>140</v>
      </c>
      <c r="B2434" t="s">
        <v>380</v>
      </c>
      <c r="C2434">
        <v>7485</v>
      </c>
      <c r="D2434">
        <v>-31.997888</v>
      </c>
      <c r="E2434">
        <v>115.761076</v>
      </c>
      <c r="F2434">
        <v>3</v>
      </c>
      <c r="G2434" t="s">
        <v>990</v>
      </c>
      <c r="H2434">
        <v>10</v>
      </c>
      <c r="I2434">
        <v>190</v>
      </c>
      <c r="J2434">
        <v>90</v>
      </c>
      <c r="K2434">
        <v>270</v>
      </c>
      <c r="L2434">
        <v>185</v>
      </c>
      <c r="M2434">
        <v>5</v>
      </c>
      <c r="T2434">
        <v>97</v>
      </c>
      <c r="U2434">
        <v>112</v>
      </c>
      <c r="Y2434">
        <v>82</v>
      </c>
      <c r="Z2434">
        <v>51</v>
      </c>
      <c r="AD2434">
        <v>58</v>
      </c>
      <c r="AE2434">
        <v>28</v>
      </c>
      <c r="AX2434">
        <v>209</v>
      </c>
      <c r="AY2434">
        <v>140</v>
      </c>
      <c r="AZ2434">
        <v>349</v>
      </c>
      <c r="BA2434">
        <v>133</v>
      </c>
      <c r="BB2434">
        <v>125</v>
      </c>
      <c r="BC2434">
        <v>258</v>
      </c>
      <c r="BD2434">
        <v>86</v>
      </c>
      <c r="BE2434">
        <v>163</v>
      </c>
      <c r="BF2434">
        <v>249</v>
      </c>
      <c r="BP2434">
        <v>62</v>
      </c>
      <c r="BR2434">
        <v>308</v>
      </c>
      <c r="BS2434">
        <v>16</v>
      </c>
      <c r="BT2434">
        <v>39</v>
      </c>
      <c r="BU2434">
        <v>0</v>
      </c>
      <c r="BV2434">
        <v>3</v>
      </c>
      <c r="BW2434">
        <v>428</v>
      </c>
      <c r="CA2434" s="7">
        <v>45242</v>
      </c>
      <c r="CE2434">
        <v>170</v>
      </c>
      <c r="CF2434">
        <v>138</v>
      </c>
      <c r="CG2434">
        <v>120</v>
      </c>
      <c r="CI2434">
        <f t="shared" si="236"/>
        <v>2023</v>
      </c>
      <c r="CJ2434" t="str">
        <f t="shared" si="237"/>
        <v>7485_2023</v>
      </c>
    </row>
    <row r="2435" spans="1:88" x14ac:dyDescent="0.25">
      <c r="A2435" t="s">
        <v>140</v>
      </c>
      <c r="B2435" t="s">
        <v>380</v>
      </c>
      <c r="C2435">
        <v>7520</v>
      </c>
      <c r="D2435">
        <v>-31.989642</v>
      </c>
      <c r="E2435">
        <v>115.756174</v>
      </c>
      <c r="F2435">
        <v>4</v>
      </c>
      <c r="G2435" t="s">
        <v>868</v>
      </c>
      <c r="H2435">
        <v>0</v>
      </c>
      <c r="I2435">
        <v>180</v>
      </c>
      <c r="J2435">
        <v>90</v>
      </c>
      <c r="K2435">
        <v>270</v>
      </c>
      <c r="L2435">
        <v>180</v>
      </c>
      <c r="M2435">
        <v>360</v>
      </c>
      <c r="N2435">
        <v>270</v>
      </c>
      <c r="O2435">
        <v>90</v>
      </c>
      <c r="T2435">
        <v>20</v>
      </c>
      <c r="U2435">
        <v>17</v>
      </c>
      <c r="V2435">
        <v>9</v>
      </c>
      <c r="Y2435">
        <v>13</v>
      </c>
      <c r="Z2435">
        <v>19</v>
      </c>
      <c r="AA2435">
        <v>72</v>
      </c>
      <c r="AD2435">
        <v>24</v>
      </c>
      <c r="AE2435">
        <v>18</v>
      </c>
      <c r="AF2435">
        <v>4</v>
      </c>
      <c r="AI2435">
        <v>9</v>
      </c>
      <c r="AJ2435">
        <v>81</v>
      </c>
      <c r="AK2435">
        <v>6</v>
      </c>
      <c r="AX2435">
        <v>46</v>
      </c>
      <c r="AY2435">
        <v>46</v>
      </c>
      <c r="AZ2435">
        <v>92</v>
      </c>
      <c r="BA2435">
        <v>104</v>
      </c>
      <c r="BB2435">
        <v>119</v>
      </c>
      <c r="BC2435">
        <v>223</v>
      </c>
      <c r="BD2435">
        <v>46</v>
      </c>
      <c r="BE2435">
        <v>42</v>
      </c>
      <c r="BF2435">
        <v>88</v>
      </c>
      <c r="BG2435">
        <v>96</v>
      </c>
      <c r="BH2435">
        <v>85</v>
      </c>
      <c r="BI2435">
        <v>181</v>
      </c>
      <c r="BP2435">
        <v>31</v>
      </c>
      <c r="BR2435">
        <v>204</v>
      </c>
      <c r="BS2435">
        <v>22</v>
      </c>
      <c r="BT2435">
        <v>26</v>
      </c>
      <c r="BU2435">
        <v>2</v>
      </c>
      <c r="BV2435">
        <v>7</v>
      </c>
      <c r="BW2435">
        <v>292</v>
      </c>
      <c r="BX2435">
        <v>338</v>
      </c>
      <c r="BY2435">
        <v>-0.1361</v>
      </c>
      <c r="BZ2435" s="6">
        <v>-0.14000000000000001</v>
      </c>
      <c r="CA2435" s="7">
        <v>45242</v>
      </c>
      <c r="CE2435">
        <v>101</v>
      </c>
      <c r="CF2435">
        <v>102</v>
      </c>
      <c r="CG2435">
        <v>89</v>
      </c>
      <c r="CI2435">
        <f t="shared" ref="CI2435:CI2498" si="238">YEAR(CA2435)</f>
        <v>2023</v>
      </c>
      <c r="CJ2435" t="str">
        <f t="shared" ref="CJ2435:CJ2498" si="239">_xlfn.CONCAT(C2435,"_",CI2435)</f>
        <v>7520_2023</v>
      </c>
    </row>
    <row r="2436" spans="1:88" x14ac:dyDescent="0.25">
      <c r="A2436" t="s">
        <v>140</v>
      </c>
      <c r="B2436" t="s">
        <v>380</v>
      </c>
      <c r="C2436">
        <v>7521</v>
      </c>
      <c r="D2436">
        <v>-32.005282000000001</v>
      </c>
      <c r="E2436">
        <v>115.756167</v>
      </c>
      <c r="F2436">
        <v>4</v>
      </c>
      <c r="G2436" t="s">
        <v>869</v>
      </c>
      <c r="H2436">
        <v>0</v>
      </c>
      <c r="I2436">
        <v>180</v>
      </c>
      <c r="J2436">
        <v>90</v>
      </c>
      <c r="K2436">
        <v>270</v>
      </c>
      <c r="L2436">
        <v>180</v>
      </c>
      <c r="M2436">
        <v>360</v>
      </c>
      <c r="N2436">
        <v>270</v>
      </c>
      <c r="O2436">
        <v>90</v>
      </c>
      <c r="T2436">
        <v>9</v>
      </c>
      <c r="U2436">
        <v>12</v>
      </c>
      <c r="V2436">
        <v>16</v>
      </c>
      <c r="Y2436">
        <v>2</v>
      </c>
      <c r="Z2436">
        <v>0</v>
      </c>
      <c r="AA2436">
        <v>20</v>
      </c>
      <c r="AD2436">
        <v>22</v>
      </c>
      <c r="AE2436">
        <v>1</v>
      </c>
      <c r="AF2436">
        <v>1</v>
      </c>
      <c r="AI2436">
        <v>13</v>
      </c>
      <c r="AJ2436">
        <v>16</v>
      </c>
      <c r="AK2436">
        <v>2</v>
      </c>
      <c r="AX2436">
        <v>37</v>
      </c>
      <c r="AY2436">
        <v>37</v>
      </c>
      <c r="AZ2436">
        <v>74</v>
      </c>
      <c r="BA2436">
        <v>22</v>
      </c>
      <c r="BB2436">
        <v>26</v>
      </c>
      <c r="BC2436">
        <v>48</v>
      </c>
      <c r="BD2436">
        <v>24</v>
      </c>
      <c r="BE2436">
        <v>14</v>
      </c>
      <c r="BF2436">
        <v>38</v>
      </c>
      <c r="BG2436">
        <v>31</v>
      </c>
      <c r="BH2436">
        <v>37</v>
      </c>
      <c r="BI2436">
        <v>68</v>
      </c>
      <c r="BP2436">
        <v>33</v>
      </c>
      <c r="BR2436">
        <v>43</v>
      </c>
      <c r="BS2436">
        <v>10</v>
      </c>
      <c r="BT2436">
        <v>18</v>
      </c>
      <c r="BU2436">
        <v>2</v>
      </c>
      <c r="BV2436">
        <v>8</v>
      </c>
      <c r="BW2436">
        <v>114</v>
      </c>
      <c r="BX2436">
        <v>141</v>
      </c>
      <c r="BY2436">
        <v>-0.1915</v>
      </c>
      <c r="BZ2436" s="6">
        <v>-0.19</v>
      </c>
      <c r="CA2436" s="7">
        <v>45242</v>
      </c>
      <c r="CE2436">
        <v>47</v>
      </c>
      <c r="CF2436">
        <v>34</v>
      </c>
      <c r="CG2436">
        <v>33</v>
      </c>
      <c r="CI2436">
        <f t="shared" si="238"/>
        <v>2023</v>
      </c>
      <c r="CJ2436" t="str">
        <f t="shared" si="239"/>
        <v>7521_2023</v>
      </c>
    </row>
    <row r="2437" spans="1:88" x14ac:dyDescent="0.25">
      <c r="A2437" t="s">
        <v>502</v>
      </c>
      <c r="B2437" t="s">
        <v>503</v>
      </c>
      <c r="C2437">
        <v>6319</v>
      </c>
      <c r="D2437">
        <v>-12.465972000000001</v>
      </c>
      <c r="E2437">
        <v>130.83968899999999</v>
      </c>
      <c r="F2437">
        <v>3</v>
      </c>
      <c r="G2437" t="s">
        <v>504</v>
      </c>
      <c r="H2437">
        <v>2</v>
      </c>
      <c r="I2437">
        <v>182</v>
      </c>
      <c r="J2437">
        <v>168</v>
      </c>
      <c r="K2437">
        <v>348</v>
      </c>
      <c r="L2437">
        <v>333</v>
      </c>
      <c r="M2437">
        <v>153</v>
      </c>
      <c r="T2437">
        <v>56</v>
      </c>
      <c r="U2437">
        <v>0</v>
      </c>
      <c r="Y2437">
        <v>42</v>
      </c>
      <c r="Z2437">
        <v>79</v>
      </c>
      <c r="AD2437">
        <v>0</v>
      </c>
      <c r="AE2437">
        <v>88</v>
      </c>
      <c r="AX2437">
        <v>56</v>
      </c>
      <c r="AY2437">
        <v>42</v>
      </c>
      <c r="AZ2437">
        <v>98</v>
      </c>
      <c r="BA2437">
        <v>121</v>
      </c>
      <c r="BB2437">
        <v>144</v>
      </c>
      <c r="BC2437">
        <v>265</v>
      </c>
      <c r="BD2437">
        <v>88</v>
      </c>
      <c r="BE2437">
        <v>79</v>
      </c>
      <c r="BF2437">
        <v>167</v>
      </c>
      <c r="BP2437">
        <v>12</v>
      </c>
      <c r="BR2437">
        <v>191</v>
      </c>
      <c r="BS2437">
        <v>36</v>
      </c>
      <c r="BT2437">
        <v>15</v>
      </c>
      <c r="BU2437">
        <v>6</v>
      </c>
      <c r="BV2437">
        <v>5</v>
      </c>
      <c r="BW2437">
        <v>265</v>
      </c>
      <c r="BX2437">
        <v>220</v>
      </c>
      <c r="BY2437">
        <v>0.20449999999999999</v>
      </c>
      <c r="BZ2437" s="6">
        <v>0.2</v>
      </c>
      <c r="CA2437" s="7">
        <v>45242</v>
      </c>
      <c r="CC2437">
        <v>119</v>
      </c>
      <c r="CD2437">
        <v>82</v>
      </c>
      <c r="CE2437">
        <v>64</v>
      </c>
      <c r="CI2437">
        <f t="shared" si="238"/>
        <v>2023</v>
      </c>
      <c r="CJ2437" t="str">
        <f t="shared" si="239"/>
        <v>6319_2023</v>
      </c>
    </row>
    <row r="2438" spans="1:88" x14ac:dyDescent="0.25">
      <c r="A2438" t="s">
        <v>502</v>
      </c>
      <c r="B2438" t="s">
        <v>503</v>
      </c>
      <c r="C2438">
        <v>6320</v>
      </c>
      <c r="D2438">
        <v>-12.460438</v>
      </c>
      <c r="E2438">
        <v>130.83364599999999</v>
      </c>
      <c r="F2438">
        <v>4</v>
      </c>
      <c r="G2438" t="s">
        <v>505</v>
      </c>
      <c r="H2438">
        <v>12</v>
      </c>
      <c r="I2438">
        <v>192</v>
      </c>
      <c r="J2438">
        <v>44</v>
      </c>
      <c r="K2438">
        <v>224</v>
      </c>
      <c r="L2438">
        <v>128</v>
      </c>
      <c r="M2438">
        <v>308</v>
      </c>
      <c r="N2438">
        <v>184</v>
      </c>
      <c r="O2438">
        <v>4</v>
      </c>
      <c r="T2438">
        <v>0</v>
      </c>
      <c r="U2438">
        <v>74</v>
      </c>
      <c r="V2438">
        <v>8</v>
      </c>
      <c r="Y2438">
        <v>0</v>
      </c>
      <c r="Z2438">
        <v>23</v>
      </c>
      <c r="AA2438">
        <v>0</v>
      </c>
      <c r="AD2438">
        <v>68</v>
      </c>
      <c r="AE2438">
        <v>21</v>
      </c>
      <c r="AF2438">
        <v>23</v>
      </c>
      <c r="AI2438">
        <v>3</v>
      </c>
      <c r="AJ2438">
        <v>1</v>
      </c>
      <c r="AK2438">
        <v>16</v>
      </c>
      <c r="AX2438">
        <v>82</v>
      </c>
      <c r="AY2438">
        <v>71</v>
      </c>
      <c r="AZ2438">
        <v>153</v>
      </c>
      <c r="BA2438">
        <v>23</v>
      </c>
      <c r="BB2438">
        <v>22</v>
      </c>
      <c r="BC2438">
        <v>45</v>
      </c>
      <c r="BD2438">
        <v>112</v>
      </c>
      <c r="BE2438">
        <v>113</v>
      </c>
      <c r="BF2438">
        <v>225</v>
      </c>
      <c r="BG2438">
        <v>20</v>
      </c>
      <c r="BH2438">
        <v>31</v>
      </c>
      <c r="BI2438">
        <v>51</v>
      </c>
      <c r="BP2438">
        <v>11</v>
      </c>
      <c r="BR2438">
        <v>141</v>
      </c>
      <c r="BS2438">
        <v>59</v>
      </c>
      <c r="BT2438">
        <v>16</v>
      </c>
      <c r="BU2438">
        <v>10</v>
      </c>
      <c r="BV2438">
        <v>0</v>
      </c>
      <c r="BW2438">
        <v>237</v>
      </c>
      <c r="BX2438">
        <v>208</v>
      </c>
      <c r="BY2438">
        <v>0.1394</v>
      </c>
      <c r="BZ2438" s="6">
        <v>0.14000000000000001</v>
      </c>
      <c r="CA2438" s="7">
        <v>45242</v>
      </c>
      <c r="CC2438">
        <v>99</v>
      </c>
      <c r="CD2438">
        <v>78</v>
      </c>
      <c r="CE2438">
        <v>60</v>
      </c>
      <c r="CI2438">
        <f t="shared" si="238"/>
        <v>2023</v>
      </c>
      <c r="CJ2438" t="str">
        <f t="shared" si="239"/>
        <v>6320_2023</v>
      </c>
    </row>
    <row r="2439" spans="1:88" x14ac:dyDescent="0.25">
      <c r="A2439" t="s">
        <v>502</v>
      </c>
      <c r="B2439" t="s">
        <v>503</v>
      </c>
      <c r="C2439">
        <v>6321</v>
      </c>
      <c r="D2439">
        <v>-12.390153</v>
      </c>
      <c r="E2439">
        <v>130.891244</v>
      </c>
      <c r="F2439">
        <v>3</v>
      </c>
      <c r="G2439" t="s">
        <v>506</v>
      </c>
      <c r="H2439">
        <v>7</v>
      </c>
      <c r="I2439">
        <v>187</v>
      </c>
      <c r="J2439">
        <v>177</v>
      </c>
      <c r="K2439">
        <v>357</v>
      </c>
      <c r="L2439">
        <v>233</v>
      </c>
      <c r="M2439">
        <v>53</v>
      </c>
      <c r="T2439">
        <v>12</v>
      </c>
      <c r="U2439">
        <v>3</v>
      </c>
      <c r="Y2439">
        <v>7</v>
      </c>
      <c r="Z2439">
        <v>0</v>
      </c>
      <c r="AD2439">
        <v>9</v>
      </c>
      <c r="AE2439">
        <v>4</v>
      </c>
      <c r="AX2439">
        <v>15</v>
      </c>
      <c r="AY2439">
        <v>16</v>
      </c>
      <c r="AZ2439">
        <v>31</v>
      </c>
      <c r="BA2439">
        <v>7</v>
      </c>
      <c r="BB2439">
        <v>16</v>
      </c>
      <c r="BC2439">
        <v>23</v>
      </c>
      <c r="BD2439">
        <v>13</v>
      </c>
      <c r="BE2439">
        <v>3</v>
      </c>
      <c r="BF2439">
        <v>16</v>
      </c>
      <c r="BP2439">
        <v>10</v>
      </c>
      <c r="BR2439">
        <v>14</v>
      </c>
      <c r="BS2439">
        <v>4</v>
      </c>
      <c r="BT2439">
        <v>6</v>
      </c>
      <c r="BU2439">
        <v>1</v>
      </c>
      <c r="BV2439">
        <v>0</v>
      </c>
      <c r="BW2439">
        <v>35</v>
      </c>
      <c r="BX2439">
        <v>63</v>
      </c>
      <c r="BY2439">
        <v>-0.44440000000000002</v>
      </c>
      <c r="BZ2439" s="6">
        <v>-0.44</v>
      </c>
      <c r="CA2439" s="7">
        <v>45242</v>
      </c>
      <c r="CC2439">
        <v>13</v>
      </c>
      <c r="CD2439">
        <v>18</v>
      </c>
      <c r="CE2439">
        <v>4</v>
      </c>
      <c r="CI2439">
        <f t="shared" si="238"/>
        <v>2023</v>
      </c>
      <c r="CJ2439" t="str">
        <f t="shared" si="239"/>
        <v>6321_2023</v>
      </c>
    </row>
    <row r="2440" spans="1:88" x14ac:dyDescent="0.25">
      <c r="A2440" t="s">
        <v>502</v>
      </c>
      <c r="B2440" t="s">
        <v>503</v>
      </c>
      <c r="C2440">
        <v>6322</v>
      </c>
      <c r="D2440">
        <v>-12.412585</v>
      </c>
      <c r="E2440">
        <v>130.82939500000001</v>
      </c>
      <c r="F2440">
        <v>4</v>
      </c>
      <c r="G2440" t="s">
        <v>507</v>
      </c>
      <c r="H2440">
        <v>54</v>
      </c>
      <c r="I2440">
        <v>234</v>
      </c>
      <c r="J2440">
        <v>145</v>
      </c>
      <c r="K2440">
        <v>325</v>
      </c>
      <c r="L2440">
        <v>234</v>
      </c>
      <c r="M2440">
        <v>54</v>
      </c>
      <c r="N2440">
        <v>322</v>
      </c>
      <c r="O2440">
        <v>142</v>
      </c>
      <c r="T2440">
        <v>44</v>
      </c>
      <c r="U2440">
        <v>13</v>
      </c>
      <c r="V2440">
        <v>8</v>
      </c>
      <c r="Y2440">
        <v>24</v>
      </c>
      <c r="Z2440">
        <v>0</v>
      </c>
      <c r="AA2440">
        <v>93</v>
      </c>
      <c r="AD2440">
        <v>1</v>
      </c>
      <c r="AE2440">
        <v>0</v>
      </c>
      <c r="AF2440">
        <v>9</v>
      </c>
      <c r="AI2440">
        <v>31</v>
      </c>
      <c r="AJ2440">
        <v>92</v>
      </c>
      <c r="AK2440">
        <v>15</v>
      </c>
      <c r="AX2440">
        <v>65</v>
      </c>
      <c r="AY2440">
        <v>56</v>
      </c>
      <c r="AZ2440">
        <v>121</v>
      </c>
      <c r="BA2440">
        <v>117</v>
      </c>
      <c r="BB2440">
        <v>136</v>
      </c>
      <c r="BC2440">
        <v>253</v>
      </c>
      <c r="BD2440">
        <v>10</v>
      </c>
      <c r="BE2440">
        <v>28</v>
      </c>
      <c r="BF2440">
        <v>38</v>
      </c>
      <c r="BG2440">
        <v>138</v>
      </c>
      <c r="BH2440">
        <v>110</v>
      </c>
      <c r="BI2440">
        <v>248</v>
      </c>
      <c r="BP2440">
        <v>104</v>
      </c>
      <c r="BR2440">
        <v>188</v>
      </c>
      <c r="BS2440">
        <v>37</v>
      </c>
      <c r="BT2440">
        <v>0</v>
      </c>
      <c r="BU2440">
        <v>1</v>
      </c>
      <c r="BV2440">
        <v>0</v>
      </c>
      <c r="BW2440">
        <v>330</v>
      </c>
      <c r="BX2440">
        <v>279</v>
      </c>
      <c r="BY2440">
        <v>0.18279999999999999</v>
      </c>
      <c r="BZ2440" s="6">
        <v>0.18</v>
      </c>
      <c r="CA2440" s="7">
        <v>45242</v>
      </c>
      <c r="CC2440">
        <v>141</v>
      </c>
      <c r="CD2440">
        <v>116</v>
      </c>
      <c r="CE2440">
        <v>73</v>
      </c>
      <c r="CI2440">
        <f t="shared" si="238"/>
        <v>2023</v>
      </c>
      <c r="CJ2440" t="str">
        <f t="shared" si="239"/>
        <v>6322_2023</v>
      </c>
    </row>
    <row r="2441" spans="1:88" x14ac:dyDescent="0.25">
      <c r="A2441" t="s">
        <v>502</v>
      </c>
      <c r="B2441" t="s">
        <v>503</v>
      </c>
      <c r="C2441">
        <v>6323</v>
      </c>
      <c r="D2441">
        <v>-12.379530000000001</v>
      </c>
      <c r="E2441">
        <v>130.84298799999999</v>
      </c>
      <c r="F2441">
        <v>3</v>
      </c>
      <c r="G2441" t="s">
        <v>508</v>
      </c>
      <c r="H2441">
        <v>75</v>
      </c>
      <c r="I2441">
        <v>255</v>
      </c>
      <c r="J2441">
        <v>261</v>
      </c>
      <c r="K2441">
        <v>81</v>
      </c>
      <c r="L2441">
        <v>312</v>
      </c>
      <c r="M2441">
        <v>132</v>
      </c>
      <c r="T2441">
        <v>190</v>
      </c>
      <c r="U2441">
        <v>66</v>
      </c>
      <c r="Y2441">
        <v>191</v>
      </c>
      <c r="Z2441">
        <v>5</v>
      </c>
      <c r="AD2441">
        <v>51</v>
      </c>
      <c r="AE2441">
        <v>7</v>
      </c>
      <c r="AX2441">
        <v>256</v>
      </c>
      <c r="AY2441">
        <v>242</v>
      </c>
      <c r="AZ2441">
        <v>498</v>
      </c>
      <c r="BA2441">
        <v>196</v>
      </c>
      <c r="BB2441">
        <v>197</v>
      </c>
      <c r="BC2441">
        <v>393</v>
      </c>
      <c r="BD2441">
        <v>58</v>
      </c>
      <c r="BE2441">
        <v>71</v>
      </c>
      <c r="BF2441">
        <v>129</v>
      </c>
      <c r="BP2441">
        <v>202</v>
      </c>
      <c r="BR2441">
        <v>188</v>
      </c>
      <c r="BS2441">
        <v>61</v>
      </c>
      <c r="BT2441">
        <v>46</v>
      </c>
      <c r="BU2441">
        <v>9</v>
      </c>
      <c r="BV2441">
        <v>4</v>
      </c>
      <c r="BW2441">
        <v>510</v>
      </c>
      <c r="BX2441">
        <v>428</v>
      </c>
      <c r="BY2441">
        <v>0.19159999999999999</v>
      </c>
      <c r="BZ2441" s="6">
        <v>0.19</v>
      </c>
      <c r="CA2441" s="7">
        <v>45242</v>
      </c>
      <c r="CC2441">
        <v>203</v>
      </c>
      <c r="CD2441">
        <v>195</v>
      </c>
      <c r="CE2441">
        <v>112</v>
      </c>
      <c r="CI2441">
        <f t="shared" si="238"/>
        <v>2023</v>
      </c>
      <c r="CJ2441" t="str">
        <f t="shared" si="239"/>
        <v>6323_2023</v>
      </c>
    </row>
    <row r="2442" spans="1:88" x14ac:dyDescent="0.25">
      <c r="A2442" t="s">
        <v>502</v>
      </c>
      <c r="B2442" t="s">
        <v>503</v>
      </c>
      <c r="C2442">
        <v>6324</v>
      </c>
      <c r="D2442">
        <v>-12.376265</v>
      </c>
      <c r="E2442">
        <v>130.86034699999999</v>
      </c>
      <c r="F2442">
        <v>3</v>
      </c>
      <c r="G2442" t="s">
        <v>509</v>
      </c>
      <c r="H2442">
        <v>22</v>
      </c>
      <c r="I2442">
        <v>202</v>
      </c>
      <c r="J2442">
        <v>138</v>
      </c>
      <c r="K2442">
        <v>318</v>
      </c>
      <c r="L2442">
        <v>276</v>
      </c>
      <c r="M2442">
        <v>96</v>
      </c>
      <c r="T2442">
        <v>70</v>
      </c>
      <c r="U2442">
        <v>154</v>
      </c>
      <c r="Y2442">
        <v>59</v>
      </c>
      <c r="Z2442">
        <v>75</v>
      </c>
      <c r="AD2442">
        <v>129</v>
      </c>
      <c r="AE2442">
        <v>92</v>
      </c>
      <c r="AX2442">
        <v>224</v>
      </c>
      <c r="AY2442">
        <v>188</v>
      </c>
      <c r="AZ2442">
        <v>412</v>
      </c>
      <c r="BA2442">
        <v>134</v>
      </c>
      <c r="BB2442">
        <v>162</v>
      </c>
      <c r="BC2442">
        <v>296</v>
      </c>
      <c r="BD2442">
        <v>221</v>
      </c>
      <c r="BE2442">
        <v>229</v>
      </c>
      <c r="BF2442">
        <v>450</v>
      </c>
      <c r="BP2442">
        <v>263</v>
      </c>
      <c r="BR2442">
        <v>168</v>
      </c>
      <c r="BS2442">
        <v>70</v>
      </c>
      <c r="BT2442">
        <v>66</v>
      </c>
      <c r="BU2442">
        <v>9</v>
      </c>
      <c r="BV2442">
        <v>3</v>
      </c>
      <c r="BW2442">
        <v>579</v>
      </c>
      <c r="BX2442">
        <v>489</v>
      </c>
      <c r="BY2442">
        <v>0.184</v>
      </c>
      <c r="BZ2442" s="6">
        <v>0.18</v>
      </c>
      <c r="CA2442" s="7">
        <v>45242</v>
      </c>
      <c r="CC2442">
        <v>266</v>
      </c>
      <c r="CD2442">
        <v>193</v>
      </c>
      <c r="CE2442">
        <v>120</v>
      </c>
      <c r="CI2442">
        <f t="shared" si="238"/>
        <v>2023</v>
      </c>
      <c r="CJ2442" t="str">
        <f t="shared" si="239"/>
        <v>6324_2023</v>
      </c>
    </row>
    <row r="2443" spans="1:88" x14ac:dyDescent="0.25">
      <c r="A2443" t="s">
        <v>502</v>
      </c>
      <c r="B2443" t="s">
        <v>503</v>
      </c>
      <c r="C2443">
        <v>6836</v>
      </c>
      <c r="D2443">
        <v>-12.399501000000001</v>
      </c>
      <c r="E2443">
        <v>130.916021</v>
      </c>
      <c r="F2443">
        <v>3</v>
      </c>
      <c r="G2443" t="s">
        <v>635</v>
      </c>
      <c r="H2443">
        <v>32</v>
      </c>
      <c r="I2443">
        <v>212</v>
      </c>
      <c r="J2443">
        <v>190</v>
      </c>
      <c r="K2443">
        <v>10</v>
      </c>
      <c r="L2443">
        <v>345</v>
      </c>
      <c r="M2443">
        <v>165</v>
      </c>
      <c r="T2443">
        <v>4</v>
      </c>
      <c r="U2443">
        <v>1</v>
      </c>
      <c r="Y2443">
        <v>3</v>
      </c>
      <c r="Z2443">
        <v>8</v>
      </c>
      <c r="AD2443">
        <v>1</v>
      </c>
      <c r="AE2443">
        <v>12</v>
      </c>
      <c r="AX2443">
        <v>5</v>
      </c>
      <c r="AY2443">
        <v>4</v>
      </c>
      <c r="AZ2443">
        <v>9</v>
      </c>
      <c r="BA2443">
        <v>11</v>
      </c>
      <c r="BB2443">
        <v>16</v>
      </c>
      <c r="BC2443">
        <v>27</v>
      </c>
      <c r="BD2443">
        <v>13</v>
      </c>
      <c r="BE2443">
        <v>9</v>
      </c>
      <c r="BF2443">
        <v>22</v>
      </c>
      <c r="BP2443">
        <v>2</v>
      </c>
      <c r="BR2443">
        <v>18</v>
      </c>
      <c r="BS2443">
        <v>0</v>
      </c>
      <c r="BT2443">
        <v>5</v>
      </c>
      <c r="BU2443">
        <v>4</v>
      </c>
      <c r="BV2443">
        <v>0</v>
      </c>
      <c r="BW2443">
        <v>29</v>
      </c>
      <c r="BX2443">
        <v>13</v>
      </c>
      <c r="BY2443">
        <v>1.2307999999999999</v>
      </c>
      <c r="BZ2443" s="6">
        <v>1.23</v>
      </c>
      <c r="CA2443" s="7">
        <v>45242</v>
      </c>
      <c r="CC2443">
        <v>8</v>
      </c>
      <c r="CD2443">
        <v>6</v>
      </c>
      <c r="CE2443">
        <v>15</v>
      </c>
      <c r="CI2443">
        <f t="shared" si="238"/>
        <v>2023</v>
      </c>
      <c r="CJ2443" t="str">
        <f t="shared" si="239"/>
        <v>6836_2023</v>
      </c>
    </row>
    <row r="2444" spans="1:88" x14ac:dyDescent="0.25">
      <c r="A2444" t="s">
        <v>111</v>
      </c>
      <c r="B2444" t="s">
        <v>301</v>
      </c>
      <c r="C2444">
        <v>5826</v>
      </c>
      <c r="D2444">
        <v>-38.098587999999999</v>
      </c>
      <c r="E2444">
        <v>145.13475800000001</v>
      </c>
      <c r="F2444">
        <v>3</v>
      </c>
      <c r="G2444" t="s">
        <v>302</v>
      </c>
      <c r="H2444">
        <v>8</v>
      </c>
      <c r="I2444">
        <v>188</v>
      </c>
      <c r="J2444">
        <v>194</v>
      </c>
      <c r="K2444">
        <v>14</v>
      </c>
      <c r="L2444">
        <v>279</v>
      </c>
      <c r="M2444">
        <v>99</v>
      </c>
      <c r="T2444">
        <v>305</v>
      </c>
      <c r="U2444">
        <v>3</v>
      </c>
      <c r="Y2444">
        <v>286</v>
      </c>
      <c r="Z2444">
        <v>3</v>
      </c>
      <c r="AD2444">
        <v>1</v>
      </c>
      <c r="AE2444">
        <v>7</v>
      </c>
      <c r="AX2444">
        <v>308</v>
      </c>
      <c r="AY2444">
        <v>287</v>
      </c>
      <c r="AZ2444">
        <v>595</v>
      </c>
      <c r="BA2444">
        <v>289</v>
      </c>
      <c r="BB2444">
        <v>312</v>
      </c>
      <c r="BC2444">
        <v>601</v>
      </c>
      <c r="BD2444">
        <v>8</v>
      </c>
      <c r="BE2444">
        <v>6</v>
      </c>
      <c r="BF2444">
        <v>14</v>
      </c>
      <c r="BP2444">
        <v>30</v>
      </c>
      <c r="BR2444">
        <v>127</v>
      </c>
      <c r="BS2444">
        <v>439</v>
      </c>
      <c r="BT2444">
        <v>9</v>
      </c>
      <c r="BU2444">
        <v>0</v>
      </c>
      <c r="BV2444">
        <v>0</v>
      </c>
      <c r="BW2444">
        <v>605</v>
      </c>
      <c r="BX2444">
        <v>139</v>
      </c>
      <c r="BY2444">
        <v>3.3525</v>
      </c>
      <c r="BZ2444" s="6">
        <v>3.35</v>
      </c>
      <c r="CA2444" s="7">
        <v>45256</v>
      </c>
      <c r="CE2444">
        <v>541</v>
      </c>
      <c r="CF2444">
        <v>43</v>
      </c>
      <c r="CG2444">
        <v>21</v>
      </c>
      <c r="CI2444">
        <f t="shared" si="238"/>
        <v>2023</v>
      </c>
      <c r="CJ2444" t="str">
        <f t="shared" si="239"/>
        <v>5826_2023</v>
      </c>
    </row>
    <row r="2445" spans="1:88" x14ac:dyDescent="0.25">
      <c r="A2445" t="s">
        <v>111</v>
      </c>
      <c r="B2445" t="s">
        <v>301</v>
      </c>
      <c r="C2445">
        <v>5828</v>
      </c>
      <c r="D2445">
        <v>-38.184370999999999</v>
      </c>
      <c r="E2445">
        <v>145.11648199999999</v>
      </c>
      <c r="F2445">
        <v>3</v>
      </c>
      <c r="G2445" t="s">
        <v>303</v>
      </c>
      <c r="H2445">
        <v>59</v>
      </c>
      <c r="I2445">
        <v>239</v>
      </c>
      <c r="J2445">
        <v>148</v>
      </c>
      <c r="K2445">
        <v>328</v>
      </c>
      <c r="L2445">
        <v>328</v>
      </c>
      <c r="M2445">
        <v>148</v>
      </c>
      <c r="T2445">
        <v>23</v>
      </c>
      <c r="U2445">
        <v>15</v>
      </c>
      <c r="Y2445">
        <v>42</v>
      </c>
      <c r="Z2445">
        <v>49</v>
      </c>
      <c r="AD2445">
        <v>15</v>
      </c>
      <c r="AE2445">
        <v>43</v>
      </c>
      <c r="AX2445">
        <v>38</v>
      </c>
      <c r="AY2445">
        <v>57</v>
      </c>
      <c r="AZ2445">
        <v>95</v>
      </c>
      <c r="BA2445">
        <v>91</v>
      </c>
      <c r="BB2445">
        <v>66</v>
      </c>
      <c r="BC2445">
        <v>157</v>
      </c>
      <c r="BD2445">
        <v>58</v>
      </c>
      <c r="BE2445">
        <v>64</v>
      </c>
      <c r="BF2445">
        <v>122</v>
      </c>
      <c r="BP2445">
        <v>105</v>
      </c>
      <c r="BR2445">
        <v>40</v>
      </c>
      <c r="BS2445">
        <v>21</v>
      </c>
      <c r="BT2445">
        <v>19</v>
      </c>
      <c r="BU2445">
        <v>2</v>
      </c>
      <c r="BV2445">
        <v>0</v>
      </c>
      <c r="BW2445">
        <v>187</v>
      </c>
      <c r="BX2445">
        <v>306</v>
      </c>
      <c r="BY2445">
        <v>-0.38890000000000002</v>
      </c>
      <c r="BZ2445" s="6">
        <v>-0.39</v>
      </c>
      <c r="CA2445" s="7">
        <v>45242</v>
      </c>
      <c r="CE2445">
        <v>103</v>
      </c>
      <c r="CF2445">
        <v>45</v>
      </c>
      <c r="CG2445">
        <v>39</v>
      </c>
      <c r="CI2445">
        <f t="shared" si="238"/>
        <v>2023</v>
      </c>
      <c r="CJ2445" t="str">
        <f t="shared" si="239"/>
        <v>5828_2023</v>
      </c>
    </row>
    <row r="2446" spans="1:88" x14ac:dyDescent="0.25">
      <c r="A2446" t="s">
        <v>111</v>
      </c>
      <c r="B2446" t="s">
        <v>301</v>
      </c>
      <c r="C2446">
        <v>5997</v>
      </c>
      <c r="D2446">
        <v>-38.158721999999997</v>
      </c>
      <c r="E2446">
        <v>145.152255</v>
      </c>
      <c r="F2446">
        <v>3</v>
      </c>
      <c r="G2446" t="s">
        <v>340</v>
      </c>
      <c r="H2446">
        <v>11</v>
      </c>
      <c r="I2446">
        <v>191</v>
      </c>
      <c r="J2446">
        <v>131</v>
      </c>
      <c r="K2446">
        <v>311</v>
      </c>
      <c r="L2446">
        <v>311</v>
      </c>
      <c r="M2446">
        <v>131</v>
      </c>
      <c r="T2446">
        <v>1</v>
      </c>
      <c r="U2446">
        <v>4</v>
      </c>
      <c r="Y2446">
        <v>5</v>
      </c>
      <c r="Z2446">
        <v>43</v>
      </c>
      <c r="AD2446">
        <v>0</v>
      </c>
      <c r="AE2446">
        <v>50</v>
      </c>
      <c r="AX2446">
        <v>5</v>
      </c>
      <c r="AY2446">
        <v>5</v>
      </c>
      <c r="AZ2446">
        <v>10</v>
      </c>
      <c r="BA2446">
        <v>48</v>
      </c>
      <c r="BB2446">
        <v>51</v>
      </c>
      <c r="BC2446">
        <v>99</v>
      </c>
      <c r="BD2446">
        <v>50</v>
      </c>
      <c r="BE2446">
        <v>47</v>
      </c>
      <c r="BF2446">
        <v>97</v>
      </c>
      <c r="BP2446">
        <v>52</v>
      </c>
      <c r="BR2446">
        <v>20</v>
      </c>
      <c r="BS2446">
        <v>6</v>
      </c>
      <c r="BT2446">
        <v>24</v>
      </c>
      <c r="BU2446">
        <v>0</v>
      </c>
      <c r="BV2446">
        <v>1</v>
      </c>
      <c r="BW2446">
        <v>103</v>
      </c>
      <c r="BX2446">
        <v>80</v>
      </c>
      <c r="BY2446">
        <v>0.28749999999999998</v>
      </c>
      <c r="BZ2446" s="6">
        <v>0.28999999999999998</v>
      </c>
      <c r="CA2446" s="7">
        <v>45242</v>
      </c>
      <c r="CE2446">
        <v>30</v>
      </c>
      <c r="CF2446">
        <v>31</v>
      </c>
      <c r="CG2446">
        <v>42</v>
      </c>
      <c r="CI2446">
        <f t="shared" si="238"/>
        <v>2023</v>
      </c>
      <c r="CJ2446" t="str">
        <f t="shared" si="239"/>
        <v>5997_2023</v>
      </c>
    </row>
    <row r="2447" spans="1:88" x14ac:dyDescent="0.25">
      <c r="A2447" t="s">
        <v>111</v>
      </c>
      <c r="B2447" t="s">
        <v>301</v>
      </c>
      <c r="C2447">
        <v>5998</v>
      </c>
      <c r="D2447">
        <v>-38.102215999999999</v>
      </c>
      <c r="E2447">
        <v>145.13937899999999</v>
      </c>
      <c r="F2447">
        <v>3</v>
      </c>
      <c r="G2447" t="s">
        <v>341</v>
      </c>
      <c r="H2447">
        <v>16</v>
      </c>
      <c r="I2447">
        <v>196</v>
      </c>
      <c r="J2447">
        <v>76</v>
      </c>
      <c r="K2447">
        <v>256</v>
      </c>
      <c r="L2447">
        <v>202</v>
      </c>
      <c r="M2447">
        <v>22</v>
      </c>
      <c r="T2447">
        <v>23</v>
      </c>
      <c r="U2447">
        <v>45</v>
      </c>
      <c r="Y2447">
        <v>23</v>
      </c>
      <c r="Z2447">
        <v>26</v>
      </c>
      <c r="AD2447">
        <v>47</v>
      </c>
      <c r="AE2447">
        <v>33</v>
      </c>
      <c r="AX2447">
        <v>68</v>
      </c>
      <c r="AY2447">
        <v>70</v>
      </c>
      <c r="AZ2447">
        <v>138</v>
      </c>
      <c r="BA2447">
        <v>49</v>
      </c>
      <c r="BB2447">
        <v>56</v>
      </c>
      <c r="BC2447">
        <v>105</v>
      </c>
      <c r="BD2447">
        <v>80</v>
      </c>
      <c r="BE2447">
        <v>71</v>
      </c>
      <c r="BF2447">
        <v>151</v>
      </c>
      <c r="BP2447">
        <v>124</v>
      </c>
      <c r="BR2447">
        <v>32</v>
      </c>
      <c r="BS2447">
        <v>21</v>
      </c>
      <c r="BT2447">
        <v>16</v>
      </c>
      <c r="BU2447">
        <v>3</v>
      </c>
      <c r="BV2447">
        <v>1</v>
      </c>
      <c r="BW2447">
        <v>197</v>
      </c>
      <c r="BX2447">
        <v>221</v>
      </c>
      <c r="BY2447">
        <v>-0.1086</v>
      </c>
      <c r="BZ2447" s="6">
        <v>-0.11</v>
      </c>
      <c r="CA2447" s="7">
        <v>45242</v>
      </c>
      <c r="CE2447">
        <v>69</v>
      </c>
      <c r="CF2447">
        <v>66</v>
      </c>
      <c r="CG2447">
        <v>62</v>
      </c>
      <c r="CI2447">
        <f t="shared" si="238"/>
        <v>2023</v>
      </c>
      <c r="CJ2447" t="str">
        <f t="shared" si="239"/>
        <v>5998_2023</v>
      </c>
    </row>
    <row r="2448" spans="1:88" x14ac:dyDescent="0.25">
      <c r="A2448" t="s">
        <v>111</v>
      </c>
      <c r="B2448" t="s">
        <v>301</v>
      </c>
      <c r="C2448">
        <v>6216</v>
      </c>
      <c r="D2448">
        <v>-38.083674000000002</v>
      </c>
      <c r="E2448">
        <v>145.13354899999999</v>
      </c>
      <c r="F2448">
        <v>4</v>
      </c>
      <c r="G2448" t="s">
        <v>397</v>
      </c>
      <c r="H2448">
        <v>69</v>
      </c>
      <c r="I2448">
        <v>249</v>
      </c>
      <c r="J2448">
        <v>157</v>
      </c>
      <c r="K2448">
        <v>337</v>
      </c>
      <c r="L2448">
        <v>251</v>
      </c>
      <c r="M2448">
        <v>71</v>
      </c>
      <c r="N2448">
        <v>337</v>
      </c>
      <c r="O2448">
        <v>157</v>
      </c>
      <c r="T2448">
        <v>11</v>
      </c>
      <c r="U2448">
        <v>6</v>
      </c>
      <c r="V2448">
        <v>26</v>
      </c>
      <c r="Y2448">
        <v>3</v>
      </c>
      <c r="Z2448">
        <v>3</v>
      </c>
      <c r="AA2448">
        <v>15</v>
      </c>
      <c r="AD2448">
        <v>14</v>
      </c>
      <c r="AE2448">
        <v>0</v>
      </c>
      <c r="AF2448">
        <v>4</v>
      </c>
      <c r="AI2448">
        <v>22</v>
      </c>
      <c r="AJ2448">
        <v>12</v>
      </c>
      <c r="AK2448">
        <v>8</v>
      </c>
      <c r="AX2448">
        <v>43</v>
      </c>
      <c r="AY2448">
        <v>39</v>
      </c>
      <c r="AZ2448">
        <v>82</v>
      </c>
      <c r="BA2448">
        <v>21</v>
      </c>
      <c r="BB2448">
        <v>23</v>
      </c>
      <c r="BC2448">
        <v>44</v>
      </c>
      <c r="BD2448">
        <v>18</v>
      </c>
      <c r="BE2448">
        <v>17</v>
      </c>
      <c r="BF2448">
        <v>35</v>
      </c>
      <c r="BG2448">
        <v>42</v>
      </c>
      <c r="BH2448">
        <v>45</v>
      </c>
      <c r="BI2448">
        <v>87</v>
      </c>
      <c r="BP2448">
        <v>31</v>
      </c>
      <c r="BR2448">
        <v>60</v>
      </c>
      <c r="BS2448">
        <v>7</v>
      </c>
      <c r="BT2448">
        <v>26</v>
      </c>
      <c r="BU2448">
        <v>0</v>
      </c>
      <c r="BV2448">
        <v>0</v>
      </c>
      <c r="BW2448">
        <v>124</v>
      </c>
      <c r="BX2448">
        <v>187</v>
      </c>
      <c r="BY2448">
        <v>-0.33689999999999998</v>
      </c>
      <c r="BZ2448" s="6">
        <v>-0.34</v>
      </c>
      <c r="CA2448" s="7">
        <v>45249</v>
      </c>
      <c r="CE2448">
        <v>47</v>
      </c>
      <c r="CF2448">
        <v>38</v>
      </c>
      <c r="CG2448">
        <v>39</v>
      </c>
      <c r="CI2448">
        <f t="shared" si="238"/>
        <v>2023</v>
      </c>
      <c r="CJ2448" t="str">
        <f t="shared" si="239"/>
        <v>6216_2023</v>
      </c>
    </row>
    <row r="2449" spans="1:88" x14ac:dyDescent="0.25">
      <c r="A2449" t="s">
        <v>111</v>
      </c>
      <c r="B2449" t="s">
        <v>301</v>
      </c>
      <c r="C2449">
        <v>6217</v>
      </c>
      <c r="D2449">
        <v>-38.108977000000003</v>
      </c>
      <c r="E2449">
        <v>145.16179500000001</v>
      </c>
      <c r="F2449">
        <v>4</v>
      </c>
      <c r="G2449" t="s">
        <v>398</v>
      </c>
      <c r="H2449">
        <v>54</v>
      </c>
      <c r="I2449">
        <v>234</v>
      </c>
      <c r="J2449">
        <v>154</v>
      </c>
      <c r="K2449">
        <v>334</v>
      </c>
      <c r="L2449">
        <v>230</v>
      </c>
      <c r="M2449">
        <v>50</v>
      </c>
      <c r="N2449">
        <v>335</v>
      </c>
      <c r="O2449">
        <v>155</v>
      </c>
      <c r="T2449">
        <v>12</v>
      </c>
      <c r="U2449">
        <v>9</v>
      </c>
      <c r="V2449">
        <v>17</v>
      </c>
      <c r="Y2449">
        <v>12</v>
      </c>
      <c r="Z2449">
        <v>4</v>
      </c>
      <c r="AA2449">
        <v>56</v>
      </c>
      <c r="AD2449">
        <v>6</v>
      </c>
      <c r="AE2449">
        <v>2</v>
      </c>
      <c r="AF2449">
        <v>5</v>
      </c>
      <c r="AI2449">
        <v>16</v>
      </c>
      <c r="AJ2449">
        <v>43</v>
      </c>
      <c r="AK2449">
        <v>5</v>
      </c>
      <c r="AX2449">
        <v>38</v>
      </c>
      <c r="AY2449">
        <v>34</v>
      </c>
      <c r="AZ2449">
        <v>72</v>
      </c>
      <c r="BA2449">
        <v>72</v>
      </c>
      <c r="BB2449">
        <v>57</v>
      </c>
      <c r="BC2449">
        <v>129</v>
      </c>
      <c r="BD2449">
        <v>13</v>
      </c>
      <c r="BE2449">
        <v>18</v>
      </c>
      <c r="BF2449">
        <v>31</v>
      </c>
      <c r="BG2449">
        <v>64</v>
      </c>
      <c r="BH2449">
        <v>78</v>
      </c>
      <c r="BI2449">
        <v>142</v>
      </c>
      <c r="BP2449">
        <v>156</v>
      </c>
      <c r="BR2449">
        <v>21</v>
      </c>
      <c r="BS2449">
        <v>1</v>
      </c>
      <c r="BT2449">
        <v>1</v>
      </c>
      <c r="BU2449">
        <v>8</v>
      </c>
      <c r="BV2449">
        <v>0</v>
      </c>
      <c r="BW2449">
        <v>187</v>
      </c>
      <c r="BX2449">
        <v>236</v>
      </c>
      <c r="BY2449">
        <v>-0.20760000000000001</v>
      </c>
      <c r="BZ2449" s="6">
        <v>-0.21</v>
      </c>
      <c r="CA2449" s="7">
        <v>45242</v>
      </c>
      <c r="CE2449">
        <v>73</v>
      </c>
      <c r="CF2449">
        <v>57</v>
      </c>
      <c r="CG2449">
        <v>57</v>
      </c>
      <c r="CI2449">
        <f t="shared" si="238"/>
        <v>2023</v>
      </c>
      <c r="CJ2449" t="str">
        <f t="shared" si="239"/>
        <v>6217_2023</v>
      </c>
    </row>
    <row r="2450" spans="1:88" x14ac:dyDescent="0.25">
      <c r="A2450" t="s">
        <v>111</v>
      </c>
      <c r="B2450" t="s">
        <v>301</v>
      </c>
      <c r="C2450">
        <v>6218</v>
      </c>
      <c r="D2450">
        <v>-38.131911000000002</v>
      </c>
      <c r="E2450">
        <v>145.17344199999999</v>
      </c>
      <c r="F2450">
        <v>3</v>
      </c>
      <c r="G2450" t="s">
        <v>399</v>
      </c>
      <c r="H2450">
        <v>124</v>
      </c>
      <c r="I2450">
        <v>304</v>
      </c>
      <c r="J2450">
        <v>173</v>
      </c>
      <c r="K2450">
        <v>353</v>
      </c>
      <c r="L2450">
        <v>349</v>
      </c>
      <c r="M2450">
        <v>169</v>
      </c>
      <c r="T2450">
        <v>8</v>
      </c>
      <c r="U2450">
        <v>8</v>
      </c>
      <c r="Y2450">
        <v>3</v>
      </c>
      <c r="Z2450">
        <v>57</v>
      </c>
      <c r="AD2450">
        <v>7</v>
      </c>
      <c r="AE2450">
        <v>60</v>
      </c>
      <c r="AX2450">
        <v>16</v>
      </c>
      <c r="AY2450">
        <v>10</v>
      </c>
      <c r="AZ2450">
        <v>26</v>
      </c>
      <c r="BA2450">
        <v>60</v>
      </c>
      <c r="BB2450">
        <v>68</v>
      </c>
      <c r="BC2450">
        <v>128</v>
      </c>
      <c r="BD2450">
        <v>67</v>
      </c>
      <c r="BE2450">
        <v>65</v>
      </c>
      <c r="BF2450">
        <v>132</v>
      </c>
      <c r="BP2450">
        <v>110</v>
      </c>
      <c r="BR2450">
        <v>18</v>
      </c>
      <c r="BS2450">
        <v>10</v>
      </c>
      <c r="BT2450">
        <v>0</v>
      </c>
      <c r="BU2450">
        <v>0</v>
      </c>
      <c r="BV2450">
        <v>5</v>
      </c>
      <c r="BW2450">
        <v>143</v>
      </c>
      <c r="BX2450">
        <v>139</v>
      </c>
      <c r="BY2450">
        <v>2.8799999999999999E-2</v>
      </c>
      <c r="BZ2450" s="6">
        <v>0.03</v>
      </c>
      <c r="CA2450" s="7">
        <v>45242</v>
      </c>
      <c r="CE2450">
        <v>71</v>
      </c>
      <c r="CF2450">
        <v>41</v>
      </c>
      <c r="CG2450">
        <v>31</v>
      </c>
      <c r="CI2450">
        <f t="shared" si="238"/>
        <v>2023</v>
      </c>
      <c r="CJ2450" t="str">
        <f t="shared" si="239"/>
        <v>6218_2023</v>
      </c>
    </row>
    <row r="2451" spans="1:88" x14ac:dyDescent="0.25">
      <c r="A2451" t="s">
        <v>111</v>
      </c>
      <c r="B2451" t="s">
        <v>301</v>
      </c>
      <c r="C2451">
        <v>6219</v>
      </c>
      <c r="D2451">
        <v>-38.155420999999997</v>
      </c>
      <c r="E2451">
        <v>145.167069</v>
      </c>
      <c r="F2451">
        <v>4</v>
      </c>
      <c r="G2451" t="s">
        <v>400</v>
      </c>
      <c r="H2451">
        <v>21</v>
      </c>
      <c r="I2451">
        <v>201</v>
      </c>
      <c r="J2451">
        <v>108</v>
      </c>
      <c r="K2451">
        <v>288</v>
      </c>
      <c r="L2451">
        <v>193</v>
      </c>
      <c r="M2451">
        <v>13</v>
      </c>
      <c r="N2451">
        <v>288</v>
      </c>
      <c r="O2451">
        <v>108</v>
      </c>
      <c r="T2451">
        <v>4</v>
      </c>
      <c r="U2451">
        <v>44</v>
      </c>
      <c r="V2451">
        <v>13</v>
      </c>
      <c r="Y2451">
        <v>11</v>
      </c>
      <c r="Z2451">
        <v>1</v>
      </c>
      <c r="AA2451">
        <v>20</v>
      </c>
      <c r="AD2451">
        <v>42</v>
      </c>
      <c r="AE2451">
        <v>2</v>
      </c>
      <c r="AF2451">
        <v>8</v>
      </c>
      <c r="AI2451">
        <v>6</v>
      </c>
      <c r="AJ2451">
        <v>15</v>
      </c>
      <c r="AK2451">
        <v>5</v>
      </c>
      <c r="AX2451">
        <v>61</v>
      </c>
      <c r="AY2451">
        <v>59</v>
      </c>
      <c r="AZ2451">
        <v>120</v>
      </c>
      <c r="BA2451">
        <v>32</v>
      </c>
      <c r="BB2451">
        <v>21</v>
      </c>
      <c r="BC2451">
        <v>53</v>
      </c>
      <c r="BD2451">
        <v>52</v>
      </c>
      <c r="BE2451">
        <v>50</v>
      </c>
      <c r="BF2451">
        <v>102</v>
      </c>
      <c r="BG2451">
        <v>26</v>
      </c>
      <c r="BH2451">
        <v>41</v>
      </c>
      <c r="BI2451">
        <v>67</v>
      </c>
      <c r="BP2451">
        <v>101</v>
      </c>
      <c r="BR2451">
        <v>54</v>
      </c>
      <c r="BS2451">
        <v>7</v>
      </c>
      <c r="BT2451">
        <v>9</v>
      </c>
      <c r="BU2451">
        <v>0</v>
      </c>
      <c r="BV2451">
        <v>0</v>
      </c>
      <c r="BW2451">
        <v>171</v>
      </c>
      <c r="BX2451">
        <v>203</v>
      </c>
      <c r="BY2451">
        <v>-0.15759999999999999</v>
      </c>
      <c r="BZ2451" s="6">
        <v>-0.16</v>
      </c>
      <c r="CA2451" s="7">
        <v>45242</v>
      </c>
      <c r="CE2451">
        <v>42</v>
      </c>
      <c r="CF2451">
        <v>61</v>
      </c>
      <c r="CG2451">
        <v>68</v>
      </c>
      <c r="CI2451">
        <f t="shared" si="238"/>
        <v>2023</v>
      </c>
      <c r="CJ2451" t="str">
        <f t="shared" si="239"/>
        <v>6219_2023</v>
      </c>
    </row>
    <row r="2452" spans="1:88" x14ac:dyDescent="0.25">
      <c r="A2452" t="s">
        <v>111</v>
      </c>
      <c r="B2452" t="s">
        <v>301</v>
      </c>
      <c r="C2452">
        <v>6220</v>
      </c>
      <c r="D2452">
        <v>-38.182144999999998</v>
      </c>
      <c r="E2452">
        <v>145.15981300000001</v>
      </c>
      <c r="F2452">
        <v>4</v>
      </c>
      <c r="G2452" t="s">
        <v>401</v>
      </c>
      <c r="H2452">
        <v>32</v>
      </c>
      <c r="I2452">
        <v>212</v>
      </c>
      <c r="J2452">
        <v>134</v>
      </c>
      <c r="K2452">
        <v>314</v>
      </c>
      <c r="L2452">
        <v>205</v>
      </c>
      <c r="M2452">
        <v>25</v>
      </c>
      <c r="N2452">
        <v>314</v>
      </c>
      <c r="O2452">
        <v>134</v>
      </c>
      <c r="T2452">
        <v>4</v>
      </c>
      <c r="U2452">
        <v>104</v>
      </c>
      <c r="V2452">
        <v>2</v>
      </c>
      <c r="Y2452">
        <v>0</v>
      </c>
      <c r="Z2452">
        <v>2</v>
      </c>
      <c r="AA2452">
        <v>2</v>
      </c>
      <c r="AD2452">
        <v>88</v>
      </c>
      <c r="AE2452">
        <v>0</v>
      </c>
      <c r="AF2452">
        <v>6</v>
      </c>
      <c r="AI2452">
        <v>3</v>
      </c>
      <c r="AJ2452">
        <v>2</v>
      </c>
      <c r="AK2452">
        <v>4</v>
      </c>
      <c r="AX2452">
        <v>110</v>
      </c>
      <c r="AY2452">
        <v>91</v>
      </c>
      <c r="AZ2452">
        <v>201</v>
      </c>
      <c r="BA2452">
        <v>4</v>
      </c>
      <c r="BB2452">
        <v>6</v>
      </c>
      <c r="BC2452">
        <v>10</v>
      </c>
      <c r="BD2452">
        <v>94</v>
      </c>
      <c r="BE2452">
        <v>110</v>
      </c>
      <c r="BF2452">
        <v>204</v>
      </c>
      <c r="BG2452">
        <v>9</v>
      </c>
      <c r="BH2452">
        <v>10</v>
      </c>
      <c r="BI2452">
        <v>19</v>
      </c>
      <c r="BP2452">
        <v>177</v>
      </c>
      <c r="BR2452">
        <v>18</v>
      </c>
      <c r="BS2452">
        <v>6</v>
      </c>
      <c r="BT2452">
        <v>16</v>
      </c>
      <c r="BU2452">
        <v>0</v>
      </c>
      <c r="BV2452">
        <v>0</v>
      </c>
      <c r="BW2452">
        <v>217</v>
      </c>
      <c r="BX2452">
        <v>112</v>
      </c>
      <c r="BY2452">
        <v>0.9375</v>
      </c>
      <c r="BZ2452" s="6">
        <v>0.94</v>
      </c>
      <c r="CA2452" s="7">
        <v>45242</v>
      </c>
      <c r="CE2452">
        <v>64</v>
      </c>
      <c r="CF2452">
        <v>93</v>
      </c>
      <c r="CG2452">
        <v>60</v>
      </c>
      <c r="CI2452">
        <f t="shared" si="238"/>
        <v>2023</v>
      </c>
      <c r="CJ2452" t="str">
        <f t="shared" si="239"/>
        <v>6220_2023</v>
      </c>
    </row>
    <row r="2453" spans="1:88" x14ac:dyDescent="0.25">
      <c r="A2453" t="s">
        <v>111</v>
      </c>
      <c r="B2453" t="s">
        <v>301</v>
      </c>
      <c r="C2453">
        <v>6825</v>
      </c>
      <c r="D2453">
        <v>-38.133527000000001</v>
      </c>
      <c r="E2453">
        <v>145.14454499999999</v>
      </c>
      <c r="F2453">
        <v>3</v>
      </c>
      <c r="G2453" t="s">
        <v>630</v>
      </c>
      <c r="H2453">
        <v>13</v>
      </c>
      <c r="I2453">
        <v>193</v>
      </c>
      <c r="J2453">
        <v>109</v>
      </c>
      <c r="K2453">
        <v>289</v>
      </c>
      <c r="L2453">
        <v>289</v>
      </c>
      <c r="M2453">
        <v>109</v>
      </c>
      <c r="T2453">
        <v>4</v>
      </c>
      <c r="U2453">
        <v>7</v>
      </c>
      <c r="Y2453">
        <v>3</v>
      </c>
      <c r="Z2453">
        <v>7</v>
      </c>
      <c r="AD2453">
        <v>1</v>
      </c>
      <c r="AE2453">
        <v>12</v>
      </c>
      <c r="AX2453">
        <v>11</v>
      </c>
      <c r="AY2453">
        <v>4</v>
      </c>
      <c r="AZ2453">
        <v>15</v>
      </c>
      <c r="BA2453">
        <v>10</v>
      </c>
      <c r="BB2453">
        <v>16</v>
      </c>
      <c r="BC2453">
        <v>26</v>
      </c>
      <c r="BD2453">
        <v>13</v>
      </c>
      <c r="BE2453">
        <v>14</v>
      </c>
      <c r="BF2453">
        <v>27</v>
      </c>
      <c r="BP2453">
        <v>11</v>
      </c>
      <c r="BR2453">
        <v>14</v>
      </c>
      <c r="BS2453">
        <v>2</v>
      </c>
      <c r="BT2453">
        <v>6</v>
      </c>
      <c r="BU2453">
        <v>1</v>
      </c>
      <c r="BV2453">
        <v>0</v>
      </c>
      <c r="BW2453">
        <v>34</v>
      </c>
      <c r="BX2453">
        <v>45</v>
      </c>
      <c r="BY2453">
        <v>-0.24440000000000001</v>
      </c>
      <c r="BZ2453" s="6">
        <v>-0.24</v>
      </c>
      <c r="CA2453" s="7">
        <v>45242</v>
      </c>
      <c r="CE2453">
        <v>9</v>
      </c>
      <c r="CF2453">
        <v>8</v>
      </c>
      <c r="CG2453">
        <v>17</v>
      </c>
      <c r="CI2453">
        <f t="shared" si="238"/>
        <v>2023</v>
      </c>
      <c r="CJ2453" t="str">
        <f t="shared" si="239"/>
        <v>6825_2023</v>
      </c>
    </row>
    <row r="2454" spans="1:88" x14ac:dyDescent="0.25">
      <c r="A2454" t="s">
        <v>111</v>
      </c>
      <c r="B2454" t="s">
        <v>301</v>
      </c>
      <c r="C2454">
        <v>7536</v>
      </c>
      <c r="D2454">
        <v>-38.130288999999998</v>
      </c>
      <c r="E2454">
        <v>145.13162500000001</v>
      </c>
      <c r="F2454">
        <v>5</v>
      </c>
      <c r="G2454" t="s">
        <v>882</v>
      </c>
      <c r="H2454">
        <v>19</v>
      </c>
      <c r="I2454">
        <v>199</v>
      </c>
      <c r="J2454">
        <v>46</v>
      </c>
      <c r="K2454">
        <v>226</v>
      </c>
      <c r="L2454">
        <v>107</v>
      </c>
      <c r="M2454">
        <v>287</v>
      </c>
      <c r="N2454">
        <v>200</v>
      </c>
      <c r="O2454">
        <v>20</v>
      </c>
      <c r="P2454">
        <v>290</v>
      </c>
      <c r="Q2454">
        <v>110</v>
      </c>
      <c r="T2454">
        <v>2</v>
      </c>
      <c r="U2454">
        <v>0</v>
      </c>
      <c r="V2454">
        <v>24</v>
      </c>
      <c r="W2454">
        <v>2</v>
      </c>
      <c r="Y2454">
        <v>1</v>
      </c>
      <c r="Z2454">
        <v>0</v>
      </c>
      <c r="AA2454">
        <v>1</v>
      </c>
      <c r="AB2454">
        <v>0</v>
      </c>
      <c r="AD2454">
        <v>0</v>
      </c>
      <c r="AE2454">
        <v>0</v>
      </c>
      <c r="AF2454">
        <v>0</v>
      </c>
      <c r="AG2454">
        <v>1</v>
      </c>
      <c r="AI2454">
        <v>5</v>
      </c>
      <c r="AJ2454">
        <v>1</v>
      </c>
      <c r="AK2454">
        <v>0</v>
      </c>
      <c r="AL2454">
        <v>2</v>
      </c>
      <c r="AN2454">
        <v>3</v>
      </c>
      <c r="AO2454">
        <v>0</v>
      </c>
      <c r="AP2454">
        <v>2</v>
      </c>
      <c r="AQ2454">
        <v>7</v>
      </c>
      <c r="AX2454">
        <v>28</v>
      </c>
      <c r="AY2454">
        <v>9</v>
      </c>
      <c r="AZ2454">
        <v>37</v>
      </c>
      <c r="BA2454">
        <v>2</v>
      </c>
      <c r="BB2454">
        <v>3</v>
      </c>
      <c r="BC2454">
        <v>5</v>
      </c>
      <c r="BD2454">
        <v>1</v>
      </c>
      <c r="BE2454">
        <v>2</v>
      </c>
      <c r="BF2454">
        <v>3</v>
      </c>
      <c r="BG2454">
        <v>8</v>
      </c>
      <c r="BH2454">
        <v>32</v>
      </c>
      <c r="BI2454">
        <v>40</v>
      </c>
      <c r="BJ2454">
        <v>12</v>
      </c>
      <c r="BK2454">
        <v>5</v>
      </c>
      <c r="BL2454">
        <v>17</v>
      </c>
      <c r="BP2454">
        <v>35</v>
      </c>
      <c r="BR2454">
        <v>6</v>
      </c>
      <c r="BS2454">
        <v>1</v>
      </c>
      <c r="BT2454">
        <v>6</v>
      </c>
      <c r="BU2454">
        <v>3</v>
      </c>
      <c r="BV2454">
        <v>0</v>
      </c>
      <c r="BW2454">
        <v>51</v>
      </c>
      <c r="BX2454">
        <v>93</v>
      </c>
      <c r="BY2454">
        <v>-0.4516</v>
      </c>
      <c r="BZ2454" s="6">
        <v>-0.45</v>
      </c>
      <c r="CA2454" s="7">
        <v>45242</v>
      </c>
      <c r="CE2454">
        <v>23</v>
      </c>
      <c r="CF2454">
        <v>19</v>
      </c>
      <c r="CG2454">
        <v>9</v>
      </c>
      <c r="CI2454">
        <f t="shared" si="238"/>
        <v>2023</v>
      </c>
      <c r="CJ2454" t="str">
        <f t="shared" si="239"/>
        <v>7536_2023</v>
      </c>
    </row>
    <row r="2455" spans="1:88" x14ac:dyDescent="0.25">
      <c r="A2455" t="s">
        <v>111</v>
      </c>
      <c r="B2455" t="s">
        <v>301</v>
      </c>
      <c r="C2455">
        <v>7537</v>
      </c>
      <c r="D2455">
        <v>-38.110553000000003</v>
      </c>
      <c r="E2455">
        <v>145.130258</v>
      </c>
      <c r="F2455">
        <v>4</v>
      </c>
      <c r="G2455" t="s">
        <v>883</v>
      </c>
      <c r="H2455">
        <v>96</v>
      </c>
      <c r="I2455">
        <v>276</v>
      </c>
      <c r="J2455">
        <v>147</v>
      </c>
      <c r="K2455">
        <v>327</v>
      </c>
      <c r="L2455">
        <v>280</v>
      </c>
      <c r="M2455">
        <v>100</v>
      </c>
      <c r="N2455">
        <v>330</v>
      </c>
      <c r="O2455">
        <v>150</v>
      </c>
      <c r="T2455">
        <v>3</v>
      </c>
      <c r="U2455">
        <v>13</v>
      </c>
      <c r="V2455">
        <v>2</v>
      </c>
      <c r="Y2455">
        <v>2</v>
      </c>
      <c r="Z2455">
        <v>2</v>
      </c>
      <c r="AA2455">
        <v>16</v>
      </c>
      <c r="AD2455">
        <v>20</v>
      </c>
      <c r="AE2455">
        <v>1</v>
      </c>
      <c r="AF2455">
        <v>37</v>
      </c>
      <c r="AI2455">
        <v>6</v>
      </c>
      <c r="AJ2455">
        <v>28</v>
      </c>
      <c r="AK2455">
        <v>21</v>
      </c>
      <c r="AX2455">
        <v>18</v>
      </c>
      <c r="AY2455">
        <v>28</v>
      </c>
      <c r="AZ2455">
        <v>46</v>
      </c>
      <c r="BA2455">
        <v>20</v>
      </c>
      <c r="BB2455">
        <v>32</v>
      </c>
      <c r="BC2455">
        <v>52</v>
      </c>
      <c r="BD2455">
        <v>58</v>
      </c>
      <c r="BE2455">
        <v>36</v>
      </c>
      <c r="BF2455">
        <v>94</v>
      </c>
      <c r="BG2455">
        <v>55</v>
      </c>
      <c r="BH2455">
        <v>55</v>
      </c>
      <c r="BI2455">
        <v>110</v>
      </c>
      <c r="BP2455">
        <v>66</v>
      </c>
      <c r="BR2455">
        <v>41</v>
      </c>
      <c r="BS2455">
        <v>9</v>
      </c>
      <c r="BT2455">
        <v>27</v>
      </c>
      <c r="BU2455">
        <v>3</v>
      </c>
      <c r="BV2455">
        <v>5</v>
      </c>
      <c r="BW2455">
        <v>151</v>
      </c>
      <c r="BX2455">
        <v>325</v>
      </c>
      <c r="BY2455">
        <v>-0.53539999999999999</v>
      </c>
      <c r="BZ2455" s="6">
        <v>-0.54</v>
      </c>
      <c r="CA2455" s="7">
        <v>45242</v>
      </c>
      <c r="CE2455">
        <v>47</v>
      </c>
      <c r="CF2455">
        <v>45</v>
      </c>
      <c r="CG2455">
        <v>59</v>
      </c>
      <c r="CI2455">
        <f t="shared" si="238"/>
        <v>2023</v>
      </c>
      <c r="CJ2455" t="str">
        <f t="shared" si="239"/>
        <v>7537_2023</v>
      </c>
    </row>
    <row r="2456" spans="1:88" x14ac:dyDescent="0.25">
      <c r="A2456" t="s">
        <v>111</v>
      </c>
      <c r="B2456" t="s">
        <v>301</v>
      </c>
      <c r="C2456">
        <v>7635</v>
      </c>
      <c r="D2456">
        <v>-38.093307000000003</v>
      </c>
      <c r="E2456">
        <v>145.128028</v>
      </c>
      <c r="F2456">
        <v>4</v>
      </c>
      <c r="G2456" t="s">
        <v>896</v>
      </c>
      <c r="H2456">
        <v>74</v>
      </c>
      <c r="I2456">
        <v>254</v>
      </c>
      <c r="J2456">
        <v>180</v>
      </c>
      <c r="K2456">
        <v>360</v>
      </c>
      <c r="L2456">
        <v>210</v>
      </c>
      <c r="M2456">
        <v>30</v>
      </c>
      <c r="N2456">
        <v>340</v>
      </c>
      <c r="O2456">
        <v>160</v>
      </c>
      <c r="T2456">
        <v>23</v>
      </c>
      <c r="U2456">
        <v>16</v>
      </c>
      <c r="V2456">
        <v>10</v>
      </c>
      <c r="Y2456">
        <v>20</v>
      </c>
      <c r="Z2456">
        <v>6</v>
      </c>
      <c r="AA2456">
        <v>45</v>
      </c>
      <c r="AD2456">
        <v>11</v>
      </c>
      <c r="AE2456">
        <v>1</v>
      </c>
      <c r="AF2456">
        <v>3</v>
      </c>
      <c r="AI2456">
        <v>5</v>
      </c>
      <c r="AJ2456">
        <v>69</v>
      </c>
      <c r="AK2456">
        <v>4</v>
      </c>
      <c r="AX2456">
        <v>49</v>
      </c>
      <c r="AY2456">
        <v>36</v>
      </c>
      <c r="AZ2456">
        <v>85</v>
      </c>
      <c r="BA2456">
        <v>71</v>
      </c>
      <c r="BB2456">
        <v>93</v>
      </c>
      <c r="BC2456">
        <v>164</v>
      </c>
      <c r="BD2456">
        <v>15</v>
      </c>
      <c r="BE2456">
        <v>26</v>
      </c>
      <c r="BF2456">
        <v>41</v>
      </c>
      <c r="BG2456">
        <v>78</v>
      </c>
      <c r="BH2456">
        <v>58</v>
      </c>
      <c r="BI2456">
        <v>136</v>
      </c>
      <c r="BP2456">
        <v>101</v>
      </c>
      <c r="BR2456">
        <v>60</v>
      </c>
      <c r="BS2456">
        <v>12</v>
      </c>
      <c r="BT2456">
        <v>28</v>
      </c>
      <c r="BU2456">
        <v>11</v>
      </c>
      <c r="BV2456">
        <v>1</v>
      </c>
      <c r="BW2456">
        <v>213</v>
      </c>
      <c r="BX2456">
        <v>316</v>
      </c>
      <c r="BY2456">
        <v>-0.32590000000000002</v>
      </c>
      <c r="BZ2456" s="6">
        <v>-0.33</v>
      </c>
      <c r="CA2456" s="7">
        <v>45242</v>
      </c>
      <c r="CE2456">
        <v>74</v>
      </c>
      <c r="CF2456">
        <v>76</v>
      </c>
      <c r="CG2456">
        <v>63</v>
      </c>
      <c r="CI2456">
        <f t="shared" si="238"/>
        <v>2023</v>
      </c>
      <c r="CJ2456" t="str">
        <f t="shared" si="239"/>
        <v>7635_2023</v>
      </c>
    </row>
    <row r="2457" spans="1:88" x14ac:dyDescent="0.25">
      <c r="A2457" t="s">
        <v>140</v>
      </c>
      <c r="B2457" t="s">
        <v>991</v>
      </c>
      <c r="C2457">
        <v>7871</v>
      </c>
      <c r="D2457">
        <v>-28.77797</v>
      </c>
      <c r="E2457">
        <v>114.5856</v>
      </c>
      <c r="F2457">
        <v>4</v>
      </c>
      <c r="G2457" t="s">
        <v>992</v>
      </c>
      <c r="H2457">
        <v>40</v>
      </c>
      <c r="I2457">
        <v>220</v>
      </c>
      <c r="J2457">
        <v>106</v>
      </c>
      <c r="K2457">
        <v>286</v>
      </c>
      <c r="L2457">
        <v>201</v>
      </c>
      <c r="M2457">
        <v>21</v>
      </c>
      <c r="N2457">
        <v>338</v>
      </c>
      <c r="O2457">
        <v>158</v>
      </c>
      <c r="T2457">
        <v>1</v>
      </c>
      <c r="U2457">
        <v>0</v>
      </c>
      <c r="V2457">
        <v>7</v>
      </c>
      <c r="Y2457">
        <v>1</v>
      </c>
      <c r="Z2457">
        <v>0</v>
      </c>
      <c r="AA2457">
        <v>38</v>
      </c>
      <c r="AD2457">
        <v>0</v>
      </c>
      <c r="AE2457">
        <v>0</v>
      </c>
      <c r="AF2457">
        <v>0</v>
      </c>
      <c r="AI2457">
        <v>5</v>
      </c>
      <c r="AJ2457">
        <v>50</v>
      </c>
      <c r="AK2457">
        <v>0</v>
      </c>
      <c r="AX2457">
        <v>8</v>
      </c>
      <c r="AY2457">
        <v>6</v>
      </c>
      <c r="AZ2457">
        <v>14</v>
      </c>
      <c r="BA2457">
        <v>39</v>
      </c>
      <c r="BB2457">
        <v>51</v>
      </c>
      <c r="BC2457">
        <v>90</v>
      </c>
      <c r="BD2457">
        <v>0</v>
      </c>
      <c r="BE2457">
        <v>0</v>
      </c>
      <c r="BF2457">
        <v>0</v>
      </c>
      <c r="BG2457">
        <v>55</v>
      </c>
      <c r="BH2457">
        <v>45</v>
      </c>
      <c r="BI2457">
        <v>100</v>
      </c>
      <c r="BP2457">
        <v>75</v>
      </c>
      <c r="BR2457">
        <v>18</v>
      </c>
      <c r="BS2457">
        <v>7</v>
      </c>
      <c r="BT2457">
        <v>0</v>
      </c>
      <c r="BU2457">
        <v>2</v>
      </c>
      <c r="BV2457">
        <v>0</v>
      </c>
      <c r="BW2457">
        <v>102</v>
      </c>
      <c r="CA2457" s="7">
        <v>45242</v>
      </c>
      <c r="CC2457">
        <v>41</v>
      </c>
      <c r="CD2457">
        <v>42</v>
      </c>
      <c r="CE2457">
        <v>19</v>
      </c>
      <c r="CI2457">
        <f t="shared" si="238"/>
        <v>2023</v>
      </c>
      <c r="CJ2457" t="str">
        <f t="shared" si="239"/>
        <v>7871_2023</v>
      </c>
    </row>
    <row r="2458" spans="1:88" x14ac:dyDescent="0.25">
      <c r="A2458" t="s">
        <v>140</v>
      </c>
      <c r="B2458" t="s">
        <v>991</v>
      </c>
      <c r="C2458">
        <v>7872</v>
      </c>
      <c r="D2458">
        <v>-28.764520999999998</v>
      </c>
      <c r="E2458">
        <v>114.61620000000001</v>
      </c>
      <c r="F2458">
        <v>3</v>
      </c>
      <c r="G2458" t="s">
        <v>993</v>
      </c>
      <c r="H2458">
        <v>78</v>
      </c>
      <c r="I2458">
        <v>258</v>
      </c>
      <c r="J2458">
        <v>191</v>
      </c>
      <c r="K2458">
        <v>11</v>
      </c>
      <c r="L2458">
        <v>328</v>
      </c>
      <c r="M2458">
        <v>148</v>
      </c>
      <c r="T2458">
        <v>4</v>
      </c>
      <c r="U2458">
        <v>17</v>
      </c>
      <c r="Y2458">
        <v>7</v>
      </c>
      <c r="Z2458">
        <v>16</v>
      </c>
      <c r="AD2458">
        <v>12</v>
      </c>
      <c r="AE2458">
        <v>14</v>
      </c>
      <c r="AX2458">
        <v>21</v>
      </c>
      <c r="AY2458">
        <v>19</v>
      </c>
      <c r="AZ2458">
        <v>40</v>
      </c>
      <c r="BA2458">
        <v>23</v>
      </c>
      <c r="BB2458">
        <v>18</v>
      </c>
      <c r="BC2458">
        <v>41</v>
      </c>
      <c r="BD2458">
        <v>26</v>
      </c>
      <c r="BE2458">
        <v>33</v>
      </c>
      <c r="BF2458">
        <v>59</v>
      </c>
      <c r="BP2458">
        <v>39</v>
      </c>
      <c r="BR2458">
        <v>20</v>
      </c>
      <c r="BS2458">
        <v>1</v>
      </c>
      <c r="BT2458">
        <v>5</v>
      </c>
      <c r="BU2458">
        <v>5</v>
      </c>
      <c r="BV2458">
        <v>0</v>
      </c>
      <c r="BW2458">
        <v>70</v>
      </c>
      <c r="CA2458" s="7">
        <v>45242</v>
      </c>
      <c r="CC2458">
        <v>27</v>
      </c>
      <c r="CD2458">
        <v>26</v>
      </c>
      <c r="CE2458">
        <v>17</v>
      </c>
      <c r="CI2458">
        <f t="shared" si="238"/>
        <v>2023</v>
      </c>
      <c r="CJ2458" t="str">
        <f t="shared" si="239"/>
        <v>7872_2023</v>
      </c>
    </row>
    <row r="2459" spans="1:88" x14ac:dyDescent="0.25">
      <c r="A2459" t="s">
        <v>111</v>
      </c>
      <c r="B2459" t="s">
        <v>994</v>
      </c>
      <c r="C2459">
        <v>4316</v>
      </c>
      <c r="D2459">
        <v>-37.892584999999997</v>
      </c>
      <c r="E2459">
        <v>145.013734</v>
      </c>
      <c r="F2459">
        <v>4</v>
      </c>
      <c r="G2459" t="s">
        <v>995</v>
      </c>
      <c r="H2459">
        <v>8</v>
      </c>
      <c r="I2459">
        <v>188</v>
      </c>
      <c r="J2459">
        <v>98</v>
      </c>
      <c r="K2459">
        <v>278</v>
      </c>
      <c r="L2459">
        <v>188</v>
      </c>
      <c r="M2459">
        <v>8</v>
      </c>
      <c r="N2459">
        <v>278</v>
      </c>
      <c r="O2459">
        <v>98</v>
      </c>
      <c r="T2459">
        <v>8</v>
      </c>
      <c r="U2459">
        <v>79</v>
      </c>
      <c r="V2459">
        <v>2</v>
      </c>
      <c r="Y2459">
        <v>13</v>
      </c>
      <c r="Z2459">
        <v>0</v>
      </c>
      <c r="AA2459">
        <v>3</v>
      </c>
      <c r="AD2459">
        <v>62</v>
      </c>
      <c r="AE2459">
        <v>4</v>
      </c>
      <c r="AF2459">
        <v>20</v>
      </c>
      <c r="AI2459">
        <v>6</v>
      </c>
      <c r="AJ2459">
        <v>0</v>
      </c>
      <c r="AK2459">
        <v>23</v>
      </c>
      <c r="AX2459">
        <v>89</v>
      </c>
      <c r="AY2459">
        <v>81</v>
      </c>
      <c r="AZ2459">
        <v>170</v>
      </c>
      <c r="BA2459">
        <v>16</v>
      </c>
      <c r="BB2459">
        <v>12</v>
      </c>
      <c r="BC2459">
        <v>28</v>
      </c>
      <c r="BD2459">
        <v>86</v>
      </c>
      <c r="BE2459">
        <v>102</v>
      </c>
      <c r="BF2459">
        <v>188</v>
      </c>
      <c r="BG2459">
        <v>29</v>
      </c>
      <c r="BH2459">
        <v>25</v>
      </c>
      <c r="BI2459">
        <v>54</v>
      </c>
      <c r="BP2459">
        <v>84</v>
      </c>
      <c r="BR2459">
        <v>90</v>
      </c>
      <c r="BS2459">
        <v>10</v>
      </c>
      <c r="BT2459">
        <v>34</v>
      </c>
      <c r="BU2459">
        <v>0</v>
      </c>
      <c r="BV2459">
        <v>2</v>
      </c>
      <c r="BW2459">
        <v>220</v>
      </c>
      <c r="CA2459" s="7">
        <v>45242</v>
      </c>
      <c r="CE2459">
        <v>77</v>
      </c>
      <c r="CF2459">
        <v>75</v>
      </c>
      <c r="CG2459">
        <v>68</v>
      </c>
      <c r="CI2459">
        <f t="shared" si="238"/>
        <v>2023</v>
      </c>
      <c r="CJ2459" t="str">
        <f t="shared" si="239"/>
        <v>4316_2023</v>
      </c>
    </row>
    <row r="2460" spans="1:88" x14ac:dyDescent="0.25">
      <c r="A2460" t="s">
        <v>111</v>
      </c>
      <c r="B2460" t="s">
        <v>994</v>
      </c>
      <c r="C2460">
        <v>4319</v>
      </c>
      <c r="D2460">
        <v>-37.909346999999997</v>
      </c>
      <c r="E2460">
        <v>145.02456900000001</v>
      </c>
      <c r="F2460">
        <v>3</v>
      </c>
      <c r="G2460" t="s">
        <v>996</v>
      </c>
      <c r="H2460">
        <v>8</v>
      </c>
      <c r="I2460">
        <v>188</v>
      </c>
      <c r="J2460">
        <v>98</v>
      </c>
      <c r="K2460">
        <v>278</v>
      </c>
      <c r="L2460">
        <v>188</v>
      </c>
      <c r="M2460">
        <v>8</v>
      </c>
      <c r="T2460">
        <v>9</v>
      </c>
      <c r="U2460">
        <v>24</v>
      </c>
      <c r="Y2460">
        <v>9</v>
      </c>
      <c r="Z2460">
        <v>29</v>
      </c>
      <c r="AD2460">
        <v>33</v>
      </c>
      <c r="AE2460">
        <v>17</v>
      </c>
      <c r="AX2460">
        <v>33</v>
      </c>
      <c r="AY2460">
        <v>42</v>
      </c>
      <c r="AZ2460">
        <v>75</v>
      </c>
      <c r="BA2460">
        <v>38</v>
      </c>
      <c r="BB2460">
        <v>26</v>
      </c>
      <c r="BC2460">
        <v>64</v>
      </c>
      <c r="BD2460">
        <v>50</v>
      </c>
      <c r="BE2460">
        <v>53</v>
      </c>
      <c r="BF2460">
        <v>103</v>
      </c>
      <c r="BP2460">
        <v>34</v>
      </c>
      <c r="BR2460">
        <v>43</v>
      </c>
      <c r="BS2460">
        <v>9</v>
      </c>
      <c r="BT2460">
        <v>32</v>
      </c>
      <c r="BU2460">
        <v>3</v>
      </c>
      <c r="BV2460">
        <v>0</v>
      </c>
      <c r="BW2460">
        <v>121</v>
      </c>
      <c r="CA2460" s="7">
        <v>45242</v>
      </c>
      <c r="CE2460">
        <v>47</v>
      </c>
      <c r="CF2460">
        <v>46</v>
      </c>
      <c r="CG2460">
        <v>28</v>
      </c>
      <c r="CI2460">
        <f t="shared" si="238"/>
        <v>2023</v>
      </c>
      <c r="CJ2460" t="str">
        <f t="shared" si="239"/>
        <v>4319_2023</v>
      </c>
    </row>
    <row r="2461" spans="1:88" x14ac:dyDescent="0.25">
      <c r="A2461" t="s">
        <v>111</v>
      </c>
      <c r="B2461" t="s">
        <v>994</v>
      </c>
      <c r="C2461">
        <v>4321</v>
      </c>
      <c r="D2461">
        <v>-37.912847999999997</v>
      </c>
      <c r="E2461">
        <v>145.05217400000001</v>
      </c>
      <c r="F2461">
        <v>4</v>
      </c>
      <c r="G2461" t="s">
        <v>997</v>
      </c>
      <c r="H2461">
        <v>8</v>
      </c>
      <c r="I2461">
        <v>188</v>
      </c>
      <c r="J2461">
        <v>98</v>
      </c>
      <c r="K2461">
        <v>278</v>
      </c>
      <c r="L2461">
        <v>188</v>
      </c>
      <c r="M2461">
        <v>8</v>
      </c>
      <c r="N2461">
        <v>278</v>
      </c>
      <c r="O2461">
        <v>98</v>
      </c>
      <c r="T2461">
        <v>11</v>
      </c>
      <c r="U2461">
        <v>45</v>
      </c>
      <c r="V2461">
        <v>54</v>
      </c>
      <c r="Y2461">
        <v>15</v>
      </c>
      <c r="Z2461">
        <v>12</v>
      </c>
      <c r="AA2461">
        <v>36</v>
      </c>
      <c r="AD2461">
        <v>43</v>
      </c>
      <c r="AE2461">
        <v>18</v>
      </c>
      <c r="AF2461">
        <v>24</v>
      </c>
      <c r="AI2461">
        <v>46</v>
      </c>
      <c r="AJ2461">
        <v>33</v>
      </c>
      <c r="AK2461">
        <v>27</v>
      </c>
      <c r="AX2461">
        <v>110</v>
      </c>
      <c r="AY2461">
        <v>104</v>
      </c>
      <c r="AZ2461">
        <v>214</v>
      </c>
      <c r="BA2461">
        <v>63</v>
      </c>
      <c r="BB2461">
        <v>62</v>
      </c>
      <c r="BC2461">
        <v>125</v>
      </c>
      <c r="BD2461">
        <v>85</v>
      </c>
      <c r="BE2461">
        <v>84</v>
      </c>
      <c r="BF2461">
        <v>169</v>
      </c>
      <c r="BG2461">
        <v>106</v>
      </c>
      <c r="BH2461">
        <v>114</v>
      </c>
      <c r="BI2461">
        <v>220</v>
      </c>
      <c r="BP2461">
        <v>94</v>
      </c>
      <c r="BR2461">
        <v>178</v>
      </c>
      <c r="BS2461">
        <v>16</v>
      </c>
      <c r="BT2461">
        <v>46</v>
      </c>
      <c r="BU2461">
        <v>16</v>
      </c>
      <c r="BV2461">
        <v>14</v>
      </c>
      <c r="BW2461">
        <v>364</v>
      </c>
      <c r="CA2461" s="7">
        <v>45242</v>
      </c>
      <c r="CE2461">
        <v>111</v>
      </c>
      <c r="CF2461">
        <v>141</v>
      </c>
      <c r="CG2461">
        <v>112</v>
      </c>
      <c r="CI2461">
        <f t="shared" si="238"/>
        <v>2023</v>
      </c>
      <c r="CJ2461" t="str">
        <f t="shared" si="239"/>
        <v>4321_2023</v>
      </c>
    </row>
    <row r="2462" spans="1:88" x14ac:dyDescent="0.25">
      <c r="A2462" t="s">
        <v>111</v>
      </c>
      <c r="B2462" t="s">
        <v>994</v>
      </c>
      <c r="C2462">
        <v>5879</v>
      </c>
      <c r="D2462">
        <v>-37.867631000000003</v>
      </c>
      <c r="E2462">
        <v>145.00921</v>
      </c>
      <c r="F2462">
        <v>4</v>
      </c>
      <c r="G2462" t="s">
        <v>998</v>
      </c>
      <c r="H2462">
        <v>9</v>
      </c>
      <c r="I2462">
        <v>189</v>
      </c>
      <c r="J2462">
        <v>99</v>
      </c>
      <c r="K2462">
        <v>279</v>
      </c>
      <c r="L2462">
        <v>189</v>
      </c>
      <c r="M2462">
        <v>9</v>
      </c>
      <c r="N2462">
        <v>279</v>
      </c>
      <c r="O2462">
        <v>99</v>
      </c>
      <c r="T2462">
        <v>24</v>
      </c>
      <c r="U2462">
        <v>62</v>
      </c>
      <c r="V2462">
        <v>13</v>
      </c>
      <c r="Y2462">
        <v>17</v>
      </c>
      <c r="Z2462">
        <v>18</v>
      </c>
      <c r="AA2462">
        <v>44</v>
      </c>
      <c r="AD2462">
        <v>39</v>
      </c>
      <c r="AE2462">
        <v>18</v>
      </c>
      <c r="AF2462">
        <v>20</v>
      </c>
      <c r="AI2462">
        <v>9</v>
      </c>
      <c r="AJ2462">
        <v>55</v>
      </c>
      <c r="AK2462">
        <v>10</v>
      </c>
      <c r="AX2462">
        <v>99</v>
      </c>
      <c r="AY2462">
        <v>65</v>
      </c>
      <c r="AZ2462">
        <v>164</v>
      </c>
      <c r="BA2462">
        <v>79</v>
      </c>
      <c r="BB2462">
        <v>97</v>
      </c>
      <c r="BC2462">
        <v>176</v>
      </c>
      <c r="BD2462">
        <v>77</v>
      </c>
      <c r="BE2462">
        <v>90</v>
      </c>
      <c r="BF2462">
        <v>167</v>
      </c>
      <c r="BG2462">
        <v>74</v>
      </c>
      <c r="BH2462">
        <v>77</v>
      </c>
      <c r="BI2462">
        <v>151</v>
      </c>
      <c r="BP2462">
        <v>107</v>
      </c>
      <c r="BR2462">
        <v>151</v>
      </c>
      <c r="BS2462">
        <v>25</v>
      </c>
      <c r="BT2462">
        <v>34</v>
      </c>
      <c r="BU2462">
        <v>12</v>
      </c>
      <c r="BV2462">
        <v>0</v>
      </c>
      <c r="BW2462">
        <v>329</v>
      </c>
      <c r="CA2462" s="7">
        <v>45242</v>
      </c>
      <c r="CE2462">
        <v>106</v>
      </c>
      <c r="CF2462">
        <v>117</v>
      </c>
      <c r="CG2462">
        <v>106</v>
      </c>
      <c r="CI2462">
        <f t="shared" si="238"/>
        <v>2023</v>
      </c>
      <c r="CJ2462" t="str">
        <f t="shared" si="239"/>
        <v>5879_2023</v>
      </c>
    </row>
    <row r="2463" spans="1:88" x14ac:dyDescent="0.25">
      <c r="A2463" t="s">
        <v>111</v>
      </c>
      <c r="B2463" t="s">
        <v>994</v>
      </c>
      <c r="C2463">
        <v>7275</v>
      </c>
      <c r="D2463">
        <v>-37.887721999999997</v>
      </c>
      <c r="E2463">
        <v>145.02879999999999</v>
      </c>
      <c r="F2463">
        <v>4</v>
      </c>
      <c r="G2463" t="s">
        <v>999</v>
      </c>
      <c r="H2463">
        <v>8</v>
      </c>
      <c r="I2463">
        <v>188</v>
      </c>
      <c r="J2463">
        <v>100</v>
      </c>
      <c r="K2463">
        <v>280</v>
      </c>
      <c r="L2463">
        <v>188</v>
      </c>
      <c r="M2463">
        <v>8</v>
      </c>
      <c r="N2463">
        <v>278</v>
      </c>
      <c r="O2463">
        <v>98</v>
      </c>
      <c r="T2463">
        <v>14</v>
      </c>
      <c r="U2463">
        <v>30</v>
      </c>
      <c r="V2463">
        <v>12</v>
      </c>
      <c r="Y2463">
        <v>6</v>
      </c>
      <c r="Z2463">
        <v>16</v>
      </c>
      <c r="AA2463">
        <v>43</v>
      </c>
      <c r="AD2463">
        <v>59</v>
      </c>
      <c r="AE2463">
        <v>15</v>
      </c>
      <c r="AF2463">
        <v>17</v>
      </c>
      <c r="AI2463">
        <v>13</v>
      </c>
      <c r="AJ2463">
        <v>45</v>
      </c>
      <c r="AK2463">
        <v>10</v>
      </c>
      <c r="AX2463">
        <v>56</v>
      </c>
      <c r="AY2463">
        <v>78</v>
      </c>
      <c r="AZ2463">
        <v>134</v>
      </c>
      <c r="BA2463">
        <v>65</v>
      </c>
      <c r="BB2463">
        <v>74</v>
      </c>
      <c r="BC2463">
        <v>139</v>
      </c>
      <c r="BD2463">
        <v>91</v>
      </c>
      <c r="BE2463">
        <v>56</v>
      </c>
      <c r="BF2463">
        <v>147</v>
      </c>
      <c r="BG2463">
        <v>68</v>
      </c>
      <c r="BH2463">
        <v>72</v>
      </c>
      <c r="BI2463">
        <v>140</v>
      </c>
      <c r="BP2463">
        <v>56</v>
      </c>
      <c r="BR2463">
        <v>152</v>
      </c>
      <c r="BS2463">
        <v>30</v>
      </c>
      <c r="BT2463">
        <v>31</v>
      </c>
      <c r="BU2463">
        <v>11</v>
      </c>
      <c r="BV2463">
        <v>0</v>
      </c>
      <c r="BW2463">
        <v>280</v>
      </c>
      <c r="CA2463" s="7">
        <v>45242</v>
      </c>
      <c r="CE2463">
        <v>102</v>
      </c>
      <c r="CF2463">
        <v>93</v>
      </c>
      <c r="CG2463">
        <v>85</v>
      </c>
      <c r="CI2463">
        <f t="shared" si="238"/>
        <v>2023</v>
      </c>
      <c r="CJ2463" t="str">
        <f t="shared" si="239"/>
        <v>7275_2023</v>
      </c>
    </row>
    <row r="2464" spans="1:88" x14ac:dyDescent="0.25">
      <c r="A2464" t="s">
        <v>111</v>
      </c>
      <c r="B2464" t="s">
        <v>994</v>
      </c>
      <c r="C2464">
        <v>7278</v>
      </c>
      <c r="D2464">
        <v>-37.869582999999999</v>
      </c>
      <c r="E2464">
        <v>145.02529999999999</v>
      </c>
      <c r="F2464">
        <v>4</v>
      </c>
      <c r="G2464" t="s">
        <v>1000</v>
      </c>
      <c r="H2464">
        <v>6</v>
      </c>
      <c r="I2464">
        <v>186</v>
      </c>
      <c r="J2464">
        <v>99</v>
      </c>
      <c r="K2464">
        <v>279</v>
      </c>
      <c r="L2464">
        <v>188</v>
      </c>
      <c r="M2464">
        <v>8</v>
      </c>
      <c r="N2464">
        <v>278</v>
      </c>
      <c r="O2464">
        <v>98</v>
      </c>
      <c r="T2464">
        <v>23</v>
      </c>
      <c r="U2464">
        <v>97</v>
      </c>
      <c r="V2464">
        <v>12</v>
      </c>
      <c r="Y2464">
        <v>22</v>
      </c>
      <c r="Z2464">
        <v>102</v>
      </c>
      <c r="AA2464">
        <v>48</v>
      </c>
      <c r="AD2464">
        <v>62</v>
      </c>
      <c r="AE2464">
        <v>41</v>
      </c>
      <c r="AF2464">
        <v>41</v>
      </c>
      <c r="AI2464">
        <v>19</v>
      </c>
      <c r="AJ2464">
        <v>54</v>
      </c>
      <c r="AK2464">
        <v>79</v>
      </c>
      <c r="AX2464">
        <v>132</v>
      </c>
      <c r="AY2464">
        <v>103</v>
      </c>
      <c r="AZ2464">
        <v>235</v>
      </c>
      <c r="BA2464">
        <v>172</v>
      </c>
      <c r="BB2464">
        <v>118</v>
      </c>
      <c r="BC2464">
        <v>290</v>
      </c>
      <c r="BD2464">
        <v>144</v>
      </c>
      <c r="BE2464">
        <v>278</v>
      </c>
      <c r="BF2464">
        <v>422</v>
      </c>
      <c r="BG2464">
        <v>152</v>
      </c>
      <c r="BH2464">
        <v>101</v>
      </c>
      <c r="BI2464">
        <v>253</v>
      </c>
      <c r="BP2464">
        <v>57</v>
      </c>
      <c r="BR2464">
        <v>340</v>
      </c>
      <c r="BS2464">
        <v>133</v>
      </c>
      <c r="BT2464">
        <v>67</v>
      </c>
      <c r="BU2464">
        <v>3</v>
      </c>
      <c r="BV2464">
        <v>0</v>
      </c>
      <c r="BW2464">
        <v>600</v>
      </c>
      <c r="CA2464" s="7">
        <v>45242</v>
      </c>
      <c r="CE2464">
        <v>212</v>
      </c>
      <c r="CF2464">
        <v>205</v>
      </c>
      <c r="CG2464">
        <v>183</v>
      </c>
      <c r="CI2464">
        <f t="shared" si="238"/>
        <v>2023</v>
      </c>
      <c r="CJ2464" t="str">
        <f t="shared" si="239"/>
        <v>7278_2023</v>
      </c>
    </row>
    <row r="2465" spans="1:88" x14ac:dyDescent="0.25">
      <c r="A2465" t="s">
        <v>111</v>
      </c>
      <c r="B2465" t="s">
        <v>994</v>
      </c>
      <c r="C2465">
        <v>7279</v>
      </c>
      <c r="D2465">
        <v>-37.863694000000002</v>
      </c>
      <c r="E2465">
        <v>145.00980000000001</v>
      </c>
      <c r="F2465">
        <v>4</v>
      </c>
      <c r="G2465" t="s">
        <v>1001</v>
      </c>
      <c r="H2465">
        <v>8</v>
      </c>
      <c r="I2465">
        <v>188</v>
      </c>
      <c r="J2465">
        <v>100</v>
      </c>
      <c r="K2465">
        <v>280</v>
      </c>
      <c r="L2465">
        <v>188</v>
      </c>
      <c r="M2465">
        <v>8</v>
      </c>
      <c r="N2465">
        <v>277</v>
      </c>
      <c r="O2465">
        <v>97</v>
      </c>
      <c r="T2465">
        <v>132</v>
      </c>
      <c r="U2465">
        <v>79</v>
      </c>
      <c r="V2465">
        <v>46</v>
      </c>
      <c r="Y2465">
        <v>107</v>
      </c>
      <c r="Z2465">
        <v>65</v>
      </c>
      <c r="AA2465">
        <v>102</v>
      </c>
      <c r="AD2465">
        <v>76</v>
      </c>
      <c r="AE2465">
        <v>52</v>
      </c>
      <c r="AF2465">
        <v>20</v>
      </c>
      <c r="AI2465">
        <v>57</v>
      </c>
      <c r="AJ2465">
        <v>114</v>
      </c>
      <c r="AK2465">
        <v>14</v>
      </c>
      <c r="AX2465">
        <v>257</v>
      </c>
      <c r="AY2465">
        <v>240</v>
      </c>
      <c r="AZ2465">
        <v>497</v>
      </c>
      <c r="BA2465">
        <v>274</v>
      </c>
      <c r="BB2465">
        <v>298</v>
      </c>
      <c r="BC2465">
        <v>572</v>
      </c>
      <c r="BD2465">
        <v>148</v>
      </c>
      <c r="BE2465">
        <v>158</v>
      </c>
      <c r="BF2465">
        <v>306</v>
      </c>
      <c r="BG2465">
        <v>185</v>
      </c>
      <c r="BH2465">
        <v>168</v>
      </c>
      <c r="BI2465">
        <v>353</v>
      </c>
      <c r="BP2465">
        <v>109</v>
      </c>
      <c r="BR2465">
        <v>635</v>
      </c>
      <c r="BS2465">
        <v>23</v>
      </c>
      <c r="BT2465">
        <v>87</v>
      </c>
      <c r="BU2465">
        <v>1</v>
      </c>
      <c r="BV2465">
        <v>9</v>
      </c>
      <c r="BW2465">
        <v>864</v>
      </c>
      <c r="CA2465" s="7">
        <v>45242</v>
      </c>
      <c r="CE2465">
        <v>249</v>
      </c>
      <c r="CF2465">
        <v>290</v>
      </c>
      <c r="CG2465">
        <v>325</v>
      </c>
      <c r="CI2465">
        <f t="shared" si="238"/>
        <v>2023</v>
      </c>
      <c r="CJ2465" t="str">
        <f t="shared" si="239"/>
        <v>7279_2023</v>
      </c>
    </row>
    <row r="2466" spans="1:88" x14ac:dyDescent="0.25">
      <c r="A2466" t="s">
        <v>111</v>
      </c>
      <c r="B2466" t="s">
        <v>994</v>
      </c>
      <c r="C2466">
        <v>7281</v>
      </c>
      <c r="D2466">
        <v>-37.897666999999998</v>
      </c>
      <c r="E2466">
        <v>145.04089999999999</v>
      </c>
      <c r="F2466">
        <v>4</v>
      </c>
      <c r="G2466" t="s">
        <v>1002</v>
      </c>
      <c r="H2466">
        <v>9</v>
      </c>
      <c r="I2466">
        <v>189</v>
      </c>
      <c r="J2466">
        <v>102</v>
      </c>
      <c r="K2466">
        <v>282</v>
      </c>
      <c r="L2466">
        <v>188</v>
      </c>
      <c r="M2466">
        <v>8</v>
      </c>
      <c r="N2466">
        <v>312</v>
      </c>
      <c r="O2466">
        <v>132</v>
      </c>
      <c r="T2466">
        <v>10</v>
      </c>
      <c r="U2466">
        <v>24</v>
      </c>
      <c r="V2466">
        <v>33</v>
      </c>
      <c r="Y2466">
        <v>16</v>
      </c>
      <c r="Z2466">
        <v>6</v>
      </c>
      <c r="AA2466">
        <v>45</v>
      </c>
      <c r="AD2466">
        <v>30</v>
      </c>
      <c r="AE2466">
        <v>6</v>
      </c>
      <c r="AF2466">
        <v>42</v>
      </c>
      <c r="AI2466">
        <v>32</v>
      </c>
      <c r="AJ2466">
        <v>49</v>
      </c>
      <c r="AK2466">
        <v>6</v>
      </c>
      <c r="AX2466">
        <v>67</v>
      </c>
      <c r="AY2466">
        <v>78</v>
      </c>
      <c r="AZ2466">
        <v>145</v>
      </c>
      <c r="BA2466">
        <v>67</v>
      </c>
      <c r="BB2466">
        <v>65</v>
      </c>
      <c r="BC2466">
        <v>132</v>
      </c>
      <c r="BD2466">
        <v>78</v>
      </c>
      <c r="BE2466">
        <v>36</v>
      </c>
      <c r="BF2466">
        <v>114</v>
      </c>
      <c r="BG2466">
        <v>87</v>
      </c>
      <c r="BH2466">
        <v>120</v>
      </c>
      <c r="BI2466">
        <v>207</v>
      </c>
      <c r="BP2466">
        <v>59</v>
      </c>
      <c r="BR2466">
        <v>132</v>
      </c>
      <c r="BS2466">
        <v>56</v>
      </c>
      <c r="BT2466">
        <v>48</v>
      </c>
      <c r="BU2466">
        <v>4</v>
      </c>
      <c r="BV2466">
        <v>0</v>
      </c>
      <c r="BW2466">
        <v>299</v>
      </c>
      <c r="CA2466" s="7">
        <v>45242</v>
      </c>
      <c r="CE2466">
        <v>83</v>
      </c>
      <c r="CF2466">
        <v>112</v>
      </c>
      <c r="CG2466">
        <v>104</v>
      </c>
      <c r="CI2466">
        <f t="shared" si="238"/>
        <v>2023</v>
      </c>
      <c r="CJ2466" t="str">
        <f t="shared" si="239"/>
        <v>7281_2023</v>
      </c>
    </row>
    <row r="2467" spans="1:88" x14ac:dyDescent="0.25">
      <c r="A2467" t="s">
        <v>111</v>
      </c>
      <c r="B2467" t="s">
        <v>994</v>
      </c>
      <c r="C2467">
        <v>7282</v>
      </c>
      <c r="D2467">
        <v>-37.914444000000003</v>
      </c>
      <c r="E2467">
        <v>145.03725</v>
      </c>
      <c r="F2467">
        <v>3</v>
      </c>
      <c r="G2467" t="s">
        <v>1003</v>
      </c>
      <c r="H2467">
        <v>12</v>
      </c>
      <c r="I2467">
        <v>192</v>
      </c>
      <c r="J2467">
        <v>187</v>
      </c>
      <c r="K2467">
        <v>7</v>
      </c>
      <c r="L2467">
        <v>280</v>
      </c>
      <c r="M2467">
        <v>100</v>
      </c>
      <c r="T2467">
        <v>82</v>
      </c>
      <c r="U2467">
        <v>10</v>
      </c>
      <c r="Y2467">
        <v>67</v>
      </c>
      <c r="Z2467">
        <v>0</v>
      </c>
      <c r="AD2467">
        <v>4</v>
      </c>
      <c r="AE2467">
        <v>9</v>
      </c>
      <c r="AX2467">
        <v>92</v>
      </c>
      <c r="AY2467">
        <v>71</v>
      </c>
      <c r="AZ2467">
        <v>163</v>
      </c>
      <c r="BA2467">
        <v>67</v>
      </c>
      <c r="BB2467">
        <v>91</v>
      </c>
      <c r="BC2467">
        <v>158</v>
      </c>
      <c r="BD2467">
        <v>13</v>
      </c>
      <c r="BE2467">
        <v>10</v>
      </c>
      <c r="BF2467">
        <v>23</v>
      </c>
      <c r="BP2467">
        <v>20</v>
      </c>
      <c r="BR2467">
        <v>106</v>
      </c>
      <c r="BS2467">
        <v>9</v>
      </c>
      <c r="BT2467">
        <v>28</v>
      </c>
      <c r="BU2467">
        <v>9</v>
      </c>
      <c r="BV2467">
        <v>0</v>
      </c>
      <c r="BW2467">
        <v>172</v>
      </c>
      <c r="CA2467" s="7">
        <v>45242</v>
      </c>
      <c r="CE2467">
        <v>58</v>
      </c>
      <c r="CF2467">
        <v>47</v>
      </c>
      <c r="CG2467">
        <v>67</v>
      </c>
      <c r="CI2467">
        <f t="shared" si="238"/>
        <v>2023</v>
      </c>
      <c r="CJ2467" t="str">
        <f t="shared" si="239"/>
        <v>7282_2023</v>
      </c>
    </row>
    <row r="2468" spans="1:88" x14ac:dyDescent="0.25">
      <c r="A2468" t="s">
        <v>111</v>
      </c>
      <c r="B2468" t="s">
        <v>117</v>
      </c>
      <c r="C2468">
        <v>4296</v>
      </c>
      <c r="D2468">
        <v>-38.171019000000001</v>
      </c>
      <c r="E2468">
        <v>144.38407100000001</v>
      </c>
      <c r="F2468">
        <v>4</v>
      </c>
      <c r="G2468" t="s">
        <v>125</v>
      </c>
      <c r="H2468">
        <v>9</v>
      </c>
      <c r="I2468">
        <v>189</v>
      </c>
      <c r="J2468">
        <v>105</v>
      </c>
      <c r="K2468">
        <v>285</v>
      </c>
      <c r="L2468">
        <v>189</v>
      </c>
      <c r="M2468">
        <v>9</v>
      </c>
      <c r="N2468">
        <v>285</v>
      </c>
      <c r="O2468">
        <v>105</v>
      </c>
      <c r="T2468">
        <v>6</v>
      </c>
      <c r="U2468">
        <v>16</v>
      </c>
      <c r="V2468">
        <v>12</v>
      </c>
      <c r="Y2468">
        <v>5</v>
      </c>
      <c r="Z2468">
        <v>9</v>
      </c>
      <c r="AA2468">
        <v>47</v>
      </c>
      <c r="AD2468">
        <v>17</v>
      </c>
      <c r="AE2468">
        <v>9</v>
      </c>
      <c r="AF2468">
        <v>11</v>
      </c>
      <c r="AI2468">
        <v>5</v>
      </c>
      <c r="AJ2468">
        <v>42</v>
      </c>
      <c r="AK2468">
        <v>18</v>
      </c>
      <c r="AX2468">
        <v>34</v>
      </c>
      <c r="AY2468">
        <v>27</v>
      </c>
      <c r="AZ2468">
        <v>61</v>
      </c>
      <c r="BA2468">
        <v>61</v>
      </c>
      <c r="BB2468">
        <v>57</v>
      </c>
      <c r="BC2468">
        <v>118</v>
      </c>
      <c r="BD2468">
        <v>37</v>
      </c>
      <c r="BE2468">
        <v>43</v>
      </c>
      <c r="BF2468">
        <v>80</v>
      </c>
      <c r="BG2468">
        <v>65</v>
      </c>
      <c r="BH2468">
        <v>70</v>
      </c>
      <c r="BI2468">
        <v>135</v>
      </c>
      <c r="BP2468">
        <v>115</v>
      </c>
      <c r="BR2468">
        <v>54</v>
      </c>
      <c r="BS2468">
        <v>4</v>
      </c>
      <c r="BT2468">
        <v>20</v>
      </c>
      <c r="BU2468">
        <v>4</v>
      </c>
      <c r="BV2468">
        <v>0</v>
      </c>
      <c r="BW2468">
        <v>197</v>
      </c>
      <c r="BX2468">
        <v>271</v>
      </c>
      <c r="BY2468">
        <v>-0.27310000000000001</v>
      </c>
      <c r="BZ2468" s="6">
        <v>-0.27</v>
      </c>
      <c r="CA2468" s="7">
        <v>45242</v>
      </c>
      <c r="CE2468">
        <v>60</v>
      </c>
      <c r="CF2468">
        <v>67</v>
      </c>
      <c r="CG2468">
        <v>70</v>
      </c>
      <c r="CI2468">
        <f t="shared" si="238"/>
        <v>2023</v>
      </c>
      <c r="CJ2468" t="str">
        <f t="shared" si="239"/>
        <v>4296_2023</v>
      </c>
    </row>
    <row r="2469" spans="1:88" x14ac:dyDescent="0.25">
      <c r="A2469" t="s">
        <v>111</v>
      </c>
      <c r="B2469" t="s">
        <v>117</v>
      </c>
      <c r="C2469">
        <v>7926</v>
      </c>
      <c r="D2469">
        <v>-38.164155999999998</v>
      </c>
      <c r="E2469">
        <v>144.35290599999999</v>
      </c>
      <c r="F2469">
        <v>2</v>
      </c>
      <c r="G2469" t="s">
        <v>1004</v>
      </c>
      <c r="H2469">
        <v>18</v>
      </c>
      <c r="I2469">
        <v>198</v>
      </c>
      <c r="J2469">
        <v>196</v>
      </c>
      <c r="K2469">
        <v>16</v>
      </c>
      <c r="T2469">
        <v>103</v>
      </c>
      <c r="Y2469">
        <v>161</v>
      </c>
      <c r="AX2469">
        <v>103</v>
      </c>
      <c r="AY2469">
        <v>161</v>
      </c>
      <c r="AZ2469">
        <v>264</v>
      </c>
      <c r="BA2469">
        <v>161</v>
      </c>
      <c r="BB2469">
        <v>103</v>
      </c>
      <c r="BC2469">
        <v>264</v>
      </c>
      <c r="BP2469">
        <v>104</v>
      </c>
      <c r="BR2469">
        <v>105</v>
      </c>
      <c r="BS2469">
        <v>17</v>
      </c>
      <c r="BT2469">
        <v>33</v>
      </c>
      <c r="BU2469">
        <v>5</v>
      </c>
      <c r="BV2469">
        <v>0</v>
      </c>
      <c r="BW2469">
        <v>264</v>
      </c>
      <c r="CA2469" s="7">
        <v>45242</v>
      </c>
      <c r="CE2469">
        <v>93</v>
      </c>
      <c r="CF2469">
        <v>102</v>
      </c>
      <c r="CG2469">
        <v>69</v>
      </c>
      <c r="CI2469">
        <f t="shared" si="238"/>
        <v>2023</v>
      </c>
      <c r="CJ2469" t="str">
        <f t="shared" si="239"/>
        <v>7926_2023</v>
      </c>
    </row>
    <row r="2470" spans="1:88" x14ac:dyDescent="0.25">
      <c r="A2470" t="s">
        <v>111</v>
      </c>
      <c r="B2470" t="s">
        <v>117</v>
      </c>
      <c r="C2470">
        <v>7927</v>
      </c>
      <c r="D2470">
        <v>-38.164102999999997</v>
      </c>
      <c r="E2470">
        <v>144.352643</v>
      </c>
      <c r="F2470">
        <v>3</v>
      </c>
      <c r="G2470" t="s">
        <v>1005</v>
      </c>
      <c r="H2470">
        <v>17</v>
      </c>
      <c r="I2470">
        <v>197</v>
      </c>
      <c r="J2470">
        <v>134</v>
      </c>
      <c r="K2470">
        <v>314</v>
      </c>
      <c r="L2470">
        <v>283</v>
      </c>
      <c r="M2470">
        <v>103</v>
      </c>
      <c r="T2470">
        <v>30</v>
      </c>
      <c r="U2470">
        <v>45</v>
      </c>
      <c r="Y2470">
        <v>12</v>
      </c>
      <c r="Z2470">
        <v>102</v>
      </c>
      <c r="AD2470">
        <v>31</v>
      </c>
      <c r="AE2470">
        <v>155</v>
      </c>
      <c r="AX2470">
        <v>75</v>
      </c>
      <c r="AY2470">
        <v>43</v>
      </c>
      <c r="AZ2470">
        <v>118</v>
      </c>
      <c r="BA2470">
        <v>114</v>
      </c>
      <c r="BB2470">
        <v>185</v>
      </c>
      <c r="BC2470">
        <v>299</v>
      </c>
      <c r="BD2470">
        <v>186</v>
      </c>
      <c r="BE2470">
        <v>147</v>
      </c>
      <c r="BF2470">
        <v>333</v>
      </c>
      <c r="BP2470">
        <v>125</v>
      </c>
      <c r="BR2470">
        <v>118</v>
      </c>
      <c r="BS2470">
        <v>81</v>
      </c>
      <c r="BT2470">
        <v>50</v>
      </c>
      <c r="BU2470">
        <v>0</v>
      </c>
      <c r="BV2470">
        <v>1</v>
      </c>
      <c r="BW2470">
        <v>375</v>
      </c>
      <c r="CA2470" s="7">
        <v>45242</v>
      </c>
      <c r="CE2470">
        <v>128</v>
      </c>
      <c r="CF2470">
        <v>135</v>
      </c>
      <c r="CG2470">
        <v>112</v>
      </c>
      <c r="CI2470">
        <f t="shared" si="238"/>
        <v>2023</v>
      </c>
      <c r="CJ2470" t="str">
        <f t="shared" si="239"/>
        <v>7927_2023</v>
      </c>
    </row>
    <row r="2471" spans="1:88" x14ac:dyDescent="0.25">
      <c r="A2471" t="s">
        <v>1006</v>
      </c>
      <c r="B2471" t="s">
        <v>1007</v>
      </c>
      <c r="C2471">
        <v>7876</v>
      </c>
      <c r="D2471">
        <v>-42.975020000000001</v>
      </c>
      <c r="E2471">
        <v>147.312794</v>
      </c>
      <c r="F2471">
        <v>4</v>
      </c>
      <c r="G2471" t="s">
        <v>1008</v>
      </c>
      <c r="H2471">
        <v>77</v>
      </c>
      <c r="I2471">
        <v>257</v>
      </c>
      <c r="J2471">
        <v>131</v>
      </c>
      <c r="K2471">
        <v>311</v>
      </c>
      <c r="L2471">
        <v>255</v>
      </c>
      <c r="M2471">
        <v>75</v>
      </c>
      <c r="N2471">
        <v>320</v>
      </c>
      <c r="O2471">
        <v>140</v>
      </c>
      <c r="T2471">
        <v>19</v>
      </c>
      <c r="U2471">
        <v>37</v>
      </c>
      <c r="V2471">
        <v>1</v>
      </c>
      <c r="Y2471">
        <v>20</v>
      </c>
      <c r="Z2471">
        <v>106</v>
      </c>
      <c r="AA2471">
        <v>12</v>
      </c>
      <c r="AD2471">
        <v>3</v>
      </c>
      <c r="AE2471">
        <v>85</v>
      </c>
      <c r="AF2471">
        <v>1</v>
      </c>
      <c r="AI2471">
        <v>1</v>
      </c>
      <c r="AJ2471">
        <v>8</v>
      </c>
      <c r="AK2471">
        <v>10</v>
      </c>
      <c r="AX2471">
        <v>57</v>
      </c>
      <c r="AY2471">
        <v>24</v>
      </c>
      <c r="AZ2471">
        <v>81</v>
      </c>
      <c r="BA2471">
        <v>138</v>
      </c>
      <c r="BB2471">
        <v>112</v>
      </c>
      <c r="BC2471">
        <v>250</v>
      </c>
      <c r="BD2471">
        <v>89</v>
      </c>
      <c r="BE2471">
        <v>153</v>
      </c>
      <c r="BF2471">
        <v>242</v>
      </c>
      <c r="BG2471">
        <v>19</v>
      </c>
      <c r="BH2471">
        <v>14</v>
      </c>
      <c r="BI2471">
        <v>33</v>
      </c>
      <c r="BP2471">
        <v>38</v>
      </c>
      <c r="BR2471">
        <v>245</v>
      </c>
      <c r="BS2471">
        <v>7</v>
      </c>
      <c r="BT2471">
        <v>9</v>
      </c>
      <c r="BU2471">
        <v>4</v>
      </c>
      <c r="BV2471">
        <v>0</v>
      </c>
      <c r="BW2471">
        <v>303</v>
      </c>
      <c r="CA2471" s="7">
        <v>45249</v>
      </c>
      <c r="CE2471">
        <v>135</v>
      </c>
      <c r="CF2471">
        <v>25</v>
      </c>
      <c r="CG2471">
        <v>143</v>
      </c>
      <c r="CI2471">
        <f t="shared" si="238"/>
        <v>2023</v>
      </c>
      <c r="CJ2471" t="str">
        <f t="shared" si="239"/>
        <v>7876_2023</v>
      </c>
    </row>
    <row r="2472" spans="1:88" x14ac:dyDescent="0.25">
      <c r="A2472" t="s">
        <v>1006</v>
      </c>
      <c r="B2472" t="s">
        <v>1007</v>
      </c>
      <c r="C2472">
        <v>7877</v>
      </c>
      <c r="D2472">
        <v>-42.980359999999997</v>
      </c>
      <c r="E2472">
        <v>147.321495</v>
      </c>
      <c r="F2472">
        <v>3</v>
      </c>
      <c r="G2472" t="s">
        <v>1009</v>
      </c>
      <c r="H2472">
        <v>40</v>
      </c>
      <c r="I2472">
        <v>220</v>
      </c>
      <c r="J2472">
        <v>117</v>
      </c>
      <c r="K2472">
        <v>297</v>
      </c>
      <c r="L2472">
        <v>301</v>
      </c>
      <c r="M2472">
        <v>121</v>
      </c>
      <c r="T2472">
        <v>126</v>
      </c>
      <c r="U2472">
        <v>26</v>
      </c>
      <c r="Y2472">
        <v>88</v>
      </c>
      <c r="Z2472">
        <v>63</v>
      </c>
      <c r="AD2472">
        <v>27</v>
      </c>
      <c r="AE2472">
        <v>95</v>
      </c>
      <c r="AX2472">
        <v>152</v>
      </c>
      <c r="AY2472">
        <v>115</v>
      </c>
      <c r="AZ2472">
        <v>267</v>
      </c>
      <c r="BA2472">
        <v>151</v>
      </c>
      <c r="BB2472">
        <v>221</v>
      </c>
      <c r="BC2472">
        <v>372</v>
      </c>
      <c r="BD2472">
        <v>122</v>
      </c>
      <c r="BE2472">
        <v>89</v>
      </c>
      <c r="BF2472">
        <v>211</v>
      </c>
      <c r="BP2472">
        <v>47</v>
      </c>
      <c r="BR2472">
        <v>302</v>
      </c>
      <c r="BS2472">
        <v>21</v>
      </c>
      <c r="BT2472">
        <v>42</v>
      </c>
      <c r="BU2472">
        <v>0</v>
      </c>
      <c r="BV2472">
        <v>13</v>
      </c>
      <c r="BW2472">
        <v>425</v>
      </c>
      <c r="CA2472" s="7">
        <v>45242</v>
      </c>
      <c r="CE2472">
        <v>63</v>
      </c>
      <c r="CF2472">
        <v>155</v>
      </c>
      <c r="CG2472">
        <v>207</v>
      </c>
      <c r="CI2472">
        <f t="shared" si="238"/>
        <v>2023</v>
      </c>
      <c r="CJ2472" t="str">
        <f t="shared" si="239"/>
        <v>7877_2023</v>
      </c>
    </row>
    <row r="2473" spans="1:88" x14ac:dyDescent="0.25">
      <c r="A2473" t="s">
        <v>1006</v>
      </c>
      <c r="B2473" t="s">
        <v>1007</v>
      </c>
      <c r="C2473">
        <v>7878</v>
      </c>
      <c r="D2473">
        <v>-42.971857</v>
      </c>
      <c r="E2473">
        <v>147.299826</v>
      </c>
      <c r="F2473">
        <v>3</v>
      </c>
      <c r="G2473" t="s">
        <v>1010</v>
      </c>
      <c r="H2473">
        <v>35</v>
      </c>
      <c r="I2473">
        <v>215</v>
      </c>
      <c r="J2473">
        <v>180</v>
      </c>
      <c r="K2473">
        <v>360</v>
      </c>
      <c r="L2473">
        <v>260</v>
      </c>
      <c r="M2473">
        <v>80</v>
      </c>
      <c r="T2473">
        <v>22</v>
      </c>
      <c r="U2473">
        <v>32</v>
      </c>
      <c r="Y2473">
        <v>24</v>
      </c>
      <c r="Z2473">
        <v>12</v>
      </c>
      <c r="AD2473">
        <v>25</v>
      </c>
      <c r="AE2473">
        <v>3</v>
      </c>
      <c r="AX2473">
        <v>54</v>
      </c>
      <c r="AY2473">
        <v>49</v>
      </c>
      <c r="AZ2473">
        <v>103</v>
      </c>
      <c r="BA2473">
        <v>36</v>
      </c>
      <c r="BB2473">
        <v>25</v>
      </c>
      <c r="BC2473">
        <v>61</v>
      </c>
      <c r="BD2473">
        <v>28</v>
      </c>
      <c r="BE2473">
        <v>44</v>
      </c>
      <c r="BF2473">
        <v>72</v>
      </c>
      <c r="BP2473">
        <v>26</v>
      </c>
      <c r="BR2473">
        <v>44</v>
      </c>
      <c r="BS2473">
        <v>30</v>
      </c>
      <c r="BT2473">
        <v>18</v>
      </c>
      <c r="BU2473">
        <v>0</v>
      </c>
      <c r="BV2473">
        <v>0</v>
      </c>
      <c r="BW2473">
        <v>118</v>
      </c>
      <c r="CA2473" s="7">
        <v>45242</v>
      </c>
      <c r="CE2473">
        <v>21</v>
      </c>
      <c r="CF2473">
        <v>50</v>
      </c>
      <c r="CG2473">
        <v>47</v>
      </c>
      <c r="CI2473">
        <f t="shared" si="238"/>
        <v>2023</v>
      </c>
      <c r="CJ2473" t="str">
        <f t="shared" si="239"/>
        <v>7878_2023</v>
      </c>
    </row>
    <row r="2474" spans="1:88" x14ac:dyDescent="0.25">
      <c r="A2474" t="s">
        <v>111</v>
      </c>
      <c r="B2474" t="s">
        <v>220</v>
      </c>
      <c r="C2474">
        <v>7441</v>
      </c>
      <c r="D2474">
        <v>-37.987321999999999</v>
      </c>
      <c r="E2474">
        <v>145.05652900000001</v>
      </c>
      <c r="F2474">
        <v>4</v>
      </c>
      <c r="G2474" t="s">
        <v>816</v>
      </c>
      <c r="H2474">
        <v>110</v>
      </c>
      <c r="I2474">
        <v>290</v>
      </c>
      <c r="J2474">
        <v>127</v>
      </c>
      <c r="K2474">
        <v>307</v>
      </c>
      <c r="L2474">
        <v>290</v>
      </c>
      <c r="M2474">
        <v>110</v>
      </c>
      <c r="N2474">
        <v>312</v>
      </c>
      <c r="O2474">
        <v>132</v>
      </c>
      <c r="T2474">
        <v>0</v>
      </c>
      <c r="U2474">
        <v>0</v>
      </c>
      <c r="V2474">
        <v>2201</v>
      </c>
      <c r="Y2474">
        <v>0</v>
      </c>
      <c r="Z2474">
        <v>162</v>
      </c>
      <c r="AA2474">
        <v>1</v>
      </c>
      <c r="AD2474">
        <v>0</v>
      </c>
      <c r="AE2474">
        <v>152</v>
      </c>
      <c r="AF2474">
        <v>0</v>
      </c>
      <c r="AI2474">
        <v>2458</v>
      </c>
      <c r="AJ2474">
        <v>0</v>
      </c>
      <c r="AK2474">
        <v>0</v>
      </c>
      <c r="AX2474">
        <v>2201</v>
      </c>
      <c r="AY2474">
        <v>2458</v>
      </c>
      <c r="AZ2474">
        <v>4659</v>
      </c>
      <c r="BA2474">
        <v>163</v>
      </c>
      <c r="BB2474">
        <v>152</v>
      </c>
      <c r="BC2474">
        <v>315</v>
      </c>
      <c r="BD2474">
        <v>152</v>
      </c>
      <c r="BE2474">
        <v>162</v>
      </c>
      <c r="BF2474">
        <v>314</v>
      </c>
      <c r="BG2474">
        <v>2458</v>
      </c>
      <c r="BH2474">
        <v>2202</v>
      </c>
      <c r="BI2474">
        <v>4660</v>
      </c>
      <c r="BP2474">
        <v>4774</v>
      </c>
      <c r="BR2474">
        <v>76</v>
      </c>
      <c r="BS2474">
        <v>101</v>
      </c>
      <c r="BT2474">
        <v>21</v>
      </c>
      <c r="BU2474">
        <v>2</v>
      </c>
      <c r="BV2474">
        <v>0</v>
      </c>
      <c r="BW2474">
        <v>4974</v>
      </c>
      <c r="BX2474">
        <v>996</v>
      </c>
      <c r="BY2474">
        <v>3.9940000000000002</v>
      </c>
      <c r="BZ2474" s="6">
        <v>3.99</v>
      </c>
      <c r="CA2474" s="7">
        <v>45242</v>
      </c>
      <c r="CC2474">
        <v>1412</v>
      </c>
      <c r="CD2474">
        <v>1924</v>
      </c>
      <c r="CE2474">
        <v>1638</v>
      </c>
      <c r="CI2474">
        <f t="shared" si="238"/>
        <v>2023</v>
      </c>
      <c r="CJ2474" t="str">
        <f t="shared" si="239"/>
        <v>7441_2023</v>
      </c>
    </row>
    <row r="2475" spans="1:88" x14ac:dyDescent="0.25">
      <c r="A2475" t="s">
        <v>111</v>
      </c>
      <c r="B2475" t="s">
        <v>220</v>
      </c>
      <c r="C2475">
        <v>7443</v>
      </c>
      <c r="D2475">
        <v>-37.987482999999997</v>
      </c>
      <c r="E2475">
        <v>145.05565300000001</v>
      </c>
      <c r="F2475">
        <v>3</v>
      </c>
      <c r="G2475" t="s">
        <v>818</v>
      </c>
      <c r="H2475">
        <v>15</v>
      </c>
      <c r="I2475">
        <v>195</v>
      </c>
      <c r="J2475">
        <v>115</v>
      </c>
      <c r="K2475">
        <v>295</v>
      </c>
      <c r="L2475">
        <v>296</v>
      </c>
      <c r="M2475">
        <v>116</v>
      </c>
      <c r="T2475">
        <v>78</v>
      </c>
      <c r="U2475">
        <v>12</v>
      </c>
      <c r="Y2475">
        <v>25</v>
      </c>
      <c r="Z2475">
        <v>91</v>
      </c>
      <c r="AD2475">
        <v>4</v>
      </c>
      <c r="AE2475">
        <v>112</v>
      </c>
      <c r="AX2475">
        <v>90</v>
      </c>
      <c r="AY2475">
        <v>29</v>
      </c>
      <c r="AZ2475">
        <v>119</v>
      </c>
      <c r="BA2475">
        <v>116</v>
      </c>
      <c r="BB2475">
        <v>190</v>
      </c>
      <c r="BC2475">
        <v>306</v>
      </c>
      <c r="BD2475">
        <v>116</v>
      </c>
      <c r="BE2475">
        <v>103</v>
      </c>
      <c r="BF2475">
        <v>219</v>
      </c>
      <c r="BP2475">
        <v>0</v>
      </c>
      <c r="BR2475">
        <v>177</v>
      </c>
      <c r="BS2475">
        <v>46</v>
      </c>
      <c r="BT2475">
        <v>99</v>
      </c>
      <c r="BU2475">
        <v>0</v>
      </c>
      <c r="BV2475">
        <v>0</v>
      </c>
      <c r="BW2475">
        <v>322</v>
      </c>
      <c r="BX2475">
        <v>382</v>
      </c>
      <c r="BY2475">
        <v>-0.15709999999999999</v>
      </c>
      <c r="BZ2475" s="6">
        <v>-0.16</v>
      </c>
      <c r="CA2475" s="7">
        <v>45242</v>
      </c>
      <c r="CC2475">
        <v>80</v>
      </c>
      <c r="CD2475">
        <v>96</v>
      </c>
      <c r="CE2475">
        <v>146</v>
      </c>
      <c r="CI2475">
        <f t="shared" si="238"/>
        <v>2023</v>
      </c>
      <c r="CJ2475" t="str">
        <f t="shared" si="239"/>
        <v>7443_2023</v>
      </c>
    </row>
    <row r="2476" spans="1:88" x14ac:dyDescent="0.25">
      <c r="A2476" t="s">
        <v>111</v>
      </c>
      <c r="B2476" t="s">
        <v>220</v>
      </c>
      <c r="C2476">
        <v>7445</v>
      </c>
      <c r="D2476">
        <v>-38.027048000000001</v>
      </c>
      <c r="E2476">
        <v>145.10201000000001</v>
      </c>
      <c r="F2476">
        <v>4</v>
      </c>
      <c r="G2476" t="s">
        <v>820</v>
      </c>
      <c r="H2476">
        <v>138</v>
      </c>
      <c r="I2476">
        <v>318</v>
      </c>
      <c r="J2476">
        <v>165</v>
      </c>
      <c r="K2476">
        <v>345</v>
      </c>
      <c r="L2476">
        <v>319</v>
      </c>
      <c r="M2476">
        <v>139</v>
      </c>
      <c r="N2476">
        <v>345</v>
      </c>
      <c r="O2476">
        <v>165</v>
      </c>
      <c r="T2476">
        <v>0</v>
      </c>
      <c r="U2476">
        <v>0</v>
      </c>
      <c r="V2476">
        <v>39</v>
      </c>
      <c r="Y2476">
        <v>0</v>
      </c>
      <c r="Z2476">
        <v>547</v>
      </c>
      <c r="AA2476">
        <v>0</v>
      </c>
      <c r="AD2476">
        <v>0</v>
      </c>
      <c r="AE2476">
        <v>358</v>
      </c>
      <c r="AF2476">
        <v>0</v>
      </c>
      <c r="AI2476">
        <v>81</v>
      </c>
      <c r="AJ2476">
        <v>0</v>
      </c>
      <c r="AK2476">
        <v>0</v>
      </c>
      <c r="AX2476">
        <v>39</v>
      </c>
      <c r="AY2476">
        <v>81</v>
      </c>
      <c r="AZ2476">
        <v>120</v>
      </c>
      <c r="BA2476">
        <v>547</v>
      </c>
      <c r="BB2476">
        <v>358</v>
      </c>
      <c r="BC2476">
        <v>905</v>
      </c>
      <c r="BD2476">
        <v>358</v>
      </c>
      <c r="BE2476">
        <v>547</v>
      </c>
      <c r="BF2476">
        <v>905</v>
      </c>
      <c r="BG2476">
        <v>81</v>
      </c>
      <c r="BH2476">
        <v>39</v>
      </c>
      <c r="BI2476">
        <v>120</v>
      </c>
      <c r="BP2476">
        <v>1025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1025</v>
      </c>
      <c r="BX2476">
        <v>757</v>
      </c>
      <c r="BY2476">
        <v>0.35399999999999998</v>
      </c>
      <c r="BZ2476" s="6">
        <v>0.35</v>
      </c>
      <c r="CA2476" s="7">
        <v>45242</v>
      </c>
      <c r="CC2476">
        <v>322</v>
      </c>
      <c r="CD2476">
        <v>419</v>
      </c>
      <c r="CE2476">
        <v>284</v>
      </c>
      <c r="CI2476">
        <f t="shared" si="238"/>
        <v>2023</v>
      </c>
      <c r="CJ2476" t="str">
        <f t="shared" si="239"/>
        <v>7445_2023</v>
      </c>
    </row>
    <row r="2477" spans="1:88" x14ac:dyDescent="0.25">
      <c r="A2477" t="s">
        <v>111</v>
      </c>
      <c r="B2477" t="s">
        <v>232</v>
      </c>
      <c r="C2477">
        <v>7957</v>
      </c>
      <c r="D2477">
        <v>-37.740788999999999</v>
      </c>
      <c r="E2477">
        <v>145.136819</v>
      </c>
      <c r="F2477">
        <v>4</v>
      </c>
      <c r="G2477" t="s">
        <v>1011</v>
      </c>
      <c r="H2477">
        <v>30</v>
      </c>
      <c r="I2477">
        <v>210</v>
      </c>
      <c r="J2477">
        <v>105</v>
      </c>
      <c r="K2477">
        <v>285</v>
      </c>
      <c r="L2477">
        <v>175</v>
      </c>
      <c r="M2477">
        <v>355</v>
      </c>
      <c r="N2477">
        <v>255</v>
      </c>
      <c r="O2477">
        <v>75</v>
      </c>
      <c r="T2477">
        <v>4</v>
      </c>
      <c r="U2477">
        <v>8</v>
      </c>
      <c r="V2477">
        <v>34</v>
      </c>
      <c r="Y2477">
        <v>9</v>
      </c>
      <c r="Z2477">
        <v>25</v>
      </c>
      <c r="AA2477">
        <v>187</v>
      </c>
      <c r="AD2477">
        <v>17</v>
      </c>
      <c r="AE2477">
        <v>19</v>
      </c>
      <c r="AF2477">
        <v>22</v>
      </c>
      <c r="AI2477">
        <v>51</v>
      </c>
      <c r="AJ2477">
        <v>163</v>
      </c>
      <c r="AK2477">
        <v>19</v>
      </c>
      <c r="AX2477">
        <v>46</v>
      </c>
      <c r="AY2477">
        <v>77</v>
      </c>
      <c r="AZ2477">
        <v>123</v>
      </c>
      <c r="BA2477">
        <v>221</v>
      </c>
      <c r="BB2477">
        <v>186</v>
      </c>
      <c r="BC2477">
        <v>407</v>
      </c>
      <c r="BD2477">
        <v>58</v>
      </c>
      <c r="BE2477">
        <v>52</v>
      </c>
      <c r="BF2477">
        <v>110</v>
      </c>
      <c r="BG2477">
        <v>233</v>
      </c>
      <c r="BH2477">
        <v>243</v>
      </c>
      <c r="BI2477">
        <v>476</v>
      </c>
      <c r="BP2477">
        <v>325</v>
      </c>
      <c r="BR2477">
        <v>125</v>
      </c>
      <c r="BS2477">
        <v>64</v>
      </c>
      <c r="BT2477">
        <v>44</v>
      </c>
      <c r="BU2477">
        <v>0</v>
      </c>
      <c r="BV2477">
        <v>0</v>
      </c>
      <c r="BW2477">
        <v>558</v>
      </c>
      <c r="CA2477" s="7">
        <v>45242</v>
      </c>
      <c r="CE2477">
        <v>248</v>
      </c>
      <c r="CF2477">
        <v>149</v>
      </c>
      <c r="CG2477">
        <v>161</v>
      </c>
      <c r="CI2477">
        <f t="shared" si="238"/>
        <v>2023</v>
      </c>
      <c r="CJ2477" t="str">
        <f t="shared" si="239"/>
        <v>7957_2023</v>
      </c>
    </row>
    <row r="2478" spans="1:88" x14ac:dyDescent="0.25">
      <c r="A2478" t="s">
        <v>111</v>
      </c>
      <c r="B2478" t="s">
        <v>232</v>
      </c>
      <c r="C2478">
        <v>7958</v>
      </c>
      <c r="D2478">
        <v>-37.750202000000002</v>
      </c>
      <c r="E2478">
        <v>145.176287</v>
      </c>
      <c r="F2478">
        <v>2</v>
      </c>
      <c r="G2478" t="s">
        <v>1012</v>
      </c>
      <c r="H2478">
        <v>95</v>
      </c>
      <c r="I2478">
        <v>275</v>
      </c>
      <c r="J2478">
        <v>280</v>
      </c>
      <c r="K2478">
        <v>100</v>
      </c>
      <c r="T2478">
        <v>134</v>
      </c>
      <c r="Y2478">
        <v>189</v>
      </c>
      <c r="AX2478">
        <v>134</v>
      </c>
      <c r="AY2478">
        <v>189</v>
      </c>
      <c r="AZ2478">
        <v>323</v>
      </c>
      <c r="BA2478">
        <v>189</v>
      </c>
      <c r="BB2478">
        <v>134</v>
      </c>
      <c r="BC2478">
        <v>323</v>
      </c>
      <c r="BP2478">
        <v>96</v>
      </c>
      <c r="BR2478">
        <v>173</v>
      </c>
      <c r="BS2478">
        <v>34</v>
      </c>
      <c r="BT2478">
        <v>18</v>
      </c>
      <c r="BU2478">
        <v>2</v>
      </c>
      <c r="BV2478">
        <v>0</v>
      </c>
      <c r="BW2478">
        <v>323</v>
      </c>
      <c r="CA2478" s="7">
        <v>45242</v>
      </c>
      <c r="CE2478">
        <v>112</v>
      </c>
      <c r="CF2478">
        <v>98</v>
      </c>
      <c r="CG2478">
        <v>113</v>
      </c>
      <c r="CI2478">
        <f t="shared" si="238"/>
        <v>2023</v>
      </c>
      <c r="CJ2478" t="str">
        <f t="shared" si="239"/>
        <v>7958_2023</v>
      </c>
    </row>
    <row r="2479" spans="1:88" x14ac:dyDescent="0.25">
      <c r="A2479" t="s">
        <v>111</v>
      </c>
      <c r="B2479" t="s">
        <v>232</v>
      </c>
      <c r="C2479">
        <v>7959</v>
      </c>
      <c r="D2479">
        <v>-37.765537999999999</v>
      </c>
      <c r="E2479">
        <v>145.18333200000001</v>
      </c>
      <c r="F2479">
        <v>4</v>
      </c>
      <c r="G2479" t="s">
        <v>1013</v>
      </c>
      <c r="H2479">
        <v>88</v>
      </c>
      <c r="I2479">
        <v>268</v>
      </c>
      <c r="J2479">
        <v>127</v>
      </c>
      <c r="K2479">
        <v>307</v>
      </c>
      <c r="L2479">
        <v>265</v>
      </c>
      <c r="M2479">
        <v>85</v>
      </c>
      <c r="N2479">
        <v>284</v>
      </c>
      <c r="O2479">
        <v>104</v>
      </c>
      <c r="T2479">
        <v>1</v>
      </c>
      <c r="U2479">
        <v>5</v>
      </c>
      <c r="V2479">
        <v>2</v>
      </c>
      <c r="Y2479">
        <v>0</v>
      </c>
      <c r="Z2479">
        <v>79</v>
      </c>
      <c r="AA2479">
        <v>0</v>
      </c>
      <c r="AD2479">
        <v>0</v>
      </c>
      <c r="AE2479">
        <v>104</v>
      </c>
      <c r="AF2479">
        <v>1</v>
      </c>
      <c r="AI2479">
        <v>10</v>
      </c>
      <c r="AJ2479">
        <v>1</v>
      </c>
      <c r="AK2479">
        <v>2</v>
      </c>
      <c r="AX2479">
        <v>8</v>
      </c>
      <c r="AY2479">
        <v>10</v>
      </c>
      <c r="AZ2479">
        <v>18</v>
      </c>
      <c r="BA2479">
        <v>79</v>
      </c>
      <c r="BB2479">
        <v>106</v>
      </c>
      <c r="BC2479">
        <v>185</v>
      </c>
      <c r="BD2479">
        <v>105</v>
      </c>
      <c r="BE2479">
        <v>86</v>
      </c>
      <c r="BF2479">
        <v>191</v>
      </c>
      <c r="BG2479">
        <v>13</v>
      </c>
      <c r="BH2479">
        <v>3</v>
      </c>
      <c r="BI2479">
        <v>16</v>
      </c>
      <c r="BP2479">
        <v>109</v>
      </c>
      <c r="BR2479">
        <v>72</v>
      </c>
      <c r="BS2479">
        <v>18</v>
      </c>
      <c r="BT2479">
        <v>4</v>
      </c>
      <c r="BU2479">
        <v>2</v>
      </c>
      <c r="BV2479">
        <v>0</v>
      </c>
      <c r="BW2479">
        <v>205</v>
      </c>
      <c r="CA2479" s="7">
        <v>45242</v>
      </c>
      <c r="CE2479">
        <v>74</v>
      </c>
      <c r="CF2479">
        <v>66</v>
      </c>
      <c r="CG2479">
        <v>65</v>
      </c>
      <c r="CI2479">
        <f t="shared" si="238"/>
        <v>2023</v>
      </c>
      <c r="CJ2479" t="str">
        <f t="shared" si="239"/>
        <v>7959_2023</v>
      </c>
    </row>
    <row r="2480" spans="1:88" x14ac:dyDescent="0.25">
      <c r="A2480" t="s">
        <v>111</v>
      </c>
      <c r="B2480" t="s">
        <v>232</v>
      </c>
      <c r="C2480">
        <v>7960</v>
      </c>
      <c r="D2480">
        <v>-37.762901999999997</v>
      </c>
      <c r="E2480">
        <v>145.16269399999999</v>
      </c>
      <c r="F2480">
        <v>4</v>
      </c>
      <c r="G2480" t="s">
        <v>1014</v>
      </c>
      <c r="H2480">
        <v>8</v>
      </c>
      <c r="I2480">
        <v>188</v>
      </c>
      <c r="J2480">
        <v>97</v>
      </c>
      <c r="K2480">
        <v>277</v>
      </c>
      <c r="L2480">
        <v>187</v>
      </c>
      <c r="M2480">
        <v>7</v>
      </c>
      <c r="N2480">
        <v>280</v>
      </c>
      <c r="O2480">
        <v>100</v>
      </c>
      <c r="T2480">
        <v>10</v>
      </c>
      <c r="U2480">
        <v>48</v>
      </c>
      <c r="V2480">
        <v>0</v>
      </c>
      <c r="Y2480">
        <v>0</v>
      </c>
      <c r="Z2480">
        <v>1</v>
      </c>
      <c r="AA2480">
        <v>6</v>
      </c>
      <c r="AD2480">
        <v>45</v>
      </c>
      <c r="AE2480">
        <v>0</v>
      </c>
      <c r="AF2480">
        <v>1</v>
      </c>
      <c r="AI2480">
        <v>1</v>
      </c>
      <c r="AJ2480">
        <v>12</v>
      </c>
      <c r="AK2480">
        <v>4</v>
      </c>
      <c r="AX2480">
        <v>58</v>
      </c>
      <c r="AY2480">
        <v>46</v>
      </c>
      <c r="AZ2480">
        <v>104</v>
      </c>
      <c r="BA2480">
        <v>7</v>
      </c>
      <c r="BB2480">
        <v>22</v>
      </c>
      <c r="BC2480">
        <v>29</v>
      </c>
      <c r="BD2480">
        <v>46</v>
      </c>
      <c r="BE2480">
        <v>53</v>
      </c>
      <c r="BF2480">
        <v>99</v>
      </c>
      <c r="BG2480">
        <v>17</v>
      </c>
      <c r="BH2480">
        <v>7</v>
      </c>
      <c r="BI2480">
        <v>24</v>
      </c>
      <c r="BP2480">
        <v>28</v>
      </c>
      <c r="BR2480">
        <v>70</v>
      </c>
      <c r="BS2480">
        <v>10</v>
      </c>
      <c r="BT2480">
        <v>19</v>
      </c>
      <c r="BU2480">
        <v>1</v>
      </c>
      <c r="BV2480">
        <v>0</v>
      </c>
      <c r="BW2480">
        <v>128</v>
      </c>
      <c r="CA2480" s="7">
        <v>45242</v>
      </c>
      <c r="CE2480">
        <v>34</v>
      </c>
      <c r="CF2480">
        <v>56</v>
      </c>
      <c r="CG2480">
        <v>38</v>
      </c>
      <c r="CI2480">
        <f t="shared" si="238"/>
        <v>2023</v>
      </c>
      <c r="CJ2480" t="str">
        <f t="shared" si="239"/>
        <v>7960_2023</v>
      </c>
    </row>
    <row r="2481" spans="1:88" x14ac:dyDescent="0.25">
      <c r="A2481" t="s">
        <v>111</v>
      </c>
      <c r="B2481" t="s">
        <v>232</v>
      </c>
      <c r="C2481">
        <v>7961</v>
      </c>
      <c r="D2481">
        <v>-37.782876999999999</v>
      </c>
      <c r="E2481">
        <v>145.099942</v>
      </c>
      <c r="F2481">
        <v>3</v>
      </c>
      <c r="G2481" t="s">
        <v>1015</v>
      </c>
      <c r="H2481">
        <v>67</v>
      </c>
      <c r="I2481">
        <v>247</v>
      </c>
      <c r="J2481">
        <v>172</v>
      </c>
      <c r="K2481">
        <v>352</v>
      </c>
      <c r="L2481">
        <v>345</v>
      </c>
      <c r="M2481">
        <v>165</v>
      </c>
      <c r="T2481">
        <v>3</v>
      </c>
      <c r="U2481">
        <v>15</v>
      </c>
      <c r="Y2481">
        <v>1</v>
      </c>
      <c r="Z2481">
        <v>16</v>
      </c>
      <c r="AD2481">
        <v>11</v>
      </c>
      <c r="AE2481">
        <v>11</v>
      </c>
      <c r="AX2481">
        <v>18</v>
      </c>
      <c r="AY2481">
        <v>12</v>
      </c>
      <c r="AZ2481">
        <v>30</v>
      </c>
      <c r="BA2481">
        <v>17</v>
      </c>
      <c r="BB2481">
        <v>14</v>
      </c>
      <c r="BC2481">
        <v>31</v>
      </c>
      <c r="BD2481">
        <v>22</v>
      </c>
      <c r="BE2481">
        <v>31</v>
      </c>
      <c r="BF2481">
        <v>53</v>
      </c>
      <c r="BP2481">
        <v>14</v>
      </c>
      <c r="BR2481">
        <v>32</v>
      </c>
      <c r="BS2481">
        <v>2</v>
      </c>
      <c r="BT2481">
        <v>9</v>
      </c>
      <c r="BU2481">
        <v>0</v>
      </c>
      <c r="BV2481">
        <v>0</v>
      </c>
      <c r="BW2481">
        <v>57</v>
      </c>
      <c r="CA2481" s="7">
        <v>45242</v>
      </c>
      <c r="CE2481">
        <v>24</v>
      </c>
      <c r="CF2481">
        <v>19</v>
      </c>
      <c r="CG2481">
        <v>14</v>
      </c>
      <c r="CI2481">
        <f t="shared" si="238"/>
        <v>2023</v>
      </c>
      <c r="CJ2481" t="str">
        <f t="shared" si="239"/>
        <v>7961_2023</v>
      </c>
    </row>
    <row r="2482" spans="1:88" x14ac:dyDescent="0.25">
      <c r="A2482" t="s">
        <v>111</v>
      </c>
      <c r="B2482" t="s">
        <v>232</v>
      </c>
      <c r="C2482">
        <v>7962</v>
      </c>
      <c r="D2482">
        <v>-37.799807000000001</v>
      </c>
      <c r="E2482">
        <v>145.15294700000001</v>
      </c>
      <c r="F2482">
        <v>3</v>
      </c>
      <c r="G2482" t="s">
        <v>1016</v>
      </c>
      <c r="H2482">
        <v>106</v>
      </c>
      <c r="I2482">
        <v>286</v>
      </c>
      <c r="J2482">
        <v>257</v>
      </c>
      <c r="K2482">
        <v>77</v>
      </c>
      <c r="L2482">
        <v>296</v>
      </c>
      <c r="M2482">
        <v>116</v>
      </c>
      <c r="T2482">
        <v>165</v>
      </c>
      <c r="U2482">
        <v>19</v>
      </c>
      <c r="Y2482">
        <v>124</v>
      </c>
      <c r="Z2482">
        <v>16</v>
      </c>
      <c r="AD2482">
        <v>8</v>
      </c>
      <c r="AE2482">
        <v>36</v>
      </c>
      <c r="AX2482">
        <v>184</v>
      </c>
      <c r="AY2482">
        <v>132</v>
      </c>
      <c r="AZ2482">
        <v>316</v>
      </c>
      <c r="BA2482">
        <v>140</v>
      </c>
      <c r="BB2482">
        <v>201</v>
      </c>
      <c r="BC2482">
        <v>341</v>
      </c>
      <c r="BD2482">
        <v>44</v>
      </c>
      <c r="BE2482">
        <v>35</v>
      </c>
      <c r="BF2482">
        <v>79</v>
      </c>
      <c r="BP2482">
        <v>222</v>
      </c>
      <c r="BR2482">
        <v>68</v>
      </c>
      <c r="BS2482">
        <v>53</v>
      </c>
      <c r="BT2482">
        <v>24</v>
      </c>
      <c r="BU2482">
        <v>1</v>
      </c>
      <c r="BV2482">
        <v>0</v>
      </c>
      <c r="BW2482">
        <v>368</v>
      </c>
      <c r="CA2482" s="7">
        <v>45242</v>
      </c>
      <c r="CE2482">
        <v>113</v>
      </c>
      <c r="CF2482">
        <v>136</v>
      </c>
      <c r="CG2482">
        <v>119</v>
      </c>
      <c r="CI2482">
        <f t="shared" si="238"/>
        <v>2023</v>
      </c>
      <c r="CJ2482" t="str">
        <f t="shared" si="239"/>
        <v>7962_2023</v>
      </c>
    </row>
    <row r="2483" spans="1:88" x14ac:dyDescent="0.25">
      <c r="A2483" t="s">
        <v>111</v>
      </c>
      <c r="B2483" t="s">
        <v>232</v>
      </c>
      <c r="C2483">
        <v>7963</v>
      </c>
      <c r="D2483">
        <v>-37.756456999999997</v>
      </c>
      <c r="E2483">
        <v>145.12225100000001</v>
      </c>
      <c r="F2483">
        <v>2</v>
      </c>
      <c r="G2483" t="s">
        <v>1017</v>
      </c>
      <c r="H2483">
        <v>195</v>
      </c>
      <c r="I2483">
        <v>15</v>
      </c>
      <c r="J2483">
        <v>340</v>
      </c>
      <c r="K2483">
        <v>160</v>
      </c>
      <c r="T2483">
        <v>38</v>
      </c>
      <c r="Y2483">
        <v>23</v>
      </c>
      <c r="AX2483">
        <v>38</v>
      </c>
      <c r="AY2483">
        <v>23</v>
      </c>
      <c r="AZ2483">
        <v>61</v>
      </c>
      <c r="BA2483">
        <v>23</v>
      </c>
      <c r="BB2483">
        <v>38</v>
      </c>
      <c r="BC2483">
        <v>61</v>
      </c>
      <c r="BP2483">
        <v>20</v>
      </c>
      <c r="BR2483">
        <v>30</v>
      </c>
      <c r="BS2483">
        <v>2</v>
      </c>
      <c r="BT2483">
        <v>8</v>
      </c>
      <c r="BU2483">
        <v>1</v>
      </c>
      <c r="BV2483">
        <v>0</v>
      </c>
      <c r="BW2483">
        <v>61</v>
      </c>
      <c r="CA2483" s="7">
        <v>45242</v>
      </c>
      <c r="CE2483">
        <v>21</v>
      </c>
      <c r="CF2483">
        <v>15</v>
      </c>
      <c r="CG2483">
        <v>25</v>
      </c>
      <c r="CI2483">
        <f t="shared" si="238"/>
        <v>2023</v>
      </c>
      <c r="CJ2483" t="str">
        <f t="shared" si="239"/>
        <v>7963_2023</v>
      </c>
    </row>
    <row r="2484" spans="1:88" x14ac:dyDescent="0.25">
      <c r="A2484" t="s">
        <v>111</v>
      </c>
      <c r="B2484" t="s">
        <v>418</v>
      </c>
      <c r="C2484">
        <v>6983</v>
      </c>
      <c r="D2484">
        <v>-37.803227</v>
      </c>
      <c r="E2484">
        <v>144.90826999999999</v>
      </c>
      <c r="F2484">
        <v>2</v>
      </c>
      <c r="G2484" t="s">
        <v>669</v>
      </c>
      <c r="H2484">
        <v>18</v>
      </c>
      <c r="I2484">
        <v>198</v>
      </c>
      <c r="J2484">
        <v>201</v>
      </c>
      <c r="K2484">
        <v>21</v>
      </c>
      <c r="T2484">
        <v>315</v>
      </c>
      <c r="Y2484">
        <v>348</v>
      </c>
      <c r="AX2484">
        <v>315</v>
      </c>
      <c r="AY2484">
        <v>348</v>
      </c>
      <c r="AZ2484">
        <v>663</v>
      </c>
      <c r="BA2484">
        <v>348</v>
      </c>
      <c r="BB2484">
        <v>315</v>
      </c>
      <c r="BC2484">
        <v>663</v>
      </c>
      <c r="BP2484">
        <v>372</v>
      </c>
      <c r="BR2484">
        <v>156</v>
      </c>
      <c r="BS2484">
        <v>72</v>
      </c>
      <c r="BT2484">
        <v>54</v>
      </c>
      <c r="BU2484">
        <v>3</v>
      </c>
      <c r="BV2484">
        <v>6</v>
      </c>
      <c r="BW2484">
        <v>663</v>
      </c>
      <c r="BX2484">
        <v>651</v>
      </c>
      <c r="BY2484">
        <v>1.84E-2</v>
      </c>
      <c r="BZ2484" s="6">
        <v>0.02</v>
      </c>
      <c r="CA2484" s="7">
        <v>45242</v>
      </c>
      <c r="CE2484">
        <v>228</v>
      </c>
      <c r="CF2484">
        <v>221</v>
      </c>
      <c r="CG2484">
        <v>214</v>
      </c>
      <c r="CI2484">
        <f t="shared" si="238"/>
        <v>2023</v>
      </c>
      <c r="CJ2484" t="str">
        <f t="shared" si="239"/>
        <v>6983_2023</v>
      </c>
    </row>
    <row r="2485" spans="1:88" x14ac:dyDescent="0.25">
      <c r="A2485" t="s">
        <v>111</v>
      </c>
      <c r="B2485" t="s">
        <v>418</v>
      </c>
      <c r="C2485">
        <v>6984</v>
      </c>
      <c r="D2485">
        <v>-37.777645</v>
      </c>
      <c r="E2485">
        <v>144.89648</v>
      </c>
      <c r="F2485">
        <v>4</v>
      </c>
      <c r="G2485" t="s">
        <v>671</v>
      </c>
      <c r="H2485">
        <v>83</v>
      </c>
      <c r="I2485">
        <v>263</v>
      </c>
      <c r="J2485">
        <v>177</v>
      </c>
      <c r="K2485">
        <v>357</v>
      </c>
      <c r="L2485">
        <v>270</v>
      </c>
      <c r="M2485">
        <v>90</v>
      </c>
      <c r="N2485">
        <v>352</v>
      </c>
      <c r="O2485">
        <v>172</v>
      </c>
      <c r="T2485">
        <v>81</v>
      </c>
      <c r="U2485">
        <v>62</v>
      </c>
      <c r="V2485">
        <v>41</v>
      </c>
      <c r="Y2485">
        <v>86</v>
      </c>
      <c r="Z2485">
        <v>59</v>
      </c>
      <c r="AA2485">
        <v>272</v>
      </c>
      <c r="AD2485">
        <v>66</v>
      </c>
      <c r="AE2485">
        <v>34</v>
      </c>
      <c r="AF2485">
        <v>12</v>
      </c>
      <c r="AI2485">
        <v>82</v>
      </c>
      <c r="AJ2485">
        <v>311</v>
      </c>
      <c r="AK2485">
        <v>25</v>
      </c>
      <c r="AX2485">
        <v>184</v>
      </c>
      <c r="AY2485">
        <v>234</v>
      </c>
      <c r="AZ2485">
        <v>418</v>
      </c>
      <c r="BA2485">
        <v>417</v>
      </c>
      <c r="BB2485">
        <v>426</v>
      </c>
      <c r="BC2485">
        <v>843</v>
      </c>
      <c r="BD2485">
        <v>112</v>
      </c>
      <c r="BE2485">
        <v>146</v>
      </c>
      <c r="BF2485">
        <v>258</v>
      </c>
      <c r="BG2485">
        <v>418</v>
      </c>
      <c r="BH2485">
        <v>325</v>
      </c>
      <c r="BI2485">
        <v>743</v>
      </c>
      <c r="BP2485">
        <v>398</v>
      </c>
      <c r="BR2485">
        <v>390</v>
      </c>
      <c r="BS2485">
        <v>220</v>
      </c>
      <c r="BT2485">
        <v>103</v>
      </c>
      <c r="BU2485">
        <v>5</v>
      </c>
      <c r="BV2485">
        <v>15</v>
      </c>
      <c r="BW2485">
        <v>1131</v>
      </c>
      <c r="BX2485">
        <v>1037</v>
      </c>
      <c r="BY2485">
        <v>9.06E-2</v>
      </c>
      <c r="BZ2485" s="6">
        <v>0.09</v>
      </c>
      <c r="CA2485" s="7">
        <v>45242</v>
      </c>
      <c r="CE2485">
        <v>397</v>
      </c>
      <c r="CF2485">
        <v>395</v>
      </c>
      <c r="CG2485">
        <v>339</v>
      </c>
      <c r="CI2485">
        <f t="shared" si="238"/>
        <v>2023</v>
      </c>
      <c r="CJ2485" t="str">
        <f t="shared" si="239"/>
        <v>6984_2023</v>
      </c>
    </row>
    <row r="2486" spans="1:88" x14ac:dyDescent="0.25">
      <c r="A2486" t="s">
        <v>111</v>
      </c>
      <c r="B2486" t="s">
        <v>418</v>
      </c>
      <c r="C2486">
        <v>7456</v>
      </c>
      <c r="D2486">
        <v>-37.776392000000001</v>
      </c>
      <c r="E2486">
        <v>144.86060000000001</v>
      </c>
      <c r="F2486">
        <v>3</v>
      </c>
      <c r="G2486" t="s">
        <v>832</v>
      </c>
      <c r="H2486">
        <v>64</v>
      </c>
      <c r="I2486">
        <v>244</v>
      </c>
      <c r="J2486">
        <v>245</v>
      </c>
      <c r="K2486">
        <v>65</v>
      </c>
      <c r="L2486">
        <v>278</v>
      </c>
      <c r="M2486">
        <v>98</v>
      </c>
      <c r="T2486">
        <v>31</v>
      </c>
      <c r="U2486">
        <v>15</v>
      </c>
      <c r="Y2486">
        <v>33</v>
      </c>
      <c r="Z2486">
        <v>22</v>
      </c>
      <c r="AD2486">
        <v>20</v>
      </c>
      <c r="AE2486">
        <v>10</v>
      </c>
      <c r="AX2486">
        <v>46</v>
      </c>
      <c r="AY2486">
        <v>53</v>
      </c>
      <c r="AZ2486">
        <v>99</v>
      </c>
      <c r="BA2486">
        <v>55</v>
      </c>
      <c r="BB2486">
        <v>41</v>
      </c>
      <c r="BC2486">
        <v>96</v>
      </c>
      <c r="BD2486">
        <v>30</v>
      </c>
      <c r="BE2486">
        <v>37</v>
      </c>
      <c r="BF2486">
        <v>67</v>
      </c>
      <c r="BP2486">
        <v>40</v>
      </c>
      <c r="BR2486">
        <v>45</v>
      </c>
      <c r="BS2486">
        <v>26</v>
      </c>
      <c r="BT2486">
        <v>16</v>
      </c>
      <c r="BU2486">
        <v>2</v>
      </c>
      <c r="BV2486">
        <v>2</v>
      </c>
      <c r="BW2486">
        <v>131</v>
      </c>
      <c r="BX2486">
        <v>105</v>
      </c>
      <c r="BY2486">
        <v>0.24759999999999999</v>
      </c>
      <c r="BZ2486" s="6">
        <v>0.25</v>
      </c>
      <c r="CA2486" s="7">
        <v>45242</v>
      </c>
      <c r="CE2486">
        <v>46</v>
      </c>
      <c r="CF2486">
        <v>44</v>
      </c>
      <c r="CG2486">
        <v>41</v>
      </c>
      <c r="CI2486">
        <f t="shared" si="238"/>
        <v>2023</v>
      </c>
      <c r="CJ2486" t="str">
        <f t="shared" si="239"/>
        <v>7456_2023</v>
      </c>
    </row>
    <row r="2487" spans="1:88" x14ac:dyDescent="0.25">
      <c r="A2487" t="s">
        <v>111</v>
      </c>
      <c r="B2487" t="s">
        <v>418</v>
      </c>
      <c r="C2487">
        <v>7512</v>
      </c>
      <c r="D2487">
        <v>-37.801152000000002</v>
      </c>
      <c r="E2487">
        <v>144.88412500000001</v>
      </c>
      <c r="F2487">
        <v>3</v>
      </c>
      <c r="G2487" t="s">
        <v>859</v>
      </c>
      <c r="H2487">
        <v>97</v>
      </c>
      <c r="I2487">
        <v>277</v>
      </c>
      <c r="J2487">
        <v>137</v>
      </c>
      <c r="K2487">
        <v>317</v>
      </c>
      <c r="L2487">
        <v>277</v>
      </c>
      <c r="M2487">
        <v>97</v>
      </c>
      <c r="T2487">
        <v>9</v>
      </c>
      <c r="U2487">
        <v>77</v>
      </c>
      <c r="Y2487">
        <v>6</v>
      </c>
      <c r="Z2487">
        <v>24</v>
      </c>
      <c r="AD2487">
        <v>85</v>
      </c>
      <c r="AE2487">
        <v>58</v>
      </c>
      <c r="AX2487">
        <v>86</v>
      </c>
      <c r="AY2487">
        <v>91</v>
      </c>
      <c r="AZ2487">
        <v>177</v>
      </c>
      <c r="BA2487">
        <v>30</v>
      </c>
      <c r="BB2487">
        <v>67</v>
      </c>
      <c r="BC2487">
        <v>97</v>
      </c>
      <c r="BD2487">
        <v>143</v>
      </c>
      <c r="BE2487">
        <v>101</v>
      </c>
      <c r="BF2487">
        <v>244</v>
      </c>
      <c r="BP2487">
        <v>138</v>
      </c>
      <c r="BR2487">
        <v>70</v>
      </c>
      <c r="BS2487">
        <v>28</v>
      </c>
      <c r="BT2487">
        <v>15</v>
      </c>
      <c r="BU2487">
        <v>8</v>
      </c>
      <c r="BV2487">
        <v>0</v>
      </c>
      <c r="BW2487">
        <v>259</v>
      </c>
      <c r="BX2487">
        <v>219</v>
      </c>
      <c r="BY2487">
        <v>0.18260000000000001</v>
      </c>
      <c r="BZ2487" s="6">
        <v>0.18</v>
      </c>
      <c r="CA2487" s="7">
        <v>45242</v>
      </c>
      <c r="CE2487">
        <v>86</v>
      </c>
      <c r="CF2487">
        <v>94</v>
      </c>
      <c r="CG2487">
        <v>79</v>
      </c>
      <c r="CI2487">
        <f t="shared" si="238"/>
        <v>2023</v>
      </c>
      <c r="CJ2487" t="str">
        <f t="shared" si="239"/>
        <v>7512_2023</v>
      </c>
    </row>
    <row r="2488" spans="1:88" x14ac:dyDescent="0.25">
      <c r="A2488" t="s">
        <v>111</v>
      </c>
      <c r="B2488" t="s">
        <v>418</v>
      </c>
      <c r="C2488">
        <v>7867</v>
      </c>
      <c r="D2488">
        <v>-37.819749999999999</v>
      </c>
      <c r="E2488">
        <v>144.87780599999999</v>
      </c>
      <c r="F2488">
        <v>5</v>
      </c>
      <c r="G2488" t="s">
        <v>1018</v>
      </c>
      <c r="H2488">
        <v>33</v>
      </c>
      <c r="I2488">
        <v>213</v>
      </c>
      <c r="J2488">
        <v>97</v>
      </c>
      <c r="K2488">
        <v>277</v>
      </c>
      <c r="L2488">
        <v>195</v>
      </c>
      <c r="M2488">
        <v>15</v>
      </c>
      <c r="N2488">
        <v>278</v>
      </c>
      <c r="O2488">
        <v>98</v>
      </c>
      <c r="P2488">
        <v>340</v>
      </c>
      <c r="Q2488">
        <v>160</v>
      </c>
      <c r="T2488">
        <v>31</v>
      </c>
      <c r="U2488">
        <v>16</v>
      </c>
      <c r="V2488">
        <v>9</v>
      </c>
      <c r="W2488">
        <v>59</v>
      </c>
      <c r="Y2488">
        <v>18</v>
      </c>
      <c r="Z2488">
        <v>8</v>
      </c>
      <c r="AA2488">
        <v>13</v>
      </c>
      <c r="AB2488">
        <v>14</v>
      </c>
      <c r="AD2488">
        <v>9</v>
      </c>
      <c r="AE2488">
        <v>15</v>
      </c>
      <c r="AF2488">
        <v>2</v>
      </c>
      <c r="AG2488">
        <v>16</v>
      </c>
      <c r="AI2488">
        <v>5</v>
      </c>
      <c r="AJ2488">
        <v>29</v>
      </c>
      <c r="AK2488">
        <v>1</v>
      </c>
      <c r="AL2488">
        <v>5</v>
      </c>
      <c r="AN2488">
        <v>58</v>
      </c>
      <c r="AO2488">
        <v>6</v>
      </c>
      <c r="AP2488">
        <v>8</v>
      </c>
      <c r="AQ2488">
        <v>7</v>
      </c>
      <c r="AX2488">
        <v>115</v>
      </c>
      <c r="AY2488">
        <v>90</v>
      </c>
      <c r="AZ2488">
        <v>205</v>
      </c>
      <c r="BA2488">
        <v>53</v>
      </c>
      <c r="BB2488">
        <v>81</v>
      </c>
      <c r="BC2488">
        <v>134</v>
      </c>
      <c r="BD2488">
        <v>42</v>
      </c>
      <c r="BE2488">
        <v>33</v>
      </c>
      <c r="BF2488">
        <v>75</v>
      </c>
      <c r="BG2488">
        <v>40</v>
      </c>
      <c r="BH2488">
        <v>31</v>
      </c>
      <c r="BI2488">
        <v>71</v>
      </c>
      <c r="BJ2488">
        <v>79</v>
      </c>
      <c r="BK2488">
        <v>94</v>
      </c>
      <c r="BL2488">
        <v>173</v>
      </c>
      <c r="BP2488">
        <v>25</v>
      </c>
      <c r="BR2488">
        <v>157</v>
      </c>
      <c r="BS2488">
        <v>68</v>
      </c>
      <c r="BT2488">
        <v>76</v>
      </c>
      <c r="BU2488">
        <v>3</v>
      </c>
      <c r="BV2488">
        <v>0</v>
      </c>
      <c r="BW2488">
        <v>329</v>
      </c>
      <c r="CA2488" s="7">
        <v>45242</v>
      </c>
      <c r="CE2488">
        <v>128</v>
      </c>
      <c r="CF2488">
        <v>108</v>
      </c>
      <c r="CG2488">
        <v>93</v>
      </c>
      <c r="CI2488">
        <f t="shared" si="238"/>
        <v>2023</v>
      </c>
      <c r="CJ2488" t="str">
        <f t="shared" si="239"/>
        <v>7867_2023</v>
      </c>
    </row>
    <row r="2489" spans="1:88" x14ac:dyDescent="0.25">
      <c r="A2489" t="s">
        <v>277</v>
      </c>
      <c r="B2489" t="s">
        <v>790</v>
      </c>
      <c r="C2489">
        <v>7261</v>
      </c>
      <c r="D2489">
        <v>-34.970635000000001</v>
      </c>
      <c r="E2489">
        <v>138.54842199999999</v>
      </c>
      <c r="F2489">
        <v>2</v>
      </c>
      <c r="G2489" t="s">
        <v>792</v>
      </c>
      <c r="H2489">
        <v>55</v>
      </c>
      <c r="I2489">
        <v>235</v>
      </c>
      <c r="J2489">
        <v>240</v>
      </c>
      <c r="K2489">
        <v>60</v>
      </c>
      <c r="T2489">
        <v>116</v>
      </c>
      <c r="Y2489">
        <v>116</v>
      </c>
      <c r="AX2489">
        <v>116</v>
      </c>
      <c r="AY2489">
        <v>116</v>
      </c>
      <c r="AZ2489">
        <v>232</v>
      </c>
      <c r="BA2489">
        <v>116</v>
      </c>
      <c r="BB2489">
        <v>116</v>
      </c>
      <c r="BC2489">
        <v>232</v>
      </c>
      <c r="BP2489">
        <v>152</v>
      </c>
      <c r="BR2489">
        <v>31</v>
      </c>
      <c r="BS2489">
        <v>28</v>
      </c>
      <c r="BT2489">
        <v>11</v>
      </c>
      <c r="BU2489">
        <v>7</v>
      </c>
      <c r="BV2489">
        <v>3</v>
      </c>
      <c r="BW2489">
        <v>232</v>
      </c>
      <c r="BX2489">
        <v>99</v>
      </c>
      <c r="BY2489">
        <v>1.3433999999999999</v>
      </c>
      <c r="BZ2489" s="6">
        <v>1.34</v>
      </c>
      <c r="CA2489" s="7">
        <v>45242</v>
      </c>
      <c r="CE2489">
        <v>64</v>
      </c>
      <c r="CF2489">
        <v>101</v>
      </c>
      <c r="CG2489">
        <v>67</v>
      </c>
      <c r="CI2489">
        <f t="shared" si="238"/>
        <v>2023</v>
      </c>
      <c r="CJ2489" t="str">
        <f t="shared" si="239"/>
        <v>7261_2023</v>
      </c>
    </row>
    <row r="2490" spans="1:88" x14ac:dyDescent="0.25">
      <c r="A2490" t="s">
        <v>277</v>
      </c>
      <c r="B2490" t="s">
        <v>790</v>
      </c>
      <c r="C2490">
        <v>7482</v>
      </c>
      <c r="D2490">
        <v>-35.047204999999998</v>
      </c>
      <c r="E2490">
        <v>138.51098200000001</v>
      </c>
      <c r="F2490">
        <v>4</v>
      </c>
      <c r="G2490" t="s">
        <v>851</v>
      </c>
      <c r="H2490">
        <v>53</v>
      </c>
      <c r="I2490">
        <v>233</v>
      </c>
      <c r="J2490">
        <v>220</v>
      </c>
      <c r="K2490">
        <v>40</v>
      </c>
      <c r="L2490">
        <v>235</v>
      </c>
      <c r="M2490">
        <v>55</v>
      </c>
      <c r="N2490">
        <v>325</v>
      </c>
      <c r="O2490">
        <v>145</v>
      </c>
      <c r="T2490">
        <v>43</v>
      </c>
      <c r="U2490">
        <v>11</v>
      </c>
      <c r="V2490">
        <v>2</v>
      </c>
      <c r="Y2490">
        <v>59</v>
      </c>
      <c r="Z2490">
        <v>0</v>
      </c>
      <c r="AA2490">
        <v>0</v>
      </c>
      <c r="AD2490">
        <v>23</v>
      </c>
      <c r="AE2490">
        <v>0</v>
      </c>
      <c r="AF2490">
        <v>1</v>
      </c>
      <c r="AI2490">
        <v>2</v>
      </c>
      <c r="AJ2490">
        <v>0</v>
      </c>
      <c r="AK2490">
        <v>0</v>
      </c>
      <c r="AX2490">
        <v>56</v>
      </c>
      <c r="AY2490">
        <v>84</v>
      </c>
      <c r="AZ2490">
        <v>140</v>
      </c>
      <c r="BA2490">
        <v>59</v>
      </c>
      <c r="BB2490">
        <v>43</v>
      </c>
      <c r="BC2490">
        <v>102</v>
      </c>
      <c r="BD2490">
        <v>24</v>
      </c>
      <c r="BE2490">
        <v>11</v>
      </c>
      <c r="BF2490">
        <v>35</v>
      </c>
      <c r="BG2490">
        <v>2</v>
      </c>
      <c r="BH2490">
        <v>3</v>
      </c>
      <c r="BI2490">
        <v>5</v>
      </c>
      <c r="BP2490">
        <v>124</v>
      </c>
      <c r="BR2490">
        <v>13</v>
      </c>
      <c r="BS2490">
        <v>2</v>
      </c>
      <c r="BT2490">
        <v>1</v>
      </c>
      <c r="BU2490">
        <v>1</v>
      </c>
      <c r="BV2490">
        <v>0</v>
      </c>
      <c r="BW2490">
        <v>141</v>
      </c>
      <c r="BX2490">
        <v>181</v>
      </c>
      <c r="BY2490">
        <v>-0.221</v>
      </c>
      <c r="BZ2490" s="6">
        <v>-0.22</v>
      </c>
      <c r="CA2490" s="7">
        <v>45242</v>
      </c>
      <c r="CE2490">
        <v>62</v>
      </c>
      <c r="CF2490">
        <v>42</v>
      </c>
      <c r="CG2490">
        <v>37</v>
      </c>
      <c r="CI2490">
        <f t="shared" si="238"/>
        <v>2023</v>
      </c>
      <c r="CJ2490" t="str">
        <f t="shared" si="239"/>
        <v>7482_2023</v>
      </c>
    </row>
    <row r="2491" spans="1:88" x14ac:dyDescent="0.25">
      <c r="A2491" t="s">
        <v>277</v>
      </c>
      <c r="B2491" t="s">
        <v>790</v>
      </c>
      <c r="C2491">
        <v>7483</v>
      </c>
      <c r="D2491">
        <v>-35.077741000000003</v>
      </c>
      <c r="E2491">
        <v>138.536688</v>
      </c>
      <c r="F2491">
        <v>4</v>
      </c>
      <c r="G2491" t="s">
        <v>852</v>
      </c>
      <c r="H2491">
        <v>106</v>
      </c>
      <c r="I2491">
        <v>286</v>
      </c>
      <c r="J2491">
        <v>177</v>
      </c>
      <c r="K2491">
        <v>357</v>
      </c>
      <c r="L2491">
        <v>287</v>
      </c>
      <c r="M2491">
        <v>107</v>
      </c>
      <c r="N2491">
        <v>354</v>
      </c>
      <c r="O2491">
        <v>174</v>
      </c>
      <c r="T2491">
        <v>7</v>
      </c>
      <c r="U2491">
        <v>32</v>
      </c>
      <c r="V2491">
        <v>6</v>
      </c>
      <c r="Y2491">
        <v>4</v>
      </c>
      <c r="Z2491">
        <v>7</v>
      </c>
      <c r="AA2491">
        <v>1</v>
      </c>
      <c r="AD2491">
        <v>18</v>
      </c>
      <c r="AE2491">
        <v>16</v>
      </c>
      <c r="AF2491">
        <v>2</v>
      </c>
      <c r="AI2491">
        <v>0</v>
      </c>
      <c r="AJ2491">
        <v>11</v>
      </c>
      <c r="AK2491">
        <v>8</v>
      </c>
      <c r="AX2491">
        <v>45</v>
      </c>
      <c r="AY2491">
        <v>22</v>
      </c>
      <c r="AZ2491">
        <v>67</v>
      </c>
      <c r="BA2491">
        <v>12</v>
      </c>
      <c r="BB2491">
        <v>34</v>
      </c>
      <c r="BC2491">
        <v>46</v>
      </c>
      <c r="BD2491">
        <v>36</v>
      </c>
      <c r="BE2491">
        <v>47</v>
      </c>
      <c r="BF2491">
        <v>83</v>
      </c>
      <c r="BG2491">
        <v>19</v>
      </c>
      <c r="BH2491">
        <v>9</v>
      </c>
      <c r="BI2491">
        <v>28</v>
      </c>
      <c r="BP2491">
        <v>64</v>
      </c>
      <c r="BR2491">
        <v>29</v>
      </c>
      <c r="BS2491">
        <v>5</v>
      </c>
      <c r="BT2491">
        <v>14</v>
      </c>
      <c r="BU2491">
        <v>0</v>
      </c>
      <c r="BV2491">
        <v>0</v>
      </c>
      <c r="BW2491">
        <v>112</v>
      </c>
      <c r="BX2491">
        <v>68</v>
      </c>
      <c r="BY2491">
        <v>0.64710000000000001</v>
      </c>
      <c r="BZ2491" s="6">
        <v>0.65</v>
      </c>
      <c r="CA2491" s="7">
        <v>45242</v>
      </c>
      <c r="CE2491">
        <v>42</v>
      </c>
      <c r="CF2491">
        <v>41</v>
      </c>
      <c r="CG2491">
        <v>29</v>
      </c>
      <c r="CI2491">
        <f t="shared" si="238"/>
        <v>2023</v>
      </c>
      <c r="CJ2491" t="str">
        <f t="shared" si="239"/>
        <v>7483_2023</v>
      </c>
    </row>
    <row r="2492" spans="1:88" x14ac:dyDescent="0.25">
      <c r="A2492" t="s">
        <v>277</v>
      </c>
      <c r="B2492" t="s">
        <v>790</v>
      </c>
      <c r="C2492">
        <v>7484</v>
      </c>
      <c r="D2492">
        <v>-34.992266999999998</v>
      </c>
      <c r="E2492">
        <v>138.559898</v>
      </c>
      <c r="F2492">
        <v>2</v>
      </c>
      <c r="G2492" t="s">
        <v>853</v>
      </c>
      <c r="H2492">
        <v>36</v>
      </c>
      <c r="I2492">
        <v>216</v>
      </c>
      <c r="J2492">
        <v>217</v>
      </c>
      <c r="K2492">
        <v>37</v>
      </c>
      <c r="T2492">
        <v>48</v>
      </c>
      <c r="Y2492">
        <v>46</v>
      </c>
      <c r="AX2492">
        <v>48</v>
      </c>
      <c r="AY2492">
        <v>46</v>
      </c>
      <c r="AZ2492">
        <v>94</v>
      </c>
      <c r="BA2492">
        <v>46</v>
      </c>
      <c r="BB2492">
        <v>48</v>
      </c>
      <c r="BC2492">
        <v>94</v>
      </c>
      <c r="BP2492">
        <v>75</v>
      </c>
      <c r="BR2492">
        <v>6</v>
      </c>
      <c r="BS2492">
        <v>7</v>
      </c>
      <c r="BT2492">
        <v>5</v>
      </c>
      <c r="BU2492">
        <v>0</v>
      </c>
      <c r="BV2492">
        <v>1</v>
      </c>
      <c r="BW2492">
        <v>94</v>
      </c>
      <c r="BX2492">
        <v>105</v>
      </c>
      <c r="BY2492">
        <v>-0.1048</v>
      </c>
      <c r="BZ2492" s="6">
        <v>-0.1</v>
      </c>
      <c r="CA2492" s="7">
        <v>45242</v>
      </c>
      <c r="CE2492">
        <v>30</v>
      </c>
      <c r="CF2492">
        <v>25</v>
      </c>
      <c r="CG2492">
        <v>39</v>
      </c>
      <c r="CI2492">
        <f t="shared" si="238"/>
        <v>2023</v>
      </c>
      <c r="CJ2492" t="str">
        <f t="shared" si="239"/>
        <v>7484_2023</v>
      </c>
    </row>
    <row r="2493" spans="1:88" x14ac:dyDescent="0.25">
      <c r="A2493" t="s">
        <v>277</v>
      </c>
      <c r="B2493" t="s">
        <v>790</v>
      </c>
      <c r="C2493">
        <v>7504</v>
      </c>
      <c r="D2493">
        <v>-34.995392000000002</v>
      </c>
      <c r="E2493">
        <v>138.54557</v>
      </c>
      <c r="F2493">
        <v>4</v>
      </c>
      <c r="G2493" t="s">
        <v>856</v>
      </c>
      <c r="H2493">
        <v>15</v>
      </c>
      <c r="I2493">
        <v>195</v>
      </c>
      <c r="J2493">
        <v>84</v>
      </c>
      <c r="K2493">
        <v>264</v>
      </c>
      <c r="L2493">
        <v>180</v>
      </c>
      <c r="M2493">
        <v>360</v>
      </c>
      <c r="N2493">
        <v>265</v>
      </c>
      <c r="O2493">
        <v>85</v>
      </c>
      <c r="T2493">
        <v>10</v>
      </c>
      <c r="U2493">
        <v>84</v>
      </c>
      <c r="V2493">
        <v>4</v>
      </c>
      <c r="Y2493">
        <v>24</v>
      </c>
      <c r="Z2493">
        <v>12</v>
      </c>
      <c r="AA2493">
        <v>17</v>
      </c>
      <c r="AD2493">
        <v>53</v>
      </c>
      <c r="AE2493">
        <v>15</v>
      </c>
      <c r="AF2493">
        <v>9</v>
      </c>
      <c r="AI2493">
        <v>10</v>
      </c>
      <c r="AJ2493">
        <v>14</v>
      </c>
      <c r="AK2493">
        <v>6</v>
      </c>
      <c r="AX2493">
        <v>98</v>
      </c>
      <c r="AY2493">
        <v>87</v>
      </c>
      <c r="AZ2493">
        <v>185</v>
      </c>
      <c r="BA2493">
        <v>53</v>
      </c>
      <c r="BB2493">
        <v>39</v>
      </c>
      <c r="BC2493">
        <v>92</v>
      </c>
      <c r="BD2493">
        <v>77</v>
      </c>
      <c r="BE2493">
        <v>102</v>
      </c>
      <c r="BF2493">
        <v>179</v>
      </c>
      <c r="BG2493">
        <v>30</v>
      </c>
      <c r="BH2493">
        <v>30</v>
      </c>
      <c r="BI2493">
        <v>60</v>
      </c>
      <c r="BP2493">
        <v>110</v>
      </c>
      <c r="BR2493">
        <v>61</v>
      </c>
      <c r="BS2493">
        <v>55</v>
      </c>
      <c r="BT2493">
        <v>24</v>
      </c>
      <c r="BU2493">
        <v>3</v>
      </c>
      <c r="BV2493">
        <v>5</v>
      </c>
      <c r="BW2493">
        <v>258</v>
      </c>
      <c r="BX2493">
        <v>181</v>
      </c>
      <c r="BY2493">
        <v>0.4254</v>
      </c>
      <c r="BZ2493" s="6">
        <v>0.43</v>
      </c>
      <c r="CA2493" s="7">
        <v>45242</v>
      </c>
      <c r="CE2493">
        <v>85</v>
      </c>
      <c r="CF2493">
        <v>97</v>
      </c>
      <c r="CG2493">
        <v>76</v>
      </c>
      <c r="CI2493">
        <f t="shared" si="238"/>
        <v>2023</v>
      </c>
      <c r="CJ2493" t="str">
        <f t="shared" si="239"/>
        <v>7504_2023</v>
      </c>
    </row>
    <row r="2494" spans="1:88" x14ac:dyDescent="0.25">
      <c r="A2494" t="s">
        <v>277</v>
      </c>
      <c r="B2494" t="s">
        <v>790</v>
      </c>
      <c r="C2494">
        <v>7703</v>
      </c>
      <c r="D2494">
        <v>-35.065986000000002</v>
      </c>
      <c r="E2494">
        <v>138.524</v>
      </c>
      <c r="F2494">
        <v>4</v>
      </c>
      <c r="G2494" t="s">
        <v>907</v>
      </c>
      <c r="H2494">
        <v>33</v>
      </c>
      <c r="I2494">
        <v>213</v>
      </c>
      <c r="J2494">
        <v>150</v>
      </c>
      <c r="K2494">
        <v>330</v>
      </c>
      <c r="L2494">
        <v>240</v>
      </c>
      <c r="M2494">
        <v>60</v>
      </c>
      <c r="N2494">
        <v>300</v>
      </c>
      <c r="O2494">
        <v>120</v>
      </c>
      <c r="T2494">
        <v>3</v>
      </c>
      <c r="U2494">
        <v>19</v>
      </c>
      <c r="V2494">
        <v>1</v>
      </c>
      <c r="Y2494">
        <v>9</v>
      </c>
      <c r="Z2494">
        <v>0</v>
      </c>
      <c r="AA2494">
        <v>1</v>
      </c>
      <c r="AD2494">
        <v>19</v>
      </c>
      <c r="AE2494">
        <v>8</v>
      </c>
      <c r="AF2494">
        <v>0</v>
      </c>
      <c r="AI2494">
        <v>3</v>
      </c>
      <c r="AJ2494">
        <v>0</v>
      </c>
      <c r="AK2494">
        <v>4</v>
      </c>
      <c r="AX2494">
        <v>23</v>
      </c>
      <c r="AY2494">
        <v>31</v>
      </c>
      <c r="AZ2494">
        <v>54</v>
      </c>
      <c r="BA2494">
        <v>10</v>
      </c>
      <c r="BB2494">
        <v>11</v>
      </c>
      <c r="BC2494">
        <v>21</v>
      </c>
      <c r="BD2494">
        <v>27</v>
      </c>
      <c r="BE2494">
        <v>23</v>
      </c>
      <c r="BF2494">
        <v>50</v>
      </c>
      <c r="BG2494">
        <v>7</v>
      </c>
      <c r="BH2494">
        <v>2</v>
      </c>
      <c r="BI2494">
        <v>9</v>
      </c>
      <c r="BP2494">
        <v>2</v>
      </c>
      <c r="BR2494">
        <v>31</v>
      </c>
      <c r="BS2494">
        <v>5</v>
      </c>
      <c r="BT2494">
        <v>29</v>
      </c>
      <c r="BU2494">
        <v>0</v>
      </c>
      <c r="BV2494">
        <v>0</v>
      </c>
      <c r="BW2494">
        <v>67</v>
      </c>
      <c r="BX2494">
        <v>64</v>
      </c>
      <c r="BY2494">
        <v>4.6899999999999997E-2</v>
      </c>
      <c r="BZ2494" s="6">
        <v>0.05</v>
      </c>
      <c r="CA2494" s="7">
        <v>45242</v>
      </c>
      <c r="CE2494">
        <v>26</v>
      </c>
      <c r="CF2494">
        <v>29</v>
      </c>
      <c r="CG2494">
        <v>12</v>
      </c>
      <c r="CI2494">
        <f t="shared" si="238"/>
        <v>2023</v>
      </c>
      <c r="CJ2494" t="str">
        <f t="shared" si="239"/>
        <v>7703_2023</v>
      </c>
    </row>
    <row r="2495" spans="1:88" x14ac:dyDescent="0.25">
      <c r="A2495" t="s">
        <v>111</v>
      </c>
      <c r="B2495" t="s">
        <v>186</v>
      </c>
      <c r="C2495">
        <v>5609</v>
      </c>
      <c r="D2495">
        <v>-37.806401000000001</v>
      </c>
      <c r="E2495">
        <v>144.90808999999999</v>
      </c>
      <c r="F2495">
        <v>3</v>
      </c>
      <c r="G2495" t="s">
        <v>187</v>
      </c>
      <c r="H2495">
        <v>16</v>
      </c>
      <c r="I2495">
        <v>196</v>
      </c>
      <c r="J2495">
        <v>111</v>
      </c>
      <c r="K2495">
        <v>291</v>
      </c>
      <c r="L2495">
        <v>292</v>
      </c>
      <c r="M2495">
        <v>112</v>
      </c>
      <c r="T2495">
        <v>18</v>
      </c>
      <c r="U2495">
        <v>75</v>
      </c>
      <c r="Y2495">
        <v>3</v>
      </c>
      <c r="Z2495">
        <v>13</v>
      </c>
      <c r="AD2495">
        <v>41</v>
      </c>
      <c r="AE2495">
        <v>26</v>
      </c>
      <c r="AX2495">
        <v>93</v>
      </c>
      <c r="AY2495">
        <v>44</v>
      </c>
      <c r="AZ2495">
        <v>137</v>
      </c>
      <c r="BA2495">
        <v>16</v>
      </c>
      <c r="BB2495">
        <v>44</v>
      </c>
      <c r="BC2495">
        <v>60</v>
      </c>
      <c r="BD2495">
        <v>67</v>
      </c>
      <c r="BE2495">
        <v>88</v>
      </c>
      <c r="BF2495">
        <v>155</v>
      </c>
      <c r="BP2495">
        <v>149</v>
      </c>
      <c r="BR2495">
        <v>7</v>
      </c>
      <c r="BS2495">
        <v>15</v>
      </c>
      <c r="BT2495">
        <v>1</v>
      </c>
      <c r="BU2495">
        <v>4</v>
      </c>
      <c r="BV2495">
        <v>0</v>
      </c>
      <c r="BW2495">
        <v>176</v>
      </c>
      <c r="BX2495">
        <v>264</v>
      </c>
      <c r="BY2495">
        <v>-0.33329999999999999</v>
      </c>
      <c r="BZ2495" s="6">
        <v>-0.33</v>
      </c>
      <c r="CA2495" s="7">
        <v>45242</v>
      </c>
      <c r="CE2495">
        <v>65</v>
      </c>
      <c r="CF2495">
        <v>44</v>
      </c>
      <c r="CG2495">
        <v>67</v>
      </c>
      <c r="CI2495">
        <f t="shared" si="238"/>
        <v>2023</v>
      </c>
      <c r="CJ2495" t="str">
        <f t="shared" si="239"/>
        <v>5609_2023</v>
      </c>
    </row>
    <row r="2496" spans="1:88" x14ac:dyDescent="0.25">
      <c r="A2496" t="s">
        <v>111</v>
      </c>
      <c r="B2496" t="s">
        <v>186</v>
      </c>
      <c r="C2496">
        <v>5610</v>
      </c>
      <c r="D2496">
        <v>-37.809894999999997</v>
      </c>
      <c r="E2496">
        <v>144.935722</v>
      </c>
      <c r="F2496">
        <v>4</v>
      </c>
      <c r="G2496" t="s">
        <v>188</v>
      </c>
      <c r="H2496">
        <v>6</v>
      </c>
      <c r="I2496">
        <v>186</v>
      </c>
      <c r="J2496">
        <v>106</v>
      </c>
      <c r="K2496">
        <v>286</v>
      </c>
      <c r="L2496">
        <v>179</v>
      </c>
      <c r="M2496">
        <v>359</v>
      </c>
      <c r="N2496">
        <v>281</v>
      </c>
      <c r="O2496">
        <v>101</v>
      </c>
      <c r="T2496">
        <v>210</v>
      </c>
      <c r="U2496">
        <v>78</v>
      </c>
      <c r="V2496">
        <v>2</v>
      </c>
      <c r="Y2496">
        <v>207</v>
      </c>
      <c r="Z2496">
        <v>23</v>
      </c>
      <c r="AA2496">
        <v>26</v>
      </c>
      <c r="AD2496">
        <v>18</v>
      </c>
      <c r="AE2496">
        <v>1</v>
      </c>
      <c r="AF2496">
        <v>0</v>
      </c>
      <c r="AI2496">
        <v>5</v>
      </c>
      <c r="AJ2496">
        <v>11</v>
      </c>
      <c r="AK2496">
        <v>7</v>
      </c>
      <c r="AX2496">
        <v>290</v>
      </c>
      <c r="AY2496">
        <v>230</v>
      </c>
      <c r="AZ2496">
        <v>520</v>
      </c>
      <c r="BA2496">
        <v>256</v>
      </c>
      <c r="BB2496">
        <v>222</v>
      </c>
      <c r="BC2496">
        <v>478</v>
      </c>
      <c r="BD2496">
        <v>19</v>
      </c>
      <c r="BE2496">
        <v>108</v>
      </c>
      <c r="BF2496">
        <v>127</v>
      </c>
      <c r="BG2496">
        <v>23</v>
      </c>
      <c r="BH2496">
        <v>28</v>
      </c>
      <c r="BI2496">
        <v>51</v>
      </c>
      <c r="BP2496">
        <v>459</v>
      </c>
      <c r="BR2496">
        <v>51</v>
      </c>
      <c r="BS2496">
        <v>31</v>
      </c>
      <c r="BT2496">
        <v>3</v>
      </c>
      <c r="BU2496">
        <v>43</v>
      </c>
      <c r="BV2496">
        <v>1</v>
      </c>
      <c r="BW2496">
        <v>588</v>
      </c>
      <c r="BX2496">
        <v>2123</v>
      </c>
      <c r="BY2496">
        <v>-0.72299999999999998</v>
      </c>
      <c r="BZ2496" s="6">
        <v>-0.72</v>
      </c>
      <c r="CA2496" s="7">
        <v>45242</v>
      </c>
      <c r="CE2496">
        <v>207</v>
      </c>
      <c r="CF2496">
        <v>178</v>
      </c>
      <c r="CG2496">
        <v>203</v>
      </c>
      <c r="CI2496">
        <f t="shared" si="238"/>
        <v>2023</v>
      </c>
      <c r="CJ2496" t="str">
        <f t="shared" si="239"/>
        <v>5610_2023</v>
      </c>
    </row>
    <row r="2497" spans="1:88" x14ac:dyDescent="0.25">
      <c r="A2497" t="s">
        <v>111</v>
      </c>
      <c r="B2497" t="s">
        <v>186</v>
      </c>
      <c r="C2497">
        <v>5611</v>
      </c>
      <c r="D2497">
        <v>-37.823698999999998</v>
      </c>
      <c r="E2497">
        <v>144.95602600000001</v>
      </c>
      <c r="F2497">
        <v>4</v>
      </c>
      <c r="G2497" t="s">
        <v>189</v>
      </c>
      <c r="H2497">
        <v>57</v>
      </c>
      <c r="I2497">
        <v>237</v>
      </c>
      <c r="J2497">
        <v>157</v>
      </c>
      <c r="K2497">
        <v>337</v>
      </c>
      <c r="L2497">
        <v>233</v>
      </c>
      <c r="M2497">
        <v>53</v>
      </c>
      <c r="N2497">
        <v>343</v>
      </c>
      <c r="O2497">
        <v>163</v>
      </c>
      <c r="T2497">
        <v>42</v>
      </c>
      <c r="U2497">
        <v>200</v>
      </c>
      <c r="V2497">
        <v>0</v>
      </c>
      <c r="Y2497">
        <v>53</v>
      </c>
      <c r="Z2497">
        <v>32</v>
      </c>
      <c r="AA2497">
        <v>32</v>
      </c>
      <c r="AD2497">
        <v>180</v>
      </c>
      <c r="AE2497">
        <v>43</v>
      </c>
      <c r="AF2497">
        <v>5</v>
      </c>
      <c r="AI2497">
        <v>13</v>
      </c>
      <c r="AJ2497">
        <v>35</v>
      </c>
      <c r="AK2497">
        <v>12</v>
      </c>
      <c r="AX2497">
        <v>242</v>
      </c>
      <c r="AY2497">
        <v>246</v>
      </c>
      <c r="AZ2497">
        <v>488</v>
      </c>
      <c r="BA2497">
        <v>117</v>
      </c>
      <c r="BB2497">
        <v>120</v>
      </c>
      <c r="BC2497">
        <v>237</v>
      </c>
      <c r="BD2497">
        <v>228</v>
      </c>
      <c r="BE2497">
        <v>244</v>
      </c>
      <c r="BF2497">
        <v>472</v>
      </c>
      <c r="BG2497">
        <v>60</v>
      </c>
      <c r="BH2497">
        <v>37</v>
      </c>
      <c r="BI2497">
        <v>97</v>
      </c>
      <c r="BP2497">
        <v>647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647</v>
      </c>
      <c r="BX2497">
        <v>691</v>
      </c>
      <c r="BY2497">
        <v>-6.3700000000000007E-2</v>
      </c>
      <c r="BZ2497" s="6">
        <v>-0.06</v>
      </c>
      <c r="CA2497" s="7">
        <v>45242</v>
      </c>
      <c r="CE2497">
        <v>203</v>
      </c>
      <c r="CF2497">
        <v>235</v>
      </c>
      <c r="CG2497">
        <v>209</v>
      </c>
      <c r="CI2497">
        <f t="shared" si="238"/>
        <v>2023</v>
      </c>
      <c r="CJ2497" t="str">
        <f t="shared" si="239"/>
        <v>5611_2023</v>
      </c>
    </row>
    <row r="2498" spans="1:88" x14ac:dyDescent="0.25">
      <c r="A2498" t="s">
        <v>111</v>
      </c>
      <c r="B2498" t="s">
        <v>186</v>
      </c>
      <c r="C2498">
        <v>5612</v>
      </c>
      <c r="D2498">
        <v>-37.821176000000001</v>
      </c>
      <c r="E2498">
        <v>144.97603000000001</v>
      </c>
      <c r="F2498">
        <v>3</v>
      </c>
      <c r="G2498" t="s">
        <v>190</v>
      </c>
      <c r="H2498">
        <v>3</v>
      </c>
      <c r="I2498">
        <v>183</v>
      </c>
      <c r="J2498">
        <v>146</v>
      </c>
      <c r="K2498">
        <v>326</v>
      </c>
      <c r="L2498">
        <v>325</v>
      </c>
      <c r="M2498">
        <v>145</v>
      </c>
      <c r="T2498">
        <v>99</v>
      </c>
      <c r="U2498">
        <v>4</v>
      </c>
      <c r="Y2498">
        <v>103</v>
      </c>
      <c r="Z2498">
        <v>431</v>
      </c>
      <c r="AD2498">
        <v>1</v>
      </c>
      <c r="AE2498">
        <v>349</v>
      </c>
      <c r="AX2498">
        <v>103</v>
      </c>
      <c r="AY2498">
        <v>104</v>
      </c>
      <c r="AZ2498">
        <v>207</v>
      </c>
      <c r="BA2498">
        <v>534</v>
      </c>
      <c r="BB2498">
        <v>448</v>
      </c>
      <c r="BC2498">
        <v>982</v>
      </c>
      <c r="BD2498">
        <v>350</v>
      </c>
      <c r="BE2498">
        <v>435</v>
      </c>
      <c r="BF2498">
        <v>785</v>
      </c>
      <c r="BP2498">
        <v>282</v>
      </c>
      <c r="BR2498">
        <v>478</v>
      </c>
      <c r="BS2498">
        <v>195</v>
      </c>
      <c r="BT2498">
        <v>15</v>
      </c>
      <c r="BU2498">
        <v>16</v>
      </c>
      <c r="BV2498">
        <v>1</v>
      </c>
      <c r="BW2498">
        <v>987</v>
      </c>
      <c r="BX2498">
        <v>872</v>
      </c>
      <c r="BY2498">
        <v>0.13189999999999999</v>
      </c>
      <c r="BZ2498" s="6">
        <v>0.13</v>
      </c>
      <c r="CA2498" s="7">
        <v>45242</v>
      </c>
      <c r="CE2498">
        <v>261</v>
      </c>
      <c r="CF2498">
        <v>367</v>
      </c>
      <c r="CG2498">
        <v>359</v>
      </c>
      <c r="CI2498">
        <f t="shared" si="238"/>
        <v>2023</v>
      </c>
      <c r="CJ2498" t="str">
        <f t="shared" si="239"/>
        <v>5612_2023</v>
      </c>
    </row>
    <row r="2499" spans="1:88" x14ac:dyDescent="0.25">
      <c r="A2499" t="s">
        <v>111</v>
      </c>
      <c r="B2499" t="s">
        <v>186</v>
      </c>
      <c r="C2499">
        <v>5614</v>
      </c>
      <c r="D2499">
        <v>-37.82714</v>
      </c>
      <c r="E2499">
        <v>144.98510899999999</v>
      </c>
      <c r="F2499">
        <v>4</v>
      </c>
      <c r="G2499" t="s">
        <v>192</v>
      </c>
      <c r="H2499">
        <v>10</v>
      </c>
      <c r="I2499">
        <v>190</v>
      </c>
      <c r="J2499">
        <v>117</v>
      </c>
      <c r="K2499">
        <v>297</v>
      </c>
      <c r="L2499">
        <v>190</v>
      </c>
      <c r="M2499">
        <v>10</v>
      </c>
      <c r="N2499">
        <v>289</v>
      </c>
      <c r="O2499">
        <v>109</v>
      </c>
      <c r="T2499">
        <v>23</v>
      </c>
      <c r="U2499">
        <v>298</v>
      </c>
      <c r="V2499">
        <v>33</v>
      </c>
      <c r="Y2499">
        <v>24</v>
      </c>
      <c r="Z2499">
        <v>198</v>
      </c>
      <c r="AA2499">
        <v>284</v>
      </c>
      <c r="AD2499">
        <v>345</v>
      </c>
      <c r="AE2499">
        <v>153</v>
      </c>
      <c r="AF2499">
        <v>143</v>
      </c>
      <c r="AI2499">
        <v>24</v>
      </c>
      <c r="AJ2499">
        <v>217</v>
      </c>
      <c r="AK2499">
        <v>78</v>
      </c>
      <c r="AX2499">
        <v>354</v>
      </c>
      <c r="AY2499">
        <v>393</v>
      </c>
      <c r="AZ2499">
        <v>747</v>
      </c>
      <c r="BA2499">
        <v>506</v>
      </c>
      <c r="BB2499">
        <v>393</v>
      </c>
      <c r="BC2499">
        <v>899</v>
      </c>
      <c r="BD2499">
        <v>641</v>
      </c>
      <c r="BE2499">
        <v>574</v>
      </c>
      <c r="BF2499">
        <v>1215</v>
      </c>
      <c r="BG2499">
        <v>319</v>
      </c>
      <c r="BH2499">
        <v>460</v>
      </c>
      <c r="BI2499">
        <v>779</v>
      </c>
      <c r="BP2499">
        <v>610</v>
      </c>
      <c r="BR2499">
        <v>662</v>
      </c>
      <c r="BS2499">
        <v>459</v>
      </c>
      <c r="BT2499">
        <v>75</v>
      </c>
      <c r="BU2499">
        <v>12</v>
      </c>
      <c r="BV2499">
        <v>2</v>
      </c>
      <c r="BW2499">
        <v>1820</v>
      </c>
      <c r="BX2499">
        <v>1704</v>
      </c>
      <c r="BY2499">
        <v>6.8099999999999994E-2</v>
      </c>
      <c r="BZ2499" s="6">
        <v>7.0000000000000007E-2</v>
      </c>
      <c r="CA2499" s="7">
        <v>45242</v>
      </c>
      <c r="CE2499">
        <v>604</v>
      </c>
      <c r="CF2499">
        <v>603</v>
      </c>
      <c r="CG2499">
        <v>613</v>
      </c>
      <c r="CI2499">
        <f t="shared" ref="CI2499:CI2562" si="240">YEAR(CA2499)</f>
        <v>2023</v>
      </c>
      <c r="CJ2499" t="str">
        <f t="shared" ref="CJ2499:CJ2562" si="241">_xlfn.CONCAT(C2499,"_",CI2499)</f>
        <v>5614_2023</v>
      </c>
    </row>
    <row r="2500" spans="1:88" x14ac:dyDescent="0.25">
      <c r="A2500" t="s">
        <v>111</v>
      </c>
      <c r="B2500" t="s">
        <v>186</v>
      </c>
      <c r="C2500">
        <v>5616</v>
      </c>
      <c r="D2500">
        <v>-37.830424000000001</v>
      </c>
      <c r="E2500">
        <v>145.014128</v>
      </c>
      <c r="F2500">
        <v>3</v>
      </c>
      <c r="G2500" t="s">
        <v>195</v>
      </c>
      <c r="H2500">
        <v>125</v>
      </c>
      <c r="I2500">
        <v>305</v>
      </c>
      <c r="J2500">
        <v>277</v>
      </c>
      <c r="K2500">
        <v>97</v>
      </c>
      <c r="L2500">
        <v>319</v>
      </c>
      <c r="M2500">
        <v>139</v>
      </c>
      <c r="T2500">
        <v>443</v>
      </c>
      <c r="U2500">
        <v>125</v>
      </c>
      <c r="Y2500">
        <v>340</v>
      </c>
      <c r="Z2500">
        <v>38</v>
      </c>
      <c r="AD2500">
        <v>184</v>
      </c>
      <c r="AE2500">
        <v>45</v>
      </c>
      <c r="AX2500">
        <v>568</v>
      </c>
      <c r="AY2500">
        <v>524</v>
      </c>
      <c r="AZ2500">
        <v>1092</v>
      </c>
      <c r="BA2500">
        <v>378</v>
      </c>
      <c r="BB2500">
        <v>488</v>
      </c>
      <c r="BC2500">
        <v>866</v>
      </c>
      <c r="BD2500">
        <v>229</v>
      </c>
      <c r="BE2500">
        <v>163</v>
      </c>
      <c r="BF2500">
        <v>392</v>
      </c>
      <c r="BP2500">
        <v>658</v>
      </c>
      <c r="BR2500">
        <v>107</v>
      </c>
      <c r="BS2500">
        <v>382</v>
      </c>
      <c r="BT2500">
        <v>23</v>
      </c>
      <c r="BU2500">
        <v>3</v>
      </c>
      <c r="BV2500">
        <v>2</v>
      </c>
      <c r="BW2500">
        <v>1175</v>
      </c>
      <c r="BX2500">
        <v>936</v>
      </c>
      <c r="BY2500">
        <v>0.25530000000000003</v>
      </c>
      <c r="BZ2500" s="6">
        <v>0.26</v>
      </c>
      <c r="CA2500" s="7">
        <v>45242</v>
      </c>
      <c r="CE2500">
        <v>428</v>
      </c>
      <c r="CF2500">
        <v>377</v>
      </c>
      <c r="CG2500">
        <v>370</v>
      </c>
      <c r="CI2500">
        <f t="shared" si="240"/>
        <v>2023</v>
      </c>
      <c r="CJ2500" t="str">
        <f t="shared" si="241"/>
        <v>5616_2023</v>
      </c>
    </row>
    <row r="2501" spans="1:88" x14ac:dyDescent="0.25">
      <c r="A2501" t="s">
        <v>111</v>
      </c>
      <c r="B2501" t="s">
        <v>186</v>
      </c>
      <c r="C2501">
        <v>5621</v>
      </c>
      <c r="D2501">
        <v>-37.780118000000002</v>
      </c>
      <c r="E2501">
        <v>144.95722799999999</v>
      </c>
      <c r="F2501">
        <v>3</v>
      </c>
      <c r="G2501" t="s">
        <v>201</v>
      </c>
      <c r="H2501">
        <v>23</v>
      </c>
      <c r="I2501">
        <v>203</v>
      </c>
      <c r="J2501">
        <v>72</v>
      </c>
      <c r="K2501">
        <v>252</v>
      </c>
      <c r="L2501">
        <v>232</v>
      </c>
      <c r="M2501">
        <v>52</v>
      </c>
      <c r="T2501">
        <v>173</v>
      </c>
      <c r="U2501">
        <v>111</v>
      </c>
      <c r="Y2501">
        <v>112</v>
      </c>
      <c r="Z2501">
        <v>268</v>
      </c>
      <c r="AD2501">
        <v>92</v>
      </c>
      <c r="AE2501">
        <v>193</v>
      </c>
      <c r="AX2501">
        <v>284</v>
      </c>
      <c r="AY2501">
        <v>204</v>
      </c>
      <c r="AZ2501">
        <v>488</v>
      </c>
      <c r="BA2501">
        <v>380</v>
      </c>
      <c r="BB2501">
        <v>366</v>
      </c>
      <c r="BC2501">
        <v>746</v>
      </c>
      <c r="BD2501">
        <v>285</v>
      </c>
      <c r="BE2501">
        <v>379</v>
      </c>
      <c r="BF2501">
        <v>664</v>
      </c>
      <c r="BP2501">
        <v>556</v>
      </c>
      <c r="BR2501">
        <v>124</v>
      </c>
      <c r="BS2501">
        <v>235</v>
      </c>
      <c r="BT2501">
        <v>21</v>
      </c>
      <c r="BU2501">
        <v>12</v>
      </c>
      <c r="BV2501">
        <v>1</v>
      </c>
      <c r="BW2501">
        <v>949</v>
      </c>
      <c r="BX2501">
        <v>752</v>
      </c>
      <c r="BY2501">
        <v>0.26200000000000001</v>
      </c>
      <c r="BZ2501" s="6">
        <v>0.26</v>
      </c>
      <c r="CA2501" s="7">
        <v>45242</v>
      </c>
      <c r="CE2501">
        <v>276</v>
      </c>
      <c r="CF2501">
        <v>328</v>
      </c>
      <c r="CG2501">
        <v>345</v>
      </c>
      <c r="CI2501">
        <f t="shared" si="240"/>
        <v>2023</v>
      </c>
      <c r="CJ2501" t="str">
        <f t="shared" si="241"/>
        <v>5621_2023</v>
      </c>
    </row>
    <row r="2502" spans="1:88" x14ac:dyDescent="0.25">
      <c r="A2502" t="s">
        <v>111</v>
      </c>
      <c r="B2502" t="s">
        <v>186</v>
      </c>
      <c r="C2502">
        <v>5642</v>
      </c>
      <c r="D2502">
        <v>-37.826073000000001</v>
      </c>
      <c r="E2502">
        <v>144.95590300000001</v>
      </c>
      <c r="F2502">
        <v>3</v>
      </c>
      <c r="G2502" t="s">
        <v>222</v>
      </c>
      <c r="H2502">
        <v>32</v>
      </c>
      <c r="I2502">
        <v>212</v>
      </c>
      <c r="J2502">
        <v>177</v>
      </c>
      <c r="K2502">
        <v>357</v>
      </c>
      <c r="L2502">
        <v>230</v>
      </c>
      <c r="M2502">
        <v>50</v>
      </c>
      <c r="T2502">
        <v>20</v>
      </c>
      <c r="U2502">
        <v>184</v>
      </c>
      <c r="Y2502">
        <v>41</v>
      </c>
      <c r="Z2502">
        <v>13</v>
      </c>
      <c r="AD2502">
        <v>215</v>
      </c>
      <c r="AE2502">
        <v>6</v>
      </c>
      <c r="AX2502">
        <v>204</v>
      </c>
      <c r="AY2502">
        <v>256</v>
      </c>
      <c r="AZ2502">
        <v>460</v>
      </c>
      <c r="BA2502">
        <v>54</v>
      </c>
      <c r="BB2502">
        <v>26</v>
      </c>
      <c r="BC2502">
        <v>80</v>
      </c>
      <c r="BD2502">
        <v>221</v>
      </c>
      <c r="BE2502">
        <v>197</v>
      </c>
      <c r="BF2502">
        <v>418</v>
      </c>
      <c r="BP2502">
        <v>265</v>
      </c>
      <c r="BR2502">
        <v>127</v>
      </c>
      <c r="BS2502">
        <v>34</v>
      </c>
      <c r="BT2502">
        <v>19</v>
      </c>
      <c r="BU2502">
        <v>34</v>
      </c>
      <c r="BV2502">
        <v>0</v>
      </c>
      <c r="BW2502">
        <v>479</v>
      </c>
      <c r="BX2502">
        <v>1015</v>
      </c>
      <c r="BY2502">
        <v>-0.52810000000000001</v>
      </c>
      <c r="BZ2502" s="6">
        <v>-0.53</v>
      </c>
      <c r="CA2502" s="7">
        <v>45242</v>
      </c>
      <c r="CE2502">
        <v>147</v>
      </c>
      <c r="CF2502">
        <v>158</v>
      </c>
      <c r="CG2502">
        <v>174</v>
      </c>
      <c r="CI2502">
        <f t="shared" si="240"/>
        <v>2023</v>
      </c>
      <c r="CJ2502" t="str">
        <f t="shared" si="241"/>
        <v>5642_2023</v>
      </c>
    </row>
    <row r="2503" spans="1:88" x14ac:dyDescent="0.25">
      <c r="A2503" t="s">
        <v>111</v>
      </c>
      <c r="B2503" t="s">
        <v>186</v>
      </c>
      <c r="C2503">
        <v>7818</v>
      </c>
      <c r="D2503">
        <v>-37.821168</v>
      </c>
      <c r="E2503">
        <v>144.95759799999999</v>
      </c>
      <c r="F2503">
        <v>2</v>
      </c>
      <c r="G2503" t="s">
        <v>1019</v>
      </c>
      <c r="H2503">
        <v>64</v>
      </c>
      <c r="I2503">
        <v>244</v>
      </c>
      <c r="J2503">
        <v>243</v>
      </c>
      <c r="K2503">
        <v>63</v>
      </c>
      <c r="T2503">
        <v>56</v>
      </c>
      <c r="Y2503">
        <v>28</v>
      </c>
      <c r="AX2503">
        <v>56</v>
      </c>
      <c r="AY2503">
        <v>28</v>
      </c>
      <c r="AZ2503">
        <v>84</v>
      </c>
      <c r="BA2503">
        <v>28</v>
      </c>
      <c r="BB2503">
        <v>56</v>
      </c>
      <c r="BC2503">
        <v>84</v>
      </c>
      <c r="BP2503">
        <v>21</v>
      </c>
      <c r="BR2503">
        <v>60</v>
      </c>
      <c r="BS2503">
        <v>2</v>
      </c>
      <c r="BT2503">
        <v>0</v>
      </c>
      <c r="BU2503">
        <v>1</v>
      </c>
      <c r="BV2503">
        <v>0</v>
      </c>
      <c r="BW2503">
        <v>84</v>
      </c>
      <c r="CA2503" s="7">
        <v>45242</v>
      </c>
      <c r="CE2503">
        <v>24</v>
      </c>
      <c r="CF2503">
        <v>37</v>
      </c>
      <c r="CG2503">
        <v>23</v>
      </c>
      <c r="CI2503">
        <f t="shared" si="240"/>
        <v>2023</v>
      </c>
      <c r="CJ2503" t="str">
        <f t="shared" si="241"/>
        <v>7818_2023</v>
      </c>
    </row>
    <row r="2504" spans="1:88" x14ac:dyDescent="0.25">
      <c r="A2504" t="s">
        <v>111</v>
      </c>
      <c r="B2504" t="s">
        <v>186</v>
      </c>
      <c r="C2504">
        <v>7819</v>
      </c>
      <c r="D2504">
        <v>-37.818432000000001</v>
      </c>
      <c r="E2504">
        <v>144.97391999999999</v>
      </c>
      <c r="F2504">
        <v>3</v>
      </c>
      <c r="G2504" t="s">
        <v>1020</v>
      </c>
      <c r="H2504">
        <v>78</v>
      </c>
      <c r="I2504">
        <v>258</v>
      </c>
      <c r="J2504">
        <v>93</v>
      </c>
      <c r="K2504">
        <v>273</v>
      </c>
      <c r="L2504">
        <v>272</v>
      </c>
      <c r="M2504">
        <v>92</v>
      </c>
      <c r="T2504">
        <v>12</v>
      </c>
      <c r="U2504">
        <v>68</v>
      </c>
      <c r="Y2504">
        <v>6</v>
      </c>
      <c r="Z2504">
        <v>264</v>
      </c>
      <c r="AD2504">
        <v>94</v>
      </c>
      <c r="AE2504">
        <v>158</v>
      </c>
      <c r="AX2504">
        <v>80</v>
      </c>
      <c r="AY2504">
        <v>100</v>
      </c>
      <c r="AZ2504">
        <v>180</v>
      </c>
      <c r="BA2504">
        <v>270</v>
      </c>
      <c r="BB2504">
        <v>170</v>
      </c>
      <c r="BC2504">
        <v>440</v>
      </c>
      <c r="BD2504">
        <v>252</v>
      </c>
      <c r="BE2504">
        <v>332</v>
      </c>
      <c r="BF2504">
        <v>584</v>
      </c>
      <c r="BP2504">
        <v>197</v>
      </c>
      <c r="BR2504">
        <v>230</v>
      </c>
      <c r="BS2504">
        <v>99</v>
      </c>
      <c r="BT2504">
        <v>11</v>
      </c>
      <c r="BU2504">
        <v>33</v>
      </c>
      <c r="BV2504">
        <v>32</v>
      </c>
      <c r="BW2504">
        <v>602</v>
      </c>
      <c r="CA2504" s="7">
        <v>45242</v>
      </c>
      <c r="CE2504">
        <v>169</v>
      </c>
      <c r="CF2504">
        <v>194</v>
      </c>
      <c r="CG2504">
        <v>239</v>
      </c>
      <c r="CI2504">
        <f t="shared" si="240"/>
        <v>2023</v>
      </c>
      <c r="CJ2504" t="str">
        <f t="shared" si="241"/>
        <v>7819_2023</v>
      </c>
    </row>
    <row r="2505" spans="1:88" x14ac:dyDescent="0.25">
      <c r="A2505" t="s">
        <v>111</v>
      </c>
      <c r="B2505" t="s">
        <v>186</v>
      </c>
      <c r="C2505">
        <v>7820</v>
      </c>
      <c r="D2505">
        <v>-37.821171</v>
      </c>
      <c r="E2505">
        <v>144.97601499999999</v>
      </c>
      <c r="F2505">
        <v>3</v>
      </c>
      <c r="G2505" t="s">
        <v>1021</v>
      </c>
      <c r="H2505">
        <v>1</v>
      </c>
      <c r="I2505">
        <v>181</v>
      </c>
      <c r="J2505">
        <v>152</v>
      </c>
      <c r="K2505">
        <v>332</v>
      </c>
      <c r="L2505">
        <v>323</v>
      </c>
      <c r="M2505">
        <v>143</v>
      </c>
      <c r="T2505">
        <v>108</v>
      </c>
      <c r="U2505">
        <v>3</v>
      </c>
      <c r="Y2505">
        <v>118</v>
      </c>
      <c r="Z2505">
        <v>449</v>
      </c>
      <c r="AD2505">
        <v>4</v>
      </c>
      <c r="AE2505">
        <v>355</v>
      </c>
      <c r="AX2505">
        <v>111</v>
      </c>
      <c r="AY2505">
        <v>122</v>
      </c>
      <c r="AZ2505">
        <v>233</v>
      </c>
      <c r="BA2505">
        <v>567</v>
      </c>
      <c r="BB2505">
        <v>463</v>
      </c>
      <c r="BC2505">
        <v>1030</v>
      </c>
      <c r="BD2505">
        <v>359</v>
      </c>
      <c r="BE2505">
        <v>452</v>
      </c>
      <c r="BF2505">
        <v>811</v>
      </c>
      <c r="BP2505">
        <v>316</v>
      </c>
      <c r="BR2505">
        <v>477</v>
      </c>
      <c r="BS2505">
        <v>208</v>
      </c>
      <c r="BT2505">
        <v>16</v>
      </c>
      <c r="BU2505">
        <v>18</v>
      </c>
      <c r="BV2505">
        <v>2</v>
      </c>
      <c r="BW2505">
        <v>1037</v>
      </c>
      <c r="CA2505" s="7">
        <v>45242</v>
      </c>
      <c r="CE2505">
        <v>345</v>
      </c>
      <c r="CF2505">
        <v>327</v>
      </c>
      <c r="CG2505">
        <v>365</v>
      </c>
      <c r="CI2505">
        <f t="shared" si="240"/>
        <v>2023</v>
      </c>
      <c r="CJ2505" t="str">
        <f t="shared" si="241"/>
        <v>7820_2023</v>
      </c>
    </row>
    <row r="2506" spans="1:88" x14ac:dyDescent="0.25">
      <c r="A2506" t="s">
        <v>111</v>
      </c>
      <c r="B2506" t="s">
        <v>186</v>
      </c>
      <c r="C2506">
        <v>7974</v>
      </c>
      <c r="D2506">
        <v>-37.828164000000001</v>
      </c>
      <c r="E2506">
        <v>144.984903</v>
      </c>
      <c r="F2506">
        <v>4</v>
      </c>
      <c r="G2506" t="s">
        <v>1022</v>
      </c>
      <c r="H2506">
        <v>13</v>
      </c>
      <c r="I2506">
        <v>193</v>
      </c>
      <c r="J2506">
        <v>103</v>
      </c>
      <c r="K2506">
        <v>283</v>
      </c>
      <c r="L2506">
        <v>188</v>
      </c>
      <c r="M2506">
        <v>8</v>
      </c>
      <c r="N2506">
        <v>275</v>
      </c>
      <c r="O2506">
        <v>95</v>
      </c>
      <c r="T2506">
        <v>67</v>
      </c>
      <c r="U2506">
        <v>353</v>
      </c>
      <c r="V2506">
        <v>147</v>
      </c>
      <c r="Y2506">
        <v>34</v>
      </c>
      <c r="Z2506">
        <v>48</v>
      </c>
      <c r="AA2506">
        <v>42</v>
      </c>
      <c r="AD2506">
        <v>276</v>
      </c>
      <c r="AE2506">
        <v>44</v>
      </c>
      <c r="AF2506">
        <v>113</v>
      </c>
      <c r="AI2506">
        <v>275</v>
      </c>
      <c r="AJ2506">
        <v>49</v>
      </c>
      <c r="AK2506">
        <v>131</v>
      </c>
      <c r="AX2506">
        <v>567</v>
      </c>
      <c r="AY2506">
        <v>585</v>
      </c>
      <c r="AZ2506">
        <v>1152</v>
      </c>
      <c r="BA2506">
        <v>124</v>
      </c>
      <c r="BB2506">
        <v>160</v>
      </c>
      <c r="BC2506">
        <v>284</v>
      </c>
      <c r="BD2506">
        <v>433</v>
      </c>
      <c r="BE2506">
        <v>532</v>
      </c>
      <c r="BF2506">
        <v>965</v>
      </c>
      <c r="BG2506">
        <v>455</v>
      </c>
      <c r="BH2506">
        <v>302</v>
      </c>
      <c r="BI2506">
        <v>757</v>
      </c>
      <c r="BP2506">
        <v>351</v>
      </c>
      <c r="BR2506">
        <v>774</v>
      </c>
      <c r="BS2506">
        <v>354</v>
      </c>
      <c r="BT2506">
        <v>86</v>
      </c>
      <c r="BU2506">
        <v>14</v>
      </c>
      <c r="BV2506">
        <v>0</v>
      </c>
      <c r="BW2506">
        <v>1579</v>
      </c>
      <c r="CA2506" s="7">
        <v>45242</v>
      </c>
      <c r="CE2506">
        <v>505</v>
      </c>
      <c r="CF2506">
        <v>462</v>
      </c>
      <c r="CG2506">
        <v>612</v>
      </c>
      <c r="CI2506">
        <f t="shared" si="240"/>
        <v>2023</v>
      </c>
      <c r="CJ2506" t="str">
        <f t="shared" si="241"/>
        <v>7974_2023</v>
      </c>
    </row>
    <row r="2507" spans="1:88" x14ac:dyDescent="0.25">
      <c r="A2507" t="s">
        <v>111</v>
      </c>
      <c r="B2507" t="s">
        <v>186</v>
      </c>
      <c r="C2507">
        <v>7975</v>
      </c>
      <c r="D2507">
        <v>-37.827905999999999</v>
      </c>
      <c r="E2507">
        <v>144.984272</v>
      </c>
      <c r="F2507">
        <v>3</v>
      </c>
      <c r="G2507" t="s">
        <v>1023</v>
      </c>
      <c r="H2507">
        <v>96</v>
      </c>
      <c r="I2507">
        <v>276</v>
      </c>
      <c r="J2507">
        <v>113</v>
      </c>
      <c r="K2507">
        <v>293</v>
      </c>
      <c r="L2507">
        <v>284</v>
      </c>
      <c r="M2507">
        <v>104</v>
      </c>
      <c r="T2507">
        <v>89</v>
      </c>
      <c r="U2507">
        <v>296</v>
      </c>
      <c r="Y2507">
        <v>40</v>
      </c>
      <c r="Z2507">
        <v>128</v>
      </c>
      <c r="AD2507">
        <v>261</v>
      </c>
      <c r="AE2507">
        <v>181</v>
      </c>
      <c r="AX2507">
        <v>385</v>
      </c>
      <c r="AY2507">
        <v>301</v>
      </c>
      <c r="AZ2507">
        <v>686</v>
      </c>
      <c r="BA2507">
        <v>168</v>
      </c>
      <c r="BB2507">
        <v>270</v>
      </c>
      <c r="BC2507">
        <v>438</v>
      </c>
      <c r="BD2507">
        <v>442</v>
      </c>
      <c r="BE2507">
        <v>424</v>
      </c>
      <c r="BF2507">
        <v>866</v>
      </c>
      <c r="BP2507">
        <v>371</v>
      </c>
      <c r="BR2507">
        <v>314</v>
      </c>
      <c r="BS2507">
        <v>253</v>
      </c>
      <c r="BT2507">
        <v>35</v>
      </c>
      <c r="BU2507">
        <v>19</v>
      </c>
      <c r="BV2507">
        <v>3</v>
      </c>
      <c r="BW2507">
        <v>995</v>
      </c>
      <c r="CA2507" s="7">
        <v>45242</v>
      </c>
      <c r="CE2507">
        <v>327</v>
      </c>
      <c r="CF2507">
        <v>326</v>
      </c>
      <c r="CG2507">
        <v>342</v>
      </c>
      <c r="CI2507">
        <f t="shared" si="240"/>
        <v>2023</v>
      </c>
      <c r="CJ2507" t="str">
        <f t="shared" si="241"/>
        <v>7975_2023</v>
      </c>
    </row>
    <row r="2508" spans="1:88" x14ac:dyDescent="0.25">
      <c r="A2508" t="s">
        <v>111</v>
      </c>
      <c r="B2508" t="s">
        <v>259</v>
      </c>
      <c r="C2508">
        <v>6015</v>
      </c>
      <c r="D2508">
        <v>-37.890625</v>
      </c>
      <c r="E2508">
        <v>145.093931</v>
      </c>
      <c r="F2508">
        <v>4</v>
      </c>
      <c r="G2508" t="s">
        <v>354</v>
      </c>
      <c r="H2508">
        <v>7</v>
      </c>
      <c r="I2508">
        <v>187</v>
      </c>
      <c r="J2508">
        <v>129</v>
      </c>
      <c r="K2508">
        <v>309</v>
      </c>
      <c r="L2508">
        <v>189</v>
      </c>
      <c r="M2508">
        <v>9</v>
      </c>
      <c r="N2508">
        <v>318</v>
      </c>
      <c r="O2508">
        <v>138</v>
      </c>
      <c r="T2508">
        <v>12</v>
      </c>
      <c r="U2508">
        <v>14</v>
      </c>
      <c r="V2508">
        <v>2</v>
      </c>
      <c r="Y2508">
        <v>9</v>
      </c>
      <c r="Z2508">
        <v>29</v>
      </c>
      <c r="AA2508">
        <v>144</v>
      </c>
      <c r="AD2508">
        <v>32</v>
      </c>
      <c r="AE2508">
        <v>19</v>
      </c>
      <c r="AF2508">
        <v>36</v>
      </c>
      <c r="AI2508">
        <v>4</v>
      </c>
      <c r="AJ2508">
        <v>156</v>
      </c>
      <c r="AK2508">
        <v>14</v>
      </c>
      <c r="AX2508">
        <v>28</v>
      </c>
      <c r="AY2508">
        <v>45</v>
      </c>
      <c r="AZ2508">
        <v>73</v>
      </c>
      <c r="BA2508">
        <v>182</v>
      </c>
      <c r="BB2508">
        <v>187</v>
      </c>
      <c r="BC2508">
        <v>369</v>
      </c>
      <c r="BD2508">
        <v>87</v>
      </c>
      <c r="BE2508">
        <v>57</v>
      </c>
      <c r="BF2508">
        <v>144</v>
      </c>
      <c r="BG2508">
        <v>174</v>
      </c>
      <c r="BH2508">
        <v>182</v>
      </c>
      <c r="BI2508">
        <v>356</v>
      </c>
      <c r="BP2508">
        <v>160</v>
      </c>
      <c r="BR2508">
        <v>214</v>
      </c>
      <c r="BS2508">
        <v>37</v>
      </c>
      <c r="BT2508">
        <v>52</v>
      </c>
      <c r="BU2508">
        <v>8</v>
      </c>
      <c r="BV2508">
        <v>0</v>
      </c>
      <c r="BW2508">
        <v>471</v>
      </c>
      <c r="BX2508">
        <v>492</v>
      </c>
      <c r="BY2508">
        <v>-4.2700000000000002E-2</v>
      </c>
      <c r="BZ2508" s="6">
        <v>-0.04</v>
      </c>
      <c r="CA2508" s="7">
        <v>45242</v>
      </c>
      <c r="CE2508">
        <v>153</v>
      </c>
      <c r="CF2508">
        <v>186</v>
      </c>
      <c r="CG2508">
        <v>132</v>
      </c>
      <c r="CI2508">
        <f t="shared" si="240"/>
        <v>2023</v>
      </c>
      <c r="CJ2508" t="str">
        <f t="shared" si="241"/>
        <v>6015_2023</v>
      </c>
    </row>
    <row r="2509" spans="1:88" x14ac:dyDescent="0.25">
      <c r="A2509" t="s">
        <v>111</v>
      </c>
      <c r="B2509" t="s">
        <v>259</v>
      </c>
      <c r="C2509">
        <v>6017</v>
      </c>
      <c r="D2509">
        <v>-37.884481000000001</v>
      </c>
      <c r="E2509">
        <v>145.14067700000001</v>
      </c>
      <c r="F2509">
        <v>4</v>
      </c>
      <c r="G2509" t="s">
        <v>356</v>
      </c>
      <c r="H2509">
        <v>17</v>
      </c>
      <c r="I2509">
        <v>197</v>
      </c>
      <c r="J2509">
        <v>87</v>
      </c>
      <c r="K2509">
        <v>267</v>
      </c>
      <c r="L2509">
        <v>194</v>
      </c>
      <c r="M2509">
        <v>14</v>
      </c>
      <c r="N2509">
        <v>261</v>
      </c>
      <c r="O2509">
        <v>81</v>
      </c>
      <c r="T2509">
        <v>19</v>
      </c>
      <c r="U2509">
        <v>9</v>
      </c>
      <c r="V2509">
        <v>18</v>
      </c>
      <c r="Y2509">
        <v>11</v>
      </c>
      <c r="Z2509">
        <v>1</v>
      </c>
      <c r="AA2509">
        <v>73</v>
      </c>
      <c r="AD2509">
        <v>4</v>
      </c>
      <c r="AE2509">
        <v>7</v>
      </c>
      <c r="AF2509">
        <v>3</v>
      </c>
      <c r="AI2509">
        <v>17</v>
      </c>
      <c r="AJ2509">
        <v>66</v>
      </c>
      <c r="AK2509">
        <v>13</v>
      </c>
      <c r="AX2509">
        <v>46</v>
      </c>
      <c r="AY2509">
        <v>32</v>
      </c>
      <c r="AZ2509">
        <v>78</v>
      </c>
      <c r="BA2509">
        <v>85</v>
      </c>
      <c r="BB2509">
        <v>92</v>
      </c>
      <c r="BC2509">
        <v>177</v>
      </c>
      <c r="BD2509">
        <v>14</v>
      </c>
      <c r="BE2509">
        <v>23</v>
      </c>
      <c r="BF2509">
        <v>37</v>
      </c>
      <c r="BG2509">
        <v>96</v>
      </c>
      <c r="BH2509">
        <v>94</v>
      </c>
      <c r="BI2509">
        <v>190</v>
      </c>
      <c r="BP2509">
        <v>101</v>
      </c>
      <c r="BR2509">
        <v>91</v>
      </c>
      <c r="BS2509">
        <v>20</v>
      </c>
      <c r="BT2509">
        <v>20</v>
      </c>
      <c r="BU2509">
        <v>9</v>
      </c>
      <c r="BV2509">
        <v>0</v>
      </c>
      <c r="BW2509">
        <v>241</v>
      </c>
      <c r="BX2509">
        <v>225</v>
      </c>
      <c r="BY2509">
        <v>7.1099999999999997E-2</v>
      </c>
      <c r="BZ2509" s="6">
        <v>7.0000000000000007E-2</v>
      </c>
      <c r="CA2509" s="7">
        <v>45242</v>
      </c>
      <c r="CE2509">
        <v>93</v>
      </c>
      <c r="CF2509">
        <v>62</v>
      </c>
      <c r="CG2509">
        <v>86</v>
      </c>
      <c r="CI2509">
        <f t="shared" si="240"/>
        <v>2023</v>
      </c>
      <c r="CJ2509" t="str">
        <f t="shared" si="241"/>
        <v>6017_2023</v>
      </c>
    </row>
    <row r="2510" spans="1:88" x14ac:dyDescent="0.25">
      <c r="A2510" t="s">
        <v>111</v>
      </c>
      <c r="B2510" t="s">
        <v>259</v>
      </c>
      <c r="C2510">
        <v>6019</v>
      </c>
      <c r="D2510">
        <v>-37.860430999999998</v>
      </c>
      <c r="E2510">
        <v>145.10162399999999</v>
      </c>
      <c r="F2510">
        <v>4</v>
      </c>
      <c r="G2510" t="s">
        <v>357</v>
      </c>
      <c r="H2510">
        <v>7</v>
      </c>
      <c r="I2510">
        <v>187</v>
      </c>
      <c r="J2510">
        <v>95</v>
      </c>
      <c r="K2510">
        <v>275</v>
      </c>
      <c r="L2510">
        <v>189</v>
      </c>
      <c r="M2510">
        <v>9</v>
      </c>
      <c r="N2510">
        <v>279</v>
      </c>
      <c r="O2510">
        <v>99</v>
      </c>
      <c r="T2510">
        <v>5</v>
      </c>
      <c r="U2510">
        <v>44</v>
      </c>
      <c r="V2510">
        <v>0</v>
      </c>
      <c r="Y2510">
        <v>6</v>
      </c>
      <c r="Z2510">
        <v>8</v>
      </c>
      <c r="AA2510">
        <v>4</v>
      </c>
      <c r="AD2510">
        <v>45</v>
      </c>
      <c r="AE2510">
        <v>2</v>
      </c>
      <c r="AF2510">
        <v>0</v>
      </c>
      <c r="AI2510">
        <v>5</v>
      </c>
      <c r="AJ2510">
        <v>9</v>
      </c>
      <c r="AK2510">
        <v>6</v>
      </c>
      <c r="AX2510">
        <v>49</v>
      </c>
      <c r="AY2510">
        <v>56</v>
      </c>
      <c r="AZ2510">
        <v>105</v>
      </c>
      <c r="BA2510">
        <v>18</v>
      </c>
      <c r="BB2510">
        <v>16</v>
      </c>
      <c r="BC2510">
        <v>34</v>
      </c>
      <c r="BD2510">
        <v>47</v>
      </c>
      <c r="BE2510">
        <v>58</v>
      </c>
      <c r="BF2510">
        <v>105</v>
      </c>
      <c r="BG2510">
        <v>20</v>
      </c>
      <c r="BH2510">
        <v>4</v>
      </c>
      <c r="BI2510">
        <v>24</v>
      </c>
      <c r="BP2510">
        <v>33</v>
      </c>
      <c r="BR2510">
        <v>41</v>
      </c>
      <c r="BS2510">
        <v>26</v>
      </c>
      <c r="BT2510">
        <v>25</v>
      </c>
      <c r="BU2510">
        <v>2</v>
      </c>
      <c r="BV2510">
        <v>7</v>
      </c>
      <c r="BW2510">
        <v>134</v>
      </c>
      <c r="BX2510">
        <v>457</v>
      </c>
      <c r="BY2510">
        <v>-0.70679999999999998</v>
      </c>
      <c r="BZ2510" s="6">
        <v>-0.71</v>
      </c>
      <c r="CA2510" s="7">
        <v>45249</v>
      </c>
      <c r="CE2510">
        <v>54</v>
      </c>
      <c r="CF2510">
        <v>54</v>
      </c>
      <c r="CG2510">
        <v>26</v>
      </c>
      <c r="CI2510">
        <f t="shared" si="240"/>
        <v>2023</v>
      </c>
      <c r="CJ2510" t="str">
        <f t="shared" si="241"/>
        <v>6019_2023</v>
      </c>
    </row>
    <row r="2511" spans="1:88" x14ac:dyDescent="0.25">
      <c r="A2511" t="s">
        <v>111</v>
      </c>
      <c r="B2511" t="s">
        <v>259</v>
      </c>
      <c r="C2511">
        <v>6239</v>
      </c>
      <c r="D2511">
        <v>-37.872267999999998</v>
      </c>
      <c r="E2511">
        <v>145.09244000000001</v>
      </c>
      <c r="F2511">
        <v>4</v>
      </c>
      <c r="G2511" t="s">
        <v>421</v>
      </c>
      <c r="H2511">
        <v>41</v>
      </c>
      <c r="I2511">
        <v>221</v>
      </c>
      <c r="J2511">
        <v>126</v>
      </c>
      <c r="K2511">
        <v>306</v>
      </c>
      <c r="L2511">
        <v>235</v>
      </c>
      <c r="M2511">
        <v>55</v>
      </c>
      <c r="N2511">
        <v>334</v>
      </c>
      <c r="O2511">
        <v>154</v>
      </c>
      <c r="T2511">
        <v>8</v>
      </c>
      <c r="U2511">
        <v>16</v>
      </c>
      <c r="V2511">
        <v>106</v>
      </c>
      <c r="Y2511">
        <v>6</v>
      </c>
      <c r="Z2511">
        <v>0</v>
      </c>
      <c r="AA2511">
        <v>23</v>
      </c>
      <c r="AD2511">
        <v>24</v>
      </c>
      <c r="AE2511">
        <v>0</v>
      </c>
      <c r="AF2511">
        <v>8</v>
      </c>
      <c r="AI2511">
        <v>132</v>
      </c>
      <c r="AJ2511">
        <v>40</v>
      </c>
      <c r="AK2511">
        <v>5</v>
      </c>
      <c r="AX2511">
        <v>130</v>
      </c>
      <c r="AY2511">
        <v>162</v>
      </c>
      <c r="AZ2511">
        <v>292</v>
      </c>
      <c r="BA2511">
        <v>29</v>
      </c>
      <c r="BB2511">
        <v>48</v>
      </c>
      <c r="BC2511">
        <v>77</v>
      </c>
      <c r="BD2511">
        <v>32</v>
      </c>
      <c r="BE2511">
        <v>21</v>
      </c>
      <c r="BF2511">
        <v>53</v>
      </c>
      <c r="BG2511">
        <v>177</v>
      </c>
      <c r="BH2511">
        <v>137</v>
      </c>
      <c r="BI2511">
        <v>314</v>
      </c>
      <c r="BP2511">
        <v>169</v>
      </c>
      <c r="BR2511">
        <v>99</v>
      </c>
      <c r="BS2511">
        <v>73</v>
      </c>
      <c r="BT2511">
        <v>25</v>
      </c>
      <c r="BU2511">
        <v>2</v>
      </c>
      <c r="BV2511">
        <v>0</v>
      </c>
      <c r="BW2511">
        <v>368</v>
      </c>
      <c r="BX2511">
        <v>338</v>
      </c>
      <c r="BY2511">
        <v>8.8800000000000004E-2</v>
      </c>
      <c r="BZ2511" s="6">
        <v>0.09</v>
      </c>
      <c r="CA2511" s="7">
        <v>45242</v>
      </c>
      <c r="CE2511">
        <v>116</v>
      </c>
      <c r="CF2511">
        <v>133</v>
      </c>
      <c r="CG2511">
        <v>119</v>
      </c>
      <c r="CI2511">
        <f t="shared" si="240"/>
        <v>2023</v>
      </c>
      <c r="CJ2511" t="str">
        <f t="shared" si="241"/>
        <v>6239_2023</v>
      </c>
    </row>
    <row r="2512" spans="1:88" x14ac:dyDescent="0.25">
      <c r="A2512" t="s">
        <v>111</v>
      </c>
      <c r="B2512" t="s">
        <v>259</v>
      </c>
      <c r="C2512">
        <v>6615</v>
      </c>
      <c r="D2512">
        <v>-37.892198999999998</v>
      </c>
      <c r="E2512">
        <v>145.11489700000001</v>
      </c>
      <c r="F2512">
        <v>4</v>
      </c>
      <c r="G2512" t="s">
        <v>563</v>
      </c>
      <c r="H2512">
        <v>9</v>
      </c>
      <c r="I2512">
        <v>189</v>
      </c>
      <c r="J2512">
        <v>78</v>
      </c>
      <c r="K2512">
        <v>258</v>
      </c>
      <c r="L2512">
        <v>189</v>
      </c>
      <c r="M2512">
        <v>9</v>
      </c>
      <c r="N2512">
        <v>260</v>
      </c>
      <c r="O2512">
        <v>80</v>
      </c>
      <c r="T2512">
        <v>10</v>
      </c>
      <c r="U2512">
        <v>15</v>
      </c>
      <c r="V2512">
        <v>21</v>
      </c>
      <c r="Y2512">
        <v>4</v>
      </c>
      <c r="Z2512">
        <v>30</v>
      </c>
      <c r="AA2512">
        <v>98</v>
      </c>
      <c r="AD2512">
        <v>12</v>
      </c>
      <c r="AE2512">
        <v>33</v>
      </c>
      <c r="AF2512">
        <v>77</v>
      </c>
      <c r="AI2512">
        <v>18</v>
      </c>
      <c r="AJ2512">
        <v>109</v>
      </c>
      <c r="AK2512">
        <v>56</v>
      </c>
      <c r="AX2512">
        <v>46</v>
      </c>
      <c r="AY2512">
        <v>34</v>
      </c>
      <c r="AZ2512">
        <v>80</v>
      </c>
      <c r="BA2512">
        <v>132</v>
      </c>
      <c r="BB2512">
        <v>152</v>
      </c>
      <c r="BC2512">
        <v>284</v>
      </c>
      <c r="BD2512">
        <v>122</v>
      </c>
      <c r="BE2512">
        <v>101</v>
      </c>
      <c r="BF2512">
        <v>223</v>
      </c>
      <c r="BG2512">
        <v>183</v>
      </c>
      <c r="BH2512">
        <v>196</v>
      </c>
      <c r="BI2512">
        <v>379</v>
      </c>
      <c r="BP2512">
        <v>127</v>
      </c>
      <c r="BR2512">
        <v>244</v>
      </c>
      <c r="BS2512">
        <v>50</v>
      </c>
      <c r="BT2512">
        <v>54</v>
      </c>
      <c r="BU2512">
        <v>5</v>
      </c>
      <c r="BV2512">
        <v>3</v>
      </c>
      <c r="BW2512">
        <v>483</v>
      </c>
      <c r="BX2512">
        <v>561</v>
      </c>
      <c r="BY2512">
        <v>-0.13900000000000001</v>
      </c>
      <c r="BZ2512" s="6">
        <v>-0.14000000000000001</v>
      </c>
      <c r="CA2512" s="7">
        <v>45242</v>
      </c>
      <c r="CE2512">
        <v>153</v>
      </c>
      <c r="CF2512">
        <v>164</v>
      </c>
      <c r="CG2512">
        <v>166</v>
      </c>
      <c r="CI2512">
        <f t="shared" si="240"/>
        <v>2023</v>
      </c>
      <c r="CJ2512" t="str">
        <f t="shared" si="241"/>
        <v>6615_2023</v>
      </c>
    </row>
    <row r="2513" spans="1:88" x14ac:dyDescent="0.25">
      <c r="A2513" t="s">
        <v>111</v>
      </c>
      <c r="B2513" t="s">
        <v>259</v>
      </c>
      <c r="C2513">
        <v>7447</v>
      </c>
      <c r="D2513">
        <v>-37.927539000000003</v>
      </c>
      <c r="E2513">
        <v>145.124168</v>
      </c>
      <c r="F2513">
        <v>3</v>
      </c>
      <c r="G2513" t="s">
        <v>822</v>
      </c>
      <c r="H2513">
        <v>46</v>
      </c>
      <c r="I2513">
        <v>226</v>
      </c>
      <c r="J2513">
        <v>133</v>
      </c>
      <c r="K2513">
        <v>313</v>
      </c>
      <c r="L2513">
        <v>310</v>
      </c>
      <c r="M2513">
        <v>130</v>
      </c>
      <c r="T2513">
        <v>2</v>
      </c>
      <c r="U2513">
        <v>13</v>
      </c>
      <c r="Y2513">
        <v>0</v>
      </c>
      <c r="Z2513">
        <v>104</v>
      </c>
      <c r="AD2513">
        <v>12</v>
      </c>
      <c r="AE2513">
        <v>75</v>
      </c>
      <c r="AX2513">
        <v>15</v>
      </c>
      <c r="AY2513">
        <v>12</v>
      </c>
      <c r="AZ2513">
        <v>27</v>
      </c>
      <c r="BA2513">
        <v>104</v>
      </c>
      <c r="BB2513">
        <v>77</v>
      </c>
      <c r="BC2513">
        <v>181</v>
      </c>
      <c r="BD2513">
        <v>87</v>
      </c>
      <c r="BE2513">
        <v>117</v>
      </c>
      <c r="BF2513">
        <v>204</v>
      </c>
      <c r="BP2513">
        <v>98</v>
      </c>
      <c r="BR2513">
        <v>69</v>
      </c>
      <c r="BS2513">
        <v>24</v>
      </c>
      <c r="BT2513">
        <v>11</v>
      </c>
      <c r="BU2513">
        <v>4</v>
      </c>
      <c r="BV2513">
        <v>0</v>
      </c>
      <c r="BW2513">
        <v>206</v>
      </c>
      <c r="BX2513">
        <v>228</v>
      </c>
      <c r="BY2513">
        <v>-9.6500000000000002E-2</v>
      </c>
      <c r="BZ2513" s="6">
        <v>-0.1</v>
      </c>
      <c r="CA2513" s="7">
        <v>45242</v>
      </c>
      <c r="CE2513">
        <v>73</v>
      </c>
      <c r="CF2513">
        <v>71</v>
      </c>
      <c r="CG2513">
        <v>62</v>
      </c>
      <c r="CI2513">
        <f t="shared" si="240"/>
        <v>2023</v>
      </c>
      <c r="CJ2513" t="str">
        <f t="shared" si="241"/>
        <v>7447_2023</v>
      </c>
    </row>
    <row r="2514" spans="1:88" x14ac:dyDescent="0.25">
      <c r="A2514" t="s">
        <v>111</v>
      </c>
      <c r="B2514" t="s">
        <v>259</v>
      </c>
      <c r="C2514">
        <v>7448</v>
      </c>
      <c r="D2514">
        <v>-37.920524999999998</v>
      </c>
      <c r="E2514">
        <v>145.11528899999999</v>
      </c>
      <c r="F2514">
        <v>3</v>
      </c>
      <c r="G2514" t="s">
        <v>823</v>
      </c>
      <c r="H2514">
        <v>40</v>
      </c>
      <c r="I2514">
        <v>220</v>
      </c>
      <c r="J2514">
        <v>222</v>
      </c>
      <c r="K2514">
        <v>42</v>
      </c>
      <c r="L2514">
        <v>314</v>
      </c>
      <c r="M2514">
        <v>134</v>
      </c>
      <c r="T2514">
        <v>17</v>
      </c>
      <c r="U2514">
        <v>3</v>
      </c>
      <c r="Y2514">
        <v>20</v>
      </c>
      <c r="Z2514">
        <v>68</v>
      </c>
      <c r="AD2514">
        <v>3</v>
      </c>
      <c r="AE2514">
        <v>74</v>
      </c>
      <c r="AX2514">
        <v>20</v>
      </c>
      <c r="AY2514">
        <v>23</v>
      </c>
      <c r="AZ2514">
        <v>43</v>
      </c>
      <c r="BA2514">
        <v>88</v>
      </c>
      <c r="BB2514">
        <v>91</v>
      </c>
      <c r="BC2514">
        <v>179</v>
      </c>
      <c r="BD2514">
        <v>77</v>
      </c>
      <c r="BE2514">
        <v>71</v>
      </c>
      <c r="BF2514">
        <v>148</v>
      </c>
      <c r="BP2514">
        <v>101</v>
      </c>
      <c r="BR2514">
        <v>54</v>
      </c>
      <c r="BS2514">
        <v>21</v>
      </c>
      <c r="BT2514">
        <v>7</v>
      </c>
      <c r="BU2514">
        <v>2</v>
      </c>
      <c r="BV2514">
        <v>0</v>
      </c>
      <c r="BW2514">
        <v>185</v>
      </c>
      <c r="CA2514" s="7">
        <v>45242</v>
      </c>
      <c r="CE2514">
        <v>62</v>
      </c>
      <c r="CF2514">
        <v>56</v>
      </c>
      <c r="CG2514">
        <v>67</v>
      </c>
      <c r="CI2514">
        <f t="shared" si="240"/>
        <v>2023</v>
      </c>
      <c r="CJ2514" t="str">
        <f t="shared" si="241"/>
        <v>7448_2023</v>
      </c>
    </row>
    <row r="2515" spans="1:88" x14ac:dyDescent="0.25">
      <c r="A2515" t="s">
        <v>111</v>
      </c>
      <c r="B2515" t="s">
        <v>259</v>
      </c>
      <c r="C2515">
        <v>7450</v>
      </c>
      <c r="D2515">
        <v>-37.897944000000003</v>
      </c>
      <c r="E2515">
        <v>145.08422300000001</v>
      </c>
      <c r="F2515">
        <v>4</v>
      </c>
      <c r="G2515" t="s">
        <v>826</v>
      </c>
      <c r="H2515">
        <v>9</v>
      </c>
      <c r="I2515">
        <v>189</v>
      </c>
      <c r="J2515">
        <v>120</v>
      </c>
      <c r="K2515">
        <v>300</v>
      </c>
      <c r="L2515">
        <v>183</v>
      </c>
      <c r="M2515">
        <v>3</v>
      </c>
      <c r="N2515">
        <v>300</v>
      </c>
      <c r="O2515">
        <v>120</v>
      </c>
      <c r="T2515">
        <v>7</v>
      </c>
      <c r="U2515">
        <v>45</v>
      </c>
      <c r="V2515">
        <v>41</v>
      </c>
      <c r="Y2515">
        <v>3</v>
      </c>
      <c r="Z2515">
        <v>6</v>
      </c>
      <c r="AA2515">
        <v>143</v>
      </c>
      <c r="AD2515">
        <v>35</v>
      </c>
      <c r="AE2515">
        <v>2</v>
      </c>
      <c r="AF2515">
        <v>23</v>
      </c>
      <c r="AI2515">
        <v>43</v>
      </c>
      <c r="AJ2515">
        <v>148</v>
      </c>
      <c r="AK2515">
        <v>17</v>
      </c>
      <c r="AX2515">
        <v>93</v>
      </c>
      <c r="AY2515">
        <v>81</v>
      </c>
      <c r="AZ2515">
        <v>174</v>
      </c>
      <c r="BA2515">
        <v>152</v>
      </c>
      <c r="BB2515">
        <v>157</v>
      </c>
      <c r="BC2515">
        <v>309</v>
      </c>
      <c r="BD2515">
        <v>60</v>
      </c>
      <c r="BE2515">
        <v>68</v>
      </c>
      <c r="BF2515">
        <v>128</v>
      </c>
      <c r="BG2515">
        <v>208</v>
      </c>
      <c r="BH2515">
        <v>207</v>
      </c>
      <c r="BI2515">
        <v>415</v>
      </c>
      <c r="BP2515">
        <v>194</v>
      </c>
      <c r="BR2515">
        <v>230</v>
      </c>
      <c r="BS2515">
        <v>38</v>
      </c>
      <c r="BT2515">
        <v>41</v>
      </c>
      <c r="BU2515">
        <v>1</v>
      </c>
      <c r="BV2515">
        <v>9</v>
      </c>
      <c r="BW2515">
        <v>513</v>
      </c>
      <c r="BX2515">
        <v>447</v>
      </c>
      <c r="BY2515">
        <v>0.1477</v>
      </c>
      <c r="BZ2515" s="6">
        <v>0.15</v>
      </c>
      <c r="CA2515" s="7">
        <v>45242</v>
      </c>
      <c r="CE2515">
        <v>125</v>
      </c>
      <c r="CF2515">
        <v>187</v>
      </c>
      <c r="CG2515">
        <v>201</v>
      </c>
      <c r="CI2515">
        <f t="shared" si="240"/>
        <v>2023</v>
      </c>
      <c r="CJ2515" t="str">
        <f t="shared" si="241"/>
        <v>7450_2023</v>
      </c>
    </row>
    <row r="2516" spans="1:88" x14ac:dyDescent="0.25">
      <c r="A2516" t="s">
        <v>111</v>
      </c>
      <c r="B2516" t="s">
        <v>259</v>
      </c>
      <c r="C2516">
        <v>7453</v>
      </c>
      <c r="D2516">
        <v>-37.895681000000003</v>
      </c>
      <c r="E2516">
        <v>145.07907399999999</v>
      </c>
      <c r="F2516">
        <v>3</v>
      </c>
      <c r="G2516" t="s">
        <v>829</v>
      </c>
      <c r="H2516">
        <v>120</v>
      </c>
      <c r="I2516">
        <v>300</v>
      </c>
      <c r="J2516">
        <v>180</v>
      </c>
      <c r="K2516">
        <v>360</v>
      </c>
      <c r="L2516">
        <v>300</v>
      </c>
      <c r="M2516">
        <v>120</v>
      </c>
      <c r="T2516">
        <v>34</v>
      </c>
      <c r="U2516">
        <v>112</v>
      </c>
      <c r="Y2516">
        <v>2</v>
      </c>
      <c r="Z2516">
        <v>52</v>
      </c>
      <c r="AD2516">
        <v>175</v>
      </c>
      <c r="AE2516">
        <v>31</v>
      </c>
      <c r="AX2516">
        <v>146</v>
      </c>
      <c r="AY2516">
        <v>177</v>
      </c>
      <c r="AZ2516">
        <v>323</v>
      </c>
      <c r="BA2516">
        <v>54</v>
      </c>
      <c r="BB2516">
        <v>65</v>
      </c>
      <c r="BC2516">
        <v>119</v>
      </c>
      <c r="BD2516">
        <v>206</v>
      </c>
      <c r="BE2516">
        <v>164</v>
      </c>
      <c r="BF2516">
        <v>370</v>
      </c>
      <c r="BP2516">
        <v>179</v>
      </c>
      <c r="BR2516">
        <v>133</v>
      </c>
      <c r="BS2516">
        <v>48</v>
      </c>
      <c r="BT2516">
        <v>30</v>
      </c>
      <c r="BU2516">
        <v>7</v>
      </c>
      <c r="BV2516">
        <v>9</v>
      </c>
      <c r="BW2516">
        <v>406</v>
      </c>
      <c r="CA2516" s="7">
        <v>45242</v>
      </c>
      <c r="CE2516">
        <v>116</v>
      </c>
      <c r="CF2516">
        <v>141</v>
      </c>
      <c r="CG2516">
        <v>149</v>
      </c>
      <c r="CI2516">
        <f t="shared" si="240"/>
        <v>2023</v>
      </c>
      <c r="CJ2516" t="str">
        <f t="shared" si="241"/>
        <v>7453_2023</v>
      </c>
    </row>
    <row r="2517" spans="1:88" x14ac:dyDescent="0.25">
      <c r="A2517" t="s">
        <v>111</v>
      </c>
      <c r="B2517" t="s">
        <v>259</v>
      </c>
      <c r="C2517">
        <v>7701</v>
      </c>
      <c r="D2517">
        <v>-37.884635000000003</v>
      </c>
      <c r="E2517">
        <v>145.18988300000001</v>
      </c>
      <c r="F2517">
        <v>3</v>
      </c>
      <c r="G2517" t="s">
        <v>906</v>
      </c>
      <c r="H2517">
        <v>8</v>
      </c>
      <c r="I2517">
        <v>188</v>
      </c>
      <c r="J2517">
        <v>100</v>
      </c>
      <c r="K2517">
        <v>280</v>
      </c>
      <c r="L2517">
        <v>277</v>
      </c>
      <c r="M2517">
        <v>97</v>
      </c>
      <c r="T2517">
        <v>53</v>
      </c>
      <c r="U2517">
        <v>16</v>
      </c>
      <c r="Y2517">
        <v>70</v>
      </c>
      <c r="Z2517">
        <v>27</v>
      </c>
      <c r="AD2517">
        <v>23</v>
      </c>
      <c r="AE2517">
        <v>25</v>
      </c>
      <c r="AX2517">
        <v>69</v>
      </c>
      <c r="AY2517">
        <v>93</v>
      </c>
      <c r="AZ2517">
        <v>162</v>
      </c>
      <c r="BA2517">
        <v>97</v>
      </c>
      <c r="BB2517">
        <v>78</v>
      </c>
      <c r="BC2517">
        <v>175</v>
      </c>
      <c r="BD2517">
        <v>48</v>
      </c>
      <c r="BE2517">
        <v>43</v>
      </c>
      <c r="BF2517">
        <v>91</v>
      </c>
      <c r="BP2517">
        <v>84</v>
      </c>
      <c r="BR2517">
        <v>77</v>
      </c>
      <c r="BS2517">
        <v>33</v>
      </c>
      <c r="BT2517">
        <v>20</v>
      </c>
      <c r="BU2517">
        <v>0</v>
      </c>
      <c r="BV2517">
        <v>0</v>
      </c>
      <c r="BW2517">
        <v>214</v>
      </c>
      <c r="BX2517">
        <v>291</v>
      </c>
      <c r="BY2517">
        <v>-0.2646</v>
      </c>
      <c r="BZ2517" s="6">
        <v>-0.26</v>
      </c>
      <c r="CA2517" s="7">
        <v>45242</v>
      </c>
      <c r="CE2517">
        <v>77</v>
      </c>
      <c r="CF2517">
        <v>81</v>
      </c>
      <c r="CG2517">
        <v>56</v>
      </c>
      <c r="CI2517">
        <f t="shared" si="240"/>
        <v>2023</v>
      </c>
      <c r="CJ2517" t="str">
        <f t="shared" si="241"/>
        <v>7701_2023</v>
      </c>
    </row>
    <row r="2518" spans="1:88" x14ac:dyDescent="0.25">
      <c r="A2518" t="s">
        <v>111</v>
      </c>
      <c r="B2518" t="s">
        <v>135</v>
      </c>
      <c r="C2518">
        <v>4457</v>
      </c>
      <c r="D2518">
        <v>-37.736722</v>
      </c>
      <c r="E2518">
        <v>144.92858100000001</v>
      </c>
      <c r="F2518">
        <v>5</v>
      </c>
      <c r="G2518" t="s">
        <v>136</v>
      </c>
      <c r="H2518">
        <v>85</v>
      </c>
      <c r="I2518">
        <v>265</v>
      </c>
      <c r="J2518">
        <v>157</v>
      </c>
      <c r="K2518">
        <v>337</v>
      </c>
      <c r="L2518">
        <v>218</v>
      </c>
      <c r="M2518">
        <v>38</v>
      </c>
      <c r="N2518">
        <v>297</v>
      </c>
      <c r="O2518">
        <v>117</v>
      </c>
      <c r="P2518">
        <v>355</v>
      </c>
      <c r="Q2518">
        <v>175</v>
      </c>
      <c r="T2518">
        <v>18</v>
      </c>
      <c r="U2518">
        <v>2</v>
      </c>
      <c r="V2518">
        <v>5</v>
      </c>
      <c r="W2518">
        <v>13</v>
      </c>
      <c r="Y2518">
        <v>9</v>
      </c>
      <c r="Z2518">
        <v>0</v>
      </c>
      <c r="AA2518">
        <v>3</v>
      </c>
      <c r="AB2518">
        <v>83</v>
      </c>
      <c r="AD2518">
        <v>0</v>
      </c>
      <c r="AE2518">
        <v>0</v>
      </c>
      <c r="AF2518">
        <v>0</v>
      </c>
      <c r="AG2518">
        <v>0</v>
      </c>
      <c r="AI2518">
        <v>8</v>
      </c>
      <c r="AJ2518">
        <v>1</v>
      </c>
      <c r="AK2518">
        <v>0</v>
      </c>
      <c r="AL2518">
        <v>0</v>
      </c>
      <c r="AN2518">
        <v>13</v>
      </c>
      <c r="AO2518">
        <v>83</v>
      </c>
      <c r="AP2518">
        <v>3</v>
      </c>
      <c r="AQ2518">
        <v>1</v>
      </c>
      <c r="AX2518">
        <v>38</v>
      </c>
      <c r="AY2518">
        <v>30</v>
      </c>
      <c r="AZ2518">
        <v>68</v>
      </c>
      <c r="BA2518">
        <v>95</v>
      </c>
      <c r="BB2518">
        <v>102</v>
      </c>
      <c r="BC2518">
        <v>197</v>
      </c>
      <c r="BD2518">
        <v>0</v>
      </c>
      <c r="BE2518">
        <v>5</v>
      </c>
      <c r="BF2518">
        <v>5</v>
      </c>
      <c r="BG2518">
        <v>9</v>
      </c>
      <c r="BH2518">
        <v>9</v>
      </c>
      <c r="BI2518">
        <v>18</v>
      </c>
      <c r="BJ2518">
        <v>100</v>
      </c>
      <c r="BK2518">
        <v>96</v>
      </c>
      <c r="BL2518">
        <v>196</v>
      </c>
      <c r="BP2518">
        <v>122</v>
      </c>
      <c r="BR2518">
        <v>72</v>
      </c>
      <c r="BS2518">
        <v>31</v>
      </c>
      <c r="BT2518">
        <v>16</v>
      </c>
      <c r="BU2518">
        <v>0</v>
      </c>
      <c r="BV2518">
        <v>1</v>
      </c>
      <c r="BW2518">
        <v>242</v>
      </c>
      <c r="BX2518">
        <v>282</v>
      </c>
      <c r="BY2518">
        <v>-0.14180000000000001</v>
      </c>
      <c r="BZ2518" s="6">
        <v>-0.14000000000000001</v>
      </c>
      <c r="CA2518" s="7">
        <v>45242</v>
      </c>
      <c r="CE2518">
        <v>91</v>
      </c>
      <c r="CF2518">
        <v>89</v>
      </c>
      <c r="CG2518">
        <v>62</v>
      </c>
      <c r="CI2518">
        <f t="shared" si="240"/>
        <v>2023</v>
      </c>
      <c r="CJ2518" t="str">
        <f t="shared" si="241"/>
        <v>4457_2023</v>
      </c>
    </row>
    <row r="2519" spans="1:88" x14ac:dyDescent="0.25">
      <c r="A2519" t="s">
        <v>111</v>
      </c>
      <c r="B2519" t="s">
        <v>135</v>
      </c>
      <c r="C2519">
        <v>4469</v>
      </c>
      <c r="D2519">
        <v>-37.778046000000003</v>
      </c>
      <c r="E2519">
        <v>144.936646</v>
      </c>
      <c r="F2519">
        <v>3</v>
      </c>
      <c r="G2519" t="s">
        <v>137</v>
      </c>
      <c r="H2519">
        <v>0</v>
      </c>
      <c r="I2519">
        <v>180</v>
      </c>
      <c r="J2519">
        <v>170</v>
      </c>
      <c r="K2519">
        <v>350</v>
      </c>
      <c r="L2519">
        <v>290</v>
      </c>
      <c r="M2519">
        <v>110</v>
      </c>
      <c r="T2519">
        <v>139</v>
      </c>
      <c r="U2519">
        <v>11</v>
      </c>
      <c r="Y2519">
        <v>102</v>
      </c>
      <c r="Z2519">
        <v>4</v>
      </c>
      <c r="AD2519">
        <v>22</v>
      </c>
      <c r="AE2519">
        <v>4</v>
      </c>
      <c r="AX2519">
        <v>150</v>
      </c>
      <c r="AY2519">
        <v>124</v>
      </c>
      <c r="AZ2519">
        <v>274</v>
      </c>
      <c r="BA2519">
        <v>106</v>
      </c>
      <c r="BB2519">
        <v>143</v>
      </c>
      <c r="BC2519">
        <v>249</v>
      </c>
      <c r="BD2519">
        <v>26</v>
      </c>
      <c r="BE2519">
        <v>15</v>
      </c>
      <c r="BF2519">
        <v>41</v>
      </c>
      <c r="BP2519">
        <v>154</v>
      </c>
      <c r="BR2519">
        <v>42</v>
      </c>
      <c r="BS2519">
        <v>61</v>
      </c>
      <c r="BT2519">
        <v>16</v>
      </c>
      <c r="BU2519">
        <v>9</v>
      </c>
      <c r="BV2519">
        <v>0</v>
      </c>
      <c r="BW2519">
        <v>282</v>
      </c>
      <c r="BX2519">
        <v>333</v>
      </c>
      <c r="BY2519">
        <v>-0.1532</v>
      </c>
      <c r="BZ2519" s="6">
        <v>-0.15</v>
      </c>
      <c r="CA2519" s="7">
        <v>45242</v>
      </c>
      <c r="CE2519">
        <v>97</v>
      </c>
      <c r="CF2519">
        <v>101</v>
      </c>
      <c r="CG2519">
        <v>84</v>
      </c>
      <c r="CI2519">
        <f t="shared" si="240"/>
        <v>2023</v>
      </c>
      <c r="CJ2519" t="str">
        <f t="shared" si="241"/>
        <v>4469_2023</v>
      </c>
    </row>
    <row r="2520" spans="1:88" x14ac:dyDescent="0.25">
      <c r="A2520" t="s">
        <v>111</v>
      </c>
      <c r="B2520" t="s">
        <v>135</v>
      </c>
      <c r="C2520">
        <v>6985</v>
      </c>
      <c r="D2520">
        <v>-37.764290000000003</v>
      </c>
      <c r="E2520">
        <v>144.89924300000001</v>
      </c>
      <c r="F2520">
        <v>2</v>
      </c>
      <c r="G2520" t="s">
        <v>672</v>
      </c>
      <c r="H2520">
        <v>106</v>
      </c>
      <c r="I2520">
        <v>286</v>
      </c>
      <c r="J2520">
        <v>266</v>
      </c>
      <c r="K2520">
        <v>86</v>
      </c>
      <c r="T2520">
        <v>777</v>
      </c>
      <c r="Y2520">
        <v>462</v>
      </c>
      <c r="AX2520">
        <v>777</v>
      </c>
      <c r="AY2520">
        <v>462</v>
      </c>
      <c r="AZ2520">
        <v>1239</v>
      </c>
      <c r="BA2520">
        <v>462</v>
      </c>
      <c r="BB2520">
        <v>777</v>
      </c>
      <c r="BC2520">
        <v>1239</v>
      </c>
      <c r="BP2520">
        <v>151</v>
      </c>
      <c r="BR2520">
        <v>687</v>
      </c>
      <c r="BS2520">
        <v>237</v>
      </c>
      <c r="BT2520">
        <v>153</v>
      </c>
      <c r="BU2520">
        <v>11</v>
      </c>
      <c r="BV2520">
        <v>0</v>
      </c>
      <c r="BW2520">
        <v>1239</v>
      </c>
      <c r="BX2520">
        <v>1245</v>
      </c>
      <c r="BY2520">
        <v>-4.7999999999999996E-3</v>
      </c>
      <c r="BZ2520" s="6">
        <v>0</v>
      </c>
      <c r="CA2520" s="7">
        <v>45242</v>
      </c>
      <c r="CE2520">
        <v>490</v>
      </c>
      <c r="CF2520">
        <v>365</v>
      </c>
      <c r="CG2520">
        <v>384</v>
      </c>
      <c r="CI2520">
        <f t="shared" si="240"/>
        <v>2023</v>
      </c>
      <c r="CJ2520" t="str">
        <f t="shared" si="241"/>
        <v>6985_2023</v>
      </c>
    </row>
    <row r="2521" spans="1:88" x14ac:dyDescent="0.25">
      <c r="A2521" t="s">
        <v>111</v>
      </c>
      <c r="B2521" t="s">
        <v>135</v>
      </c>
      <c r="C2521">
        <v>6987</v>
      </c>
      <c r="D2521">
        <v>-37.747836</v>
      </c>
      <c r="E2521">
        <v>144.88106999999999</v>
      </c>
      <c r="F2521">
        <v>4</v>
      </c>
      <c r="G2521" t="s">
        <v>674</v>
      </c>
      <c r="H2521">
        <v>97</v>
      </c>
      <c r="I2521">
        <v>277</v>
      </c>
      <c r="J2521">
        <v>194</v>
      </c>
      <c r="K2521">
        <v>14</v>
      </c>
      <c r="L2521">
        <v>278</v>
      </c>
      <c r="M2521">
        <v>98</v>
      </c>
      <c r="N2521">
        <v>357</v>
      </c>
      <c r="O2521">
        <v>177</v>
      </c>
      <c r="T2521">
        <v>7</v>
      </c>
      <c r="U2521">
        <v>4</v>
      </c>
      <c r="V2521">
        <v>13</v>
      </c>
      <c r="Y2521">
        <v>4</v>
      </c>
      <c r="Z2521">
        <v>0</v>
      </c>
      <c r="AA2521">
        <v>56</v>
      </c>
      <c r="AD2521">
        <v>17</v>
      </c>
      <c r="AE2521">
        <v>5</v>
      </c>
      <c r="AF2521">
        <v>18</v>
      </c>
      <c r="AI2521">
        <v>11</v>
      </c>
      <c r="AJ2521">
        <v>52</v>
      </c>
      <c r="AK2521">
        <v>7</v>
      </c>
      <c r="AX2521">
        <v>24</v>
      </c>
      <c r="AY2521">
        <v>32</v>
      </c>
      <c r="AZ2521">
        <v>56</v>
      </c>
      <c r="BA2521">
        <v>60</v>
      </c>
      <c r="BB2521">
        <v>64</v>
      </c>
      <c r="BC2521">
        <v>124</v>
      </c>
      <c r="BD2521">
        <v>40</v>
      </c>
      <c r="BE2521">
        <v>11</v>
      </c>
      <c r="BF2521">
        <v>51</v>
      </c>
      <c r="BG2521">
        <v>70</v>
      </c>
      <c r="BH2521">
        <v>87</v>
      </c>
      <c r="BI2521">
        <v>157</v>
      </c>
      <c r="BP2521">
        <v>51</v>
      </c>
      <c r="BR2521">
        <v>105</v>
      </c>
      <c r="BS2521">
        <v>12</v>
      </c>
      <c r="BT2521">
        <v>25</v>
      </c>
      <c r="BU2521">
        <v>1</v>
      </c>
      <c r="BV2521">
        <v>0</v>
      </c>
      <c r="BW2521">
        <v>194</v>
      </c>
      <c r="BX2521">
        <v>196</v>
      </c>
      <c r="BY2521">
        <v>-1.0200000000000001E-2</v>
      </c>
      <c r="BZ2521" s="6">
        <v>-0.01</v>
      </c>
      <c r="CA2521" s="7">
        <v>45242</v>
      </c>
      <c r="CE2521">
        <v>54</v>
      </c>
      <c r="CF2521">
        <v>79</v>
      </c>
      <c r="CG2521">
        <v>61</v>
      </c>
      <c r="CI2521">
        <f t="shared" si="240"/>
        <v>2023</v>
      </c>
      <c r="CJ2521" t="str">
        <f t="shared" si="241"/>
        <v>6987_2023</v>
      </c>
    </row>
    <row r="2522" spans="1:88" x14ac:dyDescent="0.25">
      <c r="A2522" t="s">
        <v>111</v>
      </c>
      <c r="B2522" t="s">
        <v>135</v>
      </c>
      <c r="C2522">
        <v>7461</v>
      </c>
      <c r="D2522">
        <v>-37.768354000000002</v>
      </c>
      <c r="E2522">
        <v>144.87202300000001</v>
      </c>
      <c r="F2522">
        <v>3</v>
      </c>
      <c r="G2522" t="s">
        <v>838</v>
      </c>
      <c r="H2522">
        <v>112</v>
      </c>
      <c r="I2522">
        <v>292</v>
      </c>
      <c r="J2522">
        <v>198</v>
      </c>
      <c r="K2522">
        <v>18</v>
      </c>
      <c r="L2522">
        <v>330</v>
      </c>
      <c r="M2522">
        <v>150</v>
      </c>
      <c r="T2522">
        <v>18</v>
      </c>
      <c r="U2522">
        <v>63</v>
      </c>
      <c r="Y2522">
        <v>7</v>
      </c>
      <c r="Z2522">
        <v>49</v>
      </c>
      <c r="AD2522">
        <v>59</v>
      </c>
      <c r="AE2522">
        <v>43</v>
      </c>
      <c r="AX2522">
        <v>81</v>
      </c>
      <c r="AY2522">
        <v>66</v>
      </c>
      <c r="AZ2522">
        <v>147</v>
      </c>
      <c r="BA2522">
        <v>56</v>
      </c>
      <c r="BB2522">
        <v>61</v>
      </c>
      <c r="BC2522">
        <v>117</v>
      </c>
      <c r="BD2522">
        <v>102</v>
      </c>
      <c r="BE2522">
        <v>112</v>
      </c>
      <c r="BF2522">
        <v>214</v>
      </c>
      <c r="BP2522">
        <v>81</v>
      </c>
      <c r="BR2522">
        <v>66</v>
      </c>
      <c r="BS2522">
        <v>48</v>
      </c>
      <c r="BT2522">
        <v>34</v>
      </c>
      <c r="BU2522">
        <v>0</v>
      </c>
      <c r="BV2522">
        <v>10</v>
      </c>
      <c r="BW2522">
        <v>239</v>
      </c>
      <c r="BX2522">
        <v>190</v>
      </c>
      <c r="BY2522">
        <v>0.25790000000000002</v>
      </c>
      <c r="BZ2522" s="6">
        <v>0.26</v>
      </c>
      <c r="CA2522" s="7">
        <v>45242</v>
      </c>
      <c r="CE2522">
        <v>108</v>
      </c>
      <c r="CF2522">
        <v>79</v>
      </c>
      <c r="CG2522">
        <v>52</v>
      </c>
      <c r="CI2522">
        <f t="shared" si="240"/>
        <v>2023</v>
      </c>
      <c r="CJ2522" t="str">
        <f t="shared" si="241"/>
        <v>7461_2023</v>
      </c>
    </row>
    <row r="2523" spans="1:88" x14ac:dyDescent="0.25">
      <c r="A2523" t="s">
        <v>111</v>
      </c>
      <c r="B2523" t="s">
        <v>135</v>
      </c>
      <c r="C2523">
        <v>7462</v>
      </c>
      <c r="D2523">
        <v>-37.72119</v>
      </c>
      <c r="E2523">
        <v>144.88718900000001</v>
      </c>
      <c r="F2523">
        <v>4</v>
      </c>
      <c r="G2523" t="s">
        <v>839</v>
      </c>
      <c r="H2523">
        <v>39</v>
      </c>
      <c r="I2523">
        <v>219</v>
      </c>
      <c r="J2523">
        <v>97</v>
      </c>
      <c r="K2523">
        <v>277</v>
      </c>
      <c r="L2523">
        <v>201</v>
      </c>
      <c r="M2523">
        <v>21</v>
      </c>
      <c r="N2523">
        <v>277</v>
      </c>
      <c r="O2523">
        <v>97</v>
      </c>
      <c r="T2523">
        <v>2</v>
      </c>
      <c r="U2523">
        <v>64</v>
      </c>
      <c r="V2523">
        <v>1</v>
      </c>
      <c r="Y2523">
        <v>0</v>
      </c>
      <c r="Z2523">
        <v>0</v>
      </c>
      <c r="AA2523">
        <v>0</v>
      </c>
      <c r="AD2523">
        <v>60</v>
      </c>
      <c r="AE2523">
        <v>0</v>
      </c>
      <c r="AF2523">
        <v>8</v>
      </c>
      <c r="AI2523">
        <v>4</v>
      </c>
      <c r="AJ2523">
        <v>1</v>
      </c>
      <c r="AK2523">
        <v>12</v>
      </c>
      <c r="AX2523">
        <v>67</v>
      </c>
      <c r="AY2523">
        <v>64</v>
      </c>
      <c r="AZ2523">
        <v>131</v>
      </c>
      <c r="BA2523">
        <v>0</v>
      </c>
      <c r="BB2523">
        <v>3</v>
      </c>
      <c r="BC2523">
        <v>3</v>
      </c>
      <c r="BD2523">
        <v>68</v>
      </c>
      <c r="BE2523">
        <v>76</v>
      </c>
      <c r="BF2523">
        <v>144</v>
      </c>
      <c r="BG2523">
        <v>17</v>
      </c>
      <c r="BH2523">
        <v>9</v>
      </c>
      <c r="BI2523">
        <v>26</v>
      </c>
      <c r="BP2523">
        <v>22</v>
      </c>
      <c r="BR2523">
        <v>82</v>
      </c>
      <c r="BS2523">
        <v>10</v>
      </c>
      <c r="BT2523">
        <v>38</v>
      </c>
      <c r="BU2523">
        <v>0</v>
      </c>
      <c r="BV2523">
        <v>0</v>
      </c>
      <c r="BW2523">
        <v>152</v>
      </c>
      <c r="BX2523">
        <v>170</v>
      </c>
      <c r="BY2523">
        <v>-0.10589999999999999</v>
      </c>
      <c r="BZ2523" s="6">
        <v>-0.11</v>
      </c>
      <c r="CA2523" s="7">
        <v>45242</v>
      </c>
      <c r="CE2523">
        <v>70</v>
      </c>
      <c r="CF2523">
        <v>49</v>
      </c>
      <c r="CG2523">
        <v>33</v>
      </c>
      <c r="CI2523">
        <f t="shared" si="240"/>
        <v>2023</v>
      </c>
      <c r="CJ2523" t="str">
        <f t="shared" si="241"/>
        <v>7462_2023</v>
      </c>
    </row>
    <row r="2524" spans="1:88" x14ac:dyDescent="0.25">
      <c r="A2524" t="s">
        <v>111</v>
      </c>
      <c r="B2524" t="s">
        <v>1024</v>
      </c>
      <c r="C2524">
        <v>7928</v>
      </c>
      <c r="D2524">
        <v>-38.345432029999998</v>
      </c>
      <c r="E2524">
        <v>144.7450116</v>
      </c>
      <c r="F2524">
        <v>2</v>
      </c>
      <c r="G2524" t="s">
        <v>1025</v>
      </c>
      <c r="H2524">
        <v>52</v>
      </c>
      <c r="I2524">
        <v>232</v>
      </c>
      <c r="J2524">
        <v>227</v>
      </c>
      <c r="K2524">
        <v>47</v>
      </c>
      <c r="T2524">
        <v>65</v>
      </c>
      <c r="Y2524">
        <v>59</v>
      </c>
      <c r="AX2524">
        <v>65</v>
      </c>
      <c r="AY2524">
        <v>59</v>
      </c>
      <c r="AZ2524">
        <v>124</v>
      </c>
      <c r="BA2524">
        <v>59</v>
      </c>
      <c r="BB2524">
        <v>65</v>
      </c>
      <c r="BC2524">
        <v>124</v>
      </c>
      <c r="BP2524">
        <v>9</v>
      </c>
      <c r="BR2524">
        <v>96</v>
      </c>
      <c r="BS2524">
        <v>1</v>
      </c>
      <c r="BT2524">
        <v>18</v>
      </c>
      <c r="BU2524">
        <v>0</v>
      </c>
      <c r="BV2524">
        <v>0</v>
      </c>
      <c r="BW2524">
        <v>124</v>
      </c>
      <c r="CA2524" s="7">
        <v>45242</v>
      </c>
      <c r="CE2524">
        <v>76</v>
      </c>
      <c r="CF2524">
        <v>21</v>
      </c>
      <c r="CG2524">
        <v>27</v>
      </c>
      <c r="CI2524">
        <f t="shared" si="240"/>
        <v>2023</v>
      </c>
      <c r="CJ2524" t="str">
        <f t="shared" si="241"/>
        <v>7928_2023</v>
      </c>
    </row>
    <row r="2525" spans="1:88" x14ac:dyDescent="0.25">
      <c r="A2525" t="s">
        <v>111</v>
      </c>
      <c r="B2525" t="s">
        <v>1024</v>
      </c>
      <c r="C2525">
        <v>7929</v>
      </c>
      <c r="D2525">
        <v>-38.312103</v>
      </c>
      <c r="E2525">
        <v>144.994698</v>
      </c>
      <c r="F2525">
        <v>4</v>
      </c>
      <c r="G2525" t="s">
        <v>1026</v>
      </c>
      <c r="H2525">
        <v>25</v>
      </c>
      <c r="I2525">
        <v>205</v>
      </c>
      <c r="J2525">
        <v>115</v>
      </c>
      <c r="K2525">
        <v>295</v>
      </c>
      <c r="L2525">
        <v>154</v>
      </c>
      <c r="M2525">
        <v>334</v>
      </c>
      <c r="N2525">
        <v>296</v>
      </c>
      <c r="O2525">
        <v>116</v>
      </c>
      <c r="T2525">
        <v>6</v>
      </c>
      <c r="U2525">
        <v>2</v>
      </c>
      <c r="V2525">
        <v>8</v>
      </c>
      <c r="Y2525">
        <v>0</v>
      </c>
      <c r="Z2525">
        <v>8</v>
      </c>
      <c r="AA2525">
        <v>31</v>
      </c>
      <c r="AD2525">
        <v>2</v>
      </c>
      <c r="AE2525">
        <v>1</v>
      </c>
      <c r="AF2525">
        <v>12</v>
      </c>
      <c r="AI2525">
        <v>14</v>
      </c>
      <c r="AJ2525">
        <v>28</v>
      </c>
      <c r="AK2525">
        <v>11</v>
      </c>
      <c r="AX2525">
        <v>16</v>
      </c>
      <c r="AY2525">
        <v>16</v>
      </c>
      <c r="AZ2525">
        <v>32</v>
      </c>
      <c r="BA2525">
        <v>39</v>
      </c>
      <c r="BB2525">
        <v>35</v>
      </c>
      <c r="BC2525">
        <v>74</v>
      </c>
      <c r="BD2525">
        <v>15</v>
      </c>
      <c r="BE2525">
        <v>21</v>
      </c>
      <c r="BF2525">
        <v>36</v>
      </c>
      <c r="BG2525">
        <v>53</v>
      </c>
      <c r="BH2525">
        <v>51</v>
      </c>
      <c r="BI2525">
        <v>104</v>
      </c>
      <c r="BP2525">
        <v>14</v>
      </c>
      <c r="BR2525">
        <v>76</v>
      </c>
      <c r="BS2525">
        <v>4</v>
      </c>
      <c r="BT2525">
        <v>26</v>
      </c>
      <c r="BU2525">
        <v>3</v>
      </c>
      <c r="BV2525">
        <v>0</v>
      </c>
      <c r="BW2525">
        <v>123</v>
      </c>
      <c r="CA2525" s="7">
        <v>45242</v>
      </c>
      <c r="CE2525">
        <v>41</v>
      </c>
      <c r="CF2525">
        <v>47</v>
      </c>
      <c r="CG2525">
        <v>35</v>
      </c>
      <c r="CI2525">
        <f t="shared" si="240"/>
        <v>2023</v>
      </c>
      <c r="CJ2525" t="str">
        <f t="shared" si="241"/>
        <v>7929_2023</v>
      </c>
    </row>
    <row r="2526" spans="1:88" x14ac:dyDescent="0.25">
      <c r="A2526" t="s">
        <v>111</v>
      </c>
      <c r="B2526" t="s">
        <v>1024</v>
      </c>
      <c r="C2526">
        <v>7930</v>
      </c>
      <c r="D2526">
        <v>-38.3849236</v>
      </c>
      <c r="E2526">
        <v>145.1250258</v>
      </c>
      <c r="F2526">
        <v>2</v>
      </c>
      <c r="G2526" t="s">
        <v>1027</v>
      </c>
      <c r="H2526">
        <v>7</v>
      </c>
      <c r="I2526">
        <v>187</v>
      </c>
      <c r="J2526">
        <v>186</v>
      </c>
      <c r="K2526">
        <v>6</v>
      </c>
      <c r="T2526">
        <v>27</v>
      </c>
      <c r="Y2526">
        <v>27</v>
      </c>
      <c r="AX2526">
        <v>27</v>
      </c>
      <c r="AY2526">
        <v>27</v>
      </c>
      <c r="AZ2526">
        <v>54</v>
      </c>
      <c r="BA2526">
        <v>27</v>
      </c>
      <c r="BB2526">
        <v>27</v>
      </c>
      <c r="BC2526">
        <v>54</v>
      </c>
      <c r="BP2526">
        <v>19</v>
      </c>
      <c r="BR2526">
        <v>29</v>
      </c>
      <c r="BS2526">
        <v>2</v>
      </c>
      <c r="BT2526">
        <v>2</v>
      </c>
      <c r="BU2526">
        <v>0</v>
      </c>
      <c r="BV2526">
        <v>2</v>
      </c>
      <c r="BW2526">
        <v>54</v>
      </c>
      <c r="CA2526" s="7">
        <v>45242</v>
      </c>
      <c r="CE2526">
        <v>21</v>
      </c>
      <c r="CF2526">
        <v>16</v>
      </c>
      <c r="CG2526">
        <v>17</v>
      </c>
      <c r="CI2526">
        <f t="shared" si="240"/>
        <v>2023</v>
      </c>
      <c r="CJ2526" t="str">
        <f t="shared" si="241"/>
        <v>7930_2023</v>
      </c>
    </row>
    <row r="2527" spans="1:88" x14ac:dyDescent="0.25">
      <c r="A2527" t="s">
        <v>111</v>
      </c>
      <c r="B2527" t="s">
        <v>1024</v>
      </c>
      <c r="C2527">
        <v>7931</v>
      </c>
      <c r="D2527">
        <v>-38.238529</v>
      </c>
      <c r="E2527">
        <v>145.17229900000001</v>
      </c>
      <c r="F2527">
        <v>4</v>
      </c>
      <c r="G2527" t="s">
        <v>1028</v>
      </c>
      <c r="H2527">
        <v>6</v>
      </c>
      <c r="I2527">
        <v>186</v>
      </c>
      <c r="J2527">
        <v>90</v>
      </c>
      <c r="K2527">
        <v>270</v>
      </c>
      <c r="L2527">
        <v>194</v>
      </c>
      <c r="M2527">
        <v>14</v>
      </c>
      <c r="N2527">
        <v>280</v>
      </c>
      <c r="O2527">
        <v>100</v>
      </c>
      <c r="T2527">
        <v>9</v>
      </c>
      <c r="U2527">
        <v>16</v>
      </c>
      <c r="V2527">
        <v>5</v>
      </c>
      <c r="Y2527">
        <v>15</v>
      </c>
      <c r="Z2527">
        <v>0</v>
      </c>
      <c r="AA2527">
        <v>2</v>
      </c>
      <c r="AD2527">
        <v>6</v>
      </c>
      <c r="AE2527">
        <v>0</v>
      </c>
      <c r="AF2527">
        <v>0</v>
      </c>
      <c r="AI2527">
        <v>1</v>
      </c>
      <c r="AJ2527">
        <v>7</v>
      </c>
      <c r="AK2527">
        <v>1</v>
      </c>
      <c r="AX2527">
        <v>30</v>
      </c>
      <c r="AY2527">
        <v>22</v>
      </c>
      <c r="AZ2527">
        <v>52</v>
      </c>
      <c r="BA2527">
        <v>17</v>
      </c>
      <c r="BB2527">
        <v>16</v>
      </c>
      <c r="BC2527">
        <v>33</v>
      </c>
      <c r="BD2527">
        <v>6</v>
      </c>
      <c r="BE2527">
        <v>17</v>
      </c>
      <c r="BF2527">
        <v>23</v>
      </c>
      <c r="BG2527">
        <v>9</v>
      </c>
      <c r="BH2527">
        <v>7</v>
      </c>
      <c r="BI2527">
        <v>16</v>
      </c>
      <c r="BP2527">
        <v>15</v>
      </c>
      <c r="BR2527">
        <v>30</v>
      </c>
      <c r="BS2527">
        <v>1</v>
      </c>
      <c r="BT2527">
        <v>14</v>
      </c>
      <c r="BU2527">
        <v>2</v>
      </c>
      <c r="BV2527">
        <v>0</v>
      </c>
      <c r="BW2527">
        <v>62</v>
      </c>
      <c r="CA2527" s="7">
        <v>45249</v>
      </c>
      <c r="CE2527">
        <v>28</v>
      </c>
      <c r="CF2527">
        <v>19</v>
      </c>
      <c r="CG2527">
        <v>15</v>
      </c>
      <c r="CI2527">
        <f t="shared" si="240"/>
        <v>2023</v>
      </c>
      <c r="CJ2527" t="str">
        <f t="shared" si="241"/>
        <v>7931_2023</v>
      </c>
    </row>
    <row r="2528" spans="1:88" x14ac:dyDescent="0.25">
      <c r="A2528" t="s">
        <v>111</v>
      </c>
      <c r="B2528" t="s">
        <v>1024</v>
      </c>
      <c r="C2528">
        <v>7932</v>
      </c>
      <c r="D2528">
        <v>-38.178285330000001</v>
      </c>
      <c r="E2528">
        <v>145.0851207</v>
      </c>
      <c r="F2528">
        <v>2</v>
      </c>
      <c r="G2528" t="s">
        <v>1029</v>
      </c>
      <c r="H2528">
        <v>148</v>
      </c>
      <c r="I2528">
        <v>328</v>
      </c>
      <c r="J2528">
        <v>328</v>
      </c>
      <c r="K2528">
        <v>148</v>
      </c>
      <c r="T2528">
        <v>44</v>
      </c>
      <c r="Y2528">
        <v>27</v>
      </c>
      <c r="AX2528">
        <v>44</v>
      </c>
      <c r="AY2528">
        <v>27</v>
      </c>
      <c r="AZ2528">
        <v>71</v>
      </c>
      <c r="BA2528">
        <v>27</v>
      </c>
      <c r="BB2528">
        <v>44</v>
      </c>
      <c r="BC2528">
        <v>71</v>
      </c>
      <c r="BP2528">
        <v>5</v>
      </c>
      <c r="BR2528">
        <v>37</v>
      </c>
      <c r="BS2528">
        <v>7</v>
      </c>
      <c r="BT2528">
        <v>21</v>
      </c>
      <c r="BU2528">
        <v>1</v>
      </c>
      <c r="BV2528">
        <v>0</v>
      </c>
      <c r="BW2528">
        <v>71</v>
      </c>
      <c r="CA2528" s="7">
        <v>45242</v>
      </c>
      <c r="CE2528">
        <v>30</v>
      </c>
      <c r="CF2528">
        <v>24</v>
      </c>
      <c r="CG2528">
        <v>17</v>
      </c>
      <c r="CI2528">
        <f t="shared" si="240"/>
        <v>2023</v>
      </c>
      <c r="CJ2528" t="str">
        <f t="shared" si="241"/>
        <v>7932_2023</v>
      </c>
    </row>
    <row r="2529" spans="1:88" x14ac:dyDescent="0.25">
      <c r="A2529" t="s">
        <v>111</v>
      </c>
      <c r="B2529" t="s">
        <v>1024</v>
      </c>
      <c r="C2529">
        <v>7933</v>
      </c>
      <c r="D2529">
        <v>-38.358210999999997</v>
      </c>
      <c r="E2529">
        <v>145.19819100000001</v>
      </c>
      <c r="F2529">
        <v>3</v>
      </c>
      <c r="G2529" t="s">
        <v>1030</v>
      </c>
      <c r="H2529">
        <v>90</v>
      </c>
      <c r="I2529">
        <v>270</v>
      </c>
      <c r="J2529">
        <v>270</v>
      </c>
      <c r="K2529">
        <v>90</v>
      </c>
      <c r="L2529">
        <v>340</v>
      </c>
      <c r="M2529">
        <v>160</v>
      </c>
      <c r="T2529">
        <v>4</v>
      </c>
      <c r="U2529">
        <v>0</v>
      </c>
      <c r="Y2529">
        <v>7</v>
      </c>
      <c r="Z2529">
        <v>0</v>
      </c>
      <c r="AD2529">
        <v>0</v>
      </c>
      <c r="AE2529">
        <v>0</v>
      </c>
      <c r="AX2529">
        <v>4</v>
      </c>
      <c r="AY2529">
        <v>7</v>
      </c>
      <c r="AZ2529">
        <v>11</v>
      </c>
      <c r="BA2529">
        <v>7</v>
      </c>
      <c r="BB2529">
        <v>4</v>
      </c>
      <c r="BC2529">
        <v>11</v>
      </c>
      <c r="BD2529">
        <v>0</v>
      </c>
      <c r="BE2529">
        <v>0</v>
      </c>
      <c r="BF2529">
        <v>0</v>
      </c>
      <c r="BP2529">
        <v>2</v>
      </c>
      <c r="BR2529">
        <v>5</v>
      </c>
      <c r="BS2529">
        <v>0</v>
      </c>
      <c r="BT2529">
        <v>4</v>
      </c>
      <c r="BU2529">
        <v>0</v>
      </c>
      <c r="BV2529">
        <v>0</v>
      </c>
      <c r="BW2529">
        <v>11</v>
      </c>
      <c r="CA2529" s="7">
        <v>45242</v>
      </c>
      <c r="CE2529">
        <v>2</v>
      </c>
      <c r="CF2529">
        <v>3</v>
      </c>
      <c r="CG2529">
        <v>6</v>
      </c>
      <c r="CI2529">
        <f t="shared" si="240"/>
        <v>2023</v>
      </c>
      <c r="CJ2529" t="str">
        <f t="shared" si="241"/>
        <v>7933_2023</v>
      </c>
    </row>
    <row r="2530" spans="1:88" x14ac:dyDescent="0.25">
      <c r="A2530" t="s">
        <v>79</v>
      </c>
      <c r="B2530" t="s">
        <v>1031</v>
      </c>
      <c r="C2530">
        <v>7936</v>
      </c>
      <c r="D2530">
        <v>-32.909824999999998</v>
      </c>
      <c r="E2530">
        <v>151.69630000000001</v>
      </c>
      <c r="F2530">
        <v>3</v>
      </c>
      <c r="G2530" t="s">
        <v>1032</v>
      </c>
      <c r="H2530">
        <v>125</v>
      </c>
      <c r="I2530">
        <v>305</v>
      </c>
      <c r="J2530">
        <v>260</v>
      </c>
      <c r="K2530">
        <v>80</v>
      </c>
      <c r="L2530">
        <v>305</v>
      </c>
      <c r="M2530">
        <v>125</v>
      </c>
      <c r="T2530">
        <v>26</v>
      </c>
      <c r="U2530">
        <v>58</v>
      </c>
      <c r="Y2530">
        <v>17</v>
      </c>
      <c r="Z2530">
        <v>9</v>
      </c>
      <c r="AD2530">
        <v>49</v>
      </c>
      <c r="AE2530">
        <v>13</v>
      </c>
      <c r="AX2530">
        <v>84</v>
      </c>
      <c r="AY2530">
        <v>66</v>
      </c>
      <c r="AZ2530">
        <v>150</v>
      </c>
      <c r="BA2530">
        <v>26</v>
      </c>
      <c r="BB2530">
        <v>39</v>
      </c>
      <c r="BC2530">
        <v>65</v>
      </c>
      <c r="BD2530">
        <v>62</v>
      </c>
      <c r="BE2530">
        <v>67</v>
      </c>
      <c r="BF2530">
        <v>129</v>
      </c>
      <c r="BP2530">
        <v>74</v>
      </c>
      <c r="BR2530">
        <v>59</v>
      </c>
      <c r="BS2530">
        <v>9</v>
      </c>
      <c r="BT2530">
        <v>29</v>
      </c>
      <c r="BU2530">
        <v>1</v>
      </c>
      <c r="BV2530">
        <v>0</v>
      </c>
      <c r="BW2530">
        <v>172</v>
      </c>
      <c r="CA2530" s="7">
        <v>45242</v>
      </c>
      <c r="CE2530">
        <v>73</v>
      </c>
      <c r="CF2530">
        <v>72</v>
      </c>
      <c r="CG2530">
        <v>27</v>
      </c>
      <c r="CI2530">
        <f t="shared" si="240"/>
        <v>2023</v>
      </c>
      <c r="CJ2530" t="str">
        <f t="shared" si="241"/>
        <v>7936_2023</v>
      </c>
    </row>
    <row r="2531" spans="1:88" x14ac:dyDescent="0.25">
      <c r="A2531" t="s">
        <v>79</v>
      </c>
      <c r="B2531" t="s">
        <v>1031</v>
      </c>
      <c r="C2531">
        <v>7937</v>
      </c>
      <c r="D2531">
        <v>-32.919953999999997</v>
      </c>
      <c r="E2531">
        <v>151.72416899999999</v>
      </c>
      <c r="F2531">
        <v>4</v>
      </c>
      <c r="G2531" t="s">
        <v>1033</v>
      </c>
      <c r="H2531">
        <v>5</v>
      </c>
      <c r="I2531">
        <v>185</v>
      </c>
      <c r="J2531">
        <v>134</v>
      </c>
      <c r="K2531">
        <v>314</v>
      </c>
      <c r="L2531">
        <v>203</v>
      </c>
      <c r="M2531">
        <v>23</v>
      </c>
      <c r="N2531">
        <v>250</v>
      </c>
      <c r="O2531">
        <v>70</v>
      </c>
      <c r="T2531">
        <v>12</v>
      </c>
      <c r="U2531">
        <v>13</v>
      </c>
      <c r="V2531">
        <v>2</v>
      </c>
      <c r="Y2531">
        <v>10</v>
      </c>
      <c r="Z2531">
        <v>22</v>
      </c>
      <c r="AA2531">
        <v>57</v>
      </c>
      <c r="AD2531">
        <v>15</v>
      </c>
      <c r="AE2531">
        <v>15</v>
      </c>
      <c r="AF2531">
        <v>4</v>
      </c>
      <c r="AI2531">
        <v>11</v>
      </c>
      <c r="AJ2531">
        <v>31</v>
      </c>
      <c r="AK2531">
        <v>11</v>
      </c>
      <c r="AX2531">
        <v>27</v>
      </c>
      <c r="AY2531">
        <v>36</v>
      </c>
      <c r="AZ2531">
        <v>63</v>
      </c>
      <c r="BA2531">
        <v>89</v>
      </c>
      <c r="BB2531">
        <v>58</v>
      </c>
      <c r="BC2531">
        <v>147</v>
      </c>
      <c r="BD2531">
        <v>34</v>
      </c>
      <c r="BE2531">
        <v>46</v>
      </c>
      <c r="BF2531">
        <v>80</v>
      </c>
      <c r="BG2531">
        <v>53</v>
      </c>
      <c r="BH2531">
        <v>63</v>
      </c>
      <c r="BI2531">
        <v>116</v>
      </c>
      <c r="BP2531">
        <v>159</v>
      </c>
      <c r="BR2531">
        <v>32</v>
      </c>
      <c r="BS2531">
        <v>4</v>
      </c>
      <c r="BT2531">
        <v>6</v>
      </c>
      <c r="BU2531">
        <v>0</v>
      </c>
      <c r="BV2531">
        <v>2</v>
      </c>
      <c r="BW2531">
        <v>203</v>
      </c>
      <c r="CA2531" s="7">
        <v>45242</v>
      </c>
      <c r="CE2531">
        <v>87</v>
      </c>
      <c r="CF2531">
        <v>62</v>
      </c>
      <c r="CG2531">
        <v>54</v>
      </c>
      <c r="CI2531">
        <f t="shared" si="240"/>
        <v>2023</v>
      </c>
      <c r="CJ2531" t="str">
        <f t="shared" si="241"/>
        <v>7937_2023</v>
      </c>
    </row>
    <row r="2532" spans="1:88" x14ac:dyDescent="0.25">
      <c r="A2532" t="s">
        <v>79</v>
      </c>
      <c r="B2532" t="s">
        <v>1031</v>
      </c>
      <c r="C2532">
        <v>7938</v>
      </c>
      <c r="D2532">
        <v>-32.924295399999998</v>
      </c>
      <c r="E2532">
        <v>151.76333109999999</v>
      </c>
      <c r="F2532">
        <v>2</v>
      </c>
      <c r="G2532" t="s">
        <v>1034</v>
      </c>
      <c r="H2532">
        <v>138</v>
      </c>
      <c r="I2532">
        <v>318</v>
      </c>
      <c r="J2532">
        <v>327</v>
      </c>
      <c r="K2532">
        <v>147</v>
      </c>
      <c r="T2532">
        <v>555</v>
      </c>
      <c r="Y2532">
        <v>488</v>
      </c>
      <c r="AX2532">
        <v>555</v>
      </c>
      <c r="AY2532">
        <v>488</v>
      </c>
      <c r="AZ2532">
        <v>1043</v>
      </c>
      <c r="BA2532">
        <v>488</v>
      </c>
      <c r="BB2532">
        <v>555</v>
      </c>
      <c r="BC2532">
        <v>1043</v>
      </c>
      <c r="BP2532">
        <v>467</v>
      </c>
      <c r="BR2532">
        <v>430</v>
      </c>
      <c r="BS2532">
        <v>87</v>
      </c>
      <c r="BT2532">
        <v>37</v>
      </c>
      <c r="BU2532">
        <v>0</v>
      </c>
      <c r="BV2532">
        <v>22</v>
      </c>
      <c r="BW2532">
        <v>1043</v>
      </c>
      <c r="CA2532" s="7">
        <v>45242</v>
      </c>
      <c r="CE2532">
        <v>364</v>
      </c>
      <c r="CF2532">
        <v>373</v>
      </c>
      <c r="CG2532">
        <v>306</v>
      </c>
      <c r="CI2532">
        <f t="shared" si="240"/>
        <v>2023</v>
      </c>
      <c r="CJ2532" t="str">
        <f t="shared" si="241"/>
        <v>7938_2023</v>
      </c>
    </row>
    <row r="2533" spans="1:88" x14ac:dyDescent="0.25">
      <c r="A2533" t="s">
        <v>79</v>
      </c>
      <c r="B2533" t="s">
        <v>1031</v>
      </c>
      <c r="C2533">
        <v>7941</v>
      </c>
      <c r="D2533">
        <v>-32.919430800000001</v>
      </c>
      <c r="E2533">
        <v>151.7822654</v>
      </c>
      <c r="F2533">
        <v>3</v>
      </c>
      <c r="G2533" t="s">
        <v>1035</v>
      </c>
      <c r="H2533">
        <v>36</v>
      </c>
      <c r="I2533">
        <v>216</v>
      </c>
      <c r="J2533">
        <v>120</v>
      </c>
      <c r="K2533">
        <v>300</v>
      </c>
      <c r="L2533">
        <v>295</v>
      </c>
      <c r="M2533">
        <v>115</v>
      </c>
      <c r="T2533">
        <v>32</v>
      </c>
      <c r="U2533">
        <v>19</v>
      </c>
      <c r="Y2533">
        <v>10</v>
      </c>
      <c r="Z2533">
        <v>59</v>
      </c>
      <c r="AD2533">
        <v>14</v>
      </c>
      <c r="AE2533">
        <v>54</v>
      </c>
      <c r="AX2533">
        <v>51</v>
      </c>
      <c r="AY2533">
        <v>24</v>
      </c>
      <c r="AZ2533">
        <v>75</v>
      </c>
      <c r="BA2533">
        <v>69</v>
      </c>
      <c r="BB2533">
        <v>86</v>
      </c>
      <c r="BC2533">
        <v>155</v>
      </c>
      <c r="BD2533">
        <v>68</v>
      </c>
      <c r="BE2533">
        <v>78</v>
      </c>
      <c r="BF2533">
        <v>146</v>
      </c>
      <c r="BP2533">
        <v>39</v>
      </c>
      <c r="BR2533">
        <v>108</v>
      </c>
      <c r="BS2533">
        <v>5</v>
      </c>
      <c r="BT2533">
        <v>17</v>
      </c>
      <c r="BU2533">
        <v>14</v>
      </c>
      <c r="BV2533">
        <v>5</v>
      </c>
      <c r="BW2533">
        <v>188</v>
      </c>
      <c r="CA2533" s="7">
        <v>45242</v>
      </c>
      <c r="CE2533">
        <v>61</v>
      </c>
      <c r="CF2533">
        <v>77</v>
      </c>
      <c r="CG2533">
        <v>50</v>
      </c>
      <c r="CI2533">
        <f t="shared" si="240"/>
        <v>2023</v>
      </c>
      <c r="CJ2533" t="str">
        <f t="shared" si="241"/>
        <v>7941_2023</v>
      </c>
    </row>
    <row r="2534" spans="1:88" x14ac:dyDescent="0.25">
      <c r="A2534" t="s">
        <v>79</v>
      </c>
      <c r="B2534" t="s">
        <v>1031</v>
      </c>
      <c r="C2534">
        <v>7942</v>
      </c>
      <c r="D2534">
        <v>-32.926984300000001</v>
      </c>
      <c r="E2534">
        <v>151.7368769</v>
      </c>
      <c r="F2534">
        <v>5</v>
      </c>
      <c r="G2534" t="s">
        <v>1036</v>
      </c>
      <c r="H2534">
        <v>6</v>
      </c>
      <c r="I2534">
        <v>186</v>
      </c>
      <c r="J2534">
        <v>70</v>
      </c>
      <c r="K2534">
        <v>250</v>
      </c>
      <c r="L2534">
        <v>190</v>
      </c>
      <c r="M2534">
        <v>10</v>
      </c>
      <c r="N2534">
        <v>220</v>
      </c>
      <c r="O2534">
        <v>40</v>
      </c>
      <c r="P2534">
        <v>305</v>
      </c>
      <c r="Q2534">
        <v>125</v>
      </c>
      <c r="T2534">
        <v>25</v>
      </c>
      <c r="U2534">
        <v>9</v>
      </c>
      <c r="V2534">
        <v>4</v>
      </c>
      <c r="W2534">
        <v>1</v>
      </c>
      <c r="Y2534">
        <v>4</v>
      </c>
      <c r="Z2534">
        <v>25</v>
      </c>
      <c r="AA2534">
        <v>21</v>
      </c>
      <c r="AB2534">
        <v>10</v>
      </c>
      <c r="AD2534">
        <v>10</v>
      </c>
      <c r="AE2534">
        <v>9</v>
      </c>
      <c r="AF2534">
        <v>3</v>
      </c>
      <c r="AG2534">
        <v>6</v>
      </c>
      <c r="AI2534">
        <v>1</v>
      </c>
      <c r="AJ2534">
        <v>15</v>
      </c>
      <c r="AK2534">
        <v>3</v>
      </c>
      <c r="AL2534">
        <v>1</v>
      </c>
      <c r="AN2534">
        <v>0</v>
      </c>
      <c r="AO2534">
        <v>3</v>
      </c>
      <c r="AP2534">
        <v>6</v>
      </c>
      <c r="AQ2534">
        <v>0</v>
      </c>
      <c r="AX2534">
        <v>39</v>
      </c>
      <c r="AY2534">
        <v>15</v>
      </c>
      <c r="AZ2534">
        <v>54</v>
      </c>
      <c r="BA2534">
        <v>60</v>
      </c>
      <c r="BB2534">
        <v>52</v>
      </c>
      <c r="BC2534">
        <v>112</v>
      </c>
      <c r="BD2534">
        <v>28</v>
      </c>
      <c r="BE2534">
        <v>43</v>
      </c>
      <c r="BF2534">
        <v>71</v>
      </c>
      <c r="BG2534">
        <v>20</v>
      </c>
      <c r="BH2534">
        <v>28</v>
      </c>
      <c r="BI2534">
        <v>48</v>
      </c>
      <c r="BJ2534">
        <v>9</v>
      </c>
      <c r="BK2534">
        <v>18</v>
      </c>
      <c r="BL2534">
        <v>27</v>
      </c>
      <c r="BP2534">
        <v>107</v>
      </c>
      <c r="BR2534">
        <v>35</v>
      </c>
      <c r="BS2534">
        <v>4</v>
      </c>
      <c r="BT2534">
        <v>4</v>
      </c>
      <c r="BU2534">
        <v>6</v>
      </c>
      <c r="BV2534">
        <v>0</v>
      </c>
      <c r="BW2534">
        <v>156</v>
      </c>
      <c r="CA2534" s="7">
        <v>45242</v>
      </c>
      <c r="CE2534">
        <v>73</v>
      </c>
      <c r="CF2534">
        <v>37</v>
      </c>
      <c r="CG2534">
        <v>46</v>
      </c>
      <c r="CI2534">
        <f t="shared" si="240"/>
        <v>2023</v>
      </c>
      <c r="CJ2534" t="str">
        <f t="shared" si="241"/>
        <v>7942_2023</v>
      </c>
    </row>
    <row r="2535" spans="1:88" x14ac:dyDescent="0.25">
      <c r="A2535" t="s">
        <v>79</v>
      </c>
      <c r="B2535" t="s">
        <v>1031</v>
      </c>
      <c r="C2535">
        <v>7943</v>
      </c>
      <c r="D2535">
        <v>-32.929423100000001</v>
      </c>
      <c r="E2535">
        <v>151.77016649999999</v>
      </c>
      <c r="F2535">
        <v>3</v>
      </c>
      <c r="G2535" t="s">
        <v>1037</v>
      </c>
      <c r="H2535">
        <v>83</v>
      </c>
      <c r="I2535">
        <v>263</v>
      </c>
      <c r="J2535">
        <v>183</v>
      </c>
      <c r="K2535">
        <v>3</v>
      </c>
      <c r="L2535">
        <v>268</v>
      </c>
      <c r="M2535">
        <v>88</v>
      </c>
      <c r="T2535">
        <v>32</v>
      </c>
      <c r="U2535">
        <v>41</v>
      </c>
      <c r="Y2535">
        <v>41</v>
      </c>
      <c r="Z2535">
        <v>5</v>
      </c>
      <c r="AD2535">
        <v>64</v>
      </c>
      <c r="AE2535">
        <v>11</v>
      </c>
      <c r="AX2535">
        <v>73</v>
      </c>
      <c r="AY2535">
        <v>105</v>
      </c>
      <c r="AZ2535">
        <v>178</v>
      </c>
      <c r="BA2535">
        <v>46</v>
      </c>
      <c r="BB2535">
        <v>43</v>
      </c>
      <c r="BC2535">
        <v>89</v>
      </c>
      <c r="BD2535">
        <v>75</v>
      </c>
      <c r="BE2535">
        <v>46</v>
      </c>
      <c r="BF2535">
        <v>121</v>
      </c>
      <c r="BP2535">
        <v>33</v>
      </c>
      <c r="BR2535">
        <v>128</v>
      </c>
      <c r="BS2535">
        <v>4</v>
      </c>
      <c r="BT2535">
        <v>26</v>
      </c>
      <c r="BU2535">
        <v>0</v>
      </c>
      <c r="BV2535">
        <v>3</v>
      </c>
      <c r="BW2535">
        <v>194</v>
      </c>
      <c r="CA2535" s="7">
        <v>45242</v>
      </c>
      <c r="CE2535">
        <v>63</v>
      </c>
      <c r="CF2535">
        <v>73</v>
      </c>
      <c r="CG2535">
        <v>58</v>
      </c>
      <c r="CI2535">
        <f t="shared" si="240"/>
        <v>2023</v>
      </c>
      <c r="CJ2535" t="str">
        <f t="shared" si="241"/>
        <v>7943_2023</v>
      </c>
    </row>
    <row r="2536" spans="1:88" x14ac:dyDescent="0.25">
      <c r="A2536" t="s">
        <v>79</v>
      </c>
      <c r="B2536" t="s">
        <v>1031</v>
      </c>
      <c r="C2536">
        <v>7946</v>
      </c>
      <c r="D2536">
        <v>-32.932035399999997</v>
      </c>
      <c r="E2536">
        <v>151.71891980000001</v>
      </c>
      <c r="F2536">
        <v>4</v>
      </c>
      <c r="G2536" t="s">
        <v>1038</v>
      </c>
      <c r="H2536">
        <v>69</v>
      </c>
      <c r="I2536">
        <v>249</v>
      </c>
      <c r="J2536">
        <v>130</v>
      </c>
      <c r="K2536">
        <v>310</v>
      </c>
      <c r="L2536">
        <v>234</v>
      </c>
      <c r="M2536">
        <v>54</v>
      </c>
      <c r="N2536">
        <v>315</v>
      </c>
      <c r="O2536">
        <v>135</v>
      </c>
      <c r="T2536">
        <v>15</v>
      </c>
      <c r="U2536">
        <v>24</v>
      </c>
      <c r="V2536">
        <v>7</v>
      </c>
      <c r="Y2536">
        <v>13</v>
      </c>
      <c r="Z2536">
        <v>15</v>
      </c>
      <c r="AA2536">
        <v>39</v>
      </c>
      <c r="AD2536">
        <v>14</v>
      </c>
      <c r="AE2536">
        <v>14</v>
      </c>
      <c r="AF2536">
        <v>8</v>
      </c>
      <c r="AI2536">
        <v>8</v>
      </c>
      <c r="AJ2536">
        <v>29</v>
      </c>
      <c r="AK2536">
        <v>7</v>
      </c>
      <c r="AX2536">
        <v>46</v>
      </c>
      <c r="AY2536">
        <v>35</v>
      </c>
      <c r="AZ2536">
        <v>81</v>
      </c>
      <c r="BA2536">
        <v>67</v>
      </c>
      <c r="BB2536">
        <v>58</v>
      </c>
      <c r="BC2536">
        <v>125</v>
      </c>
      <c r="BD2536">
        <v>36</v>
      </c>
      <c r="BE2536">
        <v>46</v>
      </c>
      <c r="BF2536">
        <v>82</v>
      </c>
      <c r="BG2536">
        <v>44</v>
      </c>
      <c r="BH2536">
        <v>54</v>
      </c>
      <c r="BI2536">
        <v>98</v>
      </c>
      <c r="BP2536">
        <v>138</v>
      </c>
      <c r="BR2536">
        <v>28</v>
      </c>
      <c r="BS2536">
        <v>8</v>
      </c>
      <c r="BT2536">
        <v>12</v>
      </c>
      <c r="BU2536">
        <v>7</v>
      </c>
      <c r="BV2536">
        <v>0</v>
      </c>
      <c r="BW2536">
        <v>193</v>
      </c>
      <c r="CA2536" s="7">
        <v>45242</v>
      </c>
      <c r="CE2536">
        <v>90</v>
      </c>
      <c r="CF2536">
        <v>56</v>
      </c>
      <c r="CG2536">
        <v>47</v>
      </c>
      <c r="CI2536">
        <f t="shared" si="240"/>
        <v>2023</v>
      </c>
      <c r="CJ2536" t="str">
        <f t="shared" si="241"/>
        <v>7946_2023</v>
      </c>
    </row>
    <row r="2537" spans="1:88" x14ac:dyDescent="0.25">
      <c r="A2537" t="s">
        <v>79</v>
      </c>
      <c r="B2537" t="s">
        <v>1031</v>
      </c>
      <c r="C2537">
        <v>7947</v>
      </c>
      <c r="D2537">
        <v>-32.947772100000002</v>
      </c>
      <c r="E2537">
        <v>151.75715880000001</v>
      </c>
      <c r="F2537">
        <v>4</v>
      </c>
      <c r="G2537" t="s">
        <v>1039</v>
      </c>
      <c r="H2537">
        <v>50</v>
      </c>
      <c r="I2537">
        <v>230</v>
      </c>
      <c r="J2537">
        <v>215</v>
      </c>
      <c r="K2537">
        <v>35</v>
      </c>
      <c r="L2537">
        <v>240</v>
      </c>
      <c r="M2537">
        <v>60</v>
      </c>
      <c r="N2537">
        <v>350</v>
      </c>
      <c r="O2537">
        <v>170</v>
      </c>
      <c r="T2537">
        <v>553</v>
      </c>
      <c r="U2537">
        <v>8</v>
      </c>
      <c r="V2537">
        <v>30</v>
      </c>
      <c r="Y2537">
        <v>683</v>
      </c>
      <c r="Z2537">
        <v>46</v>
      </c>
      <c r="AA2537">
        <v>373</v>
      </c>
      <c r="AD2537">
        <v>6</v>
      </c>
      <c r="AE2537">
        <v>32</v>
      </c>
      <c r="AF2537">
        <v>1</v>
      </c>
      <c r="AI2537">
        <v>4</v>
      </c>
      <c r="AJ2537">
        <v>559</v>
      </c>
      <c r="AK2537">
        <v>0</v>
      </c>
      <c r="AX2537">
        <v>591</v>
      </c>
      <c r="AY2537">
        <v>693</v>
      </c>
      <c r="AZ2537">
        <v>1284</v>
      </c>
      <c r="BA2537">
        <v>1102</v>
      </c>
      <c r="BB2537">
        <v>1144</v>
      </c>
      <c r="BC2537">
        <v>2246</v>
      </c>
      <c r="BD2537">
        <v>39</v>
      </c>
      <c r="BE2537">
        <v>54</v>
      </c>
      <c r="BF2537">
        <v>93</v>
      </c>
      <c r="BG2537">
        <v>563</v>
      </c>
      <c r="BH2537">
        <v>404</v>
      </c>
      <c r="BI2537">
        <v>967</v>
      </c>
      <c r="BP2537">
        <v>138</v>
      </c>
      <c r="BR2537">
        <v>1946</v>
      </c>
      <c r="BS2537">
        <v>75</v>
      </c>
      <c r="BT2537">
        <v>131</v>
      </c>
      <c r="BU2537">
        <v>5</v>
      </c>
      <c r="BV2537">
        <v>0</v>
      </c>
      <c r="BW2537">
        <v>2295</v>
      </c>
      <c r="CA2537" s="7">
        <v>45242</v>
      </c>
      <c r="CE2537">
        <v>742</v>
      </c>
      <c r="CF2537">
        <v>889</v>
      </c>
      <c r="CG2537">
        <v>664</v>
      </c>
      <c r="CI2537">
        <f t="shared" si="240"/>
        <v>2023</v>
      </c>
      <c r="CJ2537" t="str">
        <f t="shared" si="241"/>
        <v>7947_2023</v>
      </c>
    </row>
    <row r="2538" spans="1:88" x14ac:dyDescent="0.25">
      <c r="A2538" t="s">
        <v>79</v>
      </c>
      <c r="B2538" t="s">
        <v>1031</v>
      </c>
      <c r="C2538">
        <v>7948</v>
      </c>
      <c r="D2538">
        <v>-32.933862099999999</v>
      </c>
      <c r="E2538">
        <v>151.72341</v>
      </c>
      <c r="F2538">
        <v>4</v>
      </c>
      <c r="G2538" t="s">
        <v>1040</v>
      </c>
      <c r="H2538">
        <v>10</v>
      </c>
      <c r="I2538">
        <v>190</v>
      </c>
      <c r="J2538">
        <v>98</v>
      </c>
      <c r="K2538">
        <v>278</v>
      </c>
      <c r="L2538">
        <v>187</v>
      </c>
      <c r="M2538">
        <v>7</v>
      </c>
      <c r="N2538">
        <v>282</v>
      </c>
      <c r="O2538">
        <v>102</v>
      </c>
      <c r="T2538">
        <v>0</v>
      </c>
      <c r="U2538">
        <v>14</v>
      </c>
      <c r="V2538">
        <v>28</v>
      </c>
      <c r="Y2538">
        <v>2</v>
      </c>
      <c r="Z2538">
        <v>7</v>
      </c>
      <c r="AA2538">
        <v>49</v>
      </c>
      <c r="AD2538">
        <v>0</v>
      </c>
      <c r="AE2538">
        <v>0</v>
      </c>
      <c r="AF2538">
        <v>0</v>
      </c>
      <c r="AI2538">
        <v>38</v>
      </c>
      <c r="AJ2538">
        <v>51</v>
      </c>
      <c r="AK2538">
        <v>0</v>
      </c>
      <c r="AX2538">
        <v>42</v>
      </c>
      <c r="AY2538">
        <v>40</v>
      </c>
      <c r="AZ2538">
        <v>82</v>
      </c>
      <c r="BA2538">
        <v>58</v>
      </c>
      <c r="BB2538">
        <v>51</v>
      </c>
      <c r="BC2538">
        <v>109</v>
      </c>
      <c r="BD2538">
        <v>0</v>
      </c>
      <c r="BE2538">
        <v>21</v>
      </c>
      <c r="BF2538">
        <v>21</v>
      </c>
      <c r="BG2538">
        <v>89</v>
      </c>
      <c r="BH2538">
        <v>77</v>
      </c>
      <c r="BI2538">
        <v>166</v>
      </c>
      <c r="BP2538">
        <v>99</v>
      </c>
      <c r="BR2538">
        <v>62</v>
      </c>
      <c r="BS2538">
        <v>9</v>
      </c>
      <c r="BT2538">
        <v>10</v>
      </c>
      <c r="BU2538">
        <v>9</v>
      </c>
      <c r="BV2538">
        <v>0</v>
      </c>
      <c r="BW2538">
        <v>189</v>
      </c>
      <c r="CA2538" s="7">
        <v>45249</v>
      </c>
      <c r="CE2538">
        <v>75</v>
      </c>
      <c r="CF2538">
        <v>65</v>
      </c>
      <c r="CG2538">
        <v>49</v>
      </c>
      <c r="CI2538">
        <f t="shared" si="240"/>
        <v>2023</v>
      </c>
      <c r="CJ2538" t="str">
        <f t="shared" si="241"/>
        <v>7948_2023</v>
      </c>
    </row>
    <row r="2539" spans="1:88" x14ac:dyDescent="0.25">
      <c r="A2539" t="s">
        <v>79</v>
      </c>
      <c r="B2539" t="s">
        <v>1031</v>
      </c>
      <c r="C2539">
        <v>7949</v>
      </c>
      <c r="D2539">
        <v>-32.910442400000001</v>
      </c>
      <c r="E2539">
        <v>151.74227569999999</v>
      </c>
      <c r="F2539">
        <v>4</v>
      </c>
      <c r="G2539" t="s">
        <v>1041</v>
      </c>
      <c r="H2539">
        <v>44</v>
      </c>
      <c r="I2539">
        <v>224</v>
      </c>
      <c r="J2539">
        <v>140</v>
      </c>
      <c r="K2539">
        <v>320</v>
      </c>
      <c r="L2539">
        <v>230</v>
      </c>
      <c r="M2539">
        <v>50</v>
      </c>
      <c r="N2539">
        <v>318</v>
      </c>
      <c r="O2539">
        <v>138</v>
      </c>
      <c r="T2539">
        <v>4</v>
      </c>
      <c r="U2539">
        <v>31</v>
      </c>
      <c r="V2539">
        <v>10</v>
      </c>
      <c r="Y2539">
        <v>2</v>
      </c>
      <c r="Z2539">
        <v>82</v>
      </c>
      <c r="AA2539">
        <v>16</v>
      </c>
      <c r="AD2539">
        <v>33</v>
      </c>
      <c r="AE2539">
        <v>50</v>
      </c>
      <c r="AF2539">
        <v>7</v>
      </c>
      <c r="AI2539">
        <v>2</v>
      </c>
      <c r="AJ2539">
        <v>18</v>
      </c>
      <c r="AK2539">
        <v>10</v>
      </c>
      <c r="AX2539">
        <v>45</v>
      </c>
      <c r="AY2539">
        <v>37</v>
      </c>
      <c r="AZ2539">
        <v>82</v>
      </c>
      <c r="BA2539">
        <v>100</v>
      </c>
      <c r="BB2539">
        <v>72</v>
      </c>
      <c r="BC2539">
        <v>172</v>
      </c>
      <c r="BD2539">
        <v>90</v>
      </c>
      <c r="BE2539">
        <v>123</v>
      </c>
      <c r="BF2539">
        <v>213</v>
      </c>
      <c r="BG2539">
        <v>30</v>
      </c>
      <c r="BH2539">
        <v>33</v>
      </c>
      <c r="BI2539">
        <v>63</v>
      </c>
      <c r="BP2539">
        <v>195</v>
      </c>
      <c r="BR2539">
        <v>40</v>
      </c>
      <c r="BS2539">
        <v>20</v>
      </c>
      <c r="BT2539">
        <v>8</v>
      </c>
      <c r="BU2539">
        <v>2</v>
      </c>
      <c r="BV2539">
        <v>0</v>
      </c>
      <c r="BW2539">
        <v>265</v>
      </c>
      <c r="CA2539" s="7">
        <v>45242</v>
      </c>
      <c r="CE2539">
        <v>120</v>
      </c>
      <c r="CF2539">
        <v>89</v>
      </c>
      <c r="CG2539">
        <v>56</v>
      </c>
      <c r="CI2539">
        <f t="shared" si="240"/>
        <v>2023</v>
      </c>
      <c r="CJ2539" t="str">
        <f t="shared" si="241"/>
        <v>7949_2023</v>
      </c>
    </row>
    <row r="2540" spans="1:88" x14ac:dyDescent="0.25">
      <c r="A2540" t="s">
        <v>79</v>
      </c>
      <c r="B2540" t="s">
        <v>1031</v>
      </c>
      <c r="C2540">
        <v>7950</v>
      </c>
      <c r="D2540">
        <v>-32.926722699999999</v>
      </c>
      <c r="E2540">
        <v>151.7640327</v>
      </c>
      <c r="F2540">
        <v>4</v>
      </c>
      <c r="G2540" t="s">
        <v>1042</v>
      </c>
      <c r="H2540">
        <v>15</v>
      </c>
      <c r="I2540">
        <v>195</v>
      </c>
      <c r="J2540">
        <v>105</v>
      </c>
      <c r="K2540">
        <v>285</v>
      </c>
      <c r="L2540">
        <v>195</v>
      </c>
      <c r="M2540">
        <v>15</v>
      </c>
      <c r="N2540">
        <v>280</v>
      </c>
      <c r="O2540">
        <v>100</v>
      </c>
      <c r="T2540">
        <v>20</v>
      </c>
      <c r="U2540">
        <v>112</v>
      </c>
      <c r="V2540">
        <v>59</v>
      </c>
      <c r="Y2540">
        <v>44</v>
      </c>
      <c r="Z2540">
        <v>46</v>
      </c>
      <c r="AA2540">
        <v>93</v>
      </c>
      <c r="AD2540">
        <v>79</v>
      </c>
      <c r="AE2540">
        <v>17</v>
      </c>
      <c r="AF2540">
        <v>15</v>
      </c>
      <c r="AI2540">
        <v>38</v>
      </c>
      <c r="AJ2540">
        <v>97</v>
      </c>
      <c r="AK2540">
        <v>12</v>
      </c>
      <c r="AX2540">
        <v>191</v>
      </c>
      <c r="AY2540">
        <v>161</v>
      </c>
      <c r="AZ2540">
        <v>352</v>
      </c>
      <c r="BA2540">
        <v>183</v>
      </c>
      <c r="BB2540">
        <v>134</v>
      </c>
      <c r="BC2540">
        <v>317</v>
      </c>
      <c r="BD2540">
        <v>111</v>
      </c>
      <c r="BE2540">
        <v>170</v>
      </c>
      <c r="BF2540">
        <v>281</v>
      </c>
      <c r="BG2540">
        <v>147</v>
      </c>
      <c r="BH2540">
        <v>167</v>
      </c>
      <c r="BI2540">
        <v>314</v>
      </c>
      <c r="BP2540">
        <v>123</v>
      </c>
      <c r="BR2540">
        <v>469</v>
      </c>
      <c r="BS2540">
        <v>4</v>
      </c>
      <c r="BT2540">
        <v>8</v>
      </c>
      <c r="BU2540">
        <v>26</v>
      </c>
      <c r="BV2540">
        <v>2</v>
      </c>
      <c r="BW2540">
        <v>632</v>
      </c>
      <c r="CA2540" s="7">
        <v>45242</v>
      </c>
      <c r="CE2540">
        <v>198</v>
      </c>
      <c r="CF2540">
        <v>203</v>
      </c>
      <c r="CG2540">
        <v>231</v>
      </c>
      <c r="CI2540">
        <f t="shared" si="240"/>
        <v>2023</v>
      </c>
      <c r="CJ2540" t="str">
        <f t="shared" si="241"/>
        <v>7950_2023</v>
      </c>
    </row>
    <row r="2541" spans="1:88" x14ac:dyDescent="0.25">
      <c r="A2541" t="s">
        <v>140</v>
      </c>
      <c r="B2541" t="s">
        <v>141</v>
      </c>
      <c r="C2541">
        <v>4726</v>
      </c>
      <c r="D2541">
        <v>-31.958725999999999</v>
      </c>
      <c r="E2541">
        <v>115.85833700000001</v>
      </c>
      <c r="F2541">
        <v>3</v>
      </c>
      <c r="G2541" t="s">
        <v>142</v>
      </c>
      <c r="H2541">
        <v>22</v>
      </c>
      <c r="I2541">
        <v>202</v>
      </c>
      <c r="J2541">
        <v>114</v>
      </c>
      <c r="K2541">
        <v>294</v>
      </c>
      <c r="L2541">
        <v>267</v>
      </c>
      <c r="M2541">
        <v>87</v>
      </c>
      <c r="T2541">
        <v>145</v>
      </c>
      <c r="U2541">
        <v>29</v>
      </c>
      <c r="Y2541">
        <v>36</v>
      </c>
      <c r="Z2541">
        <v>614</v>
      </c>
      <c r="AD2541">
        <v>22</v>
      </c>
      <c r="AE2541">
        <v>406</v>
      </c>
      <c r="AX2541">
        <v>174</v>
      </c>
      <c r="AY2541">
        <v>58</v>
      </c>
      <c r="AZ2541">
        <v>232</v>
      </c>
      <c r="BA2541">
        <v>650</v>
      </c>
      <c r="BB2541">
        <v>551</v>
      </c>
      <c r="BC2541">
        <v>1201</v>
      </c>
      <c r="BD2541">
        <v>428</v>
      </c>
      <c r="BE2541">
        <v>643</v>
      </c>
      <c r="BF2541">
        <v>1071</v>
      </c>
      <c r="BP2541">
        <v>391</v>
      </c>
      <c r="BR2541">
        <v>659</v>
      </c>
      <c r="BS2541">
        <v>128</v>
      </c>
      <c r="BT2541">
        <v>15</v>
      </c>
      <c r="BU2541">
        <v>57</v>
      </c>
      <c r="BV2541">
        <v>2</v>
      </c>
      <c r="BW2541">
        <v>1252</v>
      </c>
      <c r="BX2541">
        <v>1144</v>
      </c>
      <c r="BY2541">
        <v>9.4399999999999998E-2</v>
      </c>
      <c r="BZ2541" s="6">
        <v>0.09</v>
      </c>
      <c r="CA2541" s="7">
        <v>45242</v>
      </c>
      <c r="CE2541">
        <v>486</v>
      </c>
      <c r="CF2541">
        <v>467</v>
      </c>
      <c r="CG2541">
        <v>299</v>
      </c>
      <c r="CI2541">
        <f t="shared" si="240"/>
        <v>2023</v>
      </c>
      <c r="CJ2541" t="str">
        <f t="shared" si="241"/>
        <v>4726_2023</v>
      </c>
    </row>
    <row r="2542" spans="1:88" x14ac:dyDescent="0.25">
      <c r="A2542" t="s">
        <v>140</v>
      </c>
      <c r="B2542" t="s">
        <v>141</v>
      </c>
      <c r="C2542">
        <v>5325</v>
      </c>
      <c r="D2542">
        <v>-31.959361000000001</v>
      </c>
      <c r="E2542">
        <v>115.8646</v>
      </c>
      <c r="F2542">
        <v>4</v>
      </c>
      <c r="G2542" t="s">
        <v>166</v>
      </c>
      <c r="H2542">
        <v>21</v>
      </c>
      <c r="I2542">
        <v>201</v>
      </c>
      <c r="J2542">
        <v>110</v>
      </c>
      <c r="K2542">
        <v>290</v>
      </c>
      <c r="L2542">
        <v>200</v>
      </c>
      <c r="M2542">
        <v>20</v>
      </c>
      <c r="N2542">
        <v>294</v>
      </c>
      <c r="O2542">
        <v>114</v>
      </c>
      <c r="T2542">
        <v>40</v>
      </c>
      <c r="U2542">
        <v>76</v>
      </c>
      <c r="V2542">
        <v>30</v>
      </c>
      <c r="Y2542">
        <v>51</v>
      </c>
      <c r="Z2542">
        <v>40</v>
      </c>
      <c r="AA2542">
        <v>95</v>
      </c>
      <c r="AD2542">
        <v>66</v>
      </c>
      <c r="AE2542">
        <v>16</v>
      </c>
      <c r="AF2542">
        <v>4</v>
      </c>
      <c r="AI2542">
        <v>31</v>
      </c>
      <c r="AJ2542">
        <v>33</v>
      </c>
      <c r="AK2542">
        <v>0</v>
      </c>
      <c r="AX2542">
        <v>146</v>
      </c>
      <c r="AY2542">
        <v>148</v>
      </c>
      <c r="AZ2542">
        <v>294</v>
      </c>
      <c r="BA2542">
        <v>186</v>
      </c>
      <c r="BB2542">
        <v>89</v>
      </c>
      <c r="BC2542">
        <v>275</v>
      </c>
      <c r="BD2542">
        <v>86</v>
      </c>
      <c r="BE2542">
        <v>116</v>
      </c>
      <c r="BF2542">
        <v>202</v>
      </c>
      <c r="BG2542">
        <v>64</v>
      </c>
      <c r="BH2542">
        <v>129</v>
      </c>
      <c r="BI2542">
        <v>193</v>
      </c>
      <c r="BP2542">
        <v>50</v>
      </c>
      <c r="BR2542">
        <v>398</v>
      </c>
      <c r="BS2542">
        <v>7</v>
      </c>
      <c r="BT2542">
        <v>8</v>
      </c>
      <c r="BU2542">
        <v>16</v>
      </c>
      <c r="BV2542">
        <v>3</v>
      </c>
      <c r="BW2542">
        <v>482</v>
      </c>
      <c r="BX2542">
        <v>490</v>
      </c>
      <c r="BY2542">
        <v>-1.6299999999999999E-2</v>
      </c>
      <c r="BZ2542" s="6">
        <v>-0.02</v>
      </c>
      <c r="CA2542" s="7">
        <v>45242</v>
      </c>
      <c r="CE2542">
        <v>155</v>
      </c>
      <c r="CF2542">
        <v>181</v>
      </c>
      <c r="CG2542">
        <v>146</v>
      </c>
      <c r="CI2542">
        <f t="shared" si="240"/>
        <v>2023</v>
      </c>
      <c r="CJ2542" t="str">
        <f t="shared" si="241"/>
        <v>5325_2023</v>
      </c>
    </row>
    <row r="2543" spans="1:88" x14ac:dyDescent="0.25">
      <c r="A2543" t="s">
        <v>140</v>
      </c>
      <c r="B2543" t="s">
        <v>141</v>
      </c>
      <c r="C2543">
        <v>5362</v>
      </c>
      <c r="D2543">
        <v>-31.959026000000001</v>
      </c>
      <c r="E2543">
        <v>115.851686</v>
      </c>
      <c r="F2543">
        <v>3</v>
      </c>
      <c r="G2543" t="s">
        <v>167</v>
      </c>
      <c r="H2543">
        <v>70</v>
      </c>
      <c r="I2543">
        <v>250</v>
      </c>
      <c r="J2543">
        <v>222</v>
      </c>
      <c r="K2543">
        <v>42</v>
      </c>
      <c r="L2543">
        <v>292</v>
      </c>
      <c r="M2543">
        <v>112</v>
      </c>
      <c r="T2543">
        <v>224</v>
      </c>
      <c r="U2543">
        <v>139</v>
      </c>
      <c r="Y2543">
        <v>152</v>
      </c>
      <c r="Z2543">
        <v>9</v>
      </c>
      <c r="AD2543">
        <v>184</v>
      </c>
      <c r="AE2543">
        <v>9</v>
      </c>
      <c r="AX2543">
        <v>363</v>
      </c>
      <c r="AY2543">
        <v>336</v>
      </c>
      <c r="AZ2543">
        <v>699</v>
      </c>
      <c r="BA2543">
        <v>161</v>
      </c>
      <c r="BB2543">
        <v>233</v>
      </c>
      <c r="BC2543">
        <v>394</v>
      </c>
      <c r="BD2543">
        <v>193</v>
      </c>
      <c r="BE2543">
        <v>148</v>
      </c>
      <c r="BF2543">
        <v>341</v>
      </c>
      <c r="BP2543">
        <v>319</v>
      </c>
      <c r="BR2543">
        <v>260</v>
      </c>
      <c r="BS2543">
        <v>111</v>
      </c>
      <c r="BT2543">
        <v>10</v>
      </c>
      <c r="BU2543">
        <v>17</v>
      </c>
      <c r="BV2543">
        <v>0</v>
      </c>
      <c r="BW2543">
        <v>717</v>
      </c>
      <c r="BX2543">
        <v>333</v>
      </c>
      <c r="BY2543">
        <v>1.1532</v>
      </c>
      <c r="BZ2543" s="6">
        <v>1.1499999999999999</v>
      </c>
      <c r="CA2543" s="7">
        <v>45242</v>
      </c>
      <c r="CE2543">
        <v>281</v>
      </c>
      <c r="CF2543">
        <v>229</v>
      </c>
      <c r="CG2543">
        <v>207</v>
      </c>
      <c r="CI2543">
        <f t="shared" si="240"/>
        <v>2023</v>
      </c>
      <c r="CJ2543" t="str">
        <f t="shared" si="241"/>
        <v>5362_2023</v>
      </c>
    </row>
    <row r="2544" spans="1:88" x14ac:dyDescent="0.25">
      <c r="A2544" t="s">
        <v>140</v>
      </c>
      <c r="B2544" t="s">
        <v>141</v>
      </c>
      <c r="C2544">
        <v>7046</v>
      </c>
      <c r="D2544">
        <v>-31.957643999999998</v>
      </c>
      <c r="E2544">
        <v>115.88421</v>
      </c>
      <c r="F2544">
        <v>2</v>
      </c>
      <c r="G2544" t="s">
        <v>704</v>
      </c>
      <c r="H2544">
        <v>176</v>
      </c>
      <c r="I2544">
        <v>356</v>
      </c>
      <c r="J2544">
        <v>339</v>
      </c>
      <c r="K2544">
        <v>159</v>
      </c>
      <c r="T2544">
        <v>241</v>
      </c>
      <c r="Y2544">
        <v>215</v>
      </c>
      <c r="AX2544">
        <v>241</v>
      </c>
      <c r="AY2544">
        <v>215</v>
      </c>
      <c r="AZ2544">
        <v>456</v>
      </c>
      <c r="BA2544">
        <v>215</v>
      </c>
      <c r="BB2544">
        <v>241</v>
      </c>
      <c r="BC2544">
        <v>456</v>
      </c>
      <c r="BP2544">
        <v>171</v>
      </c>
      <c r="BR2544">
        <v>158</v>
      </c>
      <c r="BS2544">
        <v>96</v>
      </c>
      <c r="BT2544">
        <v>8</v>
      </c>
      <c r="BU2544">
        <v>16</v>
      </c>
      <c r="BV2544">
        <v>7</v>
      </c>
      <c r="BW2544">
        <v>456</v>
      </c>
      <c r="BX2544">
        <v>566</v>
      </c>
      <c r="BY2544">
        <v>-0.1943</v>
      </c>
      <c r="BZ2544" s="6">
        <v>-0.19</v>
      </c>
      <c r="CA2544" s="7">
        <v>45242</v>
      </c>
      <c r="CE2544">
        <v>198</v>
      </c>
      <c r="CF2544">
        <v>161</v>
      </c>
      <c r="CG2544">
        <v>97</v>
      </c>
      <c r="CI2544">
        <f t="shared" si="240"/>
        <v>2023</v>
      </c>
      <c r="CJ2544" t="str">
        <f t="shared" si="241"/>
        <v>7046_2023</v>
      </c>
    </row>
    <row r="2545" spans="1:88" x14ac:dyDescent="0.25">
      <c r="A2545" t="s">
        <v>140</v>
      </c>
      <c r="B2545" t="s">
        <v>141</v>
      </c>
      <c r="C2545">
        <v>7047</v>
      </c>
      <c r="D2545">
        <v>-31.964219</v>
      </c>
      <c r="E2545">
        <v>115.87494</v>
      </c>
      <c r="F2545">
        <v>2</v>
      </c>
      <c r="G2545" t="s">
        <v>718</v>
      </c>
      <c r="H2545">
        <v>88</v>
      </c>
      <c r="I2545">
        <v>268</v>
      </c>
      <c r="J2545">
        <v>281</v>
      </c>
      <c r="K2545">
        <v>101</v>
      </c>
      <c r="T2545">
        <v>351</v>
      </c>
      <c r="Y2545">
        <v>367</v>
      </c>
      <c r="AX2545">
        <v>351</v>
      </c>
      <c r="AY2545">
        <v>367</v>
      </c>
      <c r="AZ2545">
        <v>718</v>
      </c>
      <c r="BA2545">
        <v>367</v>
      </c>
      <c r="BB2545">
        <v>351</v>
      </c>
      <c r="BC2545">
        <v>718</v>
      </c>
      <c r="BP2545">
        <v>293</v>
      </c>
      <c r="BR2545">
        <v>252</v>
      </c>
      <c r="BS2545">
        <v>132</v>
      </c>
      <c r="BT2545">
        <v>9</v>
      </c>
      <c r="BU2545">
        <v>32</v>
      </c>
      <c r="BV2545">
        <v>0</v>
      </c>
      <c r="BW2545">
        <v>718</v>
      </c>
      <c r="BX2545">
        <v>741</v>
      </c>
      <c r="BY2545">
        <v>-3.1E-2</v>
      </c>
      <c r="BZ2545" s="6">
        <v>-0.03</v>
      </c>
      <c r="CA2545" s="7">
        <v>45242</v>
      </c>
      <c r="CE2545">
        <v>249</v>
      </c>
      <c r="CF2545">
        <v>261</v>
      </c>
      <c r="CG2545">
        <v>208</v>
      </c>
      <c r="CI2545">
        <f t="shared" si="240"/>
        <v>2023</v>
      </c>
      <c r="CJ2545" t="str">
        <f t="shared" si="241"/>
        <v>7047_2023</v>
      </c>
    </row>
    <row r="2546" spans="1:88" x14ac:dyDescent="0.25">
      <c r="A2546" t="s">
        <v>140</v>
      </c>
      <c r="B2546" t="s">
        <v>141</v>
      </c>
      <c r="C2546">
        <v>7048</v>
      </c>
      <c r="D2546">
        <v>-31.980248</v>
      </c>
      <c r="E2546">
        <v>115.82082</v>
      </c>
      <c r="F2546">
        <v>2</v>
      </c>
      <c r="G2546" t="s">
        <v>704</v>
      </c>
      <c r="H2546">
        <v>179</v>
      </c>
      <c r="I2546">
        <v>359</v>
      </c>
      <c r="J2546">
        <v>355</v>
      </c>
      <c r="K2546">
        <v>175</v>
      </c>
      <c r="T2546">
        <v>316</v>
      </c>
      <c r="Y2546">
        <v>372</v>
      </c>
      <c r="AX2546">
        <v>316</v>
      </c>
      <c r="AY2546">
        <v>372</v>
      </c>
      <c r="AZ2546">
        <v>688</v>
      </c>
      <c r="BA2546">
        <v>372</v>
      </c>
      <c r="BB2546">
        <v>316</v>
      </c>
      <c r="BC2546">
        <v>688</v>
      </c>
      <c r="BP2546">
        <v>61</v>
      </c>
      <c r="BR2546">
        <v>525</v>
      </c>
      <c r="BS2546">
        <v>42</v>
      </c>
      <c r="BT2546">
        <v>50</v>
      </c>
      <c r="BU2546">
        <v>3</v>
      </c>
      <c r="BV2546">
        <v>7</v>
      </c>
      <c r="BW2546">
        <v>688</v>
      </c>
      <c r="BX2546">
        <v>407</v>
      </c>
      <c r="BY2546">
        <v>0.69040000000000001</v>
      </c>
      <c r="BZ2546" s="6">
        <v>0.69</v>
      </c>
      <c r="CA2546" s="7">
        <v>45242</v>
      </c>
      <c r="CE2546">
        <v>258</v>
      </c>
      <c r="CF2546">
        <v>252</v>
      </c>
      <c r="CG2546">
        <v>178</v>
      </c>
      <c r="CI2546">
        <f t="shared" si="240"/>
        <v>2023</v>
      </c>
      <c r="CJ2546" t="str">
        <f t="shared" si="241"/>
        <v>7048_2023</v>
      </c>
    </row>
    <row r="2547" spans="1:88" x14ac:dyDescent="0.25">
      <c r="A2547" t="s">
        <v>140</v>
      </c>
      <c r="B2547" t="s">
        <v>141</v>
      </c>
      <c r="C2547">
        <v>7049</v>
      </c>
      <c r="D2547">
        <v>-31.966073000000002</v>
      </c>
      <c r="E2547">
        <v>115.83986</v>
      </c>
      <c r="F2547">
        <v>2</v>
      </c>
      <c r="G2547" t="s">
        <v>719</v>
      </c>
      <c r="H2547">
        <v>50</v>
      </c>
      <c r="I2547">
        <v>230</v>
      </c>
      <c r="J2547">
        <v>215</v>
      </c>
      <c r="K2547">
        <v>35</v>
      </c>
      <c r="T2547">
        <v>248</v>
      </c>
      <c r="Y2547">
        <v>148</v>
      </c>
      <c r="AX2547">
        <v>248</v>
      </c>
      <c r="AY2547">
        <v>148</v>
      </c>
      <c r="AZ2547">
        <v>396</v>
      </c>
      <c r="BA2547">
        <v>148</v>
      </c>
      <c r="BB2547">
        <v>248</v>
      </c>
      <c r="BC2547">
        <v>396</v>
      </c>
      <c r="BP2547">
        <v>267</v>
      </c>
      <c r="BR2547">
        <v>68</v>
      </c>
      <c r="BS2547">
        <v>46</v>
      </c>
      <c r="BT2547">
        <v>0</v>
      </c>
      <c r="BU2547">
        <v>15</v>
      </c>
      <c r="BV2547">
        <v>0</v>
      </c>
      <c r="BW2547">
        <v>396</v>
      </c>
      <c r="BX2547">
        <v>614</v>
      </c>
      <c r="BY2547">
        <v>-0.35499999999999998</v>
      </c>
      <c r="BZ2547" s="6">
        <v>-0.36</v>
      </c>
      <c r="CA2547" s="7">
        <v>45242</v>
      </c>
      <c r="CE2547">
        <v>170</v>
      </c>
      <c r="CF2547">
        <v>139</v>
      </c>
      <c r="CG2547">
        <v>87</v>
      </c>
      <c r="CI2547">
        <f t="shared" si="240"/>
        <v>2023</v>
      </c>
      <c r="CJ2547" t="str">
        <f t="shared" si="241"/>
        <v>7049_2023</v>
      </c>
    </row>
    <row r="2548" spans="1:88" x14ac:dyDescent="0.25">
      <c r="A2548" t="s">
        <v>140</v>
      </c>
      <c r="B2548" t="s">
        <v>141</v>
      </c>
      <c r="C2548">
        <v>7050</v>
      </c>
      <c r="D2548">
        <v>-31.954967</v>
      </c>
      <c r="E2548">
        <v>115.84549</v>
      </c>
      <c r="F2548">
        <v>4</v>
      </c>
      <c r="G2548" t="s">
        <v>721</v>
      </c>
      <c r="H2548">
        <v>68</v>
      </c>
      <c r="I2548">
        <v>248</v>
      </c>
      <c r="J2548">
        <v>158</v>
      </c>
      <c r="K2548">
        <v>338</v>
      </c>
      <c r="L2548">
        <v>213</v>
      </c>
      <c r="M2548">
        <v>33</v>
      </c>
      <c r="N2548">
        <v>334</v>
      </c>
      <c r="O2548">
        <v>154</v>
      </c>
      <c r="T2548">
        <v>53</v>
      </c>
      <c r="U2548">
        <v>143</v>
      </c>
      <c r="V2548">
        <v>39</v>
      </c>
      <c r="Y2548">
        <v>38</v>
      </c>
      <c r="Z2548">
        <v>60</v>
      </c>
      <c r="AA2548">
        <v>22</v>
      </c>
      <c r="AD2548">
        <v>127</v>
      </c>
      <c r="AE2548">
        <v>37</v>
      </c>
      <c r="AF2548">
        <v>24</v>
      </c>
      <c r="AI2548">
        <v>34</v>
      </c>
      <c r="AJ2548">
        <v>25</v>
      </c>
      <c r="AK2548">
        <v>12</v>
      </c>
      <c r="AX2548">
        <v>235</v>
      </c>
      <c r="AY2548">
        <v>199</v>
      </c>
      <c r="AZ2548">
        <v>434</v>
      </c>
      <c r="BA2548">
        <v>120</v>
      </c>
      <c r="BB2548">
        <v>115</v>
      </c>
      <c r="BC2548">
        <v>235</v>
      </c>
      <c r="BD2548">
        <v>188</v>
      </c>
      <c r="BE2548">
        <v>215</v>
      </c>
      <c r="BF2548">
        <v>403</v>
      </c>
      <c r="BG2548">
        <v>71</v>
      </c>
      <c r="BH2548">
        <v>85</v>
      </c>
      <c r="BI2548">
        <v>156</v>
      </c>
      <c r="BP2548">
        <v>45</v>
      </c>
      <c r="BR2548">
        <v>499</v>
      </c>
      <c r="BS2548">
        <v>12</v>
      </c>
      <c r="BT2548">
        <v>41</v>
      </c>
      <c r="BU2548">
        <v>17</v>
      </c>
      <c r="BV2548">
        <v>0</v>
      </c>
      <c r="BW2548">
        <v>614</v>
      </c>
      <c r="BX2548">
        <v>512</v>
      </c>
      <c r="BY2548">
        <v>0.19919999999999999</v>
      </c>
      <c r="BZ2548" s="6">
        <v>0.2</v>
      </c>
      <c r="CA2548" s="7">
        <v>45242</v>
      </c>
      <c r="CE2548">
        <v>235</v>
      </c>
      <c r="CF2548">
        <v>233</v>
      </c>
      <c r="CG2548">
        <v>146</v>
      </c>
      <c r="CI2548">
        <f t="shared" si="240"/>
        <v>2023</v>
      </c>
      <c r="CJ2548" t="str">
        <f t="shared" si="241"/>
        <v>7050_2023</v>
      </c>
    </row>
    <row r="2549" spans="1:88" x14ac:dyDescent="0.25">
      <c r="A2549" t="s">
        <v>140</v>
      </c>
      <c r="B2549" t="s">
        <v>141</v>
      </c>
      <c r="C2549">
        <v>7051</v>
      </c>
      <c r="D2549">
        <v>-31.962365999999999</v>
      </c>
      <c r="E2549">
        <v>115.87385</v>
      </c>
      <c r="F2549">
        <v>4</v>
      </c>
      <c r="G2549" t="s">
        <v>722</v>
      </c>
      <c r="H2549">
        <v>22</v>
      </c>
      <c r="I2549">
        <v>202</v>
      </c>
      <c r="J2549">
        <v>169</v>
      </c>
      <c r="K2549">
        <v>349</v>
      </c>
      <c r="L2549">
        <v>200</v>
      </c>
      <c r="M2549">
        <v>20</v>
      </c>
      <c r="N2549">
        <v>293</v>
      </c>
      <c r="O2549">
        <v>113</v>
      </c>
      <c r="T2549">
        <v>28</v>
      </c>
      <c r="U2549">
        <v>35</v>
      </c>
      <c r="V2549">
        <v>43</v>
      </c>
      <c r="Y2549">
        <v>41</v>
      </c>
      <c r="Z2549">
        <v>0</v>
      </c>
      <c r="AA2549">
        <v>8</v>
      </c>
      <c r="AD2549">
        <v>16</v>
      </c>
      <c r="AE2549">
        <v>0</v>
      </c>
      <c r="AF2549">
        <v>14</v>
      </c>
      <c r="AI2549">
        <v>49</v>
      </c>
      <c r="AJ2549">
        <v>15</v>
      </c>
      <c r="AK2549">
        <v>11</v>
      </c>
      <c r="AX2549">
        <v>106</v>
      </c>
      <c r="AY2549">
        <v>106</v>
      </c>
      <c r="AZ2549">
        <v>212</v>
      </c>
      <c r="BA2549">
        <v>49</v>
      </c>
      <c r="BB2549">
        <v>43</v>
      </c>
      <c r="BC2549">
        <v>92</v>
      </c>
      <c r="BD2549">
        <v>30</v>
      </c>
      <c r="BE2549">
        <v>46</v>
      </c>
      <c r="BF2549">
        <v>76</v>
      </c>
      <c r="BG2549">
        <v>75</v>
      </c>
      <c r="BH2549">
        <v>65</v>
      </c>
      <c r="BI2549">
        <v>140</v>
      </c>
      <c r="BP2549">
        <v>23</v>
      </c>
      <c r="BR2549">
        <v>194</v>
      </c>
      <c r="BS2549">
        <v>12</v>
      </c>
      <c r="BT2549">
        <v>22</v>
      </c>
      <c r="BU2549">
        <v>8</v>
      </c>
      <c r="BV2549">
        <v>1</v>
      </c>
      <c r="BW2549">
        <v>260</v>
      </c>
      <c r="BX2549">
        <v>279</v>
      </c>
      <c r="BY2549">
        <v>-6.8099999999999994E-2</v>
      </c>
      <c r="BZ2549" s="6">
        <v>-7.0000000000000007E-2</v>
      </c>
      <c r="CA2549" s="7">
        <v>45242</v>
      </c>
      <c r="CE2549">
        <v>101</v>
      </c>
      <c r="CF2549">
        <v>82</v>
      </c>
      <c r="CG2549">
        <v>77</v>
      </c>
      <c r="CI2549">
        <f t="shared" si="240"/>
        <v>2023</v>
      </c>
      <c r="CJ2549" t="str">
        <f t="shared" si="241"/>
        <v>7051_2023</v>
      </c>
    </row>
    <row r="2550" spans="1:88" x14ac:dyDescent="0.25">
      <c r="A2550" t="s">
        <v>140</v>
      </c>
      <c r="B2550" t="s">
        <v>141</v>
      </c>
      <c r="C2550">
        <v>7052</v>
      </c>
      <c r="D2550">
        <v>-31.965591</v>
      </c>
      <c r="E2550">
        <v>115.88346</v>
      </c>
      <c r="F2550">
        <v>3</v>
      </c>
      <c r="G2550" t="s">
        <v>723</v>
      </c>
      <c r="H2550">
        <v>34</v>
      </c>
      <c r="I2550">
        <v>214</v>
      </c>
      <c r="J2550">
        <v>151</v>
      </c>
      <c r="K2550">
        <v>331</v>
      </c>
      <c r="L2550">
        <v>305</v>
      </c>
      <c r="M2550">
        <v>125</v>
      </c>
      <c r="T2550">
        <v>3</v>
      </c>
      <c r="U2550">
        <v>2</v>
      </c>
      <c r="Y2550">
        <v>5</v>
      </c>
      <c r="Z2550">
        <v>249</v>
      </c>
      <c r="AD2550">
        <v>3</v>
      </c>
      <c r="AE2550">
        <v>314</v>
      </c>
      <c r="AX2550">
        <v>5</v>
      </c>
      <c r="AY2550">
        <v>8</v>
      </c>
      <c r="AZ2550">
        <v>13</v>
      </c>
      <c r="BA2550">
        <v>254</v>
      </c>
      <c r="BB2550">
        <v>317</v>
      </c>
      <c r="BC2550">
        <v>571</v>
      </c>
      <c r="BD2550">
        <v>317</v>
      </c>
      <c r="BE2550">
        <v>251</v>
      </c>
      <c r="BF2550">
        <v>568</v>
      </c>
      <c r="BP2550">
        <v>171</v>
      </c>
      <c r="BR2550">
        <v>300</v>
      </c>
      <c r="BS2550">
        <v>88</v>
      </c>
      <c r="BT2550">
        <v>8</v>
      </c>
      <c r="BU2550">
        <v>6</v>
      </c>
      <c r="BV2550">
        <v>3</v>
      </c>
      <c r="BW2550">
        <v>576</v>
      </c>
      <c r="BX2550">
        <v>610</v>
      </c>
      <c r="BY2550">
        <v>-5.57E-2</v>
      </c>
      <c r="BZ2550" s="6">
        <v>-0.06</v>
      </c>
      <c r="CA2550" s="7">
        <v>45242</v>
      </c>
      <c r="CE2550">
        <v>221</v>
      </c>
      <c r="CF2550">
        <v>210</v>
      </c>
      <c r="CG2550">
        <v>145</v>
      </c>
      <c r="CI2550">
        <f t="shared" si="240"/>
        <v>2023</v>
      </c>
      <c r="CJ2550" t="str">
        <f t="shared" si="241"/>
        <v>7052_2023</v>
      </c>
    </row>
    <row r="2551" spans="1:88" x14ac:dyDescent="0.25">
      <c r="A2551" t="s">
        <v>140</v>
      </c>
      <c r="B2551" t="s">
        <v>141</v>
      </c>
      <c r="C2551">
        <v>7860</v>
      </c>
      <c r="D2551">
        <v>-31.951391000000001</v>
      </c>
      <c r="E2551">
        <v>115.86166799999999</v>
      </c>
      <c r="F2551">
        <v>4</v>
      </c>
      <c r="G2551" t="s">
        <v>1043</v>
      </c>
      <c r="H2551">
        <v>15</v>
      </c>
      <c r="I2551">
        <v>195</v>
      </c>
      <c r="J2551">
        <v>120</v>
      </c>
      <c r="K2551">
        <v>300</v>
      </c>
      <c r="L2551">
        <v>185</v>
      </c>
      <c r="M2551">
        <v>5</v>
      </c>
      <c r="N2551">
        <v>290</v>
      </c>
      <c r="O2551">
        <v>110</v>
      </c>
      <c r="T2551">
        <v>8</v>
      </c>
      <c r="U2551">
        <v>135</v>
      </c>
      <c r="V2551">
        <v>10</v>
      </c>
      <c r="Y2551">
        <v>11</v>
      </c>
      <c r="Z2551">
        <v>355</v>
      </c>
      <c r="AA2551">
        <v>81</v>
      </c>
      <c r="AD2551">
        <v>189</v>
      </c>
      <c r="AE2551">
        <v>122</v>
      </c>
      <c r="AF2551">
        <v>50</v>
      </c>
      <c r="AI2551">
        <v>14</v>
      </c>
      <c r="AJ2551">
        <v>47</v>
      </c>
      <c r="AK2551">
        <v>24</v>
      </c>
      <c r="AX2551">
        <v>153</v>
      </c>
      <c r="AY2551">
        <v>214</v>
      </c>
      <c r="AZ2551">
        <v>367</v>
      </c>
      <c r="BA2551">
        <v>447</v>
      </c>
      <c r="BB2551">
        <v>177</v>
      </c>
      <c r="BC2551">
        <v>624</v>
      </c>
      <c r="BD2551">
        <v>361</v>
      </c>
      <c r="BE2551">
        <v>514</v>
      </c>
      <c r="BF2551">
        <v>875</v>
      </c>
      <c r="BG2551">
        <v>85</v>
      </c>
      <c r="BH2551">
        <v>141</v>
      </c>
      <c r="BI2551">
        <v>226</v>
      </c>
      <c r="BP2551">
        <v>198</v>
      </c>
      <c r="BR2551">
        <v>807</v>
      </c>
      <c r="BS2551">
        <v>15</v>
      </c>
      <c r="BT2551">
        <v>0</v>
      </c>
      <c r="BU2551">
        <v>25</v>
      </c>
      <c r="BV2551">
        <v>1</v>
      </c>
      <c r="BW2551">
        <v>1046</v>
      </c>
      <c r="CA2551" s="7">
        <v>45242</v>
      </c>
      <c r="CE2551">
        <v>273</v>
      </c>
      <c r="CF2551">
        <v>322</v>
      </c>
      <c r="CG2551">
        <v>451</v>
      </c>
      <c r="CI2551">
        <f t="shared" si="240"/>
        <v>2023</v>
      </c>
      <c r="CJ2551" t="str">
        <f t="shared" si="241"/>
        <v>7860_2023</v>
      </c>
    </row>
    <row r="2552" spans="1:88" x14ac:dyDescent="0.25">
      <c r="A2552" t="s">
        <v>140</v>
      </c>
      <c r="B2552" t="s">
        <v>141</v>
      </c>
      <c r="C2552">
        <v>7861</v>
      </c>
      <c r="D2552">
        <v>-31.951702999999998</v>
      </c>
      <c r="E2552">
        <v>115.8626</v>
      </c>
      <c r="F2552">
        <v>3</v>
      </c>
      <c r="G2552" t="s">
        <v>1044</v>
      </c>
      <c r="H2552">
        <v>45</v>
      </c>
      <c r="I2552">
        <v>225</v>
      </c>
      <c r="J2552">
        <v>165</v>
      </c>
      <c r="K2552">
        <v>345</v>
      </c>
      <c r="L2552">
        <v>265</v>
      </c>
      <c r="M2552">
        <v>85</v>
      </c>
      <c r="T2552">
        <v>4</v>
      </c>
      <c r="U2552">
        <v>343</v>
      </c>
      <c r="Y2552">
        <v>2</v>
      </c>
      <c r="Z2552">
        <v>96</v>
      </c>
      <c r="AD2552">
        <v>145</v>
      </c>
      <c r="AE2552">
        <v>59</v>
      </c>
      <c r="AX2552">
        <v>347</v>
      </c>
      <c r="AY2552">
        <v>147</v>
      </c>
      <c r="AZ2552">
        <v>494</v>
      </c>
      <c r="BA2552">
        <v>98</v>
      </c>
      <c r="BB2552">
        <v>63</v>
      </c>
      <c r="BC2552">
        <v>161</v>
      </c>
      <c r="BD2552">
        <v>204</v>
      </c>
      <c r="BE2552">
        <v>439</v>
      </c>
      <c r="BF2552">
        <v>643</v>
      </c>
      <c r="BP2552">
        <v>135</v>
      </c>
      <c r="BR2552">
        <v>481</v>
      </c>
      <c r="BS2552">
        <v>17</v>
      </c>
      <c r="BT2552">
        <v>0</v>
      </c>
      <c r="BU2552">
        <v>16</v>
      </c>
      <c r="BV2552">
        <v>0</v>
      </c>
      <c r="BW2552">
        <v>649</v>
      </c>
      <c r="CA2552" s="7">
        <v>45242</v>
      </c>
      <c r="CE2552">
        <v>153</v>
      </c>
      <c r="CF2552">
        <v>214</v>
      </c>
      <c r="CG2552">
        <v>282</v>
      </c>
      <c r="CI2552">
        <f t="shared" si="240"/>
        <v>2023</v>
      </c>
      <c r="CJ2552" t="str">
        <f t="shared" si="241"/>
        <v>7861_2023</v>
      </c>
    </row>
    <row r="2553" spans="1:88" x14ac:dyDescent="0.25">
      <c r="A2553" t="s">
        <v>140</v>
      </c>
      <c r="B2553" t="s">
        <v>141</v>
      </c>
      <c r="C2553">
        <v>7862</v>
      </c>
      <c r="D2553">
        <v>-31.943328999999999</v>
      </c>
      <c r="E2553">
        <v>115.84196799999999</v>
      </c>
      <c r="F2553">
        <v>4</v>
      </c>
      <c r="G2553" t="s">
        <v>1045</v>
      </c>
      <c r="H2553">
        <v>45</v>
      </c>
      <c r="I2553">
        <v>225</v>
      </c>
      <c r="J2553">
        <v>116</v>
      </c>
      <c r="K2553">
        <v>296</v>
      </c>
      <c r="L2553">
        <v>225</v>
      </c>
      <c r="M2553">
        <v>45</v>
      </c>
      <c r="N2553">
        <v>287</v>
      </c>
      <c r="O2553">
        <v>107</v>
      </c>
      <c r="T2553">
        <v>7</v>
      </c>
      <c r="U2553">
        <v>55</v>
      </c>
      <c r="V2553">
        <v>0</v>
      </c>
      <c r="Y2553">
        <v>7</v>
      </c>
      <c r="Z2553">
        <v>15</v>
      </c>
      <c r="AA2553">
        <v>11</v>
      </c>
      <c r="AD2553">
        <v>85</v>
      </c>
      <c r="AE2553">
        <v>4</v>
      </c>
      <c r="AF2553">
        <v>3</v>
      </c>
      <c r="AI2553">
        <v>0</v>
      </c>
      <c r="AJ2553">
        <v>8</v>
      </c>
      <c r="AK2553">
        <v>7</v>
      </c>
      <c r="AX2553">
        <v>62</v>
      </c>
      <c r="AY2553">
        <v>92</v>
      </c>
      <c r="AZ2553">
        <v>154</v>
      </c>
      <c r="BA2553">
        <v>33</v>
      </c>
      <c r="BB2553">
        <v>19</v>
      </c>
      <c r="BC2553">
        <v>52</v>
      </c>
      <c r="BD2553">
        <v>92</v>
      </c>
      <c r="BE2553">
        <v>77</v>
      </c>
      <c r="BF2553">
        <v>169</v>
      </c>
      <c r="BG2553">
        <v>15</v>
      </c>
      <c r="BH2553">
        <v>14</v>
      </c>
      <c r="BI2553">
        <v>29</v>
      </c>
      <c r="BP2553">
        <v>120</v>
      </c>
      <c r="BR2553">
        <v>69</v>
      </c>
      <c r="BS2553">
        <v>0</v>
      </c>
      <c r="BT2553">
        <v>0</v>
      </c>
      <c r="BU2553">
        <v>13</v>
      </c>
      <c r="BV2553">
        <v>0</v>
      </c>
      <c r="BW2553">
        <v>202</v>
      </c>
      <c r="CA2553" s="7">
        <v>45242</v>
      </c>
      <c r="CE2553">
        <v>76</v>
      </c>
      <c r="CF2553">
        <v>57</v>
      </c>
      <c r="CG2553">
        <v>69</v>
      </c>
      <c r="CI2553">
        <f t="shared" si="240"/>
        <v>2023</v>
      </c>
      <c r="CJ2553" t="str">
        <f t="shared" si="241"/>
        <v>7862_2023</v>
      </c>
    </row>
    <row r="2554" spans="1:88" x14ac:dyDescent="0.25">
      <c r="A2554" t="s">
        <v>140</v>
      </c>
      <c r="B2554" t="s">
        <v>141</v>
      </c>
      <c r="C2554">
        <v>7863</v>
      </c>
      <c r="D2554">
        <v>-31.946083000000002</v>
      </c>
      <c r="E2554">
        <v>115.857944</v>
      </c>
      <c r="F2554">
        <v>4</v>
      </c>
      <c r="G2554" t="s">
        <v>1046</v>
      </c>
      <c r="H2554">
        <v>28</v>
      </c>
      <c r="I2554">
        <v>208</v>
      </c>
      <c r="J2554">
        <v>115</v>
      </c>
      <c r="K2554">
        <v>295</v>
      </c>
      <c r="L2554">
        <v>207</v>
      </c>
      <c r="M2554">
        <v>27</v>
      </c>
      <c r="N2554">
        <v>300</v>
      </c>
      <c r="O2554">
        <v>120</v>
      </c>
      <c r="T2554">
        <v>17</v>
      </c>
      <c r="U2554">
        <v>195</v>
      </c>
      <c r="V2554">
        <v>20</v>
      </c>
      <c r="Y2554">
        <v>13</v>
      </c>
      <c r="Z2554">
        <v>30</v>
      </c>
      <c r="AA2554">
        <v>54</v>
      </c>
      <c r="AD2554">
        <v>105</v>
      </c>
      <c r="AE2554">
        <v>33</v>
      </c>
      <c r="AF2554">
        <v>31</v>
      </c>
      <c r="AI2554">
        <v>31</v>
      </c>
      <c r="AJ2554">
        <v>73</v>
      </c>
      <c r="AK2554">
        <v>27</v>
      </c>
      <c r="AX2554">
        <v>232</v>
      </c>
      <c r="AY2554">
        <v>149</v>
      </c>
      <c r="AZ2554">
        <v>381</v>
      </c>
      <c r="BA2554">
        <v>97</v>
      </c>
      <c r="BB2554">
        <v>123</v>
      </c>
      <c r="BC2554">
        <v>220</v>
      </c>
      <c r="BD2554">
        <v>169</v>
      </c>
      <c r="BE2554">
        <v>252</v>
      </c>
      <c r="BF2554">
        <v>421</v>
      </c>
      <c r="BG2554">
        <v>131</v>
      </c>
      <c r="BH2554">
        <v>105</v>
      </c>
      <c r="BI2554">
        <v>236</v>
      </c>
      <c r="BP2554">
        <v>101</v>
      </c>
      <c r="BR2554">
        <v>483</v>
      </c>
      <c r="BS2554">
        <v>7</v>
      </c>
      <c r="BT2554">
        <v>18</v>
      </c>
      <c r="BU2554">
        <v>20</v>
      </c>
      <c r="BV2554">
        <v>0</v>
      </c>
      <c r="BW2554">
        <v>629</v>
      </c>
      <c r="CA2554" s="7">
        <v>45242</v>
      </c>
      <c r="CE2554">
        <v>152</v>
      </c>
      <c r="CF2554">
        <v>199</v>
      </c>
      <c r="CG2554">
        <v>278</v>
      </c>
      <c r="CI2554">
        <f t="shared" si="240"/>
        <v>2023</v>
      </c>
      <c r="CJ2554" t="str">
        <f t="shared" si="241"/>
        <v>7863_2023</v>
      </c>
    </row>
    <row r="2555" spans="1:88" x14ac:dyDescent="0.25">
      <c r="A2555" t="s">
        <v>140</v>
      </c>
      <c r="B2555" t="s">
        <v>141</v>
      </c>
      <c r="C2555">
        <v>7864</v>
      </c>
      <c r="D2555">
        <v>-31.949051000000001</v>
      </c>
      <c r="E2555">
        <v>115.86444899999999</v>
      </c>
      <c r="F2555">
        <v>4</v>
      </c>
      <c r="G2555" t="s">
        <v>1047</v>
      </c>
      <c r="H2555">
        <v>30</v>
      </c>
      <c r="I2555">
        <v>210</v>
      </c>
      <c r="J2555">
        <v>120</v>
      </c>
      <c r="K2555">
        <v>300</v>
      </c>
      <c r="L2555">
        <v>210</v>
      </c>
      <c r="M2555">
        <v>30</v>
      </c>
      <c r="N2555">
        <v>295</v>
      </c>
      <c r="O2555">
        <v>115</v>
      </c>
      <c r="T2555">
        <v>10</v>
      </c>
      <c r="U2555">
        <v>82</v>
      </c>
      <c r="V2555">
        <v>9</v>
      </c>
      <c r="Y2555">
        <v>13</v>
      </c>
      <c r="Z2555">
        <v>21</v>
      </c>
      <c r="AA2555">
        <v>64</v>
      </c>
      <c r="AD2555">
        <v>81</v>
      </c>
      <c r="AE2555">
        <v>24</v>
      </c>
      <c r="AF2555">
        <v>82</v>
      </c>
      <c r="AI2555">
        <v>9</v>
      </c>
      <c r="AJ2555">
        <v>56</v>
      </c>
      <c r="AK2555">
        <v>36</v>
      </c>
      <c r="AX2555">
        <v>101</v>
      </c>
      <c r="AY2555">
        <v>103</v>
      </c>
      <c r="AZ2555">
        <v>204</v>
      </c>
      <c r="BA2555">
        <v>98</v>
      </c>
      <c r="BB2555">
        <v>90</v>
      </c>
      <c r="BC2555">
        <v>188</v>
      </c>
      <c r="BD2555">
        <v>187</v>
      </c>
      <c r="BE2555">
        <v>139</v>
      </c>
      <c r="BF2555">
        <v>326</v>
      </c>
      <c r="BG2555">
        <v>101</v>
      </c>
      <c r="BH2555">
        <v>155</v>
      </c>
      <c r="BI2555">
        <v>256</v>
      </c>
      <c r="BP2555">
        <v>80</v>
      </c>
      <c r="BR2555">
        <v>380</v>
      </c>
      <c r="BS2555">
        <v>4</v>
      </c>
      <c r="BT2555">
        <v>7</v>
      </c>
      <c r="BU2555">
        <v>16</v>
      </c>
      <c r="BV2555">
        <v>0</v>
      </c>
      <c r="BW2555">
        <v>487</v>
      </c>
      <c r="CA2555" s="7">
        <v>45242</v>
      </c>
      <c r="CE2555">
        <v>149</v>
      </c>
      <c r="CF2555">
        <v>156</v>
      </c>
      <c r="CG2555">
        <v>182</v>
      </c>
      <c r="CI2555">
        <f t="shared" si="240"/>
        <v>2023</v>
      </c>
      <c r="CJ2555" t="str">
        <f t="shared" si="241"/>
        <v>7864_2023</v>
      </c>
    </row>
    <row r="2556" spans="1:88" x14ac:dyDescent="0.25">
      <c r="A2556" t="s">
        <v>140</v>
      </c>
      <c r="B2556" t="s">
        <v>141</v>
      </c>
      <c r="C2556">
        <v>7865</v>
      </c>
      <c r="D2556">
        <v>-31.944078000000001</v>
      </c>
      <c r="E2556">
        <v>115.85361</v>
      </c>
      <c r="F2556">
        <v>4</v>
      </c>
      <c r="G2556" t="s">
        <v>1048</v>
      </c>
      <c r="H2556">
        <v>28</v>
      </c>
      <c r="I2556">
        <v>208</v>
      </c>
      <c r="J2556">
        <v>116</v>
      </c>
      <c r="K2556">
        <v>296</v>
      </c>
      <c r="L2556">
        <v>207</v>
      </c>
      <c r="M2556">
        <v>27</v>
      </c>
      <c r="N2556">
        <v>298</v>
      </c>
      <c r="O2556">
        <v>118</v>
      </c>
      <c r="T2556">
        <v>21</v>
      </c>
      <c r="U2556">
        <v>39</v>
      </c>
      <c r="V2556">
        <v>6</v>
      </c>
      <c r="Y2556">
        <v>14</v>
      </c>
      <c r="Z2556">
        <v>11</v>
      </c>
      <c r="AA2556">
        <v>36</v>
      </c>
      <c r="AD2556">
        <v>29</v>
      </c>
      <c r="AE2556">
        <v>5</v>
      </c>
      <c r="AF2556">
        <v>6</v>
      </c>
      <c r="AI2556">
        <v>4</v>
      </c>
      <c r="AJ2556">
        <v>42</v>
      </c>
      <c r="AK2556">
        <v>12</v>
      </c>
      <c r="AX2556">
        <v>66</v>
      </c>
      <c r="AY2556">
        <v>47</v>
      </c>
      <c r="AZ2556">
        <v>113</v>
      </c>
      <c r="BA2556">
        <v>61</v>
      </c>
      <c r="BB2556">
        <v>68</v>
      </c>
      <c r="BC2556">
        <v>129</v>
      </c>
      <c r="BD2556">
        <v>40</v>
      </c>
      <c r="BE2556">
        <v>62</v>
      </c>
      <c r="BF2556">
        <v>102</v>
      </c>
      <c r="BG2556">
        <v>58</v>
      </c>
      <c r="BH2556">
        <v>48</v>
      </c>
      <c r="BI2556">
        <v>106</v>
      </c>
      <c r="BP2556">
        <v>97</v>
      </c>
      <c r="BR2556">
        <v>106</v>
      </c>
      <c r="BS2556">
        <v>10</v>
      </c>
      <c r="BT2556">
        <v>2</v>
      </c>
      <c r="BU2556">
        <v>10</v>
      </c>
      <c r="BV2556">
        <v>0</v>
      </c>
      <c r="BW2556">
        <v>225</v>
      </c>
      <c r="CA2556" s="7">
        <v>45242</v>
      </c>
      <c r="CE2556">
        <v>82</v>
      </c>
      <c r="CF2556">
        <v>70</v>
      </c>
      <c r="CG2556">
        <v>73</v>
      </c>
      <c r="CI2556">
        <f t="shared" si="240"/>
        <v>2023</v>
      </c>
      <c r="CJ2556" t="str">
        <f t="shared" si="241"/>
        <v>7865_2023</v>
      </c>
    </row>
    <row r="2557" spans="1:88" x14ac:dyDescent="0.25">
      <c r="A2557" t="s">
        <v>140</v>
      </c>
      <c r="B2557" t="s">
        <v>141</v>
      </c>
      <c r="C2557">
        <v>7866</v>
      </c>
      <c r="D2557">
        <v>-31.964621999999999</v>
      </c>
      <c r="E2557">
        <v>115.81819900000001</v>
      </c>
      <c r="F2557">
        <v>4</v>
      </c>
      <c r="G2557" t="s">
        <v>1049</v>
      </c>
      <c r="H2557">
        <v>22</v>
      </c>
      <c r="I2557">
        <v>202</v>
      </c>
      <c r="J2557">
        <v>85</v>
      </c>
      <c r="K2557">
        <v>265</v>
      </c>
      <c r="L2557">
        <v>189</v>
      </c>
      <c r="M2557">
        <v>9</v>
      </c>
      <c r="N2557">
        <v>284</v>
      </c>
      <c r="O2557">
        <v>104</v>
      </c>
      <c r="T2557">
        <v>8</v>
      </c>
      <c r="U2557">
        <v>6</v>
      </c>
      <c r="V2557">
        <v>14</v>
      </c>
      <c r="Y2557">
        <v>11</v>
      </c>
      <c r="Z2557">
        <v>3</v>
      </c>
      <c r="AA2557">
        <v>21</v>
      </c>
      <c r="AD2557">
        <v>7</v>
      </c>
      <c r="AE2557">
        <v>14</v>
      </c>
      <c r="AF2557">
        <v>12</v>
      </c>
      <c r="AI2557">
        <v>10</v>
      </c>
      <c r="AJ2557">
        <v>14</v>
      </c>
      <c r="AK2557">
        <v>14</v>
      </c>
      <c r="AX2557">
        <v>28</v>
      </c>
      <c r="AY2557">
        <v>28</v>
      </c>
      <c r="AZ2557">
        <v>56</v>
      </c>
      <c r="BA2557">
        <v>35</v>
      </c>
      <c r="BB2557">
        <v>36</v>
      </c>
      <c r="BC2557">
        <v>71</v>
      </c>
      <c r="BD2557">
        <v>33</v>
      </c>
      <c r="BE2557">
        <v>23</v>
      </c>
      <c r="BF2557">
        <v>56</v>
      </c>
      <c r="BG2557">
        <v>38</v>
      </c>
      <c r="BH2557">
        <v>47</v>
      </c>
      <c r="BI2557">
        <v>85</v>
      </c>
      <c r="BP2557">
        <v>81</v>
      </c>
      <c r="BR2557">
        <v>26</v>
      </c>
      <c r="BS2557">
        <v>13</v>
      </c>
      <c r="BT2557">
        <v>6</v>
      </c>
      <c r="BU2557">
        <v>3</v>
      </c>
      <c r="BV2557">
        <v>5</v>
      </c>
      <c r="BW2557">
        <v>134</v>
      </c>
      <c r="CA2557" s="7">
        <v>45249</v>
      </c>
      <c r="CE2557">
        <v>59</v>
      </c>
      <c r="CF2557">
        <v>42</v>
      </c>
      <c r="CG2557">
        <v>33</v>
      </c>
      <c r="CI2557">
        <f t="shared" si="240"/>
        <v>2023</v>
      </c>
      <c r="CJ2557" t="str">
        <f t="shared" si="241"/>
        <v>7866_2023</v>
      </c>
    </row>
    <row r="2558" spans="1:88" x14ac:dyDescent="0.25">
      <c r="A2558" t="s">
        <v>140</v>
      </c>
      <c r="B2558" t="s">
        <v>141</v>
      </c>
      <c r="C2558">
        <v>7053</v>
      </c>
      <c r="D2558">
        <v>-31.950009999999999</v>
      </c>
      <c r="E2558">
        <v>115.881766</v>
      </c>
      <c r="F2558">
        <v>3</v>
      </c>
      <c r="G2558" t="s">
        <v>724</v>
      </c>
      <c r="H2558">
        <v>179</v>
      </c>
      <c r="I2558">
        <v>359</v>
      </c>
      <c r="J2558">
        <v>272</v>
      </c>
      <c r="K2558">
        <v>92</v>
      </c>
      <c r="L2558">
        <v>344</v>
      </c>
      <c r="M2558">
        <v>164</v>
      </c>
      <c r="T2558">
        <v>0</v>
      </c>
      <c r="U2558">
        <v>244</v>
      </c>
      <c r="Y2558">
        <v>1</v>
      </c>
      <c r="Z2558">
        <v>1</v>
      </c>
      <c r="AD2558">
        <v>245</v>
      </c>
      <c r="AE2558">
        <v>1</v>
      </c>
      <c r="AX2558">
        <v>244</v>
      </c>
      <c r="AY2558">
        <v>246</v>
      </c>
      <c r="AZ2558">
        <v>490</v>
      </c>
      <c r="BA2558">
        <v>2</v>
      </c>
      <c r="BB2558">
        <v>1</v>
      </c>
      <c r="BC2558">
        <v>3</v>
      </c>
      <c r="BD2558">
        <v>246</v>
      </c>
      <c r="BE2558">
        <v>245</v>
      </c>
      <c r="BF2558">
        <v>491</v>
      </c>
      <c r="BP2558">
        <v>97</v>
      </c>
      <c r="BR2558">
        <v>302</v>
      </c>
      <c r="BS2558">
        <v>43</v>
      </c>
      <c r="BT2558">
        <v>25</v>
      </c>
      <c r="BU2558">
        <v>15</v>
      </c>
      <c r="BV2558">
        <v>10</v>
      </c>
      <c r="BW2558">
        <v>492</v>
      </c>
      <c r="BX2558">
        <v>613</v>
      </c>
      <c r="BY2558">
        <v>-0.19739999999999999</v>
      </c>
      <c r="BZ2558" s="6">
        <v>-0.2</v>
      </c>
      <c r="CA2558" s="7">
        <v>45256</v>
      </c>
      <c r="CE2558">
        <v>291</v>
      </c>
      <c r="CF2558">
        <v>99</v>
      </c>
      <c r="CG2558">
        <v>102</v>
      </c>
      <c r="CI2558">
        <f t="shared" si="240"/>
        <v>2023</v>
      </c>
      <c r="CJ2558" t="str">
        <f t="shared" si="241"/>
        <v>7053_2023</v>
      </c>
    </row>
    <row r="2559" spans="1:88" x14ac:dyDescent="0.25">
      <c r="A2559" t="s">
        <v>111</v>
      </c>
      <c r="B2559" t="s">
        <v>213</v>
      </c>
      <c r="C2559">
        <v>4545</v>
      </c>
      <c r="D2559">
        <v>-37.834496000000001</v>
      </c>
      <c r="E2559">
        <v>144.964066</v>
      </c>
      <c r="F2559">
        <v>4</v>
      </c>
      <c r="G2559" t="s">
        <v>1050</v>
      </c>
      <c r="H2559">
        <v>70</v>
      </c>
      <c r="I2559">
        <v>250</v>
      </c>
      <c r="J2559">
        <v>160</v>
      </c>
      <c r="K2559">
        <v>340</v>
      </c>
      <c r="L2559">
        <v>250</v>
      </c>
      <c r="M2559">
        <v>70</v>
      </c>
      <c r="N2559">
        <v>340</v>
      </c>
      <c r="O2559">
        <v>160</v>
      </c>
      <c r="T2559">
        <v>24</v>
      </c>
      <c r="U2559">
        <v>199</v>
      </c>
      <c r="V2559">
        <v>30</v>
      </c>
      <c r="Y2559">
        <v>24</v>
      </c>
      <c r="Z2559">
        <v>19</v>
      </c>
      <c r="AA2559">
        <v>96</v>
      </c>
      <c r="AD2559">
        <v>114</v>
      </c>
      <c r="AE2559">
        <v>24</v>
      </c>
      <c r="AF2559">
        <v>8</v>
      </c>
      <c r="AI2559">
        <v>13</v>
      </c>
      <c r="AJ2559">
        <v>84</v>
      </c>
      <c r="AK2559">
        <v>11</v>
      </c>
      <c r="AX2559">
        <v>253</v>
      </c>
      <c r="AY2559">
        <v>151</v>
      </c>
      <c r="AZ2559">
        <v>404</v>
      </c>
      <c r="BA2559">
        <v>139</v>
      </c>
      <c r="BB2559">
        <v>132</v>
      </c>
      <c r="BC2559">
        <v>271</v>
      </c>
      <c r="BD2559">
        <v>146</v>
      </c>
      <c r="BE2559">
        <v>229</v>
      </c>
      <c r="BF2559">
        <v>375</v>
      </c>
      <c r="BG2559">
        <v>108</v>
      </c>
      <c r="BH2559">
        <v>134</v>
      </c>
      <c r="BI2559">
        <v>242</v>
      </c>
      <c r="BP2559">
        <v>158</v>
      </c>
      <c r="BR2559">
        <v>410</v>
      </c>
      <c r="BS2559">
        <v>23</v>
      </c>
      <c r="BT2559">
        <v>40</v>
      </c>
      <c r="BU2559">
        <v>15</v>
      </c>
      <c r="BV2559">
        <v>0</v>
      </c>
      <c r="BW2559">
        <v>646</v>
      </c>
      <c r="CA2559" s="7">
        <v>45242</v>
      </c>
      <c r="CE2559">
        <v>176</v>
      </c>
      <c r="CF2559">
        <v>226</v>
      </c>
      <c r="CG2559">
        <v>244</v>
      </c>
      <c r="CI2559">
        <f t="shared" si="240"/>
        <v>2023</v>
      </c>
      <c r="CJ2559" t="str">
        <f t="shared" si="241"/>
        <v>4545_2023</v>
      </c>
    </row>
    <row r="2560" spans="1:88" x14ac:dyDescent="0.25">
      <c r="A2560" t="s">
        <v>111</v>
      </c>
      <c r="B2560" t="s">
        <v>213</v>
      </c>
      <c r="C2560">
        <v>4555</v>
      </c>
      <c r="D2560">
        <v>-37.853259000000001</v>
      </c>
      <c r="E2560">
        <v>144.981752</v>
      </c>
      <c r="F2560">
        <v>4</v>
      </c>
      <c r="G2560" t="s">
        <v>1051</v>
      </c>
      <c r="H2560">
        <v>99</v>
      </c>
      <c r="I2560">
        <v>279</v>
      </c>
      <c r="J2560">
        <v>164</v>
      </c>
      <c r="K2560">
        <v>344</v>
      </c>
      <c r="L2560">
        <v>261</v>
      </c>
      <c r="M2560">
        <v>81</v>
      </c>
      <c r="N2560">
        <v>344</v>
      </c>
      <c r="O2560">
        <v>164</v>
      </c>
      <c r="T2560">
        <v>4</v>
      </c>
      <c r="U2560">
        <v>64</v>
      </c>
      <c r="V2560">
        <v>91</v>
      </c>
      <c r="Y2560">
        <v>22</v>
      </c>
      <c r="Z2560">
        <v>34</v>
      </c>
      <c r="AA2560">
        <v>314</v>
      </c>
      <c r="AD2560">
        <v>86</v>
      </c>
      <c r="AE2560">
        <v>31</v>
      </c>
      <c r="AF2560">
        <v>164</v>
      </c>
      <c r="AI2560">
        <v>49</v>
      </c>
      <c r="AJ2560">
        <v>294</v>
      </c>
      <c r="AK2560">
        <v>108</v>
      </c>
      <c r="AX2560">
        <v>159</v>
      </c>
      <c r="AY2560">
        <v>157</v>
      </c>
      <c r="AZ2560">
        <v>316</v>
      </c>
      <c r="BA2560">
        <v>370</v>
      </c>
      <c r="BB2560">
        <v>329</v>
      </c>
      <c r="BC2560">
        <v>699</v>
      </c>
      <c r="BD2560">
        <v>281</v>
      </c>
      <c r="BE2560">
        <v>206</v>
      </c>
      <c r="BF2560">
        <v>487</v>
      </c>
      <c r="BG2560">
        <v>451</v>
      </c>
      <c r="BH2560">
        <v>569</v>
      </c>
      <c r="BI2560">
        <v>1020</v>
      </c>
      <c r="BP2560">
        <v>386</v>
      </c>
      <c r="BR2560">
        <v>742</v>
      </c>
      <c r="BS2560">
        <v>55</v>
      </c>
      <c r="BT2560">
        <v>53</v>
      </c>
      <c r="BU2560">
        <v>25</v>
      </c>
      <c r="BV2560">
        <v>0</v>
      </c>
      <c r="BW2560">
        <v>1261</v>
      </c>
      <c r="CA2560" s="7">
        <v>45242</v>
      </c>
      <c r="CE2560">
        <v>313</v>
      </c>
      <c r="CF2560">
        <v>427</v>
      </c>
      <c r="CG2560">
        <v>521</v>
      </c>
      <c r="CI2560">
        <f t="shared" si="240"/>
        <v>2023</v>
      </c>
      <c r="CJ2560" t="str">
        <f t="shared" si="241"/>
        <v>4555_2023</v>
      </c>
    </row>
    <row r="2561" spans="1:88" x14ac:dyDescent="0.25">
      <c r="A2561" t="s">
        <v>111</v>
      </c>
      <c r="B2561" t="s">
        <v>213</v>
      </c>
      <c r="C2561">
        <v>7965</v>
      </c>
      <c r="D2561">
        <v>-37.849111000000001</v>
      </c>
      <c r="E2561">
        <v>144.95139</v>
      </c>
      <c r="F2561">
        <v>3</v>
      </c>
      <c r="G2561" t="s">
        <v>1052</v>
      </c>
      <c r="H2561">
        <v>38</v>
      </c>
      <c r="I2561">
        <v>218</v>
      </c>
      <c r="J2561">
        <v>120</v>
      </c>
      <c r="K2561">
        <v>300</v>
      </c>
      <c r="L2561">
        <v>300</v>
      </c>
      <c r="M2561">
        <v>120</v>
      </c>
      <c r="T2561">
        <v>200</v>
      </c>
      <c r="U2561">
        <v>118</v>
      </c>
      <c r="Y2561">
        <v>120</v>
      </c>
      <c r="Z2561">
        <v>1363</v>
      </c>
      <c r="AD2561">
        <v>208</v>
      </c>
      <c r="AE2561">
        <v>1233</v>
      </c>
      <c r="AX2561">
        <v>318</v>
      </c>
      <c r="AY2561">
        <v>328</v>
      </c>
      <c r="AZ2561">
        <v>646</v>
      </c>
      <c r="BA2561">
        <v>1483</v>
      </c>
      <c r="BB2561">
        <v>1433</v>
      </c>
      <c r="BC2561">
        <v>2916</v>
      </c>
      <c r="BD2561">
        <v>1441</v>
      </c>
      <c r="BE2561">
        <v>1481</v>
      </c>
      <c r="BF2561">
        <v>2922</v>
      </c>
      <c r="BP2561">
        <v>1042</v>
      </c>
      <c r="BR2561">
        <v>1493</v>
      </c>
      <c r="BS2561">
        <v>584</v>
      </c>
      <c r="BT2561">
        <v>79</v>
      </c>
      <c r="BU2561">
        <v>19</v>
      </c>
      <c r="BV2561">
        <v>25</v>
      </c>
      <c r="BW2561">
        <v>3242</v>
      </c>
      <c r="CA2561" s="7">
        <v>45242</v>
      </c>
      <c r="CE2561">
        <v>972</v>
      </c>
      <c r="CF2561">
        <v>1149</v>
      </c>
      <c r="CG2561">
        <v>1121</v>
      </c>
      <c r="CI2561">
        <f t="shared" si="240"/>
        <v>2023</v>
      </c>
      <c r="CJ2561" t="str">
        <f t="shared" si="241"/>
        <v>7965_2023</v>
      </c>
    </row>
    <row r="2562" spans="1:88" x14ac:dyDescent="0.25">
      <c r="A2562" t="s">
        <v>111</v>
      </c>
      <c r="B2562" t="s">
        <v>213</v>
      </c>
      <c r="C2562">
        <v>7966</v>
      </c>
      <c r="D2562">
        <v>-37.833098</v>
      </c>
      <c r="E2562">
        <v>144.971901</v>
      </c>
      <c r="F2562">
        <v>3</v>
      </c>
      <c r="G2562" t="s">
        <v>1053</v>
      </c>
      <c r="H2562">
        <v>135</v>
      </c>
      <c r="I2562">
        <v>315</v>
      </c>
      <c r="J2562">
        <v>190</v>
      </c>
      <c r="K2562">
        <v>10</v>
      </c>
      <c r="L2562">
        <v>344</v>
      </c>
      <c r="M2562">
        <v>164</v>
      </c>
      <c r="T2562">
        <v>5</v>
      </c>
      <c r="U2562">
        <v>152</v>
      </c>
      <c r="Y2562">
        <v>1</v>
      </c>
      <c r="Z2562">
        <v>269</v>
      </c>
      <c r="AD2562">
        <v>119</v>
      </c>
      <c r="AE2562">
        <v>141</v>
      </c>
      <c r="AX2562">
        <v>157</v>
      </c>
      <c r="AY2562">
        <v>120</v>
      </c>
      <c r="AZ2562">
        <v>277</v>
      </c>
      <c r="BA2562">
        <v>270</v>
      </c>
      <c r="BB2562">
        <v>146</v>
      </c>
      <c r="BC2562">
        <v>416</v>
      </c>
      <c r="BD2562">
        <v>260</v>
      </c>
      <c r="BE2562">
        <v>421</v>
      </c>
      <c r="BF2562">
        <v>681</v>
      </c>
      <c r="BP2562">
        <v>321</v>
      </c>
      <c r="BR2562">
        <v>251</v>
      </c>
      <c r="BS2562">
        <v>54</v>
      </c>
      <c r="BT2562">
        <v>33</v>
      </c>
      <c r="BU2562">
        <v>20</v>
      </c>
      <c r="BV2562">
        <v>8</v>
      </c>
      <c r="BW2562">
        <v>687</v>
      </c>
      <c r="CA2562" s="7">
        <v>45249</v>
      </c>
      <c r="CE2562">
        <v>203</v>
      </c>
      <c r="CF2562">
        <v>216</v>
      </c>
      <c r="CG2562">
        <v>268</v>
      </c>
      <c r="CI2562">
        <f t="shared" si="240"/>
        <v>2023</v>
      </c>
      <c r="CJ2562" t="str">
        <f t="shared" si="241"/>
        <v>7966_2023</v>
      </c>
    </row>
    <row r="2563" spans="1:88" x14ac:dyDescent="0.25">
      <c r="A2563" t="s">
        <v>111</v>
      </c>
      <c r="B2563" t="s">
        <v>213</v>
      </c>
      <c r="C2563">
        <v>7784</v>
      </c>
      <c r="D2563">
        <v>-37.832945000000002</v>
      </c>
      <c r="E2563">
        <v>144.951989</v>
      </c>
      <c r="F2563">
        <v>5</v>
      </c>
      <c r="G2563" t="s">
        <v>1054</v>
      </c>
      <c r="H2563">
        <v>43</v>
      </c>
      <c r="I2563">
        <v>223</v>
      </c>
      <c r="J2563">
        <v>82</v>
      </c>
      <c r="K2563">
        <v>262</v>
      </c>
      <c r="L2563">
        <v>156</v>
      </c>
      <c r="M2563">
        <v>336</v>
      </c>
      <c r="N2563">
        <v>240</v>
      </c>
      <c r="O2563">
        <v>60</v>
      </c>
      <c r="P2563">
        <v>330</v>
      </c>
      <c r="Q2563">
        <v>150</v>
      </c>
      <c r="T2563">
        <v>0</v>
      </c>
      <c r="U2563">
        <v>29</v>
      </c>
      <c r="V2563">
        <v>92</v>
      </c>
      <c r="W2563">
        <v>22</v>
      </c>
      <c r="Y2563">
        <v>1</v>
      </c>
      <c r="Z2563">
        <v>28</v>
      </c>
      <c r="AA2563">
        <v>82</v>
      </c>
      <c r="AB2563">
        <v>55</v>
      </c>
      <c r="AD2563">
        <v>22</v>
      </c>
      <c r="AE2563">
        <v>31</v>
      </c>
      <c r="AF2563">
        <v>11</v>
      </c>
      <c r="AG2563">
        <v>30</v>
      </c>
      <c r="AI2563">
        <v>65</v>
      </c>
      <c r="AJ2563">
        <v>81</v>
      </c>
      <c r="AK2563">
        <v>5</v>
      </c>
      <c r="AL2563">
        <v>19</v>
      </c>
      <c r="AN2563">
        <v>21</v>
      </c>
      <c r="AO2563">
        <v>72</v>
      </c>
      <c r="AP2563">
        <v>52</v>
      </c>
      <c r="AQ2563">
        <v>34</v>
      </c>
      <c r="AX2563">
        <v>143</v>
      </c>
      <c r="AY2563">
        <v>109</v>
      </c>
      <c r="AZ2563">
        <v>252</v>
      </c>
      <c r="BA2563">
        <v>166</v>
      </c>
      <c r="BB2563">
        <v>184</v>
      </c>
      <c r="BC2563">
        <v>350</v>
      </c>
      <c r="BD2563">
        <v>94</v>
      </c>
      <c r="BE2563">
        <v>114</v>
      </c>
      <c r="BF2563">
        <v>208</v>
      </c>
      <c r="BG2563">
        <v>170</v>
      </c>
      <c r="BH2563">
        <v>219</v>
      </c>
      <c r="BI2563">
        <v>389</v>
      </c>
      <c r="BJ2563">
        <v>179</v>
      </c>
      <c r="BK2563">
        <v>126</v>
      </c>
      <c r="BL2563">
        <v>305</v>
      </c>
      <c r="BP2563">
        <v>147</v>
      </c>
      <c r="BR2563">
        <v>543</v>
      </c>
      <c r="BS2563">
        <v>11</v>
      </c>
      <c r="BT2563">
        <v>37</v>
      </c>
      <c r="BU2563">
        <v>12</v>
      </c>
      <c r="BV2563">
        <v>2</v>
      </c>
      <c r="BW2563">
        <v>752</v>
      </c>
      <c r="CA2563" s="7">
        <v>45249</v>
      </c>
      <c r="CE2563">
        <v>220</v>
      </c>
      <c r="CF2563">
        <v>262</v>
      </c>
      <c r="CG2563">
        <v>270</v>
      </c>
      <c r="CI2563">
        <f t="shared" ref="CI2563:CI2626" si="242">YEAR(CA2563)</f>
        <v>2023</v>
      </c>
      <c r="CJ2563" t="str">
        <f t="shared" ref="CJ2563:CJ2626" si="243">_xlfn.CONCAT(C2563,"_",CI2563)</f>
        <v>7784_2023</v>
      </c>
    </row>
    <row r="2564" spans="1:88" x14ac:dyDescent="0.25">
      <c r="A2564" t="s">
        <v>111</v>
      </c>
      <c r="B2564" t="s">
        <v>213</v>
      </c>
      <c r="C2564">
        <v>7967</v>
      </c>
      <c r="D2564">
        <v>-37.832070999999999</v>
      </c>
      <c r="E2564">
        <v>144.971823</v>
      </c>
      <c r="F2564">
        <v>3</v>
      </c>
      <c r="G2564" t="s">
        <v>1055</v>
      </c>
      <c r="H2564">
        <v>125</v>
      </c>
      <c r="I2564">
        <v>305</v>
      </c>
      <c r="J2564">
        <v>171</v>
      </c>
      <c r="K2564">
        <v>351</v>
      </c>
      <c r="L2564">
        <v>346</v>
      </c>
      <c r="M2564">
        <v>166</v>
      </c>
      <c r="T2564">
        <v>47</v>
      </c>
      <c r="U2564">
        <v>41</v>
      </c>
      <c r="Y2564">
        <v>61</v>
      </c>
      <c r="Z2564">
        <v>31</v>
      </c>
      <c r="AD2564">
        <v>32</v>
      </c>
      <c r="AE2564">
        <v>169</v>
      </c>
      <c r="AX2564">
        <v>88</v>
      </c>
      <c r="AY2564">
        <v>93</v>
      </c>
      <c r="AZ2564">
        <v>181</v>
      </c>
      <c r="BA2564">
        <v>92</v>
      </c>
      <c r="BB2564">
        <v>216</v>
      </c>
      <c r="BC2564">
        <v>308</v>
      </c>
      <c r="BD2564">
        <v>201</v>
      </c>
      <c r="BE2564">
        <v>72</v>
      </c>
      <c r="BF2564">
        <v>273</v>
      </c>
      <c r="BP2564">
        <v>104</v>
      </c>
      <c r="BR2564">
        <v>162</v>
      </c>
      <c r="BS2564">
        <v>37</v>
      </c>
      <c r="BT2564">
        <v>33</v>
      </c>
      <c r="BU2564">
        <v>45</v>
      </c>
      <c r="BV2564">
        <v>0</v>
      </c>
      <c r="BW2564">
        <v>381</v>
      </c>
      <c r="CA2564" s="7">
        <v>45249</v>
      </c>
      <c r="CE2564">
        <v>106</v>
      </c>
      <c r="CF2564">
        <v>141</v>
      </c>
      <c r="CG2564">
        <v>134</v>
      </c>
      <c r="CI2564">
        <f t="shared" si="242"/>
        <v>2023</v>
      </c>
      <c r="CJ2564" t="str">
        <f t="shared" si="243"/>
        <v>7967_2023</v>
      </c>
    </row>
    <row r="2565" spans="1:88" x14ac:dyDescent="0.25">
      <c r="A2565" t="s">
        <v>79</v>
      </c>
      <c r="B2565" t="s">
        <v>91</v>
      </c>
      <c r="C2565">
        <v>3635</v>
      </c>
      <c r="D2565">
        <v>-33.909453079999999</v>
      </c>
      <c r="E2565">
        <v>151.21909790000001</v>
      </c>
      <c r="F2565">
        <v>3</v>
      </c>
      <c r="G2565" t="s">
        <v>93</v>
      </c>
      <c r="H2565">
        <v>100</v>
      </c>
      <c r="I2565">
        <v>280</v>
      </c>
      <c r="J2565">
        <v>234</v>
      </c>
      <c r="K2565">
        <v>54</v>
      </c>
      <c r="L2565">
        <v>324</v>
      </c>
      <c r="M2565">
        <v>144</v>
      </c>
      <c r="T2565">
        <v>63</v>
      </c>
      <c r="U2565">
        <v>56</v>
      </c>
      <c r="Y2565">
        <v>124</v>
      </c>
      <c r="Z2565">
        <v>26</v>
      </c>
      <c r="AD2565">
        <v>75</v>
      </c>
      <c r="AE2565">
        <v>10</v>
      </c>
      <c r="AX2565">
        <v>119</v>
      </c>
      <c r="AY2565">
        <v>199</v>
      </c>
      <c r="AZ2565">
        <v>318</v>
      </c>
      <c r="BA2565">
        <v>150</v>
      </c>
      <c r="BB2565">
        <v>73</v>
      </c>
      <c r="BC2565">
        <v>223</v>
      </c>
      <c r="BD2565">
        <v>85</v>
      </c>
      <c r="BE2565">
        <v>82</v>
      </c>
      <c r="BF2565">
        <v>167</v>
      </c>
      <c r="BP2565">
        <v>146</v>
      </c>
      <c r="BR2565">
        <v>175</v>
      </c>
      <c r="BS2565">
        <v>20</v>
      </c>
      <c r="BT2565">
        <v>11</v>
      </c>
      <c r="BU2565">
        <v>2</v>
      </c>
      <c r="BV2565">
        <v>0</v>
      </c>
      <c r="BW2565">
        <v>354</v>
      </c>
      <c r="BX2565">
        <v>295</v>
      </c>
      <c r="BY2565">
        <v>0.2</v>
      </c>
      <c r="BZ2565" s="6">
        <v>0.2</v>
      </c>
      <c r="CA2565" s="7">
        <v>45242</v>
      </c>
      <c r="CE2565">
        <v>150</v>
      </c>
      <c r="CF2565">
        <v>110</v>
      </c>
      <c r="CG2565">
        <v>94</v>
      </c>
      <c r="CI2565">
        <f t="shared" si="242"/>
        <v>2023</v>
      </c>
      <c r="CJ2565" t="str">
        <f t="shared" si="243"/>
        <v>3635_2023</v>
      </c>
    </row>
    <row r="2566" spans="1:88" x14ac:dyDescent="0.25">
      <c r="A2566" t="s">
        <v>79</v>
      </c>
      <c r="B2566" t="s">
        <v>91</v>
      </c>
      <c r="C2566">
        <v>3838</v>
      </c>
      <c r="D2566">
        <v>-33.902836999999998</v>
      </c>
      <c r="E2566">
        <v>151.24481800000001</v>
      </c>
      <c r="F2566">
        <v>5</v>
      </c>
      <c r="G2566" t="s">
        <v>110</v>
      </c>
      <c r="H2566">
        <v>9</v>
      </c>
      <c r="I2566">
        <v>189</v>
      </c>
      <c r="J2566">
        <v>100</v>
      </c>
      <c r="K2566">
        <v>280</v>
      </c>
      <c r="L2566">
        <v>189</v>
      </c>
      <c r="M2566">
        <v>9</v>
      </c>
      <c r="N2566">
        <v>280</v>
      </c>
      <c r="O2566">
        <v>100</v>
      </c>
      <c r="P2566">
        <v>304</v>
      </c>
      <c r="Q2566">
        <v>124</v>
      </c>
      <c r="T2566">
        <v>7</v>
      </c>
      <c r="U2566">
        <v>39</v>
      </c>
      <c r="V2566">
        <v>2</v>
      </c>
      <c r="W2566">
        <v>8</v>
      </c>
      <c r="Y2566">
        <v>12</v>
      </c>
      <c r="Z2566">
        <v>40</v>
      </c>
      <c r="AA2566">
        <v>15</v>
      </c>
      <c r="AB2566">
        <v>284</v>
      </c>
      <c r="AD2566">
        <v>77</v>
      </c>
      <c r="AE2566">
        <v>26</v>
      </c>
      <c r="AF2566">
        <v>7</v>
      </c>
      <c r="AG2566">
        <v>122</v>
      </c>
      <c r="AI2566">
        <v>4</v>
      </c>
      <c r="AJ2566">
        <v>40</v>
      </c>
      <c r="AK2566">
        <v>12</v>
      </c>
      <c r="AL2566">
        <v>22</v>
      </c>
      <c r="AN2566">
        <v>7</v>
      </c>
      <c r="AO2566">
        <v>336</v>
      </c>
      <c r="AP2566">
        <v>118</v>
      </c>
      <c r="AQ2566">
        <v>5</v>
      </c>
      <c r="AX2566">
        <v>56</v>
      </c>
      <c r="AY2566">
        <v>100</v>
      </c>
      <c r="AZ2566">
        <v>156</v>
      </c>
      <c r="BA2566">
        <v>351</v>
      </c>
      <c r="BB2566">
        <v>409</v>
      </c>
      <c r="BC2566">
        <v>760</v>
      </c>
      <c r="BD2566">
        <v>232</v>
      </c>
      <c r="BE2566">
        <v>209</v>
      </c>
      <c r="BF2566">
        <v>441</v>
      </c>
      <c r="BG2566">
        <v>78</v>
      </c>
      <c r="BH2566">
        <v>29</v>
      </c>
      <c r="BI2566">
        <v>107</v>
      </c>
      <c r="BJ2566">
        <v>466</v>
      </c>
      <c r="BK2566">
        <v>436</v>
      </c>
      <c r="BL2566">
        <v>902</v>
      </c>
      <c r="BP2566">
        <v>334</v>
      </c>
      <c r="BR2566">
        <v>546</v>
      </c>
      <c r="BS2566">
        <v>171</v>
      </c>
      <c r="BT2566">
        <v>132</v>
      </c>
      <c r="BU2566">
        <v>0</v>
      </c>
      <c r="BV2566">
        <v>0</v>
      </c>
      <c r="BW2566">
        <v>1183</v>
      </c>
      <c r="BX2566">
        <v>1658</v>
      </c>
      <c r="BY2566">
        <v>-0.28649999999999998</v>
      </c>
      <c r="BZ2566" s="6">
        <v>-0.28999999999999998</v>
      </c>
      <c r="CA2566" s="7">
        <v>45242</v>
      </c>
      <c r="CE2566">
        <v>456</v>
      </c>
      <c r="CF2566">
        <v>357</v>
      </c>
      <c r="CG2566">
        <v>370</v>
      </c>
      <c r="CI2566">
        <f t="shared" si="242"/>
        <v>2023</v>
      </c>
      <c r="CJ2566" t="str">
        <f t="shared" si="243"/>
        <v>3838_2023</v>
      </c>
    </row>
    <row r="2567" spans="1:88" x14ac:dyDescent="0.25">
      <c r="A2567" t="s">
        <v>79</v>
      </c>
      <c r="B2567" t="s">
        <v>91</v>
      </c>
      <c r="C2567">
        <v>6864</v>
      </c>
      <c r="D2567">
        <v>-33.913178000000002</v>
      </c>
      <c r="E2567">
        <v>151.22473400000001</v>
      </c>
      <c r="F2567">
        <v>4</v>
      </c>
      <c r="G2567" t="s">
        <v>644</v>
      </c>
      <c r="H2567">
        <v>9</v>
      </c>
      <c r="I2567">
        <v>189</v>
      </c>
      <c r="J2567">
        <v>150</v>
      </c>
      <c r="K2567">
        <v>330</v>
      </c>
      <c r="L2567">
        <v>189</v>
      </c>
      <c r="M2567">
        <v>9</v>
      </c>
      <c r="N2567">
        <v>318</v>
      </c>
      <c r="O2567">
        <v>138</v>
      </c>
      <c r="T2567">
        <v>42</v>
      </c>
      <c r="U2567">
        <v>27</v>
      </c>
      <c r="V2567">
        <v>3</v>
      </c>
      <c r="Y2567">
        <v>19</v>
      </c>
      <c r="Z2567">
        <v>4</v>
      </c>
      <c r="AA2567">
        <v>66</v>
      </c>
      <c r="AD2567">
        <v>28</v>
      </c>
      <c r="AE2567">
        <v>22</v>
      </c>
      <c r="AF2567">
        <v>8</v>
      </c>
      <c r="AI2567">
        <v>7</v>
      </c>
      <c r="AJ2567">
        <v>46</v>
      </c>
      <c r="AK2567">
        <v>10</v>
      </c>
      <c r="AX2567">
        <v>72</v>
      </c>
      <c r="AY2567">
        <v>54</v>
      </c>
      <c r="AZ2567">
        <v>126</v>
      </c>
      <c r="BA2567">
        <v>89</v>
      </c>
      <c r="BB2567">
        <v>110</v>
      </c>
      <c r="BC2567">
        <v>199</v>
      </c>
      <c r="BD2567">
        <v>58</v>
      </c>
      <c r="BE2567">
        <v>41</v>
      </c>
      <c r="BF2567">
        <v>99</v>
      </c>
      <c r="BG2567">
        <v>63</v>
      </c>
      <c r="BH2567">
        <v>77</v>
      </c>
      <c r="BI2567">
        <v>140</v>
      </c>
      <c r="BP2567">
        <v>139</v>
      </c>
      <c r="BR2567">
        <v>109</v>
      </c>
      <c r="BS2567">
        <v>23</v>
      </c>
      <c r="BT2567">
        <v>9</v>
      </c>
      <c r="BU2567">
        <v>0</v>
      </c>
      <c r="BV2567">
        <v>2</v>
      </c>
      <c r="BW2567">
        <v>282</v>
      </c>
      <c r="BX2567">
        <v>433</v>
      </c>
      <c r="BY2567">
        <v>-0.34870000000000001</v>
      </c>
      <c r="BZ2567" s="6">
        <v>-0.35</v>
      </c>
      <c r="CA2567" s="7">
        <v>45242</v>
      </c>
      <c r="CE2567">
        <v>101</v>
      </c>
      <c r="CF2567">
        <v>109</v>
      </c>
      <c r="CG2567">
        <v>72</v>
      </c>
      <c r="CI2567">
        <f t="shared" si="242"/>
        <v>2023</v>
      </c>
      <c r="CJ2567" t="str">
        <f t="shared" si="243"/>
        <v>6864_2023</v>
      </c>
    </row>
    <row r="2568" spans="1:88" x14ac:dyDescent="0.25">
      <c r="A2568" t="s">
        <v>79</v>
      </c>
      <c r="B2568" t="s">
        <v>91</v>
      </c>
      <c r="C2568">
        <v>7014</v>
      </c>
      <c r="D2568">
        <v>-33.988649000000002</v>
      </c>
      <c r="E2568">
        <v>151.23333</v>
      </c>
      <c r="F2568">
        <v>3</v>
      </c>
      <c r="G2568" t="s">
        <v>692</v>
      </c>
      <c r="H2568">
        <v>21</v>
      </c>
      <c r="I2568">
        <v>201</v>
      </c>
      <c r="J2568">
        <v>202</v>
      </c>
      <c r="K2568">
        <v>22</v>
      </c>
      <c r="L2568">
        <v>307</v>
      </c>
      <c r="M2568">
        <v>127</v>
      </c>
      <c r="T2568">
        <v>237</v>
      </c>
      <c r="U2568">
        <v>45</v>
      </c>
      <c r="Y2568">
        <v>68</v>
      </c>
      <c r="Z2568">
        <v>54</v>
      </c>
      <c r="AD2568">
        <v>97</v>
      </c>
      <c r="AE2568">
        <v>70</v>
      </c>
      <c r="AX2568">
        <v>282</v>
      </c>
      <c r="AY2568">
        <v>165</v>
      </c>
      <c r="AZ2568">
        <v>447</v>
      </c>
      <c r="BA2568">
        <v>122</v>
      </c>
      <c r="BB2568">
        <v>307</v>
      </c>
      <c r="BC2568">
        <v>429</v>
      </c>
      <c r="BD2568">
        <v>167</v>
      </c>
      <c r="BE2568">
        <v>99</v>
      </c>
      <c r="BF2568">
        <v>266</v>
      </c>
      <c r="BP2568">
        <v>182</v>
      </c>
      <c r="BR2568">
        <v>351</v>
      </c>
      <c r="BS2568">
        <v>9</v>
      </c>
      <c r="BT2568">
        <v>29</v>
      </c>
      <c r="BU2568">
        <v>0</v>
      </c>
      <c r="BV2568">
        <v>0</v>
      </c>
      <c r="BW2568">
        <v>571</v>
      </c>
      <c r="CA2568" s="7">
        <v>45249</v>
      </c>
      <c r="CE2568">
        <v>238</v>
      </c>
      <c r="CF2568">
        <v>193</v>
      </c>
      <c r="CG2568">
        <v>140</v>
      </c>
      <c r="CI2568">
        <f t="shared" si="242"/>
        <v>2023</v>
      </c>
      <c r="CJ2568" t="str">
        <f t="shared" si="243"/>
        <v>7014_2023</v>
      </c>
    </row>
    <row r="2569" spans="1:88" x14ac:dyDescent="0.25">
      <c r="A2569" t="s">
        <v>79</v>
      </c>
      <c r="B2569" t="s">
        <v>91</v>
      </c>
      <c r="C2569">
        <v>7058</v>
      </c>
      <c r="D2569">
        <v>-33.920828</v>
      </c>
      <c r="E2569">
        <v>151.25679400000001</v>
      </c>
      <c r="F2569">
        <v>3</v>
      </c>
      <c r="G2569" t="s">
        <v>1056</v>
      </c>
      <c r="H2569">
        <v>9</v>
      </c>
      <c r="I2569">
        <v>189</v>
      </c>
      <c r="J2569">
        <v>188</v>
      </c>
      <c r="K2569">
        <v>8</v>
      </c>
      <c r="L2569">
        <v>281</v>
      </c>
      <c r="M2569">
        <v>101</v>
      </c>
      <c r="T2569">
        <v>18</v>
      </c>
      <c r="U2569">
        <v>5</v>
      </c>
      <c r="Y2569">
        <v>18</v>
      </c>
      <c r="Z2569">
        <v>6</v>
      </c>
      <c r="AD2569">
        <v>14</v>
      </c>
      <c r="AE2569">
        <v>3</v>
      </c>
      <c r="AX2569">
        <v>23</v>
      </c>
      <c r="AY2569">
        <v>32</v>
      </c>
      <c r="AZ2569">
        <v>55</v>
      </c>
      <c r="BA2569">
        <v>24</v>
      </c>
      <c r="BB2569">
        <v>21</v>
      </c>
      <c r="BC2569">
        <v>45</v>
      </c>
      <c r="BD2569">
        <v>17</v>
      </c>
      <c r="BE2569">
        <v>11</v>
      </c>
      <c r="BF2569">
        <v>28</v>
      </c>
      <c r="BP2569">
        <v>57</v>
      </c>
      <c r="BR2569">
        <v>4</v>
      </c>
      <c r="BS2569">
        <v>2</v>
      </c>
      <c r="BT2569">
        <v>1</v>
      </c>
      <c r="BU2569">
        <v>0</v>
      </c>
      <c r="BV2569">
        <v>0</v>
      </c>
      <c r="BW2569">
        <v>64</v>
      </c>
      <c r="CA2569" s="7">
        <v>45242</v>
      </c>
      <c r="CE2569">
        <v>36</v>
      </c>
      <c r="CF2569">
        <v>10</v>
      </c>
      <c r="CG2569">
        <v>18</v>
      </c>
      <c r="CI2569">
        <f t="shared" si="242"/>
        <v>2023</v>
      </c>
      <c r="CJ2569" t="str">
        <f t="shared" si="243"/>
        <v>7058_2023</v>
      </c>
    </row>
    <row r="2570" spans="1:88" x14ac:dyDescent="0.25">
      <c r="A2570" t="s">
        <v>79</v>
      </c>
      <c r="B2570" t="s">
        <v>91</v>
      </c>
      <c r="C2570">
        <v>7291</v>
      </c>
      <c r="D2570">
        <v>-33.904527999999999</v>
      </c>
      <c r="E2570">
        <v>151.22633300000001</v>
      </c>
      <c r="F2570">
        <v>3</v>
      </c>
      <c r="G2570" t="s">
        <v>794</v>
      </c>
      <c r="H2570">
        <v>113</v>
      </c>
      <c r="I2570">
        <v>293</v>
      </c>
      <c r="J2570">
        <v>186</v>
      </c>
      <c r="K2570">
        <v>6</v>
      </c>
      <c r="L2570">
        <v>316</v>
      </c>
      <c r="M2570">
        <v>136</v>
      </c>
      <c r="T2570">
        <v>147</v>
      </c>
      <c r="U2570">
        <v>179</v>
      </c>
      <c r="Y2570">
        <v>261</v>
      </c>
      <c r="Z2570">
        <v>77</v>
      </c>
      <c r="AD2570">
        <v>320</v>
      </c>
      <c r="AE2570">
        <v>144</v>
      </c>
      <c r="AX2570">
        <v>326</v>
      </c>
      <c r="AY2570">
        <v>581</v>
      </c>
      <c r="AZ2570">
        <v>907</v>
      </c>
      <c r="BA2570">
        <v>338</v>
      </c>
      <c r="BB2570">
        <v>291</v>
      </c>
      <c r="BC2570">
        <v>629</v>
      </c>
      <c r="BD2570">
        <v>464</v>
      </c>
      <c r="BE2570">
        <v>256</v>
      </c>
      <c r="BF2570">
        <v>720</v>
      </c>
      <c r="BP2570">
        <v>504</v>
      </c>
      <c r="BR2570">
        <v>398</v>
      </c>
      <c r="BS2570">
        <v>165</v>
      </c>
      <c r="BT2570">
        <v>59</v>
      </c>
      <c r="BU2570">
        <v>2</v>
      </c>
      <c r="BV2570">
        <v>0</v>
      </c>
      <c r="BW2570">
        <v>1128</v>
      </c>
      <c r="BX2570">
        <v>488</v>
      </c>
      <c r="BY2570">
        <v>1.3115000000000001</v>
      </c>
      <c r="BZ2570" s="6">
        <v>1.31</v>
      </c>
      <c r="CA2570" s="7">
        <v>45242</v>
      </c>
      <c r="CE2570">
        <v>550</v>
      </c>
      <c r="CF2570">
        <v>318</v>
      </c>
      <c r="CG2570">
        <v>260</v>
      </c>
      <c r="CI2570">
        <f t="shared" si="242"/>
        <v>2023</v>
      </c>
      <c r="CJ2570" t="str">
        <f t="shared" si="243"/>
        <v>7291_2023</v>
      </c>
    </row>
    <row r="2571" spans="1:88" x14ac:dyDescent="0.25">
      <c r="A2571" t="s">
        <v>79</v>
      </c>
      <c r="B2571" t="s">
        <v>91</v>
      </c>
      <c r="C2571">
        <v>7625</v>
      </c>
      <c r="D2571">
        <v>-33.926228000000002</v>
      </c>
      <c r="E2571">
        <v>151.230929</v>
      </c>
      <c r="F2571">
        <v>4</v>
      </c>
      <c r="G2571" t="s">
        <v>886</v>
      </c>
      <c r="H2571">
        <v>98</v>
      </c>
      <c r="I2571">
        <v>278</v>
      </c>
      <c r="J2571">
        <v>135</v>
      </c>
      <c r="K2571">
        <v>315</v>
      </c>
      <c r="L2571">
        <v>279</v>
      </c>
      <c r="M2571">
        <v>99</v>
      </c>
      <c r="N2571">
        <v>312</v>
      </c>
      <c r="O2571">
        <v>132</v>
      </c>
      <c r="T2571">
        <v>6</v>
      </c>
      <c r="U2571">
        <v>13</v>
      </c>
      <c r="V2571">
        <v>42</v>
      </c>
      <c r="Y2571">
        <v>0</v>
      </c>
      <c r="Z2571">
        <v>0</v>
      </c>
      <c r="AA2571">
        <v>99</v>
      </c>
      <c r="AD2571">
        <v>0</v>
      </c>
      <c r="AE2571">
        <v>0</v>
      </c>
      <c r="AF2571">
        <v>0</v>
      </c>
      <c r="AI2571">
        <v>10</v>
      </c>
      <c r="AJ2571">
        <v>77</v>
      </c>
      <c r="AK2571">
        <v>7</v>
      </c>
      <c r="AX2571">
        <v>61</v>
      </c>
      <c r="AY2571">
        <v>10</v>
      </c>
      <c r="AZ2571">
        <v>71</v>
      </c>
      <c r="BA2571">
        <v>99</v>
      </c>
      <c r="BB2571">
        <v>83</v>
      </c>
      <c r="BC2571">
        <v>182</v>
      </c>
      <c r="BD2571">
        <v>0</v>
      </c>
      <c r="BE2571">
        <v>20</v>
      </c>
      <c r="BF2571">
        <v>20</v>
      </c>
      <c r="BG2571">
        <v>94</v>
      </c>
      <c r="BH2571">
        <v>141</v>
      </c>
      <c r="BI2571">
        <v>235</v>
      </c>
      <c r="BP2571">
        <v>49</v>
      </c>
      <c r="BR2571">
        <v>195</v>
      </c>
      <c r="BS2571">
        <v>5</v>
      </c>
      <c r="BT2571">
        <v>1</v>
      </c>
      <c r="BU2571">
        <v>1</v>
      </c>
      <c r="BV2571">
        <v>3</v>
      </c>
      <c r="BW2571">
        <v>254</v>
      </c>
      <c r="BX2571">
        <v>186</v>
      </c>
      <c r="BY2571">
        <v>0.36559999999999998</v>
      </c>
      <c r="BZ2571" s="6">
        <v>0.37</v>
      </c>
      <c r="CA2571" s="7">
        <v>45242</v>
      </c>
      <c r="CE2571">
        <v>45</v>
      </c>
      <c r="CF2571">
        <v>70</v>
      </c>
      <c r="CG2571">
        <v>139</v>
      </c>
      <c r="CI2571">
        <f t="shared" si="242"/>
        <v>2023</v>
      </c>
      <c r="CJ2571" t="str">
        <f t="shared" si="243"/>
        <v>7625_2023</v>
      </c>
    </row>
    <row r="2572" spans="1:88" x14ac:dyDescent="0.25">
      <c r="A2572" t="s">
        <v>79</v>
      </c>
      <c r="B2572" t="s">
        <v>91</v>
      </c>
      <c r="C2572">
        <v>7626</v>
      </c>
      <c r="D2572">
        <v>-33.941600999999999</v>
      </c>
      <c r="E2572">
        <v>151.23929999999999</v>
      </c>
      <c r="F2572">
        <v>4</v>
      </c>
      <c r="G2572" t="s">
        <v>887</v>
      </c>
      <c r="H2572">
        <v>98</v>
      </c>
      <c r="I2572">
        <v>278</v>
      </c>
      <c r="J2572">
        <v>171</v>
      </c>
      <c r="K2572">
        <v>351</v>
      </c>
      <c r="L2572">
        <v>278</v>
      </c>
      <c r="M2572">
        <v>98</v>
      </c>
      <c r="N2572">
        <v>350</v>
      </c>
      <c r="O2572">
        <v>170</v>
      </c>
      <c r="T2572">
        <v>85</v>
      </c>
      <c r="U2572">
        <v>284</v>
      </c>
      <c r="V2572">
        <v>74</v>
      </c>
      <c r="Y2572">
        <v>51</v>
      </c>
      <c r="Z2572">
        <v>181</v>
      </c>
      <c r="AA2572">
        <v>419</v>
      </c>
      <c r="AD2572">
        <v>79</v>
      </c>
      <c r="AE2572">
        <v>144</v>
      </c>
      <c r="AF2572">
        <v>71</v>
      </c>
      <c r="AI2572">
        <v>105</v>
      </c>
      <c r="AJ2572">
        <v>178</v>
      </c>
      <c r="AK2572">
        <v>47</v>
      </c>
      <c r="AX2572">
        <v>443</v>
      </c>
      <c r="AY2572">
        <v>235</v>
      </c>
      <c r="AZ2572">
        <v>678</v>
      </c>
      <c r="BA2572">
        <v>651</v>
      </c>
      <c r="BB2572">
        <v>407</v>
      </c>
      <c r="BC2572">
        <v>1058</v>
      </c>
      <c r="BD2572">
        <v>294</v>
      </c>
      <c r="BE2572">
        <v>512</v>
      </c>
      <c r="BF2572">
        <v>806</v>
      </c>
      <c r="BG2572">
        <v>330</v>
      </c>
      <c r="BH2572">
        <v>564</v>
      </c>
      <c r="BI2572">
        <v>894</v>
      </c>
      <c r="BP2572">
        <v>211</v>
      </c>
      <c r="BR2572">
        <v>1440</v>
      </c>
      <c r="BS2572">
        <v>24</v>
      </c>
      <c r="BT2572">
        <v>42</v>
      </c>
      <c r="BU2572">
        <v>1</v>
      </c>
      <c r="BV2572">
        <v>0</v>
      </c>
      <c r="BW2572">
        <v>1718</v>
      </c>
      <c r="BX2572">
        <v>2316</v>
      </c>
      <c r="BY2572">
        <v>-0.25819999999999999</v>
      </c>
      <c r="BZ2572" s="6">
        <v>-0.26</v>
      </c>
      <c r="CA2572" s="7">
        <v>45242</v>
      </c>
      <c r="CE2572">
        <v>539</v>
      </c>
      <c r="CF2572">
        <v>606</v>
      </c>
      <c r="CG2572">
        <v>573</v>
      </c>
      <c r="CI2572">
        <f t="shared" si="242"/>
        <v>2023</v>
      </c>
      <c r="CJ2572" t="str">
        <f t="shared" si="243"/>
        <v>7626_2023</v>
      </c>
    </row>
    <row r="2573" spans="1:88" x14ac:dyDescent="0.25">
      <c r="A2573" t="s">
        <v>79</v>
      </c>
      <c r="B2573" t="s">
        <v>91</v>
      </c>
      <c r="C2573">
        <v>7627</v>
      </c>
      <c r="D2573">
        <v>-33.946128999999999</v>
      </c>
      <c r="E2573">
        <v>151.24029999999999</v>
      </c>
      <c r="F2573">
        <v>4</v>
      </c>
      <c r="G2573" t="s">
        <v>888</v>
      </c>
      <c r="H2573">
        <v>97</v>
      </c>
      <c r="I2573">
        <v>277</v>
      </c>
      <c r="J2573">
        <v>168</v>
      </c>
      <c r="K2573">
        <v>348</v>
      </c>
      <c r="L2573">
        <v>262</v>
      </c>
      <c r="M2573">
        <v>82</v>
      </c>
      <c r="N2573">
        <v>351</v>
      </c>
      <c r="O2573">
        <v>171</v>
      </c>
      <c r="T2573">
        <v>0</v>
      </c>
      <c r="U2573">
        <v>53</v>
      </c>
      <c r="V2573">
        <v>73</v>
      </c>
      <c r="Y2573">
        <v>3</v>
      </c>
      <c r="Z2573">
        <v>14</v>
      </c>
      <c r="AA2573">
        <v>147</v>
      </c>
      <c r="AD2573">
        <v>79</v>
      </c>
      <c r="AE2573">
        <v>15</v>
      </c>
      <c r="AF2573">
        <v>36</v>
      </c>
      <c r="AI2573">
        <v>65</v>
      </c>
      <c r="AJ2573">
        <v>124</v>
      </c>
      <c r="AK2573">
        <v>38</v>
      </c>
      <c r="AX2573">
        <v>126</v>
      </c>
      <c r="AY2573">
        <v>147</v>
      </c>
      <c r="AZ2573">
        <v>273</v>
      </c>
      <c r="BA2573">
        <v>164</v>
      </c>
      <c r="BB2573">
        <v>139</v>
      </c>
      <c r="BC2573">
        <v>303</v>
      </c>
      <c r="BD2573">
        <v>130</v>
      </c>
      <c r="BE2573">
        <v>105</v>
      </c>
      <c r="BF2573">
        <v>235</v>
      </c>
      <c r="BG2573">
        <v>227</v>
      </c>
      <c r="BH2573">
        <v>256</v>
      </c>
      <c r="BI2573">
        <v>483</v>
      </c>
      <c r="BP2573">
        <v>269</v>
      </c>
      <c r="BR2573">
        <v>249</v>
      </c>
      <c r="BS2573">
        <v>40</v>
      </c>
      <c r="BT2573">
        <v>26</v>
      </c>
      <c r="BU2573">
        <v>3</v>
      </c>
      <c r="BV2573">
        <v>60</v>
      </c>
      <c r="BW2573">
        <v>647</v>
      </c>
      <c r="CA2573" s="7">
        <v>45242</v>
      </c>
      <c r="CE2573">
        <v>220</v>
      </c>
      <c r="CF2573">
        <v>223</v>
      </c>
      <c r="CG2573">
        <v>204</v>
      </c>
      <c r="CI2573">
        <f t="shared" si="242"/>
        <v>2023</v>
      </c>
      <c r="CJ2573" t="str">
        <f t="shared" si="243"/>
        <v>7627_2023</v>
      </c>
    </row>
    <row r="2574" spans="1:88" x14ac:dyDescent="0.25">
      <c r="A2574" t="s">
        <v>79</v>
      </c>
      <c r="B2574" t="s">
        <v>91</v>
      </c>
      <c r="C2574">
        <v>7735</v>
      </c>
      <c r="D2574">
        <v>-33.927124999999997</v>
      </c>
      <c r="E2574">
        <v>151.239</v>
      </c>
      <c r="F2574">
        <v>4</v>
      </c>
      <c r="G2574" t="s">
        <v>935</v>
      </c>
      <c r="H2574">
        <v>10</v>
      </c>
      <c r="I2574">
        <v>190</v>
      </c>
      <c r="J2574">
        <v>98</v>
      </c>
      <c r="K2574">
        <v>278</v>
      </c>
      <c r="L2574">
        <v>190</v>
      </c>
      <c r="M2574">
        <v>10</v>
      </c>
      <c r="N2574">
        <v>278</v>
      </c>
      <c r="O2574">
        <v>98</v>
      </c>
      <c r="T2574">
        <v>8</v>
      </c>
      <c r="U2574">
        <v>52</v>
      </c>
      <c r="V2574">
        <v>14</v>
      </c>
      <c r="Y2574">
        <v>9</v>
      </c>
      <c r="Z2574">
        <v>15</v>
      </c>
      <c r="AA2574">
        <v>8</v>
      </c>
      <c r="AD2574">
        <v>43</v>
      </c>
      <c r="AE2574">
        <v>11</v>
      </c>
      <c r="AF2574">
        <v>2</v>
      </c>
      <c r="AI2574">
        <v>7</v>
      </c>
      <c r="AJ2574">
        <v>12</v>
      </c>
      <c r="AK2574">
        <v>4</v>
      </c>
      <c r="AX2574">
        <v>74</v>
      </c>
      <c r="AY2574">
        <v>59</v>
      </c>
      <c r="AZ2574">
        <v>133</v>
      </c>
      <c r="BA2574">
        <v>32</v>
      </c>
      <c r="BB2574">
        <v>31</v>
      </c>
      <c r="BC2574">
        <v>63</v>
      </c>
      <c r="BD2574">
        <v>56</v>
      </c>
      <c r="BE2574">
        <v>71</v>
      </c>
      <c r="BF2574">
        <v>127</v>
      </c>
      <c r="BG2574">
        <v>23</v>
      </c>
      <c r="BH2574">
        <v>24</v>
      </c>
      <c r="BI2574">
        <v>47</v>
      </c>
      <c r="BP2574">
        <v>70</v>
      </c>
      <c r="BR2574">
        <v>68</v>
      </c>
      <c r="BS2574">
        <v>26</v>
      </c>
      <c r="BT2574">
        <v>19</v>
      </c>
      <c r="BU2574">
        <v>0</v>
      </c>
      <c r="BV2574">
        <v>2</v>
      </c>
      <c r="BW2574">
        <v>185</v>
      </c>
      <c r="BX2574">
        <v>174</v>
      </c>
      <c r="BY2574">
        <v>6.3200000000000006E-2</v>
      </c>
      <c r="BZ2574" s="6">
        <v>0.06</v>
      </c>
      <c r="CA2574" s="7">
        <v>45242</v>
      </c>
      <c r="CE2574">
        <v>65</v>
      </c>
      <c r="CF2574">
        <v>63</v>
      </c>
      <c r="CG2574">
        <v>57</v>
      </c>
      <c r="CI2574">
        <f t="shared" si="242"/>
        <v>2023</v>
      </c>
      <c r="CJ2574" t="str">
        <f t="shared" si="243"/>
        <v>7735_2023</v>
      </c>
    </row>
    <row r="2575" spans="1:88" x14ac:dyDescent="0.25">
      <c r="A2575" t="s">
        <v>79</v>
      </c>
      <c r="B2575" t="s">
        <v>91</v>
      </c>
      <c r="C2575">
        <v>7736</v>
      </c>
      <c r="D2575">
        <v>-33.918089999999999</v>
      </c>
      <c r="E2575">
        <v>151.24199999999999</v>
      </c>
      <c r="F2575">
        <v>4</v>
      </c>
      <c r="G2575" t="s">
        <v>936</v>
      </c>
      <c r="H2575">
        <v>98</v>
      </c>
      <c r="I2575">
        <v>278</v>
      </c>
      <c r="J2575">
        <v>160</v>
      </c>
      <c r="K2575">
        <v>340</v>
      </c>
      <c r="L2575">
        <v>265</v>
      </c>
      <c r="M2575">
        <v>85</v>
      </c>
      <c r="N2575">
        <v>325</v>
      </c>
      <c r="O2575">
        <v>145</v>
      </c>
      <c r="T2575">
        <v>29</v>
      </c>
      <c r="U2575">
        <v>49</v>
      </c>
      <c r="V2575">
        <v>223</v>
      </c>
      <c r="Y2575">
        <v>36</v>
      </c>
      <c r="Z2575">
        <v>39</v>
      </c>
      <c r="AA2575">
        <v>234</v>
      </c>
      <c r="AD2575">
        <v>43</v>
      </c>
      <c r="AE2575">
        <v>27</v>
      </c>
      <c r="AF2575">
        <v>12</v>
      </c>
      <c r="AI2575">
        <v>309</v>
      </c>
      <c r="AJ2575">
        <v>285</v>
      </c>
      <c r="AK2575">
        <v>16</v>
      </c>
      <c r="AX2575">
        <v>301</v>
      </c>
      <c r="AY2575">
        <v>388</v>
      </c>
      <c r="AZ2575">
        <v>689</v>
      </c>
      <c r="BA2575">
        <v>309</v>
      </c>
      <c r="BB2575">
        <v>341</v>
      </c>
      <c r="BC2575">
        <v>650</v>
      </c>
      <c r="BD2575">
        <v>82</v>
      </c>
      <c r="BE2575">
        <v>104</v>
      </c>
      <c r="BF2575">
        <v>186</v>
      </c>
      <c r="BG2575">
        <v>610</v>
      </c>
      <c r="BH2575">
        <v>469</v>
      </c>
      <c r="BI2575">
        <v>1079</v>
      </c>
      <c r="BP2575">
        <v>170</v>
      </c>
      <c r="BR2575">
        <v>1060</v>
      </c>
      <c r="BS2575">
        <v>19</v>
      </c>
      <c r="BT2575">
        <v>33</v>
      </c>
      <c r="BU2575">
        <v>2</v>
      </c>
      <c r="BV2575">
        <v>18</v>
      </c>
      <c r="BW2575">
        <v>1302</v>
      </c>
      <c r="BX2575">
        <v>1257</v>
      </c>
      <c r="BY2575">
        <v>3.5799999999999998E-2</v>
      </c>
      <c r="BZ2575" s="6">
        <v>0.04</v>
      </c>
      <c r="CA2575" s="7">
        <v>45242</v>
      </c>
      <c r="CE2575">
        <v>352</v>
      </c>
      <c r="CF2575">
        <v>441</v>
      </c>
      <c r="CG2575">
        <v>509</v>
      </c>
      <c r="CI2575">
        <f t="shared" si="242"/>
        <v>2023</v>
      </c>
      <c r="CJ2575" t="str">
        <f t="shared" si="243"/>
        <v>7736_2023</v>
      </c>
    </row>
    <row r="2576" spans="1:88" x14ac:dyDescent="0.25">
      <c r="A2576" t="s">
        <v>79</v>
      </c>
      <c r="B2576" t="s">
        <v>91</v>
      </c>
      <c r="C2576">
        <v>7895</v>
      </c>
      <c r="D2576">
        <v>-33.919573999999997</v>
      </c>
      <c r="E2576">
        <v>151.22500099999999</v>
      </c>
      <c r="F2576">
        <v>4</v>
      </c>
      <c r="G2576" t="s">
        <v>1057</v>
      </c>
      <c r="H2576">
        <v>82</v>
      </c>
      <c r="I2576">
        <v>262</v>
      </c>
      <c r="J2576">
        <v>172</v>
      </c>
      <c r="K2576">
        <v>352</v>
      </c>
      <c r="L2576">
        <v>262</v>
      </c>
      <c r="M2576">
        <v>82</v>
      </c>
      <c r="N2576">
        <v>352</v>
      </c>
      <c r="O2576">
        <v>172</v>
      </c>
      <c r="T2576">
        <v>11</v>
      </c>
      <c r="U2576">
        <v>21</v>
      </c>
      <c r="V2576">
        <v>6</v>
      </c>
      <c r="Y2576">
        <v>17</v>
      </c>
      <c r="Z2576">
        <v>4</v>
      </c>
      <c r="AA2576">
        <v>68</v>
      </c>
      <c r="AD2576">
        <v>37</v>
      </c>
      <c r="AE2576">
        <v>2</v>
      </c>
      <c r="AF2576">
        <v>11</v>
      </c>
      <c r="AI2576">
        <v>5</v>
      </c>
      <c r="AJ2576">
        <v>74</v>
      </c>
      <c r="AK2576">
        <v>3</v>
      </c>
      <c r="AX2576">
        <v>38</v>
      </c>
      <c r="AY2576">
        <v>59</v>
      </c>
      <c r="AZ2576">
        <v>97</v>
      </c>
      <c r="BA2576">
        <v>89</v>
      </c>
      <c r="BB2576">
        <v>87</v>
      </c>
      <c r="BC2576">
        <v>176</v>
      </c>
      <c r="BD2576">
        <v>50</v>
      </c>
      <c r="BE2576">
        <v>28</v>
      </c>
      <c r="BF2576">
        <v>78</v>
      </c>
      <c r="BG2576">
        <v>82</v>
      </c>
      <c r="BH2576">
        <v>85</v>
      </c>
      <c r="BI2576">
        <v>167</v>
      </c>
      <c r="BP2576">
        <v>135</v>
      </c>
      <c r="BR2576">
        <v>114</v>
      </c>
      <c r="BS2576">
        <v>7</v>
      </c>
      <c r="BT2576">
        <v>0</v>
      </c>
      <c r="BU2576">
        <v>3</v>
      </c>
      <c r="BV2576">
        <v>0</v>
      </c>
      <c r="BW2576">
        <v>259</v>
      </c>
      <c r="CA2576" s="7">
        <v>45242</v>
      </c>
      <c r="CE2576">
        <v>114</v>
      </c>
      <c r="CF2576">
        <v>77</v>
      </c>
      <c r="CG2576">
        <v>68</v>
      </c>
      <c r="CI2576">
        <f t="shared" si="242"/>
        <v>2023</v>
      </c>
      <c r="CJ2576" t="str">
        <f t="shared" si="243"/>
        <v>7895_2023</v>
      </c>
    </row>
    <row r="2577" spans="1:88" x14ac:dyDescent="0.25">
      <c r="A2577" t="s">
        <v>79</v>
      </c>
      <c r="B2577" t="s">
        <v>91</v>
      </c>
      <c r="C2577">
        <v>7896</v>
      </c>
      <c r="D2577">
        <v>-33.918914999999998</v>
      </c>
      <c r="E2577">
        <v>151.25719799999999</v>
      </c>
      <c r="F2577">
        <v>4</v>
      </c>
      <c r="G2577" t="s">
        <v>1058</v>
      </c>
      <c r="H2577">
        <v>10</v>
      </c>
      <c r="I2577">
        <v>190</v>
      </c>
      <c r="J2577">
        <v>100</v>
      </c>
      <c r="K2577">
        <v>280</v>
      </c>
      <c r="L2577">
        <v>190</v>
      </c>
      <c r="M2577">
        <v>10</v>
      </c>
      <c r="N2577">
        <v>280</v>
      </c>
      <c r="O2577">
        <v>100</v>
      </c>
      <c r="T2577">
        <v>172</v>
      </c>
      <c r="U2577">
        <v>120</v>
      </c>
      <c r="V2577">
        <v>7</v>
      </c>
      <c r="Y2577">
        <v>57</v>
      </c>
      <c r="Z2577">
        <v>84</v>
      </c>
      <c r="AA2577">
        <v>134</v>
      </c>
      <c r="AD2577">
        <v>53</v>
      </c>
      <c r="AE2577">
        <v>41</v>
      </c>
      <c r="AF2577">
        <v>225</v>
      </c>
      <c r="AI2577">
        <v>20</v>
      </c>
      <c r="AJ2577">
        <v>331</v>
      </c>
      <c r="AK2577">
        <v>255</v>
      </c>
      <c r="AX2577">
        <v>299</v>
      </c>
      <c r="AY2577">
        <v>130</v>
      </c>
      <c r="AZ2577">
        <v>429</v>
      </c>
      <c r="BA2577">
        <v>275</v>
      </c>
      <c r="BB2577">
        <v>544</v>
      </c>
      <c r="BC2577">
        <v>819</v>
      </c>
      <c r="BD2577">
        <v>319</v>
      </c>
      <c r="BE2577">
        <v>459</v>
      </c>
      <c r="BF2577">
        <v>778</v>
      </c>
      <c r="BG2577">
        <v>606</v>
      </c>
      <c r="BH2577">
        <v>366</v>
      </c>
      <c r="BI2577">
        <v>972</v>
      </c>
      <c r="BP2577">
        <v>70</v>
      </c>
      <c r="BR2577">
        <v>1337</v>
      </c>
      <c r="BS2577">
        <v>32</v>
      </c>
      <c r="BT2577">
        <v>49</v>
      </c>
      <c r="BU2577">
        <v>11</v>
      </c>
      <c r="BV2577">
        <v>0</v>
      </c>
      <c r="BW2577">
        <v>1499</v>
      </c>
      <c r="CA2577" s="7">
        <v>45242</v>
      </c>
      <c r="CE2577">
        <v>478</v>
      </c>
      <c r="CF2577">
        <v>513</v>
      </c>
      <c r="CG2577">
        <v>508</v>
      </c>
      <c r="CI2577">
        <f t="shared" si="242"/>
        <v>2023</v>
      </c>
      <c r="CJ2577" t="str">
        <f t="shared" si="243"/>
        <v>7896_2023</v>
      </c>
    </row>
    <row r="2578" spans="1:88" x14ac:dyDescent="0.25">
      <c r="A2578" t="s">
        <v>79</v>
      </c>
      <c r="B2578" t="s">
        <v>91</v>
      </c>
      <c r="C2578">
        <v>7897</v>
      </c>
      <c r="D2578">
        <v>-33.920206</v>
      </c>
      <c r="E2578">
        <v>151.24270100000001</v>
      </c>
      <c r="F2578">
        <v>4</v>
      </c>
      <c r="G2578" t="s">
        <v>1059</v>
      </c>
      <c r="H2578">
        <v>100</v>
      </c>
      <c r="I2578">
        <v>280</v>
      </c>
      <c r="J2578">
        <v>175</v>
      </c>
      <c r="K2578">
        <v>355</v>
      </c>
      <c r="L2578">
        <v>280</v>
      </c>
      <c r="M2578">
        <v>100</v>
      </c>
      <c r="N2578">
        <v>355</v>
      </c>
      <c r="O2578">
        <v>175</v>
      </c>
      <c r="T2578">
        <v>5</v>
      </c>
      <c r="U2578">
        <v>16</v>
      </c>
      <c r="V2578">
        <v>4</v>
      </c>
      <c r="Y2578">
        <v>7</v>
      </c>
      <c r="Z2578">
        <v>157</v>
      </c>
      <c r="AA2578">
        <v>106</v>
      </c>
      <c r="AD2578">
        <v>10</v>
      </c>
      <c r="AE2578">
        <v>147</v>
      </c>
      <c r="AF2578">
        <v>34</v>
      </c>
      <c r="AI2578">
        <v>6</v>
      </c>
      <c r="AJ2578">
        <v>153</v>
      </c>
      <c r="AK2578">
        <v>34</v>
      </c>
      <c r="AX2578">
        <v>25</v>
      </c>
      <c r="AY2578">
        <v>23</v>
      </c>
      <c r="AZ2578">
        <v>48</v>
      </c>
      <c r="BA2578">
        <v>270</v>
      </c>
      <c r="BB2578">
        <v>305</v>
      </c>
      <c r="BC2578">
        <v>575</v>
      </c>
      <c r="BD2578">
        <v>191</v>
      </c>
      <c r="BE2578">
        <v>207</v>
      </c>
      <c r="BF2578">
        <v>398</v>
      </c>
      <c r="BG2578">
        <v>193</v>
      </c>
      <c r="BH2578">
        <v>144</v>
      </c>
      <c r="BI2578">
        <v>337</v>
      </c>
      <c r="BP2578">
        <v>76</v>
      </c>
      <c r="BR2578">
        <v>560</v>
      </c>
      <c r="BS2578">
        <v>5</v>
      </c>
      <c r="BT2578">
        <v>24</v>
      </c>
      <c r="BU2578">
        <v>2</v>
      </c>
      <c r="BV2578">
        <v>12</v>
      </c>
      <c r="BW2578">
        <v>679</v>
      </c>
      <c r="CA2578" s="7">
        <v>45270</v>
      </c>
      <c r="CE2578">
        <v>157</v>
      </c>
      <c r="CF2578">
        <v>247</v>
      </c>
      <c r="CG2578">
        <v>275</v>
      </c>
      <c r="CI2578">
        <f t="shared" si="242"/>
        <v>2023</v>
      </c>
      <c r="CJ2578" t="str">
        <f t="shared" si="243"/>
        <v>7897_2023</v>
      </c>
    </row>
    <row r="2579" spans="1:88" x14ac:dyDescent="0.25">
      <c r="A2579" t="s">
        <v>111</v>
      </c>
      <c r="B2579" t="s">
        <v>193</v>
      </c>
      <c r="C2579">
        <v>5615</v>
      </c>
      <c r="D2579">
        <v>-37.834007999999997</v>
      </c>
      <c r="E2579">
        <v>145.00463099999999</v>
      </c>
      <c r="F2579">
        <v>2</v>
      </c>
      <c r="G2579" t="s">
        <v>194</v>
      </c>
      <c r="H2579">
        <v>233</v>
      </c>
      <c r="I2579">
        <v>53</v>
      </c>
      <c r="J2579">
        <v>358</v>
      </c>
      <c r="K2579">
        <v>178</v>
      </c>
      <c r="T2579">
        <v>411</v>
      </c>
      <c r="Y2579">
        <v>372</v>
      </c>
      <c r="AX2579">
        <v>411</v>
      </c>
      <c r="AY2579">
        <v>372</v>
      </c>
      <c r="AZ2579">
        <v>783</v>
      </c>
      <c r="BA2579">
        <v>372</v>
      </c>
      <c r="BB2579">
        <v>411</v>
      </c>
      <c r="BC2579">
        <v>783</v>
      </c>
      <c r="BP2579">
        <v>238</v>
      </c>
      <c r="BR2579">
        <v>249</v>
      </c>
      <c r="BS2579">
        <v>228</v>
      </c>
      <c r="BT2579">
        <v>63</v>
      </c>
      <c r="BU2579">
        <v>3</v>
      </c>
      <c r="BV2579">
        <v>2</v>
      </c>
      <c r="BW2579">
        <v>783</v>
      </c>
      <c r="BX2579">
        <v>345</v>
      </c>
      <c r="BY2579">
        <v>1.2696000000000001</v>
      </c>
      <c r="BZ2579" s="6">
        <v>1.27</v>
      </c>
      <c r="CA2579" s="7">
        <v>45242</v>
      </c>
      <c r="CE2579">
        <v>213</v>
      </c>
      <c r="CF2579">
        <v>354</v>
      </c>
      <c r="CG2579">
        <v>216</v>
      </c>
      <c r="CI2579">
        <f t="shared" si="242"/>
        <v>2023</v>
      </c>
      <c r="CJ2579" t="str">
        <f t="shared" si="243"/>
        <v>5615_2023</v>
      </c>
    </row>
    <row r="2580" spans="1:88" x14ac:dyDescent="0.25">
      <c r="A2580" t="s">
        <v>111</v>
      </c>
      <c r="B2580" t="s">
        <v>193</v>
      </c>
      <c r="C2580">
        <v>5664</v>
      </c>
      <c r="D2580">
        <v>-37.875171999999999</v>
      </c>
      <c r="E2580">
        <v>145.070742</v>
      </c>
      <c r="F2580">
        <v>3</v>
      </c>
      <c r="G2580" t="s">
        <v>248</v>
      </c>
      <c r="H2580">
        <v>86</v>
      </c>
      <c r="I2580">
        <v>266</v>
      </c>
      <c r="J2580">
        <v>165</v>
      </c>
      <c r="K2580">
        <v>345</v>
      </c>
      <c r="L2580">
        <v>294</v>
      </c>
      <c r="M2580">
        <v>114</v>
      </c>
      <c r="T2580">
        <v>88</v>
      </c>
      <c r="U2580">
        <v>216</v>
      </c>
      <c r="Y2580">
        <v>106</v>
      </c>
      <c r="Z2580">
        <v>154</v>
      </c>
      <c r="AD2580">
        <v>268</v>
      </c>
      <c r="AE2580">
        <v>134</v>
      </c>
      <c r="AX2580">
        <v>304</v>
      </c>
      <c r="AY2580">
        <v>374</v>
      </c>
      <c r="AZ2580">
        <v>678</v>
      </c>
      <c r="BA2580">
        <v>260</v>
      </c>
      <c r="BB2580">
        <v>222</v>
      </c>
      <c r="BC2580">
        <v>482</v>
      </c>
      <c r="BD2580">
        <v>402</v>
      </c>
      <c r="BE2580">
        <v>370</v>
      </c>
      <c r="BF2580">
        <v>772</v>
      </c>
      <c r="BP2580">
        <v>456</v>
      </c>
      <c r="BR2580">
        <v>246</v>
      </c>
      <c r="BS2580">
        <v>180</v>
      </c>
      <c r="BT2580">
        <v>73</v>
      </c>
      <c r="BU2580">
        <v>9</v>
      </c>
      <c r="BV2580">
        <v>2</v>
      </c>
      <c r="BW2580">
        <v>966</v>
      </c>
      <c r="BX2580">
        <v>631</v>
      </c>
      <c r="BY2580">
        <v>0.53090000000000004</v>
      </c>
      <c r="BZ2580" s="6">
        <v>0.53</v>
      </c>
      <c r="CA2580" s="7">
        <v>45242</v>
      </c>
      <c r="CE2580">
        <v>318</v>
      </c>
      <c r="CF2580">
        <v>355</v>
      </c>
      <c r="CG2580">
        <v>293</v>
      </c>
      <c r="CI2580">
        <f t="shared" si="242"/>
        <v>2023</v>
      </c>
      <c r="CJ2580" t="str">
        <f t="shared" si="243"/>
        <v>5664_2023</v>
      </c>
    </row>
    <row r="2581" spans="1:88" x14ac:dyDescent="0.25">
      <c r="A2581" t="s">
        <v>111</v>
      </c>
      <c r="B2581" t="s">
        <v>193</v>
      </c>
      <c r="C2581">
        <v>6028</v>
      </c>
      <c r="D2581">
        <v>-37.860838000000001</v>
      </c>
      <c r="E2581">
        <v>145.06187499999999</v>
      </c>
      <c r="F2581">
        <v>2</v>
      </c>
      <c r="G2581" t="s">
        <v>363</v>
      </c>
      <c r="H2581">
        <v>3</v>
      </c>
      <c r="I2581">
        <v>183</v>
      </c>
      <c r="J2581">
        <v>195</v>
      </c>
      <c r="K2581">
        <v>15</v>
      </c>
      <c r="T2581">
        <v>510</v>
      </c>
      <c r="Y2581">
        <v>547</v>
      </c>
      <c r="AX2581">
        <v>510</v>
      </c>
      <c r="AY2581">
        <v>547</v>
      </c>
      <c r="AZ2581">
        <v>1057</v>
      </c>
      <c r="BA2581">
        <v>547</v>
      </c>
      <c r="BB2581">
        <v>510</v>
      </c>
      <c r="BC2581">
        <v>1057</v>
      </c>
      <c r="BP2581">
        <v>437</v>
      </c>
      <c r="BR2581">
        <v>314</v>
      </c>
      <c r="BS2581">
        <v>192</v>
      </c>
      <c r="BT2581">
        <v>99</v>
      </c>
      <c r="BU2581">
        <v>8</v>
      </c>
      <c r="BV2581">
        <v>7</v>
      </c>
      <c r="BW2581">
        <v>1057</v>
      </c>
      <c r="BX2581">
        <v>695</v>
      </c>
      <c r="BY2581">
        <v>0.52090000000000003</v>
      </c>
      <c r="BZ2581" s="6">
        <v>0.52</v>
      </c>
      <c r="CA2581" s="7">
        <v>45242</v>
      </c>
      <c r="CE2581">
        <v>393</v>
      </c>
      <c r="CF2581">
        <v>360</v>
      </c>
      <c r="CG2581">
        <v>304</v>
      </c>
      <c r="CI2581">
        <f t="shared" si="242"/>
        <v>2023</v>
      </c>
      <c r="CJ2581" t="str">
        <f t="shared" si="243"/>
        <v>6028_2023</v>
      </c>
    </row>
    <row r="2582" spans="1:88" x14ac:dyDescent="0.25">
      <c r="A2582" t="s">
        <v>111</v>
      </c>
      <c r="B2582" t="s">
        <v>193</v>
      </c>
      <c r="C2582">
        <v>7905</v>
      </c>
      <c r="D2582">
        <v>-37.837491</v>
      </c>
      <c r="E2582">
        <v>145.03267700000001</v>
      </c>
      <c r="F2582">
        <v>4</v>
      </c>
      <c r="G2582" t="s">
        <v>1060</v>
      </c>
      <c r="H2582">
        <v>5</v>
      </c>
      <c r="I2582">
        <v>185</v>
      </c>
      <c r="J2582">
        <v>105</v>
      </c>
      <c r="K2582">
        <v>285</v>
      </c>
      <c r="L2582">
        <v>190</v>
      </c>
      <c r="M2582">
        <v>10</v>
      </c>
      <c r="N2582">
        <v>264</v>
      </c>
      <c r="O2582">
        <v>84</v>
      </c>
      <c r="T2582">
        <v>22</v>
      </c>
      <c r="U2582">
        <v>36</v>
      </c>
      <c r="V2582">
        <v>22</v>
      </c>
      <c r="Y2582">
        <v>137</v>
      </c>
      <c r="Z2582">
        <v>9</v>
      </c>
      <c r="AA2582">
        <v>322</v>
      </c>
      <c r="AD2582">
        <v>35</v>
      </c>
      <c r="AE2582">
        <v>8</v>
      </c>
      <c r="AF2582">
        <v>38</v>
      </c>
      <c r="AI2582">
        <v>20</v>
      </c>
      <c r="AJ2582">
        <v>358</v>
      </c>
      <c r="AK2582">
        <v>34</v>
      </c>
      <c r="AX2582">
        <v>80</v>
      </c>
      <c r="AY2582">
        <v>192</v>
      </c>
      <c r="AZ2582">
        <v>272</v>
      </c>
      <c r="BA2582">
        <v>468</v>
      </c>
      <c r="BB2582">
        <v>388</v>
      </c>
      <c r="BC2582">
        <v>856</v>
      </c>
      <c r="BD2582">
        <v>81</v>
      </c>
      <c r="BE2582">
        <v>79</v>
      </c>
      <c r="BF2582">
        <v>160</v>
      </c>
      <c r="BG2582">
        <v>412</v>
      </c>
      <c r="BH2582">
        <v>382</v>
      </c>
      <c r="BI2582">
        <v>794</v>
      </c>
      <c r="BP2582">
        <v>549</v>
      </c>
      <c r="BR2582">
        <v>190</v>
      </c>
      <c r="BS2582">
        <v>265</v>
      </c>
      <c r="BT2582">
        <v>27</v>
      </c>
      <c r="BU2582">
        <v>6</v>
      </c>
      <c r="BV2582">
        <v>4</v>
      </c>
      <c r="BW2582">
        <v>1041</v>
      </c>
      <c r="CA2582" s="7">
        <v>45242</v>
      </c>
      <c r="CE2582">
        <v>328</v>
      </c>
      <c r="CF2582">
        <v>404</v>
      </c>
      <c r="CG2582">
        <v>309</v>
      </c>
      <c r="CI2582">
        <f t="shared" si="242"/>
        <v>2023</v>
      </c>
      <c r="CJ2582" t="str">
        <f t="shared" si="243"/>
        <v>7905_2023</v>
      </c>
    </row>
    <row r="2583" spans="1:88" x14ac:dyDescent="0.25">
      <c r="A2583" t="s">
        <v>111</v>
      </c>
      <c r="B2583" t="s">
        <v>193</v>
      </c>
      <c r="C2583">
        <v>7906</v>
      </c>
      <c r="D2583">
        <v>-37.844670999999998</v>
      </c>
      <c r="E2583">
        <v>145.03855999999999</v>
      </c>
      <c r="F2583">
        <v>4</v>
      </c>
      <c r="G2583" t="s">
        <v>1061</v>
      </c>
      <c r="H2583">
        <v>96</v>
      </c>
      <c r="I2583">
        <v>276</v>
      </c>
      <c r="J2583">
        <v>135</v>
      </c>
      <c r="K2583">
        <v>315</v>
      </c>
      <c r="L2583">
        <v>275</v>
      </c>
      <c r="M2583">
        <v>95</v>
      </c>
      <c r="N2583">
        <v>343</v>
      </c>
      <c r="O2583">
        <v>163</v>
      </c>
      <c r="T2583">
        <v>6</v>
      </c>
      <c r="U2583">
        <v>12</v>
      </c>
      <c r="V2583">
        <v>5</v>
      </c>
      <c r="Y2583">
        <v>23</v>
      </c>
      <c r="Z2583">
        <v>7</v>
      </c>
      <c r="AA2583">
        <v>63</v>
      </c>
      <c r="AD2583">
        <v>5</v>
      </c>
      <c r="AE2583">
        <v>5</v>
      </c>
      <c r="AF2583">
        <v>3</v>
      </c>
      <c r="AI2583">
        <v>8</v>
      </c>
      <c r="AJ2583">
        <v>107</v>
      </c>
      <c r="AK2583">
        <v>2</v>
      </c>
      <c r="AX2583">
        <v>23</v>
      </c>
      <c r="AY2583">
        <v>36</v>
      </c>
      <c r="AZ2583">
        <v>59</v>
      </c>
      <c r="BA2583">
        <v>93</v>
      </c>
      <c r="BB2583">
        <v>118</v>
      </c>
      <c r="BC2583">
        <v>211</v>
      </c>
      <c r="BD2583">
        <v>13</v>
      </c>
      <c r="BE2583">
        <v>21</v>
      </c>
      <c r="BF2583">
        <v>34</v>
      </c>
      <c r="BG2583">
        <v>117</v>
      </c>
      <c r="BH2583">
        <v>71</v>
      </c>
      <c r="BI2583">
        <v>188</v>
      </c>
      <c r="BP2583">
        <v>62</v>
      </c>
      <c r="BR2583">
        <v>90</v>
      </c>
      <c r="BS2583">
        <v>18</v>
      </c>
      <c r="BT2583">
        <v>71</v>
      </c>
      <c r="BU2583">
        <v>3</v>
      </c>
      <c r="BV2583">
        <v>2</v>
      </c>
      <c r="BW2583">
        <v>246</v>
      </c>
      <c r="CA2583" s="7">
        <v>45242</v>
      </c>
      <c r="CE2583">
        <v>71</v>
      </c>
      <c r="CF2583">
        <v>89</v>
      </c>
      <c r="CG2583">
        <v>86</v>
      </c>
      <c r="CI2583">
        <f t="shared" si="242"/>
        <v>2023</v>
      </c>
      <c r="CJ2583" t="str">
        <f t="shared" si="243"/>
        <v>7906_2023</v>
      </c>
    </row>
    <row r="2584" spans="1:88" x14ac:dyDescent="0.25">
      <c r="A2584" t="s">
        <v>111</v>
      </c>
      <c r="B2584" t="s">
        <v>193</v>
      </c>
      <c r="C2584">
        <v>7907</v>
      </c>
      <c r="D2584">
        <v>-37.853363999999999</v>
      </c>
      <c r="E2584">
        <v>145.056443</v>
      </c>
      <c r="F2584">
        <v>3</v>
      </c>
      <c r="G2584" t="s">
        <v>1062</v>
      </c>
      <c r="H2584">
        <v>70</v>
      </c>
      <c r="I2584">
        <v>250</v>
      </c>
      <c r="J2584">
        <v>161</v>
      </c>
      <c r="K2584">
        <v>341</v>
      </c>
      <c r="L2584">
        <v>308</v>
      </c>
      <c r="M2584">
        <v>128</v>
      </c>
      <c r="T2584">
        <v>0</v>
      </c>
      <c r="U2584">
        <v>329</v>
      </c>
      <c r="Y2584">
        <v>2</v>
      </c>
      <c r="Z2584">
        <v>53</v>
      </c>
      <c r="AD2584">
        <v>344</v>
      </c>
      <c r="AE2584">
        <v>46</v>
      </c>
      <c r="AX2584">
        <v>329</v>
      </c>
      <c r="AY2584">
        <v>346</v>
      </c>
      <c r="AZ2584">
        <v>675</v>
      </c>
      <c r="BA2584">
        <v>55</v>
      </c>
      <c r="BB2584">
        <v>46</v>
      </c>
      <c r="BC2584">
        <v>101</v>
      </c>
      <c r="BD2584">
        <v>390</v>
      </c>
      <c r="BE2584">
        <v>382</v>
      </c>
      <c r="BF2584">
        <v>772</v>
      </c>
      <c r="BP2584">
        <v>433</v>
      </c>
      <c r="BR2584">
        <v>110</v>
      </c>
      <c r="BS2584">
        <v>199</v>
      </c>
      <c r="BT2584">
        <v>28</v>
      </c>
      <c r="BU2584">
        <v>4</v>
      </c>
      <c r="BV2584">
        <v>0</v>
      </c>
      <c r="BW2584">
        <v>774</v>
      </c>
      <c r="CA2584" s="7">
        <v>45242</v>
      </c>
      <c r="CE2584">
        <v>248</v>
      </c>
      <c r="CF2584">
        <v>259</v>
      </c>
      <c r="CG2584">
        <v>267</v>
      </c>
      <c r="CI2584">
        <f t="shared" si="242"/>
        <v>2023</v>
      </c>
      <c r="CJ2584" t="str">
        <f t="shared" si="243"/>
        <v>7907_2023</v>
      </c>
    </row>
    <row r="2585" spans="1:88" x14ac:dyDescent="0.25">
      <c r="A2585" t="s">
        <v>111</v>
      </c>
      <c r="B2585" t="s">
        <v>193</v>
      </c>
      <c r="C2585">
        <v>7908</v>
      </c>
      <c r="D2585">
        <v>-37.867620000000002</v>
      </c>
      <c r="E2585">
        <v>145.065034</v>
      </c>
      <c r="F2585">
        <v>4</v>
      </c>
      <c r="G2585" t="s">
        <v>1063</v>
      </c>
      <c r="H2585">
        <v>56</v>
      </c>
      <c r="I2585">
        <v>236</v>
      </c>
      <c r="J2585">
        <v>150</v>
      </c>
      <c r="K2585">
        <v>330</v>
      </c>
      <c r="L2585">
        <v>240</v>
      </c>
      <c r="M2585">
        <v>60</v>
      </c>
      <c r="N2585">
        <v>330</v>
      </c>
      <c r="O2585">
        <v>150</v>
      </c>
      <c r="T2585">
        <v>17</v>
      </c>
      <c r="U2585">
        <v>34</v>
      </c>
      <c r="V2585">
        <v>43</v>
      </c>
      <c r="Y2585">
        <v>20</v>
      </c>
      <c r="Z2585">
        <v>6</v>
      </c>
      <c r="AA2585">
        <v>384</v>
      </c>
      <c r="AD2585">
        <v>23</v>
      </c>
      <c r="AE2585">
        <v>3</v>
      </c>
      <c r="AF2585">
        <v>18</v>
      </c>
      <c r="AI2585">
        <v>30</v>
      </c>
      <c r="AJ2585">
        <v>402</v>
      </c>
      <c r="AK2585">
        <v>9</v>
      </c>
      <c r="AX2585">
        <v>94</v>
      </c>
      <c r="AY2585">
        <v>73</v>
      </c>
      <c r="AZ2585">
        <v>167</v>
      </c>
      <c r="BA2585">
        <v>410</v>
      </c>
      <c r="BB2585">
        <v>422</v>
      </c>
      <c r="BC2585">
        <v>832</v>
      </c>
      <c r="BD2585">
        <v>44</v>
      </c>
      <c r="BE2585">
        <v>49</v>
      </c>
      <c r="BF2585">
        <v>93</v>
      </c>
      <c r="BG2585">
        <v>441</v>
      </c>
      <c r="BH2585">
        <v>445</v>
      </c>
      <c r="BI2585">
        <v>886</v>
      </c>
      <c r="BP2585">
        <v>378</v>
      </c>
      <c r="BR2585">
        <v>324</v>
      </c>
      <c r="BS2585">
        <v>178</v>
      </c>
      <c r="BT2585">
        <v>104</v>
      </c>
      <c r="BU2585">
        <v>5</v>
      </c>
      <c r="BV2585">
        <v>0</v>
      </c>
      <c r="BW2585">
        <v>989</v>
      </c>
      <c r="CA2585" s="7">
        <v>45242</v>
      </c>
      <c r="CE2585">
        <v>316</v>
      </c>
      <c r="CF2585">
        <v>376</v>
      </c>
      <c r="CG2585">
        <v>297</v>
      </c>
      <c r="CI2585">
        <f t="shared" si="242"/>
        <v>2023</v>
      </c>
      <c r="CJ2585" t="str">
        <f t="shared" si="243"/>
        <v>7908_2023</v>
      </c>
    </row>
    <row r="2586" spans="1:88" x14ac:dyDescent="0.25">
      <c r="A2586" t="s">
        <v>79</v>
      </c>
      <c r="B2586" t="s">
        <v>581</v>
      </c>
      <c r="C2586">
        <v>6632</v>
      </c>
      <c r="D2586">
        <v>-34.044956999999997</v>
      </c>
      <c r="E2586">
        <v>151.052909</v>
      </c>
      <c r="F2586">
        <v>3</v>
      </c>
      <c r="G2586" t="s">
        <v>582</v>
      </c>
      <c r="H2586">
        <v>9</v>
      </c>
      <c r="I2586">
        <v>189</v>
      </c>
      <c r="J2586">
        <v>55</v>
      </c>
      <c r="K2586">
        <v>235</v>
      </c>
      <c r="L2586">
        <v>195</v>
      </c>
      <c r="M2586">
        <v>15</v>
      </c>
      <c r="T2586">
        <v>0</v>
      </c>
      <c r="U2586">
        <v>306</v>
      </c>
      <c r="Y2586">
        <v>0</v>
      </c>
      <c r="Z2586">
        <v>19</v>
      </c>
      <c r="AD2586">
        <v>301</v>
      </c>
      <c r="AE2586">
        <v>1</v>
      </c>
      <c r="AX2586">
        <v>306</v>
      </c>
      <c r="AY2586">
        <v>301</v>
      </c>
      <c r="AZ2586">
        <v>607</v>
      </c>
      <c r="BA2586">
        <v>19</v>
      </c>
      <c r="BB2586">
        <v>1</v>
      </c>
      <c r="BC2586">
        <v>20</v>
      </c>
      <c r="BD2586">
        <v>302</v>
      </c>
      <c r="BE2586">
        <v>325</v>
      </c>
      <c r="BF2586">
        <v>627</v>
      </c>
      <c r="BP2586">
        <v>612</v>
      </c>
      <c r="BR2586">
        <v>13</v>
      </c>
      <c r="BS2586">
        <v>2</v>
      </c>
      <c r="BT2586">
        <v>0</v>
      </c>
      <c r="BU2586">
        <v>0</v>
      </c>
      <c r="BV2586">
        <v>0</v>
      </c>
      <c r="BW2586">
        <v>627</v>
      </c>
      <c r="BX2586">
        <v>343</v>
      </c>
      <c r="BY2586">
        <v>0.82799999999999996</v>
      </c>
      <c r="BZ2586" s="6">
        <v>0.83</v>
      </c>
      <c r="CA2586" s="7">
        <v>45242</v>
      </c>
      <c r="CC2586">
        <v>299</v>
      </c>
      <c r="CD2586">
        <v>234</v>
      </c>
      <c r="CE2586">
        <v>94</v>
      </c>
      <c r="CI2586">
        <f t="shared" si="242"/>
        <v>2023</v>
      </c>
      <c r="CJ2586" t="str">
        <f t="shared" si="243"/>
        <v>6632_2023</v>
      </c>
    </row>
    <row r="2587" spans="1:88" x14ac:dyDescent="0.25">
      <c r="A2587" t="s">
        <v>79</v>
      </c>
      <c r="B2587" t="s">
        <v>581</v>
      </c>
      <c r="C2587">
        <v>6633</v>
      </c>
      <c r="D2587">
        <v>-34.039580999999998</v>
      </c>
      <c r="E2587">
        <v>151.15644399999999</v>
      </c>
      <c r="F2587">
        <v>3</v>
      </c>
      <c r="G2587" t="s">
        <v>583</v>
      </c>
      <c r="H2587">
        <v>46</v>
      </c>
      <c r="I2587">
        <v>226</v>
      </c>
      <c r="J2587">
        <v>182</v>
      </c>
      <c r="K2587">
        <v>2</v>
      </c>
      <c r="L2587">
        <v>264</v>
      </c>
      <c r="M2587">
        <v>84</v>
      </c>
      <c r="T2587">
        <v>61</v>
      </c>
      <c r="U2587">
        <v>245</v>
      </c>
      <c r="Y2587">
        <v>51</v>
      </c>
      <c r="Z2587">
        <v>121</v>
      </c>
      <c r="AD2587">
        <v>291</v>
      </c>
      <c r="AE2587">
        <v>137</v>
      </c>
      <c r="AX2587">
        <v>306</v>
      </c>
      <c r="AY2587">
        <v>342</v>
      </c>
      <c r="AZ2587">
        <v>648</v>
      </c>
      <c r="BA2587">
        <v>172</v>
      </c>
      <c r="BB2587">
        <v>198</v>
      </c>
      <c r="BC2587">
        <v>370</v>
      </c>
      <c r="BD2587">
        <v>428</v>
      </c>
      <c r="BE2587">
        <v>366</v>
      </c>
      <c r="BF2587">
        <v>794</v>
      </c>
      <c r="BP2587">
        <v>772</v>
      </c>
      <c r="BR2587">
        <v>21</v>
      </c>
      <c r="BS2587">
        <v>112</v>
      </c>
      <c r="BT2587">
        <v>1</v>
      </c>
      <c r="BU2587">
        <v>0</v>
      </c>
      <c r="BV2587">
        <v>0</v>
      </c>
      <c r="BW2587">
        <v>906</v>
      </c>
      <c r="BX2587">
        <v>322</v>
      </c>
      <c r="BY2587">
        <v>1.8137000000000001</v>
      </c>
      <c r="BZ2587" s="6">
        <v>1.81</v>
      </c>
      <c r="CA2587" s="7">
        <v>45242</v>
      </c>
      <c r="CC2587">
        <v>367</v>
      </c>
      <c r="CD2587">
        <v>329</v>
      </c>
      <c r="CE2587">
        <v>210</v>
      </c>
      <c r="CI2587">
        <f t="shared" si="242"/>
        <v>2023</v>
      </c>
      <c r="CJ2587" t="str">
        <f t="shared" si="243"/>
        <v>6633_2023</v>
      </c>
    </row>
    <row r="2588" spans="1:88" x14ac:dyDescent="0.25">
      <c r="A2588" t="s">
        <v>79</v>
      </c>
      <c r="B2588" t="s">
        <v>581</v>
      </c>
      <c r="C2588">
        <v>6634</v>
      </c>
      <c r="D2588">
        <v>-33.996353999999997</v>
      </c>
      <c r="E2588">
        <v>151.06937500000001</v>
      </c>
      <c r="F2588">
        <v>2</v>
      </c>
      <c r="G2588" t="s">
        <v>584</v>
      </c>
      <c r="H2588">
        <v>42</v>
      </c>
      <c r="I2588">
        <v>222</v>
      </c>
      <c r="J2588">
        <v>216</v>
      </c>
      <c r="K2588">
        <v>36</v>
      </c>
      <c r="T2588">
        <v>220</v>
      </c>
      <c r="Y2588">
        <v>156</v>
      </c>
      <c r="AX2588">
        <v>220</v>
      </c>
      <c r="AY2588">
        <v>156</v>
      </c>
      <c r="AZ2588">
        <v>376</v>
      </c>
      <c r="BA2588">
        <v>156</v>
      </c>
      <c r="BB2588">
        <v>220</v>
      </c>
      <c r="BC2588">
        <v>376</v>
      </c>
      <c r="BP2588">
        <v>131</v>
      </c>
      <c r="BR2588">
        <v>182</v>
      </c>
      <c r="BS2588">
        <v>31</v>
      </c>
      <c r="BT2588">
        <v>32</v>
      </c>
      <c r="BU2588">
        <v>0</v>
      </c>
      <c r="BV2588">
        <v>0</v>
      </c>
      <c r="BW2588">
        <v>376</v>
      </c>
      <c r="BX2588">
        <v>898</v>
      </c>
      <c r="BY2588">
        <v>-0.58130000000000004</v>
      </c>
      <c r="BZ2588" s="6">
        <v>-0.57999999999999996</v>
      </c>
      <c r="CA2588" s="7">
        <v>45242</v>
      </c>
      <c r="CC2588">
        <v>120</v>
      </c>
      <c r="CD2588">
        <v>165</v>
      </c>
      <c r="CE2588">
        <v>91</v>
      </c>
      <c r="CI2588">
        <f t="shared" si="242"/>
        <v>2023</v>
      </c>
      <c r="CJ2588" t="str">
        <f t="shared" si="243"/>
        <v>6634_2023</v>
      </c>
    </row>
    <row r="2589" spans="1:88" x14ac:dyDescent="0.25">
      <c r="A2589" t="s">
        <v>79</v>
      </c>
      <c r="B2589" t="s">
        <v>581</v>
      </c>
      <c r="C2589">
        <v>6635</v>
      </c>
      <c r="D2589">
        <v>-34.039164</v>
      </c>
      <c r="E2589">
        <v>151.137294</v>
      </c>
      <c r="F2589">
        <v>3</v>
      </c>
      <c r="G2589" t="s">
        <v>585</v>
      </c>
      <c r="H2589">
        <v>10</v>
      </c>
      <c r="I2589">
        <v>190</v>
      </c>
      <c r="J2589">
        <v>100</v>
      </c>
      <c r="K2589">
        <v>280</v>
      </c>
      <c r="L2589">
        <v>279</v>
      </c>
      <c r="M2589">
        <v>99</v>
      </c>
      <c r="T2589">
        <v>35</v>
      </c>
      <c r="U2589">
        <v>16</v>
      </c>
      <c r="Y2589">
        <v>41</v>
      </c>
      <c r="Z2589">
        <v>322</v>
      </c>
      <c r="AD2589">
        <v>17</v>
      </c>
      <c r="AE2589">
        <v>343</v>
      </c>
      <c r="AX2589">
        <v>51</v>
      </c>
      <c r="AY2589">
        <v>58</v>
      </c>
      <c r="AZ2589">
        <v>109</v>
      </c>
      <c r="BA2589">
        <v>363</v>
      </c>
      <c r="BB2589">
        <v>378</v>
      </c>
      <c r="BC2589">
        <v>741</v>
      </c>
      <c r="BD2589">
        <v>360</v>
      </c>
      <c r="BE2589">
        <v>338</v>
      </c>
      <c r="BF2589">
        <v>698</v>
      </c>
      <c r="BP2589">
        <v>577</v>
      </c>
      <c r="BR2589">
        <v>82</v>
      </c>
      <c r="BS2589">
        <v>84</v>
      </c>
      <c r="BT2589">
        <v>30</v>
      </c>
      <c r="BU2589">
        <v>0</v>
      </c>
      <c r="BV2589">
        <v>1</v>
      </c>
      <c r="BW2589">
        <v>774</v>
      </c>
      <c r="CA2589" s="7">
        <v>45242</v>
      </c>
      <c r="CC2589">
        <v>355</v>
      </c>
      <c r="CD2589">
        <v>234</v>
      </c>
      <c r="CE2589">
        <v>185</v>
      </c>
      <c r="CI2589">
        <f t="shared" si="242"/>
        <v>2023</v>
      </c>
      <c r="CJ2589" t="str">
        <f t="shared" si="243"/>
        <v>6635_2023</v>
      </c>
    </row>
    <row r="2590" spans="1:88" x14ac:dyDescent="0.25">
      <c r="A2590" t="s">
        <v>79</v>
      </c>
      <c r="B2590" t="s">
        <v>581</v>
      </c>
      <c r="C2590">
        <v>6636</v>
      </c>
      <c r="D2590">
        <v>-33.998159999999999</v>
      </c>
      <c r="E2590">
        <v>151.02810299999999</v>
      </c>
      <c r="F2590">
        <v>3</v>
      </c>
      <c r="G2590" t="s">
        <v>586</v>
      </c>
      <c r="H2590">
        <v>111</v>
      </c>
      <c r="I2590">
        <v>291</v>
      </c>
      <c r="J2590">
        <v>258</v>
      </c>
      <c r="K2590">
        <v>78</v>
      </c>
      <c r="L2590">
        <v>350</v>
      </c>
      <c r="M2590">
        <v>170</v>
      </c>
      <c r="T2590">
        <v>42</v>
      </c>
      <c r="U2590">
        <v>27</v>
      </c>
      <c r="Y2590">
        <v>52</v>
      </c>
      <c r="Z2590">
        <v>23</v>
      </c>
      <c r="AD2590">
        <v>23</v>
      </c>
      <c r="AE2590">
        <v>29</v>
      </c>
      <c r="AX2590">
        <v>69</v>
      </c>
      <c r="AY2590">
        <v>75</v>
      </c>
      <c r="AZ2590">
        <v>144</v>
      </c>
      <c r="BA2590">
        <v>75</v>
      </c>
      <c r="BB2590">
        <v>71</v>
      </c>
      <c r="BC2590">
        <v>146</v>
      </c>
      <c r="BD2590">
        <v>52</v>
      </c>
      <c r="BE2590">
        <v>50</v>
      </c>
      <c r="BF2590">
        <v>102</v>
      </c>
      <c r="BP2590">
        <v>46</v>
      </c>
      <c r="BR2590">
        <v>96</v>
      </c>
      <c r="BS2590">
        <v>39</v>
      </c>
      <c r="BT2590">
        <v>15</v>
      </c>
      <c r="BU2590">
        <v>0</v>
      </c>
      <c r="BV2590">
        <v>0</v>
      </c>
      <c r="BW2590">
        <v>196</v>
      </c>
      <c r="BX2590">
        <v>108</v>
      </c>
      <c r="BY2590">
        <v>0.81479999999999997</v>
      </c>
      <c r="BZ2590" s="6">
        <v>0.81</v>
      </c>
      <c r="CA2590" s="7">
        <v>45242</v>
      </c>
      <c r="CC2590">
        <v>75</v>
      </c>
      <c r="CD2590">
        <v>67</v>
      </c>
      <c r="CE2590">
        <v>54</v>
      </c>
      <c r="CI2590">
        <f t="shared" si="242"/>
        <v>2023</v>
      </c>
      <c r="CJ2590" t="str">
        <f t="shared" si="243"/>
        <v>6636_2023</v>
      </c>
    </row>
    <row r="2591" spans="1:88" x14ac:dyDescent="0.25">
      <c r="A2591" t="s">
        <v>79</v>
      </c>
      <c r="B2591" t="s">
        <v>581</v>
      </c>
      <c r="C2591">
        <v>6637</v>
      </c>
      <c r="D2591">
        <v>-34.045518999999999</v>
      </c>
      <c r="E2591">
        <v>151.15904599999999</v>
      </c>
      <c r="F2591">
        <v>2</v>
      </c>
      <c r="G2591" t="s">
        <v>587</v>
      </c>
      <c r="H2591">
        <v>29</v>
      </c>
      <c r="I2591">
        <v>209</v>
      </c>
      <c r="J2591">
        <v>210</v>
      </c>
      <c r="K2591">
        <v>30</v>
      </c>
      <c r="T2591">
        <v>977</v>
      </c>
      <c r="Y2591">
        <v>890</v>
      </c>
      <c r="AX2591">
        <v>977</v>
      </c>
      <c r="AY2591">
        <v>890</v>
      </c>
      <c r="AZ2591">
        <v>1867</v>
      </c>
      <c r="BA2591">
        <v>890</v>
      </c>
      <c r="BB2591">
        <v>977</v>
      </c>
      <c r="BC2591">
        <v>1867</v>
      </c>
      <c r="BP2591">
        <v>70</v>
      </c>
      <c r="BR2591">
        <v>1511</v>
      </c>
      <c r="BS2591">
        <v>143</v>
      </c>
      <c r="BT2591">
        <v>133</v>
      </c>
      <c r="BU2591">
        <v>10</v>
      </c>
      <c r="BV2591">
        <v>0</v>
      </c>
      <c r="BW2591">
        <v>1867</v>
      </c>
      <c r="BX2591">
        <v>1956</v>
      </c>
      <c r="BY2591">
        <v>-4.5499999999999999E-2</v>
      </c>
      <c r="BZ2591" s="6">
        <v>-0.05</v>
      </c>
      <c r="CA2591" s="7">
        <v>45242</v>
      </c>
      <c r="CC2591">
        <v>456</v>
      </c>
      <c r="CD2591">
        <v>702</v>
      </c>
      <c r="CE2591">
        <v>709</v>
      </c>
      <c r="CI2591">
        <f t="shared" si="242"/>
        <v>2023</v>
      </c>
      <c r="CJ2591" t="str">
        <f t="shared" si="243"/>
        <v>6637_2023</v>
      </c>
    </row>
    <row r="2592" spans="1:88" x14ac:dyDescent="0.25">
      <c r="A2592" t="s">
        <v>140</v>
      </c>
      <c r="B2592" t="s">
        <v>1064</v>
      </c>
      <c r="C2592">
        <v>5887</v>
      </c>
      <c r="D2592">
        <v>-31.926563000000002</v>
      </c>
      <c r="E2592">
        <v>115.831653</v>
      </c>
      <c r="F2592">
        <v>4</v>
      </c>
      <c r="G2592" t="s">
        <v>1065</v>
      </c>
      <c r="H2592">
        <v>0</v>
      </c>
      <c r="I2592">
        <v>180</v>
      </c>
      <c r="J2592">
        <v>90</v>
      </c>
      <c r="K2592">
        <v>270</v>
      </c>
      <c r="L2592">
        <v>184</v>
      </c>
      <c r="M2592">
        <v>4</v>
      </c>
      <c r="N2592">
        <v>225</v>
      </c>
      <c r="O2592">
        <v>45</v>
      </c>
      <c r="T2592">
        <v>4</v>
      </c>
      <c r="U2592">
        <v>0</v>
      </c>
      <c r="V2592">
        <v>13</v>
      </c>
      <c r="Y2592">
        <v>8</v>
      </c>
      <c r="Z2592">
        <v>4</v>
      </c>
      <c r="AA2592">
        <v>53</v>
      </c>
      <c r="AD2592">
        <v>1</v>
      </c>
      <c r="AE2592">
        <v>4</v>
      </c>
      <c r="AF2592">
        <v>34</v>
      </c>
      <c r="AI2592">
        <v>19</v>
      </c>
      <c r="AJ2592">
        <v>72</v>
      </c>
      <c r="AK2592">
        <v>44</v>
      </c>
      <c r="AX2592">
        <v>17</v>
      </c>
      <c r="AY2592">
        <v>28</v>
      </c>
      <c r="AZ2592">
        <v>45</v>
      </c>
      <c r="BA2592">
        <v>65</v>
      </c>
      <c r="BB2592">
        <v>80</v>
      </c>
      <c r="BC2592">
        <v>145</v>
      </c>
      <c r="BD2592">
        <v>39</v>
      </c>
      <c r="BE2592">
        <v>48</v>
      </c>
      <c r="BF2592">
        <v>87</v>
      </c>
      <c r="BG2592">
        <v>135</v>
      </c>
      <c r="BH2592">
        <v>100</v>
      </c>
      <c r="BI2592">
        <v>235</v>
      </c>
      <c r="BP2592">
        <v>82</v>
      </c>
      <c r="BR2592">
        <v>121</v>
      </c>
      <c r="BS2592">
        <v>45</v>
      </c>
      <c r="BT2592">
        <v>7</v>
      </c>
      <c r="BU2592">
        <v>1</v>
      </c>
      <c r="BV2592">
        <v>0</v>
      </c>
      <c r="BW2592">
        <v>256</v>
      </c>
      <c r="CA2592" s="7">
        <v>45242</v>
      </c>
      <c r="CE2592">
        <v>105</v>
      </c>
      <c r="CF2592">
        <v>97</v>
      </c>
      <c r="CG2592">
        <v>54</v>
      </c>
      <c r="CI2592">
        <f t="shared" si="242"/>
        <v>2023</v>
      </c>
      <c r="CJ2592" t="str">
        <f t="shared" si="243"/>
        <v>5887_2023</v>
      </c>
    </row>
    <row r="2593" spans="1:88" x14ac:dyDescent="0.25">
      <c r="A2593" t="s">
        <v>140</v>
      </c>
      <c r="B2593" t="s">
        <v>1064</v>
      </c>
      <c r="C2593">
        <v>5907</v>
      </c>
      <c r="D2593">
        <v>-31.936454000000001</v>
      </c>
      <c r="E2593">
        <v>115.852587</v>
      </c>
      <c r="F2593">
        <v>4</v>
      </c>
      <c r="G2593" t="s">
        <v>1066</v>
      </c>
      <c r="H2593">
        <v>92</v>
      </c>
      <c r="I2593">
        <v>272</v>
      </c>
      <c r="J2593">
        <v>178</v>
      </c>
      <c r="K2593">
        <v>358</v>
      </c>
      <c r="L2593">
        <v>271</v>
      </c>
      <c r="M2593">
        <v>91</v>
      </c>
      <c r="N2593">
        <v>359</v>
      </c>
      <c r="O2593">
        <v>179</v>
      </c>
      <c r="T2593">
        <v>5</v>
      </c>
      <c r="U2593">
        <v>33</v>
      </c>
      <c r="V2593">
        <v>8</v>
      </c>
      <c r="Y2593">
        <v>3</v>
      </c>
      <c r="Z2593">
        <v>3</v>
      </c>
      <c r="AA2593">
        <v>2</v>
      </c>
      <c r="AD2593">
        <v>37</v>
      </c>
      <c r="AE2593">
        <v>12</v>
      </c>
      <c r="AF2593">
        <v>4</v>
      </c>
      <c r="AI2593">
        <v>8</v>
      </c>
      <c r="AJ2593">
        <v>5</v>
      </c>
      <c r="AK2593">
        <v>4</v>
      </c>
      <c r="AX2593">
        <v>46</v>
      </c>
      <c r="AY2593">
        <v>48</v>
      </c>
      <c r="AZ2593">
        <v>94</v>
      </c>
      <c r="BA2593">
        <v>8</v>
      </c>
      <c r="BB2593">
        <v>22</v>
      </c>
      <c r="BC2593">
        <v>30</v>
      </c>
      <c r="BD2593">
        <v>53</v>
      </c>
      <c r="BE2593">
        <v>40</v>
      </c>
      <c r="BF2593">
        <v>93</v>
      </c>
      <c r="BG2593">
        <v>17</v>
      </c>
      <c r="BH2593">
        <v>14</v>
      </c>
      <c r="BI2593">
        <v>31</v>
      </c>
      <c r="BP2593">
        <v>19</v>
      </c>
      <c r="BR2593">
        <v>86</v>
      </c>
      <c r="BS2593">
        <v>6</v>
      </c>
      <c r="BT2593">
        <v>5</v>
      </c>
      <c r="BU2593">
        <v>8</v>
      </c>
      <c r="BV2593">
        <v>0</v>
      </c>
      <c r="BW2593">
        <v>124</v>
      </c>
      <c r="CA2593" s="7">
        <v>45242</v>
      </c>
      <c r="CE2593">
        <v>57</v>
      </c>
      <c r="CF2593">
        <v>38</v>
      </c>
      <c r="CG2593">
        <v>29</v>
      </c>
      <c r="CI2593">
        <f t="shared" si="242"/>
        <v>2023</v>
      </c>
      <c r="CJ2593" t="str">
        <f t="shared" si="243"/>
        <v>5907_2023</v>
      </c>
    </row>
    <row r="2594" spans="1:88" x14ac:dyDescent="0.25">
      <c r="A2594" t="s">
        <v>140</v>
      </c>
      <c r="B2594" t="s">
        <v>1064</v>
      </c>
      <c r="C2594">
        <v>6490</v>
      </c>
      <c r="D2594">
        <v>-31.936446</v>
      </c>
      <c r="E2594">
        <v>115.846637</v>
      </c>
      <c r="F2594">
        <v>4</v>
      </c>
      <c r="G2594" t="s">
        <v>1067</v>
      </c>
      <c r="H2594">
        <v>4</v>
      </c>
      <c r="I2594">
        <v>184</v>
      </c>
      <c r="J2594">
        <v>91</v>
      </c>
      <c r="K2594">
        <v>271</v>
      </c>
      <c r="L2594">
        <v>192</v>
      </c>
      <c r="M2594">
        <v>12</v>
      </c>
      <c r="N2594">
        <v>270</v>
      </c>
      <c r="O2594">
        <v>90</v>
      </c>
      <c r="T2594">
        <v>3</v>
      </c>
      <c r="U2594">
        <v>7</v>
      </c>
      <c r="V2594">
        <v>1</v>
      </c>
      <c r="Y2594">
        <v>3</v>
      </c>
      <c r="Z2594">
        <v>10</v>
      </c>
      <c r="AA2594">
        <v>26</v>
      </c>
      <c r="AD2594">
        <v>17</v>
      </c>
      <c r="AE2594">
        <v>6</v>
      </c>
      <c r="AF2594">
        <v>11</v>
      </c>
      <c r="AI2594">
        <v>10</v>
      </c>
      <c r="AJ2594">
        <v>7</v>
      </c>
      <c r="AK2594">
        <v>5</v>
      </c>
      <c r="AX2594">
        <v>11</v>
      </c>
      <c r="AY2594">
        <v>30</v>
      </c>
      <c r="AZ2594">
        <v>41</v>
      </c>
      <c r="BA2594">
        <v>39</v>
      </c>
      <c r="BB2594">
        <v>16</v>
      </c>
      <c r="BC2594">
        <v>55</v>
      </c>
      <c r="BD2594">
        <v>34</v>
      </c>
      <c r="BE2594">
        <v>22</v>
      </c>
      <c r="BF2594">
        <v>56</v>
      </c>
      <c r="BG2594">
        <v>22</v>
      </c>
      <c r="BH2594">
        <v>38</v>
      </c>
      <c r="BI2594">
        <v>60</v>
      </c>
      <c r="BP2594">
        <v>43</v>
      </c>
      <c r="BR2594">
        <v>53</v>
      </c>
      <c r="BS2594">
        <v>3</v>
      </c>
      <c r="BT2594">
        <v>1</v>
      </c>
      <c r="BU2594">
        <v>6</v>
      </c>
      <c r="BV2594">
        <v>0</v>
      </c>
      <c r="BW2594">
        <v>106</v>
      </c>
      <c r="CA2594" s="7">
        <v>45242</v>
      </c>
      <c r="CE2594">
        <v>32</v>
      </c>
      <c r="CF2594">
        <v>31</v>
      </c>
      <c r="CG2594">
        <v>43</v>
      </c>
      <c r="CI2594">
        <f t="shared" si="242"/>
        <v>2023</v>
      </c>
      <c r="CJ2594" t="str">
        <f t="shared" si="243"/>
        <v>6490_2023</v>
      </c>
    </row>
    <row r="2595" spans="1:88" x14ac:dyDescent="0.25">
      <c r="A2595" t="s">
        <v>140</v>
      </c>
      <c r="B2595" t="s">
        <v>1064</v>
      </c>
      <c r="C2595">
        <v>6492</v>
      </c>
      <c r="D2595">
        <v>-31.926373000000002</v>
      </c>
      <c r="E2595">
        <v>115.841241</v>
      </c>
      <c r="F2595">
        <v>4</v>
      </c>
      <c r="G2595" t="s">
        <v>1068</v>
      </c>
      <c r="H2595">
        <v>0</v>
      </c>
      <c r="I2595">
        <v>180</v>
      </c>
      <c r="J2595">
        <v>90</v>
      </c>
      <c r="K2595">
        <v>270</v>
      </c>
      <c r="L2595">
        <v>180</v>
      </c>
      <c r="M2595">
        <v>360</v>
      </c>
      <c r="N2595">
        <v>270</v>
      </c>
      <c r="O2595">
        <v>90</v>
      </c>
      <c r="T2595">
        <v>3</v>
      </c>
      <c r="U2595">
        <v>47</v>
      </c>
      <c r="V2595">
        <v>12</v>
      </c>
      <c r="Y2595">
        <v>0</v>
      </c>
      <c r="Z2595">
        <v>23</v>
      </c>
      <c r="AA2595">
        <v>1</v>
      </c>
      <c r="AD2595">
        <v>87</v>
      </c>
      <c r="AE2595">
        <v>27</v>
      </c>
      <c r="AF2595">
        <v>12</v>
      </c>
      <c r="AI2595">
        <v>15</v>
      </c>
      <c r="AJ2595">
        <v>4</v>
      </c>
      <c r="AK2595">
        <v>18</v>
      </c>
      <c r="AX2595">
        <v>62</v>
      </c>
      <c r="AY2595">
        <v>102</v>
      </c>
      <c r="AZ2595">
        <v>164</v>
      </c>
      <c r="BA2595">
        <v>24</v>
      </c>
      <c r="BB2595">
        <v>34</v>
      </c>
      <c r="BC2595">
        <v>58</v>
      </c>
      <c r="BD2595">
        <v>126</v>
      </c>
      <c r="BE2595">
        <v>88</v>
      </c>
      <c r="BF2595">
        <v>214</v>
      </c>
      <c r="BG2595">
        <v>37</v>
      </c>
      <c r="BH2595">
        <v>25</v>
      </c>
      <c r="BI2595">
        <v>62</v>
      </c>
      <c r="BP2595">
        <v>52</v>
      </c>
      <c r="BR2595">
        <v>180</v>
      </c>
      <c r="BS2595">
        <v>3</v>
      </c>
      <c r="BT2595">
        <v>10</v>
      </c>
      <c r="BU2595">
        <v>4</v>
      </c>
      <c r="BV2595">
        <v>0</v>
      </c>
      <c r="BW2595">
        <v>249</v>
      </c>
      <c r="CA2595" s="7">
        <v>45242</v>
      </c>
      <c r="CE2595">
        <v>97</v>
      </c>
      <c r="CF2595">
        <v>93</v>
      </c>
      <c r="CG2595">
        <v>59</v>
      </c>
      <c r="CI2595">
        <f t="shared" si="242"/>
        <v>2023</v>
      </c>
      <c r="CJ2595" t="str">
        <f t="shared" si="243"/>
        <v>6492_2023</v>
      </c>
    </row>
    <row r="2596" spans="1:88" x14ac:dyDescent="0.25">
      <c r="A2596" t="s">
        <v>140</v>
      </c>
      <c r="B2596" t="s">
        <v>1064</v>
      </c>
      <c r="C2596">
        <v>6549</v>
      </c>
      <c r="D2596">
        <v>-31.927368999999999</v>
      </c>
      <c r="E2596">
        <v>115.852447</v>
      </c>
      <c r="F2596">
        <v>4</v>
      </c>
      <c r="G2596" t="s">
        <v>1069</v>
      </c>
      <c r="H2596">
        <v>119</v>
      </c>
      <c r="I2596">
        <v>299</v>
      </c>
      <c r="J2596">
        <v>172</v>
      </c>
      <c r="K2596">
        <v>352</v>
      </c>
      <c r="L2596">
        <v>302</v>
      </c>
      <c r="M2596">
        <v>122</v>
      </c>
      <c r="N2596">
        <v>344</v>
      </c>
      <c r="O2596">
        <v>164</v>
      </c>
      <c r="T2596">
        <v>5</v>
      </c>
      <c r="U2596">
        <v>13</v>
      </c>
      <c r="V2596">
        <v>10</v>
      </c>
      <c r="Y2596">
        <v>3</v>
      </c>
      <c r="Z2596">
        <v>7</v>
      </c>
      <c r="AA2596">
        <v>3</v>
      </c>
      <c r="AD2596">
        <v>13</v>
      </c>
      <c r="AE2596">
        <v>8</v>
      </c>
      <c r="AF2596">
        <v>4</v>
      </c>
      <c r="AI2596">
        <v>5</v>
      </c>
      <c r="AJ2596">
        <v>12</v>
      </c>
      <c r="AK2596">
        <v>11</v>
      </c>
      <c r="AX2596">
        <v>28</v>
      </c>
      <c r="AY2596">
        <v>21</v>
      </c>
      <c r="AZ2596">
        <v>49</v>
      </c>
      <c r="BA2596">
        <v>13</v>
      </c>
      <c r="BB2596">
        <v>25</v>
      </c>
      <c r="BC2596">
        <v>38</v>
      </c>
      <c r="BD2596">
        <v>25</v>
      </c>
      <c r="BE2596">
        <v>31</v>
      </c>
      <c r="BF2596">
        <v>56</v>
      </c>
      <c r="BG2596">
        <v>28</v>
      </c>
      <c r="BH2596">
        <v>17</v>
      </c>
      <c r="BI2596">
        <v>45</v>
      </c>
      <c r="BP2596">
        <v>18</v>
      </c>
      <c r="BR2596">
        <v>71</v>
      </c>
      <c r="BS2596">
        <v>0</v>
      </c>
      <c r="BT2596">
        <v>0</v>
      </c>
      <c r="BU2596">
        <v>5</v>
      </c>
      <c r="BV2596">
        <v>0</v>
      </c>
      <c r="BW2596">
        <v>94</v>
      </c>
      <c r="CA2596" s="7">
        <v>45242</v>
      </c>
      <c r="CE2596">
        <v>36</v>
      </c>
      <c r="CF2596">
        <v>41</v>
      </c>
      <c r="CG2596">
        <v>17</v>
      </c>
      <c r="CI2596">
        <f t="shared" si="242"/>
        <v>2023</v>
      </c>
      <c r="CJ2596" t="str">
        <f t="shared" si="243"/>
        <v>6549_2023</v>
      </c>
    </row>
    <row r="2597" spans="1:88" x14ac:dyDescent="0.25">
      <c r="A2597" t="s">
        <v>140</v>
      </c>
      <c r="B2597" t="s">
        <v>1064</v>
      </c>
      <c r="C2597">
        <v>6878</v>
      </c>
      <c r="D2597">
        <v>-31.923157</v>
      </c>
      <c r="E2597">
        <v>115.843588</v>
      </c>
      <c r="F2597">
        <v>4</v>
      </c>
      <c r="G2597" t="s">
        <v>1070</v>
      </c>
      <c r="H2597">
        <v>110</v>
      </c>
      <c r="I2597">
        <v>290</v>
      </c>
      <c r="J2597">
        <v>178</v>
      </c>
      <c r="K2597">
        <v>358</v>
      </c>
      <c r="L2597">
        <v>290</v>
      </c>
      <c r="M2597">
        <v>110</v>
      </c>
      <c r="N2597">
        <v>342</v>
      </c>
      <c r="O2597">
        <v>162</v>
      </c>
      <c r="T2597">
        <v>12</v>
      </c>
      <c r="U2597">
        <v>27</v>
      </c>
      <c r="V2597">
        <v>4</v>
      </c>
      <c r="Y2597">
        <v>3</v>
      </c>
      <c r="Z2597">
        <v>0</v>
      </c>
      <c r="AA2597">
        <v>13</v>
      </c>
      <c r="AD2597">
        <v>35</v>
      </c>
      <c r="AE2597">
        <v>0</v>
      </c>
      <c r="AF2597">
        <v>0</v>
      </c>
      <c r="AI2597">
        <v>1</v>
      </c>
      <c r="AJ2597">
        <v>9</v>
      </c>
      <c r="AK2597">
        <v>3</v>
      </c>
      <c r="AX2597">
        <v>43</v>
      </c>
      <c r="AY2597">
        <v>39</v>
      </c>
      <c r="AZ2597">
        <v>82</v>
      </c>
      <c r="BA2597">
        <v>16</v>
      </c>
      <c r="BB2597">
        <v>21</v>
      </c>
      <c r="BC2597">
        <v>37</v>
      </c>
      <c r="BD2597">
        <v>35</v>
      </c>
      <c r="BE2597">
        <v>30</v>
      </c>
      <c r="BF2597">
        <v>65</v>
      </c>
      <c r="BG2597">
        <v>13</v>
      </c>
      <c r="BH2597">
        <v>17</v>
      </c>
      <c r="BI2597">
        <v>30</v>
      </c>
      <c r="BP2597">
        <v>29</v>
      </c>
      <c r="BR2597">
        <v>67</v>
      </c>
      <c r="BS2597">
        <v>2</v>
      </c>
      <c r="BT2597">
        <v>7</v>
      </c>
      <c r="BU2597">
        <v>1</v>
      </c>
      <c r="BV2597">
        <v>1</v>
      </c>
      <c r="BW2597">
        <v>107</v>
      </c>
      <c r="CA2597" s="7">
        <v>45242</v>
      </c>
      <c r="CE2597">
        <v>44</v>
      </c>
      <c r="CF2597">
        <v>39</v>
      </c>
      <c r="CG2597">
        <v>24</v>
      </c>
      <c r="CI2597">
        <f t="shared" si="242"/>
        <v>2023</v>
      </c>
      <c r="CJ2597" t="str">
        <f t="shared" si="243"/>
        <v>6878_2023</v>
      </c>
    </row>
    <row r="2598" spans="1:88" x14ac:dyDescent="0.25">
      <c r="A2598" t="s">
        <v>140</v>
      </c>
      <c r="B2598" t="s">
        <v>1064</v>
      </c>
      <c r="C2598">
        <v>6879</v>
      </c>
      <c r="D2598">
        <v>-31.933914000000001</v>
      </c>
      <c r="E2598">
        <v>115.862505</v>
      </c>
      <c r="F2598">
        <v>4</v>
      </c>
      <c r="G2598" t="s">
        <v>1071</v>
      </c>
      <c r="H2598">
        <v>0</v>
      </c>
      <c r="I2598">
        <v>180</v>
      </c>
      <c r="J2598">
        <v>90</v>
      </c>
      <c r="K2598">
        <v>270</v>
      </c>
      <c r="L2598">
        <v>180</v>
      </c>
      <c r="M2598">
        <v>360</v>
      </c>
      <c r="N2598">
        <v>270</v>
      </c>
      <c r="O2598">
        <v>90</v>
      </c>
      <c r="T2598">
        <v>3</v>
      </c>
      <c r="U2598">
        <v>50</v>
      </c>
      <c r="V2598">
        <v>2</v>
      </c>
      <c r="Y2598">
        <v>0</v>
      </c>
      <c r="Z2598">
        <v>1</v>
      </c>
      <c r="AA2598">
        <v>8</v>
      </c>
      <c r="AD2598">
        <v>48</v>
      </c>
      <c r="AE2598">
        <v>1</v>
      </c>
      <c r="AF2598">
        <v>5</v>
      </c>
      <c r="AI2598">
        <v>2</v>
      </c>
      <c r="AJ2598">
        <v>2</v>
      </c>
      <c r="AK2598">
        <v>2</v>
      </c>
      <c r="AX2598">
        <v>55</v>
      </c>
      <c r="AY2598">
        <v>50</v>
      </c>
      <c r="AZ2598">
        <v>105</v>
      </c>
      <c r="BA2598">
        <v>9</v>
      </c>
      <c r="BB2598">
        <v>6</v>
      </c>
      <c r="BC2598">
        <v>15</v>
      </c>
      <c r="BD2598">
        <v>54</v>
      </c>
      <c r="BE2598">
        <v>53</v>
      </c>
      <c r="BF2598">
        <v>107</v>
      </c>
      <c r="BG2598">
        <v>6</v>
      </c>
      <c r="BH2598">
        <v>15</v>
      </c>
      <c r="BI2598">
        <v>21</v>
      </c>
      <c r="BP2598">
        <v>24</v>
      </c>
      <c r="BR2598">
        <v>83</v>
      </c>
      <c r="BS2598">
        <v>1</v>
      </c>
      <c r="BT2598">
        <v>12</v>
      </c>
      <c r="BU2598">
        <v>4</v>
      </c>
      <c r="BV2598">
        <v>0</v>
      </c>
      <c r="BW2598">
        <v>124</v>
      </c>
      <c r="CA2598" s="7">
        <v>45242</v>
      </c>
      <c r="CE2598">
        <v>47</v>
      </c>
      <c r="CF2598">
        <v>47</v>
      </c>
      <c r="CG2598">
        <v>30</v>
      </c>
      <c r="CI2598">
        <f t="shared" si="242"/>
        <v>2023</v>
      </c>
      <c r="CJ2598" t="str">
        <f t="shared" si="243"/>
        <v>6879_2023</v>
      </c>
    </row>
    <row r="2599" spans="1:88" x14ac:dyDescent="0.25">
      <c r="A2599" t="s">
        <v>140</v>
      </c>
      <c r="B2599" t="s">
        <v>1064</v>
      </c>
      <c r="C2599">
        <v>6882</v>
      </c>
      <c r="D2599">
        <v>-31.935863999999999</v>
      </c>
      <c r="E2599">
        <v>115.871279</v>
      </c>
      <c r="F2599">
        <v>4</v>
      </c>
      <c r="G2599" t="s">
        <v>1072</v>
      </c>
      <c r="H2599">
        <v>28</v>
      </c>
      <c r="I2599">
        <v>208</v>
      </c>
      <c r="J2599">
        <v>118</v>
      </c>
      <c r="K2599">
        <v>298</v>
      </c>
      <c r="L2599">
        <v>208</v>
      </c>
      <c r="M2599">
        <v>28</v>
      </c>
      <c r="N2599">
        <v>271</v>
      </c>
      <c r="O2599">
        <v>91</v>
      </c>
      <c r="T2599">
        <v>64</v>
      </c>
      <c r="U2599">
        <v>167</v>
      </c>
      <c r="V2599">
        <v>25</v>
      </c>
      <c r="Y2599">
        <v>58</v>
      </c>
      <c r="Z2599">
        <v>11</v>
      </c>
      <c r="AA2599">
        <v>4</v>
      </c>
      <c r="AD2599">
        <v>209</v>
      </c>
      <c r="AE2599">
        <v>17</v>
      </c>
      <c r="AF2599">
        <v>28</v>
      </c>
      <c r="AI2599">
        <v>24</v>
      </c>
      <c r="AJ2599">
        <v>12</v>
      </c>
      <c r="AK2599">
        <v>47</v>
      </c>
      <c r="AX2599">
        <v>256</v>
      </c>
      <c r="AY2599">
        <v>291</v>
      </c>
      <c r="AZ2599">
        <v>547</v>
      </c>
      <c r="BA2599">
        <v>73</v>
      </c>
      <c r="BB2599">
        <v>93</v>
      </c>
      <c r="BC2599">
        <v>166</v>
      </c>
      <c r="BD2599">
        <v>254</v>
      </c>
      <c r="BE2599">
        <v>225</v>
      </c>
      <c r="BF2599">
        <v>479</v>
      </c>
      <c r="BG2599">
        <v>83</v>
      </c>
      <c r="BH2599">
        <v>57</v>
      </c>
      <c r="BI2599">
        <v>140</v>
      </c>
      <c r="BP2599">
        <v>21</v>
      </c>
      <c r="BR2599">
        <v>625</v>
      </c>
      <c r="BS2599">
        <v>1</v>
      </c>
      <c r="BT2599">
        <v>10</v>
      </c>
      <c r="BU2599">
        <v>9</v>
      </c>
      <c r="BV2599">
        <v>0</v>
      </c>
      <c r="BW2599">
        <v>666</v>
      </c>
      <c r="CA2599" s="7">
        <v>45242</v>
      </c>
      <c r="CE2599">
        <v>160</v>
      </c>
      <c r="CF2599">
        <v>253</v>
      </c>
      <c r="CG2599">
        <v>253</v>
      </c>
      <c r="CI2599">
        <f t="shared" si="242"/>
        <v>2023</v>
      </c>
      <c r="CJ2599" t="str">
        <f t="shared" si="243"/>
        <v>6882_2023</v>
      </c>
    </row>
    <row r="2600" spans="1:88" x14ac:dyDescent="0.25">
      <c r="A2600" t="s">
        <v>140</v>
      </c>
      <c r="B2600" t="s">
        <v>1064</v>
      </c>
      <c r="C2600">
        <v>6883</v>
      </c>
      <c r="D2600">
        <v>-31.947984000000002</v>
      </c>
      <c r="E2600">
        <v>115.873323</v>
      </c>
      <c r="F2600">
        <v>5</v>
      </c>
      <c r="G2600" t="s">
        <v>1073</v>
      </c>
      <c r="H2600">
        <v>7</v>
      </c>
      <c r="I2600">
        <v>187</v>
      </c>
      <c r="J2600">
        <v>76</v>
      </c>
      <c r="K2600">
        <v>256</v>
      </c>
      <c r="L2600">
        <v>230</v>
      </c>
      <c r="M2600">
        <v>50</v>
      </c>
      <c r="N2600">
        <v>243</v>
      </c>
      <c r="O2600">
        <v>63</v>
      </c>
      <c r="P2600">
        <v>298</v>
      </c>
      <c r="Q2600">
        <v>118</v>
      </c>
      <c r="T2600">
        <v>22</v>
      </c>
      <c r="U2600">
        <v>32</v>
      </c>
      <c r="V2600">
        <v>0</v>
      </c>
      <c r="W2600">
        <v>0</v>
      </c>
      <c r="Y2600">
        <v>10</v>
      </c>
      <c r="Z2600">
        <v>163</v>
      </c>
      <c r="AA2600">
        <v>1</v>
      </c>
      <c r="AB2600">
        <v>0</v>
      </c>
      <c r="AD2600">
        <v>2</v>
      </c>
      <c r="AE2600">
        <v>23</v>
      </c>
      <c r="AF2600">
        <v>0</v>
      </c>
      <c r="AG2600">
        <v>0</v>
      </c>
      <c r="AI2600">
        <v>0</v>
      </c>
      <c r="AJ2600">
        <v>2</v>
      </c>
      <c r="AK2600">
        <v>0</v>
      </c>
      <c r="AL2600">
        <v>0</v>
      </c>
      <c r="AN2600">
        <v>1</v>
      </c>
      <c r="AO2600">
        <v>0</v>
      </c>
      <c r="AP2600">
        <v>0</v>
      </c>
      <c r="AQ2600">
        <v>0</v>
      </c>
      <c r="AX2600">
        <v>54</v>
      </c>
      <c r="AY2600">
        <v>13</v>
      </c>
      <c r="AZ2600">
        <v>67</v>
      </c>
      <c r="BA2600">
        <v>174</v>
      </c>
      <c r="BB2600">
        <v>47</v>
      </c>
      <c r="BC2600">
        <v>221</v>
      </c>
      <c r="BD2600">
        <v>25</v>
      </c>
      <c r="BE2600">
        <v>195</v>
      </c>
      <c r="BF2600">
        <v>220</v>
      </c>
      <c r="BG2600">
        <v>2</v>
      </c>
      <c r="BH2600">
        <v>1</v>
      </c>
      <c r="BI2600">
        <v>3</v>
      </c>
      <c r="BJ2600">
        <v>1</v>
      </c>
      <c r="BK2600">
        <v>0</v>
      </c>
      <c r="BL2600">
        <v>1</v>
      </c>
      <c r="BP2600">
        <v>221</v>
      </c>
      <c r="BR2600">
        <v>10</v>
      </c>
      <c r="BS2600">
        <v>11</v>
      </c>
      <c r="BT2600">
        <v>3</v>
      </c>
      <c r="BU2600">
        <v>11</v>
      </c>
      <c r="BV2600">
        <v>0</v>
      </c>
      <c r="BW2600">
        <v>256</v>
      </c>
      <c r="CA2600" s="7">
        <v>45249</v>
      </c>
      <c r="CE2600">
        <v>121</v>
      </c>
      <c r="CF2600">
        <v>83</v>
      </c>
      <c r="CG2600">
        <v>52</v>
      </c>
      <c r="CI2600">
        <f t="shared" si="242"/>
        <v>2023</v>
      </c>
      <c r="CJ2600" t="str">
        <f t="shared" si="243"/>
        <v>6883_2023</v>
      </c>
    </row>
    <row r="2601" spans="1:88" x14ac:dyDescent="0.25">
      <c r="A2601" t="s">
        <v>140</v>
      </c>
      <c r="B2601" t="s">
        <v>1064</v>
      </c>
      <c r="C2601">
        <v>6884</v>
      </c>
      <c r="D2601">
        <v>-31.941534999999998</v>
      </c>
      <c r="E2601">
        <v>115.881973</v>
      </c>
      <c r="F2601">
        <v>3</v>
      </c>
      <c r="G2601" t="s">
        <v>1074</v>
      </c>
      <c r="H2601">
        <v>6</v>
      </c>
      <c r="I2601">
        <v>186</v>
      </c>
      <c r="J2601">
        <v>184</v>
      </c>
      <c r="K2601">
        <v>4</v>
      </c>
      <c r="L2601">
        <v>286</v>
      </c>
      <c r="M2601">
        <v>106</v>
      </c>
      <c r="T2601">
        <v>202</v>
      </c>
      <c r="U2601">
        <v>18</v>
      </c>
      <c r="Y2601">
        <v>162</v>
      </c>
      <c r="Z2601">
        <v>44</v>
      </c>
      <c r="AD2601">
        <v>11</v>
      </c>
      <c r="AE2601">
        <v>54</v>
      </c>
      <c r="AX2601">
        <v>220</v>
      </c>
      <c r="AY2601">
        <v>173</v>
      </c>
      <c r="AZ2601">
        <v>393</v>
      </c>
      <c r="BA2601">
        <v>206</v>
      </c>
      <c r="BB2601">
        <v>256</v>
      </c>
      <c r="BC2601">
        <v>462</v>
      </c>
      <c r="BD2601">
        <v>65</v>
      </c>
      <c r="BE2601">
        <v>62</v>
      </c>
      <c r="BF2601">
        <v>127</v>
      </c>
      <c r="BP2601">
        <v>202</v>
      </c>
      <c r="BR2601">
        <v>203</v>
      </c>
      <c r="BS2601">
        <v>38</v>
      </c>
      <c r="BT2601">
        <v>32</v>
      </c>
      <c r="BU2601">
        <v>7</v>
      </c>
      <c r="BV2601">
        <v>9</v>
      </c>
      <c r="BW2601">
        <v>491</v>
      </c>
      <c r="CA2601" s="7">
        <v>45249</v>
      </c>
      <c r="CE2601">
        <v>245</v>
      </c>
      <c r="CF2601">
        <v>119</v>
      </c>
      <c r="CG2601">
        <v>127</v>
      </c>
      <c r="CI2601">
        <f t="shared" si="242"/>
        <v>2023</v>
      </c>
      <c r="CJ2601" t="str">
        <f t="shared" si="243"/>
        <v>6884_2023</v>
      </c>
    </row>
    <row r="2602" spans="1:88" x14ac:dyDescent="0.25">
      <c r="A2602" t="s">
        <v>140</v>
      </c>
      <c r="B2602" t="s">
        <v>1064</v>
      </c>
      <c r="C2602">
        <v>7214</v>
      </c>
      <c r="D2602">
        <v>-31.930714999999999</v>
      </c>
      <c r="E2602">
        <v>115.859174</v>
      </c>
      <c r="F2602">
        <v>3</v>
      </c>
      <c r="G2602" t="s">
        <v>1075</v>
      </c>
      <c r="H2602">
        <v>1</v>
      </c>
      <c r="I2602">
        <v>181</v>
      </c>
      <c r="J2602">
        <v>180</v>
      </c>
      <c r="K2602">
        <v>360</v>
      </c>
      <c r="L2602">
        <v>300</v>
      </c>
      <c r="M2602">
        <v>120</v>
      </c>
      <c r="T2602">
        <v>59</v>
      </c>
      <c r="U2602">
        <v>42</v>
      </c>
      <c r="Y2602">
        <v>48</v>
      </c>
      <c r="Z2602">
        <v>50</v>
      </c>
      <c r="AD2602">
        <v>23</v>
      </c>
      <c r="AE2602">
        <v>49</v>
      </c>
      <c r="AX2602">
        <v>101</v>
      </c>
      <c r="AY2602">
        <v>71</v>
      </c>
      <c r="AZ2602">
        <v>172</v>
      </c>
      <c r="BA2602">
        <v>98</v>
      </c>
      <c r="BB2602">
        <v>108</v>
      </c>
      <c r="BC2602">
        <v>206</v>
      </c>
      <c r="BD2602">
        <v>72</v>
      </c>
      <c r="BE2602">
        <v>92</v>
      </c>
      <c r="BF2602">
        <v>164</v>
      </c>
      <c r="BP2602">
        <v>12</v>
      </c>
      <c r="BR2602">
        <v>235</v>
      </c>
      <c r="BS2602">
        <v>3</v>
      </c>
      <c r="BT2602">
        <v>12</v>
      </c>
      <c r="BU2602">
        <v>3</v>
      </c>
      <c r="BV2602">
        <v>6</v>
      </c>
      <c r="BW2602">
        <v>271</v>
      </c>
      <c r="CA2602" s="7">
        <v>45249</v>
      </c>
      <c r="CE2602">
        <v>59</v>
      </c>
      <c r="CF2602">
        <v>131</v>
      </c>
      <c r="CG2602">
        <v>81</v>
      </c>
      <c r="CI2602">
        <f t="shared" si="242"/>
        <v>2023</v>
      </c>
      <c r="CJ2602" t="str">
        <f t="shared" si="243"/>
        <v>7214_2023</v>
      </c>
    </row>
    <row r="2603" spans="1:88" x14ac:dyDescent="0.25">
      <c r="A2603" t="s">
        <v>140</v>
      </c>
      <c r="B2603" t="s">
        <v>1064</v>
      </c>
      <c r="C2603">
        <v>7955</v>
      </c>
      <c r="D2603">
        <v>-31.938157</v>
      </c>
      <c r="E2603">
        <v>115.857359</v>
      </c>
      <c r="F2603">
        <v>4</v>
      </c>
      <c r="G2603" t="s">
        <v>1076</v>
      </c>
      <c r="H2603">
        <v>27</v>
      </c>
      <c r="I2603">
        <v>207</v>
      </c>
      <c r="J2603">
        <v>120</v>
      </c>
      <c r="K2603">
        <v>300</v>
      </c>
      <c r="L2603">
        <v>207</v>
      </c>
      <c r="M2603">
        <v>27</v>
      </c>
      <c r="N2603">
        <v>295</v>
      </c>
      <c r="O2603">
        <v>115</v>
      </c>
      <c r="T2603">
        <v>4</v>
      </c>
      <c r="U2603">
        <v>17</v>
      </c>
      <c r="V2603">
        <v>13</v>
      </c>
      <c r="Y2603">
        <v>6</v>
      </c>
      <c r="Z2603">
        <v>11</v>
      </c>
      <c r="AA2603">
        <v>22</v>
      </c>
      <c r="AD2603">
        <v>17</v>
      </c>
      <c r="AE2603">
        <v>4</v>
      </c>
      <c r="AF2603">
        <v>5</v>
      </c>
      <c r="AI2603">
        <v>8</v>
      </c>
      <c r="AJ2603">
        <v>23</v>
      </c>
      <c r="AK2603">
        <v>10</v>
      </c>
      <c r="AX2603">
        <v>34</v>
      </c>
      <c r="AY2603">
        <v>31</v>
      </c>
      <c r="AZ2603">
        <v>65</v>
      </c>
      <c r="BA2603">
        <v>39</v>
      </c>
      <c r="BB2603">
        <v>31</v>
      </c>
      <c r="BC2603">
        <v>70</v>
      </c>
      <c r="BD2603">
        <v>26</v>
      </c>
      <c r="BE2603">
        <v>38</v>
      </c>
      <c r="BF2603">
        <v>64</v>
      </c>
      <c r="BG2603">
        <v>41</v>
      </c>
      <c r="BH2603">
        <v>40</v>
      </c>
      <c r="BI2603">
        <v>81</v>
      </c>
      <c r="BP2603">
        <v>26</v>
      </c>
      <c r="BR2603">
        <v>97</v>
      </c>
      <c r="BS2603">
        <v>6</v>
      </c>
      <c r="BT2603">
        <v>8</v>
      </c>
      <c r="BU2603">
        <v>3</v>
      </c>
      <c r="BV2603">
        <v>0</v>
      </c>
      <c r="BW2603">
        <v>140</v>
      </c>
      <c r="CA2603" s="7">
        <v>45249</v>
      </c>
      <c r="CE2603">
        <v>56</v>
      </c>
      <c r="CF2603">
        <v>52</v>
      </c>
      <c r="CG2603">
        <v>32</v>
      </c>
      <c r="CI2603">
        <f t="shared" si="242"/>
        <v>2023</v>
      </c>
      <c r="CJ2603" t="str">
        <f t="shared" si="243"/>
        <v>7955_2023</v>
      </c>
    </row>
    <row r="2604" spans="1:88" x14ac:dyDescent="0.25">
      <c r="A2604" t="s">
        <v>140</v>
      </c>
      <c r="B2604" t="s">
        <v>1064</v>
      </c>
      <c r="C2604">
        <v>7956</v>
      </c>
      <c r="D2604">
        <v>-31.924254999999999</v>
      </c>
      <c r="E2604">
        <v>115.850004</v>
      </c>
      <c r="F2604">
        <v>4</v>
      </c>
      <c r="G2604" t="s">
        <v>1077</v>
      </c>
      <c r="H2604">
        <v>90</v>
      </c>
      <c r="I2604">
        <v>270</v>
      </c>
      <c r="J2604">
        <v>160</v>
      </c>
      <c r="K2604">
        <v>340</v>
      </c>
      <c r="L2604">
        <v>270</v>
      </c>
      <c r="M2604">
        <v>90</v>
      </c>
      <c r="N2604">
        <v>340</v>
      </c>
      <c r="O2604">
        <v>160</v>
      </c>
      <c r="T2604">
        <v>2</v>
      </c>
      <c r="U2604">
        <v>4</v>
      </c>
      <c r="V2604">
        <v>1</v>
      </c>
      <c r="Y2604">
        <v>0</v>
      </c>
      <c r="Z2604">
        <v>0</v>
      </c>
      <c r="AA2604">
        <v>1</v>
      </c>
      <c r="AD2604">
        <v>5</v>
      </c>
      <c r="AE2604">
        <v>2</v>
      </c>
      <c r="AF2604">
        <v>7</v>
      </c>
      <c r="AI2604">
        <v>2</v>
      </c>
      <c r="AJ2604">
        <v>3</v>
      </c>
      <c r="AK2604">
        <v>6</v>
      </c>
      <c r="AX2604">
        <v>7</v>
      </c>
      <c r="AY2604">
        <v>7</v>
      </c>
      <c r="AZ2604">
        <v>14</v>
      </c>
      <c r="BA2604">
        <v>1</v>
      </c>
      <c r="BB2604">
        <v>7</v>
      </c>
      <c r="BC2604">
        <v>8</v>
      </c>
      <c r="BD2604">
        <v>14</v>
      </c>
      <c r="BE2604">
        <v>10</v>
      </c>
      <c r="BF2604">
        <v>24</v>
      </c>
      <c r="BG2604">
        <v>11</v>
      </c>
      <c r="BH2604">
        <v>9</v>
      </c>
      <c r="BI2604">
        <v>20</v>
      </c>
      <c r="BP2604">
        <v>12</v>
      </c>
      <c r="BR2604">
        <v>15</v>
      </c>
      <c r="BS2604">
        <v>0</v>
      </c>
      <c r="BT2604">
        <v>4</v>
      </c>
      <c r="BU2604">
        <v>2</v>
      </c>
      <c r="BV2604">
        <v>0</v>
      </c>
      <c r="BW2604">
        <v>33</v>
      </c>
      <c r="CA2604" s="7">
        <v>45249</v>
      </c>
      <c r="CE2604">
        <v>14</v>
      </c>
      <c r="CF2604">
        <v>12</v>
      </c>
      <c r="CG2604">
        <v>7</v>
      </c>
      <c r="CI2604">
        <f t="shared" si="242"/>
        <v>2023</v>
      </c>
      <c r="CJ2604" t="str">
        <f t="shared" si="243"/>
        <v>7956_2023</v>
      </c>
    </row>
    <row r="2605" spans="1:88" x14ac:dyDescent="0.25">
      <c r="A2605" t="s">
        <v>140</v>
      </c>
      <c r="B2605" t="s">
        <v>1064</v>
      </c>
      <c r="C2605">
        <v>6880</v>
      </c>
      <c r="D2605">
        <v>-31.940208999999999</v>
      </c>
      <c r="E2605">
        <v>115.86417299999999</v>
      </c>
      <c r="F2605">
        <v>4</v>
      </c>
      <c r="G2605" t="s">
        <v>1078</v>
      </c>
      <c r="H2605">
        <v>28</v>
      </c>
      <c r="I2605">
        <v>208</v>
      </c>
      <c r="J2605">
        <v>208</v>
      </c>
      <c r="K2605">
        <v>28</v>
      </c>
      <c r="L2605">
        <v>298</v>
      </c>
      <c r="M2605">
        <v>118</v>
      </c>
      <c r="N2605">
        <v>342</v>
      </c>
      <c r="O2605">
        <v>162</v>
      </c>
      <c r="T2605">
        <v>41</v>
      </c>
      <c r="U2605">
        <v>2</v>
      </c>
      <c r="V2605">
        <v>4</v>
      </c>
      <c r="Y2605">
        <v>41</v>
      </c>
      <c r="Z2605">
        <v>5</v>
      </c>
      <c r="AA2605">
        <v>22</v>
      </c>
      <c r="AD2605">
        <v>5</v>
      </c>
      <c r="AE2605">
        <v>4</v>
      </c>
      <c r="AF2605">
        <v>0</v>
      </c>
      <c r="AI2605">
        <v>0</v>
      </c>
      <c r="AJ2605">
        <v>48</v>
      </c>
      <c r="AK2605">
        <v>1</v>
      </c>
      <c r="AX2605">
        <v>47</v>
      </c>
      <c r="AY2605">
        <v>46</v>
      </c>
      <c r="AZ2605">
        <v>93</v>
      </c>
      <c r="BA2605">
        <v>68</v>
      </c>
      <c r="BB2605">
        <v>93</v>
      </c>
      <c r="BC2605">
        <v>161</v>
      </c>
      <c r="BD2605">
        <v>9</v>
      </c>
      <c r="BE2605">
        <v>8</v>
      </c>
      <c r="BF2605">
        <v>17</v>
      </c>
      <c r="BG2605">
        <v>49</v>
      </c>
      <c r="BH2605">
        <v>26</v>
      </c>
      <c r="BI2605">
        <v>75</v>
      </c>
      <c r="BP2605">
        <v>35</v>
      </c>
      <c r="BR2605">
        <v>123</v>
      </c>
      <c r="BS2605">
        <v>1</v>
      </c>
      <c r="BT2605">
        <v>9</v>
      </c>
      <c r="BU2605">
        <v>3</v>
      </c>
      <c r="BV2605">
        <v>2</v>
      </c>
      <c r="BW2605">
        <v>173</v>
      </c>
      <c r="CA2605" s="7">
        <v>45242</v>
      </c>
      <c r="CE2605">
        <v>59</v>
      </c>
      <c r="CF2605">
        <v>68</v>
      </c>
      <c r="CG2605">
        <v>46</v>
      </c>
      <c r="CI2605">
        <f t="shared" si="242"/>
        <v>2023</v>
      </c>
      <c r="CJ2605" t="str">
        <f t="shared" si="243"/>
        <v>6880_2023</v>
      </c>
    </row>
    <row r="2606" spans="1:88" x14ac:dyDescent="0.25">
      <c r="A2606" t="s">
        <v>140</v>
      </c>
      <c r="B2606" t="s">
        <v>1064</v>
      </c>
      <c r="C2606">
        <v>5897</v>
      </c>
      <c r="D2606">
        <v>-31.936406999999999</v>
      </c>
      <c r="E2606">
        <v>115.84123200000001</v>
      </c>
      <c r="F2606">
        <v>4</v>
      </c>
      <c r="G2606" t="s">
        <v>1079</v>
      </c>
      <c r="H2606">
        <v>1</v>
      </c>
      <c r="I2606">
        <v>181</v>
      </c>
      <c r="J2606">
        <v>91</v>
      </c>
      <c r="K2606">
        <v>271</v>
      </c>
      <c r="L2606">
        <v>182</v>
      </c>
      <c r="M2606">
        <v>2</v>
      </c>
      <c r="N2606">
        <v>270</v>
      </c>
      <c r="O2606">
        <v>90</v>
      </c>
      <c r="T2606">
        <v>160</v>
      </c>
      <c r="U2606">
        <v>201</v>
      </c>
      <c r="V2606">
        <v>43</v>
      </c>
      <c r="Y2606">
        <v>80</v>
      </c>
      <c r="Z2606">
        <v>35</v>
      </c>
      <c r="AA2606">
        <v>13</v>
      </c>
      <c r="AD2606">
        <v>187</v>
      </c>
      <c r="AE2606">
        <v>42</v>
      </c>
      <c r="AF2606">
        <v>10</v>
      </c>
      <c r="AI2606">
        <v>50</v>
      </c>
      <c r="AJ2606">
        <v>47</v>
      </c>
      <c r="AK2606">
        <v>19</v>
      </c>
      <c r="AX2606">
        <v>404</v>
      </c>
      <c r="AY2606">
        <v>317</v>
      </c>
      <c r="AZ2606">
        <v>721</v>
      </c>
      <c r="BA2606">
        <v>128</v>
      </c>
      <c r="BB2606">
        <v>249</v>
      </c>
      <c r="BC2606">
        <v>377</v>
      </c>
      <c r="BD2606">
        <v>239</v>
      </c>
      <c r="BE2606">
        <v>255</v>
      </c>
      <c r="BF2606">
        <v>494</v>
      </c>
      <c r="BG2606">
        <v>116</v>
      </c>
      <c r="BH2606">
        <v>66</v>
      </c>
      <c r="BI2606">
        <v>182</v>
      </c>
      <c r="BP2606">
        <v>79</v>
      </c>
      <c r="BR2606">
        <v>764</v>
      </c>
      <c r="BS2606">
        <v>5</v>
      </c>
      <c r="BT2606">
        <v>26</v>
      </c>
      <c r="BU2606">
        <v>12</v>
      </c>
      <c r="BV2606">
        <v>1</v>
      </c>
      <c r="BW2606">
        <v>887</v>
      </c>
      <c r="CA2606" s="7">
        <v>45277</v>
      </c>
      <c r="CE2606">
        <v>305</v>
      </c>
      <c r="CF2606">
        <v>303</v>
      </c>
      <c r="CG2606">
        <v>279</v>
      </c>
      <c r="CI2606">
        <f t="shared" si="242"/>
        <v>2023</v>
      </c>
      <c r="CJ2606" t="str">
        <f t="shared" si="243"/>
        <v>5897_2023</v>
      </c>
    </row>
    <row r="2607" spans="1:88" x14ac:dyDescent="0.25">
      <c r="A2607" t="s">
        <v>79</v>
      </c>
      <c r="B2607" t="s">
        <v>860</v>
      </c>
      <c r="C2607">
        <v>7513</v>
      </c>
      <c r="D2607">
        <v>-35.109867999999999</v>
      </c>
      <c r="E2607">
        <v>147.37382500000001</v>
      </c>
      <c r="F2607">
        <v>2</v>
      </c>
      <c r="G2607" t="s">
        <v>861</v>
      </c>
      <c r="H2607">
        <v>17</v>
      </c>
      <c r="I2607">
        <v>197</v>
      </c>
      <c r="J2607">
        <v>165</v>
      </c>
      <c r="K2607">
        <v>345</v>
      </c>
      <c r="T2607">
        <v>125</v>
      </c>
      <c r="Y2607">
        <v>149</v>
      </c>
      <c r="AX2607">
        <v>125</v>
      </c>
      <c r="AY2607">
        <v>149</v>
      </c>
      <c r="AZ2607">
        <v>274</v>
      </c>
      <c r="BA2607">
        <v>149</v>
      </c>
      <c r="BB2607">
        <v>125</v>
      </c>
      <c r="BC2607">
        <v>274</v>
      </c>
      <c r="BP2607">
        <v>94</v>
      </c>
      <c r="BR2607">
        <v>130</v>
      </c>
      <c r="BS2607">
        <v>16</v>
      </c>
      <c r="BT2607">
        <v>25</v>
      </c>
      <c r="BU2607">
        <v>2</v>
      </c>
      <c r="BV2607">
        <v>7</v>
      </c>
      <c r="BW2607">
        <v>274</v>
      </c>
      <c r="BX2607">
        <v>399</v>
      </c>
      <c r="BY2607">
        <v>-0.31330000000000002</v>
      </c>
      <c r="BZ2607" s="6">
        <v>-0.31</v>
      </c>
      <c r="CA2607" s="7">
        <v>45242</v>
      </c>
      <c r="CE2607">
        <v>119</v>
      </c>
      <c r="CF2607">
        <v>99</v>
      </c>
      <c r="CG2607">
        <v>56</v>
      </c>
      <c r="CI2607">
        <f t="shared" si="242"/>
        <v>2023</v>
      </c>
      <c r="CJ2607" t="str">
        <f t="shared" si="243"/>
        <v>7513_2023</v>
      </c>
    </row>
    <row r="2608" spans="1:88" x14ac:dyDescent="0.25">
      <c r="A2608" t="s">
        <v>79</v>
      </c>
      <c r="B2608" t="s">
        <v>860</v>
      </c>
      <c r="C2608">
        <v>7514</v>
      </c>
      <c r="D2608">
        <v>-35.109838000000003</v>
      </c>
      <c r="E2608">
        <v>147.365004</v>
      </c>
      <c r="F2608">
        <v>2</v>
      </c>
      <c r="G2608" t="s">
        <v>862</v>
      </c>
      <c r="H2608">
        <v>95</v>
      </c>
      <c r="I2608">
        <v>275</v>
      </c>
      <c r="J2608">
        <v>270</v>
      </c>
      <c r="K2608">
        <v>90</v>
      </c>
      <c r="T2608">
        <v>26</v>
      </c>
      <c r="Y2608">
        <v>24</v>
      </c>
      <c r="AX2608">
        <v>26</v>
      </c>
      <c r="AY2608">
        <v>24</v>
      </c>
      <c r="AZ2608">
        <v>50</v>
      </c>
      <c r="BA2608">
        <v>24</v>
      </c>
      <c r="BB2608">
        <v>26</v>
      </c>
      <c r="BC2608">
        <v>50</v>
      </c>
      <c r="BP2608">
        <v>4</v>
      </c>
      <c r="BR2608">
        <v>31</v>
      </c>
      <c r="BS2608">
        <v>2</v>
      </c>
      <c r="BT2608">
        <v>10</v>
      </c>
      <c r="BU2608">
        <v>1</v>
      </c>
      <c r="BV2608">
        <v>2</v>
      </c>
      <c r="BW2608">
        <v>50</v>
      </c>
      <c r="BX2608">
        <v>97</v>
      </c>
      <c r="BY2608">
        <v>-0.48449999999999999</v>
      </c>
      <c r="BZ2608" s="6">
        <v>-0.48</v>
      </c>
      <c r="CA2608" s="7">
        <v>45242</v>
      </c>
      <c r="CE2608">
        <v>9</v>
      </c>
      <c r="CF2608">
        <v>27</v>
      </c>
      <c r="CG2608">
        <v>14</v>
      </c>
      <c r="CI2608">
        <f t="shared" si="242"/>
        <v>2023</v>
      </c>
      <c r="CJ2608" t="str">
        <f t="shared" si="243"/>
        <v>7514_2023</v>
      </c>
    </row>
    <row r="2609" spans="1:88" x14ac:dyDescent="0.25">
      <c r="A2609" t="s">
        <v>79</v>
      </c>
      <c r="B2609" t="s">
        <v>860</v>
      </c>
      <c r="C2609">
        <v>7515</v>
      </c>
      <c r="D2609">
        <v>-35.072991000000002</v>
      </c>
      <c r="E2609">
        <v>147.35802799999999</v>
      </c>
      <c r="F2609">
        <v>3</v>
      </c>
      <c r="G2609" t="s">
        <v>863</v>
      </c>
      <c r="H2609">
        <v>7</v>
      </c>
      <c r="I2609">
        <v>187</v>
      </c>
      <c r="J2609">
        <v>187</v>
      </c>
      <c r="K2609">
        <v>7</v>
      </c>
      <c r="L2609">
        <v>280</v>
      </c>
      <c r="M2609">
        <v>100</v>
      </c>
      <c r="T2609">
        <v>55</v>
      </c>
      <c r="U2609">
        <v>8</v>
      </c>
      <c r="Y2609">
        <v>20</v>
      </c>
      <c r="Z2609">
        <v>10</v>
      </c>
      <c r="AD2609">
        <v>12</v>
      </c>
      <c r="AE2609">
        <v>23</v>
      </c>
      <c r="AX2609">
        <v>63</v>
      </c>
      <c r="AY2609">
        <v>32</v>
      </c>
      <c r="AZ2609">
        <v>95</v>
      </c>
      <c r="BA2609">
        <v>30</v>
      </c>
      <c r="BB2609">
        <v>78</v>
      </c>
      <c r="BC2609">
        <v>108</v>
      </c>
      <c r="BD2609">
        <v>35</v>
      </c>
      <c r="BE2609">
        <v>18</v>
      </c>
      <c r="BF2609">
        <v>53</v>
      </c>
      <c r="BP2609">
        <v>44</v>
      </c>
      <c r="BR2609">
        <v>46</v>
      </c>
      <c r="BS2609">
        <v>9</v>
      </c>
      <c r="BT2609">
        <v>29</v>
      </c>
      <c r="BU2609">
        <v>0</v>
      </c>
      <c r="BV2609">
        <v>0</v>
      </c>
      <c r="BW2609">
        <v>128</v>
      </c>
      <c r="BX2609">
        <v>39</v>
      </c>
      <c r="BY2609">
        <v>2.2820999999999998</v>
      </c>
      <c r="BZ2609" s="6">
        <v>2.2799999999999998</v>
      </c>
      <c r="CA2609" s="7">
        <v>45242</v>
      </c>
      <c r="CE2609">
        <v>70</v>
      </c>
      <c r="CF2609">
        <v>35</v>
      </c>
      <c r="CG2609">
        <v>23</v>
      </c>
      <c r="CI2609">
        <f t="shared" si="242"/>
        <v>2023</v>
      </c>
      <c r="CJ2609" t="str">
        <f t="shared" si="243"/>
        <v>7515_2023</v>
      </c>
    </row>
    <row r="2610" spans="1:88" x14ac:dyDescent="0.25">
      <c r="A2610" t="s">
        <v>79</v>
      </c>
      <c r="B2610" t="s">
        <v>860</v>
      </c>
      <c r="C2610">
        <v>7517</v>
      </c>
      <c r="D2610">
        <v>-35.159351000000001</v>
      </c>
      <c r="E2610">
        <v>147.37597500000001</v>
      </c>
      <c r="F2610">
        <v>2</v>
      </c>
      <c r="G2610" t="s">
        <v>865</v>
      </c>
      <c r="H2610">
        <v>160</v>
      </c>
      <c r="I2610">
        <v>340</v>
      </c>
      <c r="J2610">
        <v>344</v>
      </c>
      <c r="K2610">
        <v>164</v>
      </c>
      <c r="T2610">
        <v>134</v>
      </c>
      <c r="Y2610">
        <v>91</v>
      </c>
      <c r="AX2610">
        <v>134</v>
      </c>
      <c r="AY2610">
        <v>91</v>
      </c>
      <c r="AZ2610">
        <v>225</v>
      </c>
      <c r="BA2610">
        <v>91</v>
      </c>
      <c r="BB2610">
        <v>134</v>
      </c>
      <c r="BC2610">
        <v>225</v>
      </c>
      <c r="BP2610">
        <v>74</v>
      </c>
      <c r="BR2610">
        <v>96</v>
      </c>
      <c r="BS2610">
        <v>30</v>
      </c>
      <c r="BT2610">
        <v>25</v>
      </c>
      <c r="BU2610">
        <v>0</v>
      </c>
      <c r="BV2610">
        <v>0</v>
      </c>
      <c r="BW2610">
        <v>225</v>
      </c>
      <c r="BX2610">
        <v>295</v>
      </c>
      <c r="BY2610">
        <v>-0.23730000000000001</v>
      </c>
      <c r="BZ2610" s="6">
        <v>-0.24</v>
      </c>
      <c r="CA2610" s="7">
        <v>45242</v>
      </c>
      <c r="CE2610">
        <v>119</v>
      </c>
      <c r="CF2610">
        <v>70</v>
      </c>
      <c r="CG2610">
        <v>36</v>
      </c>
      <c r="CI2610">
        <f t="shared" si="242"/>
        <v>2023</v>
      </c>
      <c r="CJ2610" t="str">
        <f t="shared" si="243"/>
        <v>7517_2023</v>
      </c>
    </row>
    <row r="2611" spans="1:88" x14ac:dyDescent="0.25">
      <c r="A2611" t="s">
        <v>79</v>
      </c>
      <c r="B2611" t="s">
        <v>860</v>
      </c>
      <c r="C2611">
        <v>7972</v>
      </c>
      <c r="D2611">
        <v>-35.126790999999997</v>
      </c>
      <c r="E2611">
        <v>147.3904</v>
      </c>
      <c r="F2611">
        <v>4</v>
      </c>
      <c r="G2611" t="s">
        <v>1080</v>
      </c>
      <c r="H2611">
        <v>11</v>
      </c>
      <c r="I2611">
        <v>191</v>
      </c>
      <c r="J2611">
        <v>99</v>
      </c>
      <c r="K2611">
        <v>279</v>
      </c>
      <c r="L2611">
        <v>190</v>
      </c>
      <c r="M2611">
        <v>10</v>
      </c>
      <c r="N2611">
        <v>279</v>
      </c>
      <c r="O2611">
        <v>99</v>
      </c>
      <c r="T2611">
        <v>1</v>
      </c>
      <c r="U2611">
        <v>52</v>
      </c>
      <c r="V2611">
        <v>0</v>
      </c>
      <c r="Y2611">
        <v>0</v>
      </c>
      <c r="Z2611">
        <v>1</v>
      </c>
      <c r="AA2611">
        <v>0</v>
      </c>
      <c r="AD2611">
        <v>35</v>
      </c>
      <c r="AE2611">
        <v>0</v>
      </c>
      <c r="AF2611">
        <v>4</v>
      </c>
      <c r="AI2611">
        <v>1</v>
      </c>
      <c r="AJ2611">
        <v>0</v>
      </c>
      <c r="AK2611">
        <v>2</v>
      </c>
      <c r="AX2611">
        <v>53</v>
      </c>
      <c r="AY2611">
        <v>36</v>
      </c>
      <c r="AZ2611">
        <v>89</v>
      </c>
      <c r="BA2611">
        <v>1</v>
      </c>
      <c r="BB2611">
        <v>1</v>
      </c>
      <c r="BC2611">
        <v>2</v>
      </c>
      <c r="BD2611">
        <v>39</v>
      </c>
      <c r="BE2611">
        <v>55</v>
      </c>
      <c r="BF2611">
        <v>94</v>
      </c>
      <c r="BG2611">
        <v>3</v>
      </c>
      <c r="BH2611">
        <v>4</v>
      </c>
      <c r="BI2611">
        <v>7</v>
      </c>
      <c r="BP2611">
        <v>79</v>
      </c>
      <c r="BR2611">
        <v>7</v>
      </c>
      <c r="BS2611">
        <v>8</v>
      </c>
      <c r="BT2611">
        <v>1</v>
      </c>
      <c r="BU2611">
        <v>1</v>
      </c>
      <c r="BV2611">
        <v>0</v>
      </c>
      <c r="BW2611">
        <v>96</v>
      </c>
      <c r="CA2611" s="7">
        <v>45242</v>
      </c>
      <c r="CE2611">
        <v>32</v>
      </c>
      <c r="CF2611">
        <v>32</v>
      </c>
      <c r="CG2611">
        <v>32</v>
      </c>
      <c r="CI2611">
        <f t="shared" si="242"/>
        <v>2023</v>
      </c>
      <c r="CJ2611" t="str">
        <f t="shared" si="243"/>
        <v>7972_2023</v>
      </c>
    </row>
    <row r="2612" spans="1:88" x14ac:dyDescent="0.25">
      <c r="A2612" t="s">
        <v>79</v>
      </c>
      <c r="B2612" t="s">
        <v>860</v>
      </c>
      <c r="C2612">
        <v>7973</v>
      </c>
      <c r="D2612">
        <v>-35.134397</v>
      </c>
      <c r="E2612">
        <v>147.31970000000001</v>
      </c>
      <c r="F2612">
        <v>3</v>
      </c>
      <c r="G2612" t="s">
        <v>1081</v>
      </c>
      <c r="H2612">
        <v>64</v>
      </c>
      <c r="I2612">
        <v>244</v>
      </c>
      <c r="J2612">
        <v>154</v>
      </c>
      <c r="K2612">
        <v>334</v>
      </c>
      <c r="L2612">
        <v>270</v>
      </c>
      <c r="M2612">
        <v>90</v>
      </c>
      <c r="T2612">
        <v>3</v>
      </c>
      <c r="U2612">
        <v>2</v>
      </c>
      <c r="Y2612">
        <v>3</v>
      </c>
      <c r="Z2612">
        <v>12</v>
      </c>
      <c r="AD2612">
        <v>31</v>
      </c>
      <c r="AE2612">
        <v>12</v>
      </c>
      <c r="AX2612">
        <v>5</v>
      </c>
      <c r="AY2612">
        <v>34</v>
      </c>
      <c r="AZ2612">
        <v>39</v>
      </c>
      <c r="BA2612">
        <v>15</v>
      </c>
      <c r="BB2612">
        <v>15</v>
      </c>
      <c r="BC2612">
        <v>30</v>
      </c>
      <c r="BD2612">
        <v>43</v>
      </c>
      <c r="BE2612">
        <v>14</v>
      </c>
      <c r="BF2612">
        <v>57</v>
      </c>
      <c r="BP2612">
        <v>48</v>
      </c>
      <c r="BR2612">
        <v>7</v>
      </c>
      <c r="BS2612">
        <v>4</v>
      </c>
      <c r="BT2612">
        <v>4</v>
      </c>
      <c r="BU2612">
        <v>0</v>
      </c>
      <c r="BV2612">
        <v>0</v>
      </c>
      <c r="BW2612">
        <v>63</v>
      </c>
      <c r="CA2612" s="7">
        <v>45242</v>
      </c>
      <c r="CE2612">
        <v>24</v>
      </c>
      <c r="CF2612">
        <v>32</v>
      </c>
      <c r="CG2612">
        <v>7</v>
      </c>
      <c r="CI2612">
        <f t="shared" si="242"/>
        <v>2023</v>
      </c>
      <c r="CJ2612" t="str">
        <f t="shared" si="243"/>
        <v>7973_2023</v>
      </c>
    </row>
    <row r="2613" spans="1:88" x14ac:dyDescent="0.25">
      <c r="A2613" t="s">
        <v>492</v>
      </c>
      <c r="B2613" t="s">
        <v>646</v>
      </c>
      <c r="C2613">
        <v>6960</v>
      </c>
      <c r="D2613">
        <v>-20.016514999999998</v>
      </c>
      <c r="E2613">
        <v>148.24912</v>
      </c>
      <c r="F2613">
        <v>3</v>
      </c>
      <c r="G2613" t="s">
        <v>648</v>
      </c>
      <c r="H2613">
        <v>56</v>
      </c>
      <c r="I2613">
        <v>236</v>
      </c>
      <c r="J2613">
        <v>238</v>
      </c>
      <c r="K2613">
        <v>58</v>
      </c>
      <c r="L2613">
        <v>329</v>
      </c>
      <c r="M2613">
        <v>149</v>
      </c>
      <c r="T2613">
        <v>25</v>
      </c>
      <c r="U2613">
        <v>3</v>
      </c>
      <c r="Y2613">
        <v>10</v>
      </c>
      <c r="Z2613">
        <v>0</v>
      </c>
      <c r="AD2613">
        <v>4</v>
      </c>
      <c r="AE2613">
        <v>1</v>
      </c>
      <c r="AX2613">
        <v>28</v>
      </c>
      <c r="AY2613">
        <v>14</v>
      </c>
      <c r="AZ2613">
        <v>42</v>
      </c>
      <c r="BA2613">
        <v>10</v>
      </c>
      <c r="BB2613">
        <v>26</v>
      </c>
      <c r="BC2613">
        <v>36</v>
      </c>
      <c r="BD2613">
        <v>5</v>
      </c>
      <c r="BE2613">
        <v>3</v>
      </c>
      <c r="BF2613">
        <v>8</v>
      </c>
      <c r="BP2613">
        <v>4</v>
      </c>
      <c r="BR2613">
        <v>32</v>
      </c>
      <c r="BS2613">
        <v>1</v>
      </c>
      <c r="BT2613">
        <v>5</v>
      </c>
      <c r="BU2613">
        <v>0</v>
      </c>
      <c r="BV2613">
        <v>1</v>
      </c>
      <c r="BW2613">
        <v>43</v>
      </c>
      <c r="CA2613" s="7">
        <v>45242</v>
      </c>
      <c r="CC2613">
        <v>18</v>
      </c>
      <c r="CD2613">
        <v>6</v>
      </c>
      <c r="CE2613">
        <v>19</v>
      </c>
      <c r="CI2613">
        <f t="shared" si="242"/>
        <v>2023</v>
      </c>
      <c r="CJ2613" t="str">
        <f t="shared" si="243"/>
        <v>6960_2023</v>
      </c>
    </row>
    <row r="2614" spans="1:88" x14ac:dyDescent="0.25">
      <c r="A2614" t="s">
        <v>492</v>
      </c>
      <c r="B2614" t="s">
        <v>646</v>
      </c>
      <c r="C2614">
        <v>6961</v>
      </c>
      <c r="D2614">
        <v>-19.993378</v>
      </c>
      <c r="E2614">
        <v>148.24345</v>
      </c>
      <c r="F2614">
        <v>4</v>
      </c>
      <c r="G2614" t="s">
        <v>650</v>
      </c>
      <c r="H2614">
        <v>2</v>
      </c>
      <c r="I2614">
        <v>182</v>
      </c>
      <c r="J2614">
        <v>141</v>
      </c>
      <c r="K2614">
        <v>321</v>
      </c>
      <c r="L2614">
        <v>190</v>
      </c>
      <c r="M2614">
        <v>10</v>
      </c>
      <c r="N2614">
        <v>318</v>
      </c>
      <c r="O2614">
        <v>138</v>
      </c>
      <c r="T2614">
        <v>4</v>
      </c>
      <c r="U2614">
        <v>11</v>
      </c>
      <c r="V2614">
        <v>7</v>
      </c>
      <c r="Y2614">
        <v>12</v>
      </c>
      <c r="Z2614">
        <v>1</v>
      </c>
      <c r="AA2614">
        <v>4</v>
      </c>
      <c r="AD2614">
        <v>14</v>
      </c>
      <c r="AE2614">
        <v>1</v>
      </c>
      <c r="AF2614">
        <v>5</v>
      </c>
      <c r="AI2614">
        <v>8</v>
      </c>
      <c r="AJ2614">
        <v>0</v>
      </c>
      <c r="AK2614">
        <v>5</v>
      </c>
      <c r="AX2614">
        <v>22</v>
      </c>
      <c r="AY2614">
        <v>34</v>
      </c>
      <c r="AZ2614">
        <v>56</v>
      </c>
      <c r="BA2614">
        <v>17</v>
      </c>
      <c r="BB2614">
        <v>5</v>
      </c>
      <c r="BC2614">
        <v>22</v>
      </c>
      <c r="BD2614">
        <v>20</v>
      </c>
      <c r="BE2614">
        <v>17</v>
      </c>
      <c r="BF2614">
        <v>37</v>
      </c>
      <c r="BG2614">
        <v>13</v>
      </c>
      <c r="BH2614">
        <v>16</v>
      </c>
      <c r="BI2614">
        <v>29</v>
      </c>
      <c r="BP2614">
        <v>33</v>
      </c>
      <c r="BR2614">
        <v>25</v>
      </c>
      <c r="BS2614">
        <v>4</v>
      </c>
      <c r="BT2614">
        <v>5</v>
      </c>
      <c r="BU2614">
        <v>5</v>
      </c>
      <c r="BV2614">
        <v>0</v>
      </c>
      <c r="BW2614">
        <v>72</v>
      </c>
      <c r="BX2614">
        <v>30</v>
      </c>
      <c r="BY2614">
        <v>1.4</v>
      </c>
      <c r="BZ2614" s="6">
        <v>1.4</v>
      </c>
      <c r="CA2614" s="7">
        <v>45242</v>
      </c>
      <c r="CC2614">
        <v>16</v>
      </c>
      <c r="CD2614">
        <v>30</v>
      </c>
      <c r="CE2614">
        <v>26</v>
      </c>
      <c r="CI2614">
        <f t="shared" si="242"/>
        <v>2023</v>
      </c>
      <c r="CJ2614" t="str">
        <f t="shared" si="243"/>
        <v>6961_2023</v>
      </c>
    </row>
    <row r="2615" spans="1:88" x14ac:dyDescent="0.25">
      <c r="A2615" t="s">
        <v>492</v>
      </c>
      <c r="B2615" t="s">
        <v>646</v>
      </c>
      <c r="C2615">
        <v>6962</v>
      </c>
      <c r="D2615">
        <v>-20.264216999999999</v>
      </c>
      <c r="E2615">
        <v>148.71594999999999</v>
      </c>
      <c r="F2615">
        <v>3</v>
      </c>
      <c r="G2615" t="s">
        <v>651</v>
      </c>
      <c r="H2615">
        <v>173</v>
      </c>
      <c r="I2615">
        <v>353</v>
      </c>
      <c r="J2615">
        <v>235</v>
      </c>
      <c r="K2615">
        <v>55</v>
      </c>
      <c r="L2615">
        <v>341</v>
      </c>
      <c r="M2615">
        <v>161</v>
      </c>
      <c r="T2615">
        <v>24</v>
      </c>
      <c r="U2615">
        <v>412</v>
      </c>
      <c r="Y2615">
        <v>1</v>
      </c>
      <c r="Z2615">
        <v>5</v>
      </c>
      <c r="AD2615">
        <v>259</v>
      </c>
      <c r="AE2615">
        <v>3</v>
      </c>
      <c r="AX2615">
        <v>436</v>
      </c>
      <c r="AY2615">
        <v>260</v>
      </c>
      <c r="AZ2615">
        <v>696</v>
      </c>
      <c r="BA2615">
        <v>6</v>
      </c>
      <c r="BB2615">
        <v>27</v>
      </c>
      <c r="BC2615">
        <v>33</v>
      </c>
      <c r="BD2615">
        <v>262</v>
      </c>
      <c r="BE2615">
        <v>417</v>
      </c>
      <c r="BF2615">
        <v>679</v>
      </c>
      <c r="BP2615">
        <v>43</v>
      </c>
      <c r="BR2615">
        <v>583</v>
      </c>
      <c r="BS2615">
        <v>35</v>
      </c>
      <c r="BT2615">
        <v>40</v>
      </c>
      <c r="BU2615">
        <v>3</v>
      </c>
      <c r="BV2615">
        <v>0</v>
      </c>
      <c r="BW2615">
        <v>704</v>
      </c>
      <c r="CA2615" s="7">
        <v>45242</v>
      </c>
      <c r="CC2615">
        <v>187</v>
      </c>
      <c r="CD2615">
        <v>258</v>
      </c>
      <c r="CE2615">
        <v>259</v>
      </c>
      <c r="CI2615">
        <f t="shared" si="242"/>
        <v>2023</v>
      </c>
      <c r="CJ2615" t="str">
        <f t="shared" si="243"/>
        <v>6962_2023</v>
      </c>
    </row>
    <row r="2616" spans="1:88" x14ac:dyDescent="0.25">
      <c r="A2616" t="s">
        <v>492</v>
      </c>
      <c r="B2616" t="s">
        <v>646</v>
      </c>
      <c r="C2616">
        <v>7151</v>
      </c>
      <c r="D2616">
        <v>-19.980248</v>
      </c>
      <c r="E2616">
        <v>148.23009300000001</v>
      </c>
      <c r="F2616">
        <v>5</v>
      </c>
      <c r="G2616" t="s">
        <v>747</v>
      </c>
      <c r="H2616">
        <v>56</v>
      </c>
      <c r="I2616">
        <v>236</v>
      </c>
      <c r="J2616">
        <v>116</v>
      </c>
      <c r="K2616">
        <v>296</v>
      </c>
      <c r="L2616">
        <v>190</v>
      </c>
      <c r="M2616">
        <v>10</v>
      </c>
      <c r="N2616">
        <v>263</v>
      </c>
      <c r="O2616">
        <v>83</v>
      </c>
      <c r="P2616">
        <v>330</v>
      </c>
      <c r="Q2616">
        <v>150</v>
      </c>
      <c r="T2616">
        <v>14</v>
      </c>
      <c r="U2616">
        <v>5</v>
      </c>
      <c r="V2616">
        <v>1</v>
      </c>
      <c r="W2616">
        <v>6</v>
      </c>
      <c r="Y2616">
        <v>22</v>
      </c>
      <c r="Z2616">
        <v>1</v>
      </c>
      <c r="AA2616">
        <v>1</v>
      </c>
      <c r="AB2616">
        <v>6</v>
      </c>
      <c r="AD2616">
        <v>4</v>
      </c>
      <c r="AE2616">
        <v>6</v>
      </c>
      <c r="AF2616">
        <v>0</v>
      </c>
      <c r="AG2616">
        <v>1</v>
      </c>
      <c r="AI2616">
        <v>1</v>
      </c>
      <c r="AJ2616">
        <v>2</v>
      </c>
      <c r="AK2616">
        <v>0</v>
      </c>
      <c r="AL2616">
        <v>2</v>
      </c>
      <c r="AN2616">
        <v>7</v>
      </c>
      <c r="AO2616">
        <v>1</v>
      </c>
      <c r="AP2616">
        <v>4</v>
      </c>
      <c r="AQ2616">
        <v>2</v>
      </c>
      <c r="AX2616">
        <v>26</v>
      </c>
      <c r="AY2616">
        <v>34</v>
      </c>
      <c r="AZ2616">
        <v>60</v>
      </c>
      <c r="BA2616">
        <v>30</v>
      </c>
      <c r="BB2616">
        <v>23</v>
      </c>
      <c r="BC2616">
        <v>53</v>
      </c>
      <c r="BD2616">
        <v>11</v>
      </c>
      <c r="BE2616">
        <v>10</v>
      </c>
      <c r="BF2616">
        <v>21</v>
      </c>
      <c r="BG2616">
        <v>5</v>
      </c>
      <c r="BH2616">
        <v>4</v>
      </c>
      <c r="BI2616">
        <v>9</v>
      </c>
      <c r="BJ2616">
        <v>14</v>
      </c>
      <c r="BK2616">
        <v>15</v>
      </c>
      <c r="BL2616">
        <v>29</v>
      </c>
      <c r="BP2616">
        <v>23</v>
      </c>
      <c r="BR2616">
        <v>28</v>
      </c>
      <c r="BS2616">
        <v>1</v>
      </c>
      <c r="BT2616">
        <v>20</v>
      </c>
      <c r="BU2616">
        <v>14</v>
      </c>
      <c r="BV2616">
        <v>0</v>
      </c>
      <c r="BW2616">
        <v>86</v>
      </c>
      <c r="BX2616">
        <v>91</v>
      </c>
      <c r="BY2616">
        <v>-5.4899999999999997E-2</v>
      </c>
      <c r="BZ2616" s="6">
        <v>-0.05</v>
      </c>
      <c r="CA2616" s="7">
        <v>45242</v>
      </c>
      <c r="CC2616">
        <v>33</v>
      </c>
      <c r="CD2616">
        <v>18</v>
      </c>
      <c r="CE2616">
        <v>35</v>
      </c>
      <c r="CI2616">
        <f t="shared" si="242"/>
        <v>2023</v>
      </c>
      <c r="CJ2616" t="str">
        <f t="shared" si="243"/>
        <v>7151_2023</v>
      </c>
    </row>
    <row r="2617" spans="1:88" x14ac:dyDescent="0.25">
      <c r="A2617" t="s">
        <v>492</v>
      </c>
      <c r="B2617" t="s">
        <v>646</v>
      </c>
      <c r="C2617">
        <v>7152</v>
      </c>
      <c r="D2617">
        <v>-19.986329999999999</v>
      </c>
      <c r="E2617">
        <v>148.23720900000001</v>
      </c>
      <c r="F2617">
        <v>4</v>
      </c>
      <c r="G2617" t="s">
        <v>748</v>
      </c>
      <c r="H2617">
        <v>133</v>
      </c>
      <c r="I2617">
        <v>313</v>
      </c>
      <c r="J2617">
        <v>190</v>
      </c>
      <c r="K2617">
        <v>10</v>
      </c>
      <c r="L2617">
        <v>250</v>
      </c>
      <c r="M2617">
        <v>70</v>
      </c>
      <c r="N2617">
        <v>340</v>
      </c>
      <c r="O2617">
        <v>160</v>
      </c>
      <c r="T2617">
        <v>0</v>
      </c>
      <c r="U2617">
        <v>0</v>
      </c>
      <c r="V2617">
        <v>3</v>
      </c>
      <c r="Y2617">
        <v>1</v>
      </c>
      <c r="Z2617">
        <v>2</v>
      </c>
      <c r="AA2617">
        <v>0</v>
      </c>
      <c r="AD2617">
        <v>4</v>
      </c>
      <c r="AE2617">
        <v>0</v>
      </c>
      <c r="AF2617">
        <v>5</v>
      </c>
      <c r="AI2617">
        <v>2</v>
      </c>
      <c r="AJ2617">
        <v>2</v>
      </c>
      <c r="AK2617">
        <v>1</v>
      </c>
      <c r="AX2617">
        <v>3</v>
      </c>
      <c r="AY2617">
        <v>7</v>
      </c>
      <c r="AZ2617">
        <v>10</v>
      </c>
      <c r="BA2617">
        <v>3</v>
      </c>
      <c r="BB2617">
        <v>2</v>
      </c>
      <c r="BC2617">
        <v>5</v>
      </c>
      <c r="BD2617">
        <v>9</v>
      </c>
      <c r="BE2617">
        <v>3</v>
      </c>
      <c r="BF2617">
        <v>12</v>
      </c>
      <c r="BG2617">
        <v>5</v>
      </c>
      <c r="BH2617">
        <v>8</v>
      </c>
      <c r="BI2617">
        <v>13</v>
      </c>
      <c r="BP2617">
        <v>5</v>
      </c>
      <c r="BR2617">
        <v>9</v>
      </c>
      <c r="BS2617">
        <v>3</v>
      </c>
      <c r="BT2617">
        <v>2</v>
      </c>
      <c r="BU2617">
        <v>1</v>
      </c>
      <c r="BV2617">
        <v>0</v>
      </c>
      <c r="BW2617">
        <v>20</v>
      </c>
      <c r="BX2617">
        <v>24</v>
      </c>
      <c r="BY2617">
        <v>-0.16669999999999999</v>
      </c>
      <c r="BZ2617" s="6">
        <v>-0.17</v>
      </c>
      <c r="CA2617" s="7">
        <v>45242</v>
      </c>
      <c r="CC2617">
        <v>18</v>
      </c>
      <c r="CD2617">
        <v>2</v>
      </c>
      <c r="CE2617">
        <v>0</v>
      </c>
      <c r="CI2617">
        <f t="shared" si="242"/>
        <v>2023</v>
      </c>
      <c r="CJ2617" t="str">
        <f t="shared" si="243"/>
        <v>7152_2023</v>
      </c>
    </row>
    <row r="2618" spans="1:88" x14ac:dyDescent="0.25">
      <c r="A2618" t="s">
        <v>492</v>
      </c>
      <c r="B2618" t="s">
        <v>646</v>
      </c>
      <c r="C2618">
        <v>7153</v>
      </c>
      <c r="D2618">
        <v>-20.009862999999999</v>
      </c>
      <c r="E2618">
        <v>148.24990500000001</v>
      </c>
      <c r="F2618">
        <v>3</v>
      </c>
      <c r="G2618" t="s">
        <v>749</v>
      </c>
      <c r="H2618">
        <v>10</v>
      </c>
      <c r="I2618">
        <v>190</v>
      </c>
      <c r="J2618">
        <v>139</v>
      </c>
      <c r="K2618">
        <v>319</v>
      </c>
      <c r="L2618">
        <v>230</v>
      </c>
      <c r="M2618">
        <v>50</v>
      </c>
      <c r="T2618">
        <v>5</v>
      </c>
      <c r="U2618">
        <v>3</v>
      </c>
      <c r="Y2618">
        <v>2</v>
      </c>
      <c r="Z2618">
        <v>0</v>
      </c>
      <c r="AD2618">
        <v>0</v>
      </c>
      <c r="AE2618">
        <v>0</v>
      </c>
      <c r="AX2618">
        <v>8</v>
      </c>
      <c r="AY2618">
        <v>2</v>
      </c>
      <c r="AZ2618">
        <v>10</v>
      </c>
      <c r="BA2618">
        <v>2</v>
      </c>
      <c r="BB2618">
        <v>5</v>
      </c>
      <c r="BC2618">
        <v>7</v>
      </c>
      <c r="BD2618">
        <v>0</v>
      </c>
      <c r="BE2618">
        <v>3</v>
      </c>
      <c r="BF2618">
        <v>3</v>
      </c>
      <c r="BP2618">
        <v>4</v>
      </c>
      <c r="BR2618">
        <v>0</v>
      </c>
      <c r="BS2618">
        <v>0</v>
      </c>
      <c r="BT2618">
        <v>3</v>
      </c>
      <c r="BU2618">
        <v>0</v>
      </c>
      <c r="BV2618">
        <v>3</v>
      </c>
      <c r="BW2618">
        <v>10</v>
      </c>
      <c r="CA2618" s="7">
        <v>45242</v>
      </c>
      <c r="CC2618">
        <v>4</v>
      </c>
      <c r="CD2618">
        <v>0</v>
      </c>
      <c r="CE2618">
        <v>6</v>
      </c>
      <c r="CI2618">
        <f t="shared" si="242"/>
        <v>2023</v>
      </c>
      <c r="CJ2618" t="str">
        <f t="shared" si="243"/>
        <v>7153_2023</v>
      </c>
    </row>
    <row r="2619" spans="1:88" x14ac:dyDescent="0.25">
      <c r="A2619" t="s">
        <v>492</v>
      </c>
      <c r="B2619" t="s">
        <v>646</v>
      </c>
      <c r="C2619">
        <v>7154</v>
      </c>
      <c r="D2619">
        <v>-20.014222</v>
      </c>
      <c r="E2619">
        <v>148.25331199999999</v>
      </c>
      <c r="F2619">
        <v>4</v>
      </c>
      <c r="G2619" t="s">
        <v>750</v>
      </c>
      <c r="H2619">
        <v>55</v>
      </c>
      <c r="I2619">
        <v>235</v>
      </c>
      <c r="J2619">
        <v>110</v>
      </c>
      <c r="K2619">
        <v>290</v>
      </c>
      <c r="L2619">
        <v>240</v>
      </c>
      <c r="M2619">
        <v>60</v>
      </c>
      <c r="N2619">
        <v>310</v>
      </c>
      <c r="O2619">
        <v>130</v>
      </c>
      <c r="T2619">
        <v>0</v>
      </c>
      <c r="U2619">
        <v>2</v>
      </c>
      <c r="V2619">
        <v>1</v>
      </c>
      <c r="Y2619">
        <v>1</v>
      </c>
      <c r="Z2619">
        <v>2</v>
      </c>
      <c r="AA2619">
        <v>0</v>
      </c>
      <c r="AD2619">
        <v>3</v>
      </c>
      <c r="AE2619">
        <v>2</v>
      </c>
      <c r="AF2619">
        <v>0</v>
      </c>
      <c r="AI2619">
        <v>0</v>
      </c>
      <c r="AJ2619">
        <v>4</v>
      </c>
      <c r="AK2619">
        <v>2</v>
      </c>
      <c r="AX2619">
        <v>3</v>
      </c>
      <c r="AY2619">
        <v>4</v>
      </c>
      <c r="AZ2619">
        <v>7</v>
      </c>
      <c r="BA2619">
        <v>3</v>
      </c>
      <c r="BB2619">
        <v>6</v>
      </c>
      <c r="BC2619">
        <v>9</v>
      </c>
      <c r="BD2619">
        <v>5</v>
      </c>
      <c r="BE2619">
        <v>6</v>
      </c>
      <c r="BF2619">
        <v>11</v>
      </c>
      <c r="BG2619">
        <v>6</v>
      </c>
      <c r="BH2619">
        <v>1</v>
      </c>
      <c r="BI2619">
        <v>7</v>
      </c>
      <c r="BP2619">
        <v>3</v>
      </c>
      <c r="BR2619">
        <v>0</v>
      </c>
      <c r="BS2619">
        <v>0</v>
      </c>
      <c r="BT2619">
        <v>0</v>
      </c>
      <c r="BU2619">
        <v>0</v>
      </c>
      <c r="BV2619">
        <v>14</v>
      </c>
      <c r="BW2619">
        <v>17</v>
      </c>
      <c r="BX2619">
        <v>9</v>
      </c>
      <c r="BY2619">
        <v>0.88890000000000002</v>
      </c>
      <c r="BZ2619" s="6">
        <v>0.89</v>
      </c>
      <c r="CA2619" s="7">
        <v>45242</v>
      </c>
      <c r="CC2619">
        <v>1</v>
      </c>
      <c r="CD2619">
        <v>6</v>
      </c>
      <c r="CE2619">
        <v>10</v>
      </c>
      <c r="CI2619">
        <f t="shared" si="242"/>
        <v>2023</v>
      </c>
      <c r="CJ2619" t="str">
        <f t="shared" si="243"/>
        <v>7154_2023</v>
      </c>
    </row>
    <row r="2620" spans="1:88" x14ac:dyDescent="0.25">
      <c r="A2620" t="s">
        <v>492</v>
      </c>
      <c r="B2620" t="s">
        <v>646</v>
      </c>
      <c r="C2620">
        <v>7157</v>
      </c>
      <c r="D2620">
        <v>-20.272303999999998</v>
      </c>
      <c r="E2620">
        <v>148.70599999999999</v>
      </c>
      <c r="F2620">
        <v>2</v>
      </c>
      <c r="G2620" t="s">
        <v>751</v>
      </c>
      <c r="H2620">
        <v>60</v>
      </c>
      <c r="I2620">
        <v>240</v>
      </c>
      <c r="J2620">
        <v>240</v>
      </c>
      <c r="K2620">
        <v>60</v>
      </c>
      <c r="T2620">
        <v>18</v>
      </c>
      <c r="Y2620">
        <v>48</v>
      </c>
      <c r="AX2620">
        <v>18</v>
      </c>
      <c r="AY2620">
        <v>48</v>
      </c>
      <c r="AZ2620">
        <v>66</v>
      </c>
      <c r="BA2620">
        <v>48</v>
      </c>
      <c r="BB2620">
        <v>18</v>
      </c>
      <c r="BC2620">
        <v>66</v>
      </c>
      <c r="BP2620">
        <v>6</v>
      </c>
      <c r="BR2620">
        <v>27</v>
      </c>
      <c r="BS2620">
        <v>2</v>
      </c>
      <c r="BT2620">
        <v>9</v>
      </c>
      <c r="BU2620">
        <v>21</v>
      </c>
      <c r="BV2620">
        <v>1</v>
      </c>
      <c r="BW2620">
        <v>66</v>
      </c>
      <c r="BX2620">
        <v>48</v>
      </c>
      <c r="BY2620">
        <v>0.375</v>
      </c>
      <c r="BZ2620" s="6">
        <v>0.38</v>
      </c>
      <c r="CA2620" s="7">
        <v>45242</v>
      </c>
      <c r="CC2620">
        <v>17</v>
      </c>
      <c r="CD2620">
        <v>24</v>
      </c>
      <c r="CE2620">
        <v>25</v>
      </c>
      <c r="CI2620">
        <f t="shared" si="242"/>
        <v>2023</v>
      </c>
      <c r="CJ2620" t="str">
        <f t="shared" si="243"/>
        <v>7157_2023</v>
      </c>
    </row>
    <row r="2621" spans="1:88" x14ac:dyDescent="0.25">
      <c r="A2621" t="s">
        <v>492</v>
      </c>
      <c r="B2621" t="s">
        <v>646</v>
      </c>
      <c r="C2621">
        <v>7186</v>
      </c>
      <c r="D2621">
        <v>-20.273558000000001</v>
      </c>
      <c r="E2621">
        <v>148.703217</v>
      </c>
      <c r="F2621">
        <v>3</v>
      </c>
      <c r="G2621" t="s">
        <v>752</v>
      </c>
      <c r="H2621">
        <v>30</v>
      </c>
      <c r="I2621">
        <v>210</v>
      </c>
      <c r="J2621">
        <v>180</v>
      </c>
      <c r="K2621">
        <v>360</v>
      </c>
      <c r="L2621">
        <v>245</v>
      </c>
      <c r="M2621">
        <v>65</v>
      </c>
      <c r="T2621">
        <v>10</v>
      </c>
      <c r="U2621">
        <v>152</v>
      </c>
      <c r="Y2621">
        <v>26</v>
      </c>
      <c r="Z2621">
        <v>0</v>
      </c>
      <c r="AD2621">
        <v>186</v>
      </c>
      <c r="AE2621">
        <v>4</v>
      </c>
      <c r="AX2621">
        <v>162</v>
      </c>
      <c r="AY2621">
        <v>212</v>
      </c>
      <c r="AZ2621">
        <v>374</v>
      </c>
      <c r="BA2621">
        <v>26</v>
      </c>
      <c r="BB2621">
        <v>14</v>
      </c>
      <c r="BC2621">
        <v>40</v>
      </c>
      <c r="BD2621">
        <v>190</v>
      </c>
      <c r="BE2621">
        <v>152</v>
      </c>
      <c r="BF2621">
        <v>342</v>
      </c>
      <c r="BP2621">
        <v>30</v>
      </c>
      <c r="BR2621">
        <v>196</v>
      </c>
      <c r="BS2621">
        <v>49</v>
      </c>
      <c r="BT2621">
        <v>93</v>
      </c>
      <c r="BU2621">
        <v>10</v>
      </c>
      <c r="BV2621">
        <v>0</v>
      </c>
      <c r="BW2621">
        <v>378</v>
      </c>
      <c r="BX2621">
        <v>435</v>
      </c>
      <c r="BY2621">
        <v>-0.13100000000000001</v>
      </c>
      <c r="BZ2621" s="6">
        <v>-0.13</v>
      </c>
      <c r="CA2621" s="7">
        <v>45242</v>
      </c>
      <c r="CC2621">
        <v>125</v>
      </c>
      <c r="CD2621">
        <v>113</v>
      </c>
      <c r="CE2621">
        <v>140</v>
      </c>
      <c r="CI2621">
        <f t="shared" si="242"/>
        <v>2023</v>
      </c>
      <c r="CJ2621" t="str">
        <f t="shared" si="243"/>
        <v>7186_2023</v>
      </c>
    </row>
    <row r="2622" spans="1:88" x14ac:dyDescent="0.25">
      <c r="A2622" t="s">
        <v>492</v>
      </c>
      <c r="B2622" t="s">
        <v>646</v>
      </c>
      <c r="C2622">
        <v>7909</v>
      </c>
      <c r="D2622">
        <v>-20.00245</v>
      </c>
      <c r="E2622">
        <v>148.24037999999999</v>
      </c>
      <c r="F2622">
        <v>4</v>
      </c>
      <c r="G2622" t="s">
        <v>1082</v>
      </c>
      <c r="H2622">
        <v>48</v>
      </c>
      <c r="I2622">
        <v>228</v>
      </c>
      <c r="J2622">
        <v>153</v>
      </c>
      <c r="K2622">
        <v>333</v>
      </c>
      <c r="L2622">
        <v>222</v>
      </c>
      <c r="M2622">
        <v>42</v>
      </c>
      <c r="N2622">
        <v>308</v>
      </c>
      <c r="O2622">
        <v>128</v>
      </c>
      <c r="T2622">
        <v>5</v>
      </c>
      <c r="U2622">
        <v>1</v>
      </c>
      <c r="V2622">
        <v>3</v>
      </c>
      <c r="Y2622">
        <v>5</v>
      </c>
      <c r="Z2622">
        <v>0</v>
      </c>
      <c r="AA2622">
        <v>5</v>
      </c>
      <c r="AD2622">
        <v>0</v>
      </c>
      <c r="AE2622">
        <v>1</v>
      </c>
      <c r="AF2622">
        <v>0</v>
      </c>
      <c r="AI2622">
        <v>1</v>
      </c>
      <c r="AJ2622">
        <v>1</v>
      </c>
      <c r="AK2622">
        <v>0</v>
      </c>
      <c r="AX2622">
        <v>9</v>
      </c>
      <c r="AY2622">
        <v>6</v>
      </c>
      <c r="AZ2622">
        <v>15</v>
      </c>
      <c r="BA2622">
        <v>10</v>
      </c>
      <c r="BB2622">
        <v>7</v>
      </c>
      <c r="BC2622">
        <v>17</v>
      </c>
      <c r="BD2622">
        <v>1</v>
      </c>
      <c r="BE2622">
        <v>1</v>
      </c>
      <c r="BF2622">
        <v>2</v>
      </c>
      <c r="BG2622">
        <v>2</v>
      </c>
      <c r="BH2622">
        <v>8</v>
      </c>
      <c r="BI2622">
        <v>10</v>
      </c>
      <c r="BP2622">
        <v>5</v>
      </c>
      <c r="BR2622">
        <v>9</v>
      </c>
      <c r="BS2622">
        <v>3</v>
      </c>
      <c r="BT2622">
        <v>1</v>
      </c>
      <c r="BU2622">
        <v>4</v>
      </c>
      <c r="BV2622">
        <v>0</v>
      </c>
      <c r="BW2622">
        <v>22</v>
      </c>
      <c r="CA2622" s="7">
        <v>45242</v>
      </c>
      <c r="CC2622">
        <v>6</v>
      </c>
      <c r="CD2622">
        <v>8</v>
      </c>
      <c r="CE2622">
        <v>8</v>
      </c>
      <c r="CI2622">
        <f t="shared" si="242"/>
        <v>2023</v>
      </c>
      <c r="CJ2622" t="str">
        <f t="shared" si="243"/>
        <v>7909_2023</v>
      </c>
    </row>
    <row r="2623" spans="1:88" x14ac:dyDescent="0.25">
      <c r="A2623" t="s">
        <v>492</v>
      </c>
      <c r="B2623" t="s">
        <v>646</v>
      </c>
      <c r="C2623">
        <v>7910</v>
      </c>
      <c r="D2623">
        <v>-19.986899999999999</v>
      </c>
      <c r="E2623">
        <v>148.25453999999999</v>
      </c>
      <c r="F2623">
        <v>3</v>
      </c>
      <c r="G2623" t="s">
        <v>1083</v>
      </c>
      <c r="H2623">
        <v>90</v>
      </c>
      <c r="I2623">
        <v>270</v>
      </c>
      <c r="J2623">
        <v>140</v>
      </c>
      <c r="K2623">
        <v>320</v>
      </c>
      <c r="L2623">
        <v>270</v>
      </c>
      <c r="M2623">
        <v>90</v>
      </c>
      <c r="T2623">
        <v>1</v>
      </c>
      <c r="U2623">
        <v>5</v>
      </c>
      <c r="Y2623">
        <v>0</v>
      </c>
      <c r="Z2623">
        <v>3</v>
      </c>
      <c r="AD2623">
        <v>7</v>
      </c>
      <c r="AE2623">
        <v>6</v>
      </c>
      <c r="AX2623">
        <v>6</v>
      </c>
      <c r="AY2623">
        <v>7</v>
      </c>
      <c r="AZ2623">
        <v>13</v>
      </c>
      <c r="BA2623">
        <v>3</v>
      </c>
      <c r="BB2623">
        <v>7</v>
      </c>
      <c r="BC2623">
        <v>10</v>
      </c>
      <c r="BD2623">
        <v>13</v>
      </c>
      <c r="BE2623">
        <v>8</v>
      </c>
      <c r="BF2623">
        <v>21</v>
      </c>
      <c r="BP2623">
        <v>7</v>
      </c>
      <c r="BR2623">
        <v>10</v>
      </c>
      <c r="BS2623">
        <v>4</v>
      </c>
      <c r="BT2623">
        <v>1</v>
      </c>
      <c r="BU2623">
        <v>0</v>
      </c>
      <c r="BV2623">
        <v>0</v>
      </c>
      <c r="BW2623">
        <v>22</v>
      </c>
      <c r="CA2623" s="7">
        <v>45242</v>
      </c>
      <c r="CC2623">
        <v>12</v>
      </c>
      <c r="CD2623">
        <v>6</v>
      </c>
      <c r="CE2623">
        <v>4</v>
      </c>
      <c r="CI2623">
        <f t="shared" si="242"/>
        <v>2023</v>
      </c>
      <c r="CJ2623" t="str">
        <f t="shared" si="243"/>
        <v>7910_2023</v>
      </c>
    </row>
    <row r="2624" spans="1:88" x14ac:dyDescent="0.25">
      <c r="A2624" t="s">
        <v>492</v>
      </c>
      <c r="B2624" t="s">
        <v>646</v>
      </c>
      <c r="C2624">
        <v>7911</v>
      </c>
      <c r="D2624">
        <v>-20.280850000000001</v>
      </c>
      <c r="E2624">
        <v>148.72881000000001</v>
      </c>
      <c r="F2624">
        <v>3</v>
      </c>
      <c r="G2624" t="s">
        <v>1084</v>
      </c>
      <c r="H2624">
        <v>110</v>
      </c>
      <c r="I2624">
        <v>290</v>
      </c>
      <c r="J2624">
        <v>196</v>
      </c>
      <c r="K2624">
        <v>16</v>
      </c>
      <c r="L2624">
        <v>330</v>
      </c>
      <c r="M2624">
        <v>150</v>
      </c>
      <c r="T2624">
        <v>17</v>
      </c>
      <c r="U2624">
        <v>29</v>
      </c>
      <c r="Y2624">
        <v>18</v>
      </c>
      <c r="Z2624">
        <v>36</v>
      </c>
      <c r="AD2624">
        <v>17</v>
      </c>
      <c r="AE2624">
        <v>21</v>
      </c>
      <c r="AX2624">
        <v>46</v>
      </c>
      <c r="AY2624">
        <v>35</v>
      </c>
      <c r="AZ2624">
        <v>81</v>
      </c>
      <c r="BA2624">
        <v>54</v>
      </c>
      <c r="BB2624">
        <v>38</v>
      </c>
      <c r="BC2624">
        <v>92</v>
      </c>
      <c r="BD2624">
        <v>38</v>
      </c>
      <c r="BE2624">
        <v>65</v>
      </c>
      <c r="BF2624">
        <v>103</v>
      </c>
      <c r="BP2624">
        <v>37</v>
      </c>
      <c r="BR2624">
        <v>71</v>
      </c>
      <c r="BS2624">
        <v>6</v>
      </c>
      <c r="BT2624">
        <v>10</v>
      </c>
      <c r="BU2624">
        <v>14</v>
      </c>
      <c r="BV2624">
        <v>0</v>
      </c>
      <c r="BW2624">
        <v>138</v>
      </c>
      <c r="CA2624" s="7">
        <v>45242</v>
      </c>
      <c r="CC2624">
        <v>64</v>
      </c>
      <c r="CD2624">
        <v>35</v>
      </c>
      <c r="CE2624">
        <v>39</v>
      </c>
      <c r="CI2624">
        <f t="shared" si="242"/>
        <v>2023</v>
      </c>
      <c r="CJ2624" t="str">
        <f t="shared" si="243"/>
        <v>7911_2023</v>
      </c>
    </row>
    <row r="2625" spans="1:88" x14ac:dyDescent="0.25">
      <c r="A2625" t="s">
        <v>492</v>
      </c>
      <c r="B2625" t="s">
        <v>646</v>
      </c>
      <c r="C2625">
        <v>7914</v>
      </c>
      <c r="D2625">
        <v>-20.268090000000001</v>
      </c>
      <c r="E2625">
        <v>148.71869000000001</v>
      </c>
      <c r="F2625">
        <v>2</v>
      </c>
      <c r="G2625" t="s">
        <v>1085</v>
      </c>
      <c r="H2625">
        <v>115</v>
      </c>
      <c r="I2625">
        <v>295</v>
      </c>
      <c r="J2625">
        <v>300</v>
      </c>
      <c r="K2625">
        <v>120</v>
      </c>
      <c r="T2625">
        <v>492</v>
      </c>
      <c r="Y2625">
        <v>665</v>
      </c>
      <c r="AX2625">
        <v>492</v>
      </c>
      <c r="AY2625">
        <v>665</v>
      </c>
      <c r="AZ2625">
        <v>1157</v>
      </c>
      <c r="BA2625">
        <v>665</v>
      </c>
      <c r="BB2625">
        <v>492</v>
      </c>
      <c r="BC2625">
        <v>1157</v>
      </c>
      <c r="BP2625">
        <v>35</v>
      </c>
      <c r="BR2625">
        <v>956</v>
      </c>
      <c r="BS2625">
        <v>28</v>
      </c>
      <c r="BT2625">
        <v>62</v>
      </c>
      <c r="BU2625">
        <v>24</v>
      </c>
      <c r="BV2625">
        <v>52</v>
      </c>
      <c r="BW2625">
        <v>1157</v>
      </c>
      <c r="CA2625" s="7">
        <v>45242</v>
      </c>
      <c r="CC2625">
        <v>235</v>
      </c>
      <c r="CD2625">
        <v>323</v>
      </c>
      <c r="CE2625">
        <v>599</v>
      </c>
      <c r="CI2625">
        <f t="shared" si="242"/>
        <v>2023</v>
      </c>
      <c r="CJ2625" t="str">
        <f t="shared" si="243"/>
        <v>7914_2023</v>
      </c>
    </row>
    <row r="2626" spans="1:88" x14ac:dyDescent="0.25">
      <c r="A2626" t="s">
        <v>492</v>
      </c>
      <c r="B2626" t="s">
        <v>646</v>
      </c>
      <c r="C2626">
        <v>7159</v>
      </c>
      <c r="D2626">
        <v>-20.269953000000001</v>
      </c>
      <c r="E2626">
        <v>148.72145599999999</v>
      </c>
      <c r="F2626">
        <v>3</v>
      </c>
      <c r="G2626" t="s">
        <v>753</v>
      </c>
      <c r="H2626">
        <v>17</v>
      </c>
      <c r="I2626">
        <v>197</v>
      </c>
      <c r="J2626">
        <v>165</v>
      </c>
      <c r="K2626">
        <v>345</v>
      </c>
      <c r="L2626">
        <v>300</v>
      </c>
      <c r="M2626">
        <v>120</v>
      </c>
      <c r="T2626">
        <v>3</v>
      </c>
      <c r="U2626">
        <v>68</v>
      </c>
      <c r="Y2626">
        <v>9</v>
      </c>
      <c r="Z2626">
        <v>78</v>
      </c>
      <c r="AD2626">
        <v>108</v>
      </c>
      <c r="AE2626">
        <v>26</v>
      </c>
      <c r="AX2626">
        <v>71</v>
      </c>
      <c r="AY2626">
        <v>117</v>
      </c>
      <c r="AZ2626">
        <v>188</v>
      </c>
      <c r="BA2626">
        <v>87</v>
      </c>
      <c r="BB2626">
        <v>29</v>
      </c>
      <c r="BC2626">
        <v>116</v>
      </c>
      <c r="BD2626">
        <v>134</v>
      </c>
      <c r="BE2626">
        <v>146</v>
      </c>
      <c r="BF2626">
        <v>280</v>
      </c>
      <c r="BP2626">
        <v>7</v>
      </c>
      <c r="BR2626">
        <v>260</v>
      </c>
      <c r="BS2626">
        <v>9</v>
      </c>
      <c r="BT2626">
        <v>7</v>
      </c>
      <c r="BU2626">
        <v>9</v>
      </c>
      <c r="BV2626">
        <v>0</v>
      </c>
      <c r="BW2626">
        <v>292</v>
      </c>
      <c r="BX2626">
        <v>605</v>
      </c>
      <c r="BY2626">
        <v>-0.51739999999999997</v>
      </c>
      <c r="BZ2626" s="6">
        <v>-0.52</v>
      </c>
      <c r="CA2626" s="7">
        <v>45249</v>
      </c>
      <c r="CC2626">
        <v>87</v>
      </c>
      <c r="CD2626">
        <v>94</v>
      </c>
      <c r="CE2626">
        <v>111</v>
      </c>
      <c r="CI2626">
        <f t="shared" si="242"/>
        <v>2023</v>
      </c>
      <c r="CJ2626" t="str">
        <f t="shared" si="243"/>
        <v>7159_2023</v>
      </c>
    </row>
    <row r="2627" spans="1:88" x14ac:dyDescent="0.25">
      <c r="A2627" t="s">
        <v>492</v>
      </c>
      <c r="B2627" t="s">
        <v>646</v>
      </c>
      <c r="C2627">
        <v>7912</v>
      </c>
      <c r="D2627">
        <v>-20.28951</v>
      </c>
      <c r="E2627">
        <v>148.67706999999999</v>
      </c>
      <c r="F2627">
        <v>4</v>
      </c>
      <c r="G2627" t="s">
        <v>1086</v>
      </c>
      <c r="H2627">
        <v>30</v>
      </c>
      <c r="I2627">
        <v>210</v>
      </c>
      <c r="J2627">
        <v>99</v>
      </c>
      <c r="K2627">
        <v>279</v>
      </c>
      <c r="L2627">
        <v>217</v>
      </c>
      <c r="M2627">
        <v>37</v>
      </c>
      <c r="N2627">
        <v>275</v>
      </c>
      <c r="O2627">
        <v>95</v>
      </c>
      <c r="T2627">
        <v>2</v>
      </c>
      <c r="U2627">
        <v>3</v>
      </c>
      <c r="V2627">
        <v>16</v>
      </c>
      <c r="Y2627">
        <v>5</v>
      </c>
      <c r="Z2627">
        <v>0</v>
      </c>
      <c r="AA2627">
        <v>6</v>
      </c>
      <c r="AD2627">
        <v>7</v>
      </c>
      <c r="AE2627">
        <v>0</v>
      </c>
      <c r="AF2627">
        <v>0</v>
      </c>
      <c r="AI2627">
        <v>8</v>
      </c>
      <c r="AJ2627">
        <v>5</v>
      </c>
      <c r="AK2627">
        <v>0</v>
      </c>
      <c r="AX2627">
        <v>21</v>
      </c>
      <c r="AY2627">
        <v>20</v>
      </c>
      <c r="AZ2627">
        <v>41</v>
      </c>
      <c r="BA2627">
        <v>11</v>
      </c>
      <c r="BB2627">
        <v>7</v>
      </c>
      <c r="BC2627">
        <v>18</v>
      </c>
      <c r="BD2627">
        <v>7</v>
      </c>
      <c r="BE2627">
        <v>3</v>
      </c>
      <c r="BF2627">
        <v>10</v>
      </c>
      <c r="BG2627">
        <v>13</v>
      </c>
      <c r="BH2627">
        <v>22</v>
      </c>
      <c r="BI2627">
        <v>35</v>
      </c>
      <c r="BP2627">
        <v>22</v>
      </c>
      <c r="BR2627">
        <v>16</v>
      </c>
      <c r="BS2627">
        <v>2</v>
      </c>
      <c r="BT2627">
        <v>4</v>
      </c>
      <c r="BU2627">
        <v>8</v>
      </c>
      <c r="BV2627">
        <v>0</v>
      </c>
      <c r="BW2627">
        <v>52</v>
      </c>
      <c r="CA2627" s="7">
        <v>45263</v>
      </c>
      <c r="CC2627">
        <v>26</v>
      </c>
      <c r="CD2627">
        <v>14</v>
      </c>
      <c r="CE2627">
        <v>12</v>
      </c>
      <c r="CI2627">
        <f t="shared" ref="CI2627:CI2682" si="244">YEAR(CA2627)</f>
        <v>2023</v>
      </c>
      <c r="CJ2627" t="str">
        <f t="shared" ref="CJ2627:CJ2690" si="245">_xlfn.CONCAT(C2627,"_",CI2627)</f>
        <v>7912_2023</v>
      </c>
    </row>
    <row r="2628" spans="1:88" x14ac:dyDescent="0.25">
      <c r="A2628" t="s">
        <v>492</v>
      </c>
      <c r="B2628" t="s">
        <v>646</v>
      </c>
      <c r="C2628">
        <v>7913</v>
      </c>
      <c r="D2628">
        <v>-20.282019999999999</v>
      </c>
      <c r="E2628">
        <v>148.68929</v>
      </c>
      <c r="F2628">
        <v>3</v>
      </c>
      <c r="G2628" t="s">
        <v>1087</v>
      </c>
      <c r="H2628">
        <v>55</v>
      </c>
      <c r="I2628">
        <v>235</v>
      </c>
      <c r="J2628">
        <v>155</v>
      </c>
      <c r="K2628">
        <v>335</v>
      </c>
      <c r="L2628">
        <v>221</v>
      </c>
      <c r="M2628">
        <v>41</v>
      </c>
      <c r="T2628">
        <v>7</v>
      </c>
      <c r="U2628">
        <v>21</v>
      </c>
      <c r="Y2628">
        <v>10</v>
      </c>
      <c r="Z2628">
        <v>1</v>
      </c>
      <c r="AD2628">
        <v>30</v>
      </c>
      <c r="AE2628">
        <v>1</v>
      </c>
      <c r="AX2628">
        <v>28</v>
      </c>
      <c r="AY2628">
        <v>40</v>
      </c>
      <c r="AZ2628">
        <v>68</v>
      </c>
      <c r="BA2628">
        <v>11</v>
      </c>
      <c r="BB2628">
        <v>8</v>
      </c>
      <c r="BC2628">
        <v>19</v>
      </c>
      <c r="BD2628">
        <v>31</v>
      </c>
      <c r="BE2628">
        <v>22</v>
      </c>
      <c r="BF2628">
        <v>53</v>
      </c>
      <c r="BP2628">
        <v>23</v>
      </c>
      <c r="BR2628">
        <v>26</v>
      </c>
      <c r="BS2628">
        <v>3</v>
      </c>
      <c r="BT2628">
        <v>0</v>
      </c>
      <c r="BU2628">
        <v>18</v>
      </c>
      <c r="BV2628">
        <v>0</v>
      </c>
      <c r="BW2628">
        <v>70</v>
      </c>
      <c r="CA2628" s="7">
        <v>45256</v>
      </c>
      <c r="CC2628">
        <v>27</v>
      </c>
      <c r="CD2628">
        <v>21</v>
      </c>
      <c r="CE2628">
        <v>22</v>
      </c>
      <c r="CI2628">
        <f t="shared" si="244"/>
        <v>2023</v>
      </c>
      <c r="CJ2628" t="str">
        <f t="shared" si="245"/>
        <v>7913_2023</v>
      </c>
    </row>
    <row r="2629" spans="1:88" x14ac:dyDescent="0.25">
      <c r="A2629" t="s">
        <v>492</v>
      </c>
      <c r="B2629" t="s">
        <v>646</v>
      </c>
      <c r="C2629">
        <v>7915</v>
      </c>
      <c r="D2629">
        <v>-20.401420000000002</v>
      </c>
      <c r="E2629">
        <v>148.57924</v>
      </c>
      <c r="F2629">
        <v>3</v>
      </c>
      <c r="G2629" t="s">
        <v>1088</v>
      </c>
      <c r="H2629">
        <v>90</v>
      </c>
      <c r="I2629">
        <v>270</v>
      </c>
      <c r="J2629">
        <v>189</v>
      </c>
      <c r="K2629">
        <v>9</v>
      </c>
      <c r="L2629">
        <v>272</v>
      </c>
      <c r="M2629">
        <v>92</v>
      </c>
      <c r="CA2629" s="7">
        <v>45242</v>
      </c>
      <c r="CI2629">
        <f t="shared" si="244"/>
        <v>2023</v>
      </c>
      <c r="CJ2629" t="str">
        <f t="shared" si="245"/>
        <v>7915_2023</v>
      </c>
    </row>
    <row r="2630" spans="1:88" x14ac:dyDescent="0.25">
      <c r="A2630" t="s">
        <v>492</v>
      </c>
      <c r="B2630" t="s">
        <v>646</v>
      </c>
      <c r="C2630">
        <v>7916</v>
      </c>
      <c r="D2630">
        <v>-20.409490999999999</v>
      </c>
      <c r="E2630">
        <v>148.58461700000001</v>
      </c>
      <c r="F2630">
        <v>3</v>
      </c>
      <c r="G2630" t="s">
        <v>1089</v>
      </c>
      <c r="H2630">
        <v>94</v>
      </c>
      <c r="I2630">
        <v>274</v>
      </c>
      <c r="J2630">
        <v>184</v>
      </c>
      <c r="K2630">
        <v>4</v>
      </c>
      <c r="L2630">
        <v>274</v>
      </c>
      <c r="M2630">
        <v>94</v>
      </c>
      <c r="CA2630" s="7">
        <v>45242</v>
      </c>
      <c r="CI2630">
        <f t="shared" si="244"/>
        <v>2023</v>
      </c>
      <c r="CJ2630" t="str">
        <f t="shared" si="245"/>
        <v>7916_2023</v>
      </c>
    </row>
    <row r="2631" spans="1:88" x14ac:dyDescent="0.25">
      <c r="A2631" t="s">
        <v>111</v>
      </c>
      <c r="B2631" t="s">
        <v>152</v>
      </c>
      <c r="C2631">
        <v>5016</v>
      </c>
      <c r="D2631">
        <v>-37.653182999999999</v>
      </c>
      <c r="E2631">
        <v>145.03505799999999</v>
      </c>
      <c r="F2631">
        <v>4</v>
      </c>
      <c r="G2631" t="s">
        <v>153</v>
      </c>
      <c r="H2631">
        <v>5</v>
      </c>
      <c r="I2631">
        <v>185</v>
      </c>
      <c r="J2631">
        <v>104</v>
      </c>
      <c r="K2631">
        <v>284</v>
      </c>
      <c r="L2631">
        <v>211</v>
      </c>
      <c r="M2631">
        <v>31</v>
      </c>
      <c r="N2631">
        <v>283</v>
      </c>
      <c r="O2631">
        <v>103</v>
      </c>
      <c r="T2631">
        <v>3</v>
      </c>
      <c r="U2631">
        <v>19</v>
      </c>
      <c r="V2631">
        <v>7</v>
      </c>
      <c r="Y2631">
        <v>1</v>
      </c>
      <c r="Z2631">
        <v>2</v>
      </c>
      <c r="AA2631">
        <v>22</v>
      </c>
      <c r="AD2631">
        <v>17</v>
      </c>
      <c r="AE2631">
        <v>2</v>
      </c>
      <c r="AF2631">
        <v>3</v>
      </c>
      <c r="AI2631">
        <v>7</v>
      </c>
      <c r="AJ2631">
        <v>6</v>
      </c>
      <c r="AK2631">
        <v>6</v>
      </c>
      <c r="AX2631">
        <v>29</v>
      </c>
      <c r="AY2631">
        <v>25</v>
      </c>
      <c r="AZ2631">
        <v>54</v>
      </c>
      <c r="BA2631">
        <v>25</v>
      </c>
      <c r="BB2631">
        <v>11</v>
      </c>
      <c r="BC2631">
        <v>36</v>
      </c>
      <c r="BD2631">
        <v>22</v>
      </c>
      <c r="BE2631">
        <v>27</v>
      </c>
      <c r="BF2631">
        <v>49</v>
      </c>
      <c r="BG2631">
        <v>19</v>
      </c>
      <c r="BH2631">
        <v>32</v>
      </c>
      <c r="BI2631">
        <v>51</v>
      </c>
      <c r="BP2631">
        <v>44</v>
      </c>
      <c r="BR2631">
        <v>42</v>
      </c>
      <c r="BS2631">
        <v>0</v>
      </c>
      <c r="BT2631">
        <v>7</v>
      </c>
      <c r="BU2631">
        <v>2</v>
      </c>
      <c r="BV2631">
        <v>0</v>
      </c>
      <c r="BW2631">
        <v>95</v>
      </c>
      <c r="CA2631" s="7">
        <v>45242</v>
      </c>
      <c r="CE2631">
        <v>38</v>
      </c>
      <c r="CF2631">
        <v>29</v>
      </c>
      <c r="CG2631">
        <v>28</v>
      </c>
      <c r="CI2631">
        <f t="shared" si="244"/>
        <v>2023</v>
      </c>
      <c r="CJ2631" t="str">
        <f t="shared" si="245"/>
        <v>5016_2023</v>
      </c>
    </row>
    <row r="2632" spans="1:88" x14ac:dyDescent="0.25">
      <c r="A2632" t="s">
        <v>111</v>
      </c>
      <c r="B2632" t="s">
        <v>152</v>
      </c>
      <c r="C2632">
        <v>5023</v>
      </c>
      <c r="D2632">
        <v>-37.696097000000002</v>
      </c>
      <c r="E2632">
        <v>145.022166</v>
      </c>
      <c r="F2632">
        <v>4</v>
      </c>
      <c r="G2632" t="s">
        <v>154</v>
      </c>
      <c r="H2632">
        <v>36</v>
      </c>
      <c r="I2632">
        <v>216</v>
      </c>
      <c r="J2632">
        <v>125</v>
      </c>
      <c r="K2632">
        <v>305</v>
      </c>
      <c r="L2632">
        <v>213</v>
      </c>
      <c r="M2632">
        <v>33</v>
      </c>
      <c r="N2632">
        <v>277</v>
      </c>
      <c r="O2632">
        <v>97</v>
      </c>
      <c r="T2632">
        <v>6</v>
      </c>
      <c r="U2632">
        <v>13</v>
      </c>
      <c r="V2632">
        <v>5</v>
      </c>
      <c r="Y2632">
        <v>14</v>
      </c>
      <c r="Z2632">
        <v>17</v>
      </c>
      <c r="AA2632">
        <v>8</v>
      </c>
      <c r="AD2632">
        <v>17</v>
      </c>
      <c r="AE2632">
        <v>21</v>
      </c>
      <c r="AF2632">
        <v>17</v>
      </c>
      <c r="AI2632">
        <v>1</v>
      </c>
      <c r="AJ2632">
        <v>1</v>
      </c>
      <c r="AK2632">
        <v>15</v>
      </c>
      <c r="AX2632">
        <v>24</v>
      </c>
      <c r="AY2632">
        <v>32</v>
      </c>
      <c r="AZ2632">
        <v>56</v>
      </c>
      <c r="BA2632">
        <v>39</v>
      </c>
      <c r="BB2632">
        <v>28</v>
      </c>
      <c r="BC2632">
        <v>67</v>
      </c>
      <c r="BD2632">
        <v>55</v>
      </c>
      <c r="BE2632">
        <v>45</v>
      </c>
      <c r="BF2632">
        <v>100</v>
      </c>
      <c r="BG2632">
        <v>17</v>
      </c>
      <c r="BH2632">
        <v>30</v>
      </c>
      <c r="BI2632">
        <v>47</v>
      </c>
      <c r="BP2632">
        <v>29</v>
      </c>
      <c r="BR2632">
        <v>76</v>
      </c>
      <c r="BS2632">
        <v>14</v>
      </c>
      <c r="BT2632">
        <v>9</v>
      </c>
      <c r="BU2632">
        <v>4</v>
      </c>
      <c r="BV2632">
        <v>3</v>
      </c>
      <c r="BW2632">
        <v>135</v>
      </c>
      <c r="BX2632">
        <v>125</v>
      </c>
      <c r="BY2632">
        <v>0.08</v>
      </c>
      <c r="BZ2632" s="6">
        <v>0.08</v>
      </c>
      <c r="CA2632" s="7">
        <v>45242</v>
      </c>
      <c r="CE2632">
        <v>33</v>
      </c>
      <c r="CF2632">
        <v>65</v>
      </c>
      <c r="CG2632">
        <v>37</v>
      </c>
      <c r="CI2632">
        <f t="shared" si="244"/>
        <v>2023</v>
      </c>
      <c r="CJ2632" t="str">
        <f t="shared" si="245"/>
        <v>5023_2023</v>
      </c>
    </row>
    <row r="2633" spans="1:88" x14ac:dyDescent="0.25">
      <c r="A2633" t="s">
        <v>111</v>
      </c>
      <c r="B2633" t="s">
        <v>152</v>
      </c>
      <c r="C2633">
        <v>6031</v>
      </c>
      <c r="D2633">
        <v>-37.668044000000002</v>
      </c>
      <c r="E2633">
        <v>144.98199500000001</v>
      </c>
      <c r="F2633">
        <v>4</v>
      </c>
      <c r="G2633" t="s">
        <v>366</v>
      </c>
      <c r="H2633">
        <v>5</v>
      </c>
      <c r="I2633">
        <v>185</v>
      </c>
      <c r="J2633">
        <v>142</v>
      </c>
      <c r="K2633">
        <v>322</v>
      </c>
      <c r="L2633">
        <v>181</v>
      </c>
      <c r="M2633">
        <v>1</v>
      </c>
      <c r="N2633">
        <v>295</v>
      </c>
      <c r="O2633">
        <v>115</v>
      </c>
      <c r="T2633">
        <v>4</v>
      </c>
      <c r="U2633">
        <v>26</v>
      </c>
      <c r="V2633">
        <v>5</v>
      </c>
      <c r="Y2633">
        <v>6</v>
      </c>
      <c r="Z2633">
        <v>0</v>
      </c>
      <c r="AA2633">
        <v>10</v>
      </c>
      <c r="AD2633">
        <v>33</v>
      </c>
      <c r="AE2633">
        <v>2</v>
      </c>
      <c r="AF2633">
        <v>1</v>
      </c>
      <c r="AI2633">
        <v>3</v>
      </c>
      <c r="AJ2633">
        <v>7</v>
      </c>
      <c r="AK2633">
        <v>1</v>
      </c>
      <c r="AX2633">
        <v>35</v>
      </c>
      <c r="AY2633">
        <v>42</v>
      </c>
      <c r="AZ2633">
        <v>77</v>
      </c>
      <c r="BA2633">
        <v>16</v>
      </c>
      <c r="BB2633">
        <v>13</v>
      </c>
      <c r="BC2633">
        <v>29</v>
      </c>
      <c r="BD2633">
        <v>36</v>
      </c>
      <c r="BE2633">
        <v>27</v>
      </c>
      <c r="BF2633">
        <v>63</v>
      </c>
      <c r="BG2633">
        <v>11</v>
      </c>
      <c r="BH2633">
        <v>16</v>
      </c>
      <c r="BI2633">
        <v>27</v>
      </c>
      <c r="BP2633">
        <v>55</v>
      </c>
      <c r="BR2633">
        <v>31</v>
      </c>
      <c r="BS2633">
        <v>4</v>
      </c>
      <c r="BT2633">
        <v>7</v>
      </c>
      <c r="BU2633">
        <v>1</v>
      </c>
      <c r="BV2633">
        <v>0</v>
      </c>
      <c r="BW2633">
        <v>98</v>
      </c>
      <c r="BX2633">
        <v>121</v>
      </c>
      <c r="BY2633">
        <v>-0.19009999999999999</v>
      </c>
      <c r="BZ2633" s="6">
        <v>-0.19</v>
      </c>
      <c r="CA2633" s="7">
        <v>45242</v>
      </c>
      <c r="CE2633">
        <v>29</v>
      </c>
      <c r="CF2633">
        <v>34</v>
      </c>
      <c r="CG2633">
        <v>35</v>
      </c>
      <c r="CI2633">
        <f t="shared" si="244"/>
        <v>2023</v>
      </c>
      <c r="CJ2633" t="str">
        <f t="shared" si="245"/>
        <v>6031_2023</v>
      </c>
    </row>
    <row r="2634" spans="1:88" x14ac:dyDescent="0.25">
      <c r="A2634" t="s">
        <v>111</v>
      </c>
      <c r="B2634" t="s">
        <v>152</v>
      </c>
      <c r="C2634">
        <v>6033</v>
      </c>
      <c r="D2634">
        <v>-37.676079999999999</v>
      </c>
      <c r="E2634">
        <v>145.00762499999999</v>
      </c>
      <c r="F2634">
        <v>4</v>
      </c>
      <c r="G2634" t="s">
        <v>368</v>
      </c>
      <c r="H2634">
        <v>41</v>
      </c>
      <c r="I2634">
        <v>221</v>
      </c>
      <c r="J2634">
        <v>175</v>
      </c>
      <c r="K2634">
        <v>355</v>
      </c>
      <c r="L2634">
        <v>208</v>
      </c>
      <c r="M2634">
        <v>28</v>
      </c>
      <c r="N2634">
        <v>351</v>
      </c>
      <c r="O2634">
        <v>171</v>
      </c>
      <c r="T2634">
        <v>6</v>
      </c>
      <c r="U2634">
        <v>12</v>
      </c>
      <c r="V2634">
        <v>4</v>
      </c>
      <c r="Y2634">
        <v>2</v>
      </c>
      <c r="Z2634">
        <v>7</v>
      </c>
      <c r="AA2634">
        <v>19</v>
      </c>
      <c r="AD2634">
        <v>11</v>
      </c>
      <c r="AE2634">
        <v>7</v>
      </c>
      <c r="AF2634">
        <v>19</v>
      </c>
      <c r="AI2634">
        <v>0</v>
      </c>
      <c r="AJ2634">
        <v>8</v>
      </c>
      <c r="AK2634">
        <v>20</v>
      </c>
      <c r="AX2634">
        <v>22</v>
      </c>
      <c r="AY2634">
        <v>13</v>
      </c>
      <c r="AZ2634">
        <v>35</v>
      </c>
      <c r="BA2634">
        <v>28</v>
      </c>
      <c r="BB2634">
        <v>21</v>
      </c>
      <c r="BC2634">
        <v>49</v>
      </c>
      <c r="BD2634">
        <v>37</v>
      </c>
      <c r="BE2634">
        <v>39</v>
      </c>
      <c r="BF2634">
        <v>76</v>
      </c>
      <c r="BG2634">
        <v>28</v>
      </c>
      <c r="BH2634">
        <v>42</v>
      </c>
      <c r="BI2634">
        <v>70</v>
      </c>
      <c r="BP2634">
        <v>23</v>
      </c>
      <c r="BR2634">
        <v>64</v>
      </c>
      <c r="BS2634">
        <v>4</v>
      </c>
      <c r="BT2634">
        <v>21</v>
      </c>
      <c r="BU2634">
        <v>3</v>
      </c>
      <c r="BV2634">
        <v>0</v>
      </c>
      <c r="BW2634">
        <v>115</v>
      </c>
      <c r="BX2634">
        <v>138</v>
      </c>
      <c r="BY2634">
        <v>-0.16669999999999999</v>
      </c>
      <c r="BZ2634" s="6">
        <v>-0.17</v>
      </c>
      <c r="CA2634" s="7">
        <v>45242</v>
      </c>
      <c r="CE2634">
        <v>38</v>
      </c>
      <c r="CF2634">
        <v>32</v>
      </c>
      <c r="CG2634">
        <v>45</v>
      </c>
      <c r="CI2634">
        <f t="shared" si="244"/>
        <v>2023</v>
      </c>
      <c r="CJ2634" t="str">
        <f t="shared" si="245"/>
        <v>6033_2023</v>
      </c>
    </row>
    <row r="2635" spans="1:88" x14ac:dyDescent="0.25">
      <c r="A2635" t="s">
        <v>111</v>
      </c>
      <c r="B2635" t="s">
        <v>152</v>
      </c>
      <c r="C2635">
        <v>6035</v>
      </c>
      <c r="D2635">
        <v>-37.694096000000002</v>
      </c>
      <c r="E2635">
        <v>145.05348499999999</v>
      </c>
      <c r="F2635">
        <v>4</v>
      </c>
      <c r="G2635" t="s">
        <v>370</v>
      </c>
      <c r="H2635">
        <v>37</v>
      </c>
      <c r="I2635">
        <v>217</v>
      </c>
      <c r="J2635">
        <v>96</v>
      </c>
      <c r="K2635">
        <v>276</v>
      </c>
      <c r="L2635">
        <v>242</v>
      </c>
      <c r="M2635">
        <v>62</v>
      </c>
      <c r="N2635">
        <v>278</v>
      </c>
      <c r="O2635">
        <v>98</v>
      </c>
      <c r="T2635">
        <v>0</v>
      </c>
      <c r="U2635">
        <v>66</v>
      </c>
      <c r="V2635">
        <v>13</v>
      </c>
      <c r="Y2635">
        <v>0</v>
      </c>
      <c r="Z2635">
        <v>0</v>
      </c>
      <c r="AA2635">
        <v>0</v>
      </c>
      <c r="AD2635">
        <v>60</v>
      </c>
      <c r="AE2635">
        <v>0</v>
      </c>
      <c r="AF2635">
        <v>7</v>
      </c>
      <c r="AI2635">
        <v>9</v>
      </c>
      <c r="AJ2635">
        <v>0</v>
      </c>
      <c r="AK2635">
        <v>6</v>
      </c>
      <c r="AX2635">
        <v>79</v>
      </c>
      <c r="AY2635">
        <v>69</v>
      </c>
      <c r="AZ2635">
        <v>148</v>
      </c>
      <c r="BA2635">
        <v>0</v>
      </c>
      <c r="BB2635">
        <v>0</v>
      </c>
      <c r="BC2635">
        <v>0</v>
      </c>
      <c r="BD2635">
        <v>67</v>
      </c>
      <c r="BE2635">
        <v>72</v>
      </c>
      <c r="BF2635">
        <v>139</v>
      </c>
      <c r="BG2635">
        <v>15</v>
      </c>
      <c r="BH2635">
        <v>20</v>
      </c>
      <c r="BI2635">
        <v>35</v>
      </c>
      <c r="BP2635">
        <v>81</v>
      </c>
      <c r="BR2635">
        <v>38</v>
      </c>
      <c r="BS2635">
        <v>20</v>
      </c>
      <c r="BT2635">
        <v>18</v>
      </c>
      <c r="BU2635">
        <v>4</v>
      </c>
      <c r="BV2635">
        <v>0</v>
      </c>
      <c r="BW2635">
        <v>161</v>
      </c>
      <c r="BX2635">
        <v>320</v>
      </c>
      <c r="BY2635">
        <v>-0.49690000000000001</v>
      </c>
      <c r="BZ2635" s="6">
        <v>-0.5</v>
      </c>
      <c r="CA2635" s="7">
        <v>45242</v>
      </c>
      <c r="CE2635">
        <v>51</v>
      </c>
      <c r="CF2635">
        <v>57</v>
      </c>
      <c r="CG2635">
        <v>53</v>
      </c>
      <c r="CI2635">
        <f t="shared" si="244"/>
        <v>2023</v>
      </c>
      <c r="CJ2635" t="str">
        <f t="shared" si="245"/>
        <v>6035_2023</v>
      </c>
    </row>
    <row r="2636" spans="1:88" x14ac:dyDescent="0.25">
      <c r="A2636" t="s">
        <v>111</v>
      </c>
      <c r="B2636" t="s">
        <v>152</v>
      </c>
      <c r="C2636">
        <v>6038</v>
      </c>
      <c r="D2636">
        <v>-37.650412000000003</v>
      </c>
      <c r="E2636">
        <v>145.058131</v>
      </c>
      <c r="F2636">
        <v>5</v>
      </c>
      <c r="G2636" t="s">
        <v>373</v>
      </c>
      <c r="H2636">
        <v>83</v>
      </c>
      <c r="I2636">
        <v>263</v>
      </c>
      <c r="J2636">
        <v>117</v>
      </c>
      <c r="K2636">
        <v>297</v>
      </c>
      <c r="L2636">
        <v>158</v>
      </c>
      <c r="M2636">
        <v>338</v>
      </c>
      <c r="N2636">
        <v>261</v>
      </c>
      <c r="O2636">
        <v>81</v>
      </c>
      <c r="P2636">
        <v>328</v>
      </c>
      <c r="Q2636">
        <v>148</v>
      </c>
      <c r="T2636">
        <v>1</v>
      </c>
      <c r="U2636">
        <v>0</v>
      </c>
      <c r="V2636">
        <v>60</v>
      </c>
      <c r="W2636">
        <v>4</v>
      </c>
      <c r="Y2636">
        <v>0</v>
      </c>
      <c r="Z2636">
        <v>0</v>
      </c>
      <c r="AA2636">
        <v>5</v>
      </c>
      <c r="AB2636">
        <v>2</v>
      </c>
      <c r="AD2636">
        <v>0</v>
      </c>
      <c r="AE2636">
        <v>0</v>
      </c>
      <c r="AF2636">
        <v>1</v>
      </c>
      <c r="AG2636">
        <v>0</v>
      </c>
      <c r="AI2636">
        <v>35</v>
      </c>
      <c r="AJ2636">
        <v>0</v>
      </c>
      <c r="AK2636">
        <v>0</v>
      </c>
      <c r="AL2636">
        <v>9</v>
      </c>
      <c r="AN2636">
        <v>13</v>
      </c>
      <c r="AO2636">
        <v>6</v>
      </c>
      <c r="AP2636">
        <v>0</v>
      </c>
      <c r="AQ2636">
        <v>11</v>
      </c>
      <c r="AX2636">
        <v>65</v>
      </c>
      <c r="AY2636">
        <v>48</v>
      </c>
      <c r="AZ2636">
        <v>113</v>
      </c>
      <c r="BA2636">
        <v>7</v>
      </c>
      <c r="BB2636">
        <v>7</v>
      </c>
      <c r="BC2636">
        <v>14</v>
      </c>
      <c r="BD2636">
        <v>1</v>
      </c>
      <c r="BE2636">
        <v>0</v>
      </c>
      <c r="BF2636">
        <v>1</v>
      </c>
      <c r="BG2636">
        <v>44</v>
      </c>
      <c r="BH2636">
        <v>77</v>
      </c>
      <c r="BI2636">
        <v>121</v>
      </c>
      <c r="BJ2636">
        <v>30</v>
      </c>
      <c r="BK2636">
        <v>15</v>
      </c>
      <c r="BL2636">
        <v>45</v>
      </c>
      <c r="BP2636">
        <v>59</v>
      </c>
      <c r="BR2636">
        <v>51</v>
      </c>
      <c r="BS2636">
        <v>13</v>
      </c>
      <c r="BT2636">
        <v>21</v>
      </c>
      <c r="BU2636">
        <v>3</v>
      </c>
      <c r="BV2636">
        <v>0</v>
      </c>
      <c r="BW2636">
        <v>147</v>
      </c>
      <c r="BX2636">
        <v>146</v>
      </c>
      <c r="BY2636">
        <v>6.7999999999999996E-3</v>
      </c>
      <c r="BZ2636" s="6">
        <v>0.01</v>
      </c>
      <c r="CA2636" s="7">
        <v>45242</v>
      </c>
      <c r="CE2636">
        <v>60</v>
      </c>
      <c r="CF2636">
        <v>40</v>
      </c>
      <c r="CG2636">
        <v>47</v>
      </c>
      <c r="CI2636">
        <f t="shared" si="244"/>
        <v>2023</v>
      </c>
      <c r="CJ2636" t="str">
        <f t="shared" si="245"/>
        <v>6038_2023</v>
      </c>
    </row>
    <row r="2637" spans="1:88" x14ac:dyDescent="0.25">
      <c r="A2637" t="s">
        <v>111</v>
      </c>
      <c r="B2637" t="s">
        <v>152</v>
      </c>
      <c r="C2637">
        <v>6246</v>
      </c>
      <c r="D2637">
        <v>-37.668301</v>
      </c>
      <c r="E2637">
        <v>145.03884199999999</v>
      </c>
      <c r="F2637">
        <v>4</v>
      </c>
      <c r="G2637" t="s">
        <v>430</v>
      </c>
      <c r="H2637">
        <v>33</v>
      </c>
      <c r="I2637">
        <v>213</v>
      </c>
      <c r="J2637">
        <v>100</v>
      </c>
      <c r="K2637">
        <v>280</v>
      </c>
      <c r="L2637">
        <v>206</v>
      </c>
      <c r="M2637">
        <v>26</v>
      </c>
      <c r="N2637">
        <v>293</v>
      </c>
      <c r="O2637">
        <v>113</v>
      </c>
      <c r="T2637">
        <v>10</v>
      </c>
      <c r="U2637">
        <v>32</v>
      </c>
      <c r="V2637">
        <v>8</v>
      </c>
      <c r="Y2637">
        <v>8</v>
      </c>
      <c r="Z2637">
        <v>6</v>
      </c>
      <c r="AA2637">
        <v>10</v>
      </c>
      <c r="AD2637">
        <v>28</v>
      </c>
      <c r="AE2637">
        <v>2</v>
      </c>
      <c r="AF2637">
        <v>5</v>
      </c>
      <c r="AI2637">
        <v>7</v>
      </c>
      <c r="AJ2637">
        <v>7</v>
      </c>
      <c r="AK2637">
        <v>11</v>
      </c>
      <c r="AX2637">
        <v>50</v>
      </c>
      <c r="AY2637">
        <v>43</v>
      </c>
      <c r="AZ2637">
        <v>93</v>
      </c>
      <c r="BA2637">
        <v>24</v>
      </c>
      <c r="BB2637">
        <v>19</v>
      </c>
      <c r="BC2637">
        <v>43</v>
      </c>
      <c r="BD2637">
        <v>35</v>
      </c>
      <c r="BE2637">
        <v>49</v>
      </c>
      <c r="BF2637">
        <v>84</v>
      </c>
      <c r="BG2637">
        <v>25</v>
      </c>
      <c r="BH2637">
        <v>23</v>
      </c>
      <c r="BI2637">
        <v>48</v>
      </c>
      <c r="BP2637">
        <v>60</v>
      </c>
      <c r="BR2637">
        <v>31</v>
      </c>
      <c r="BS2637">
        <v>10</v>
      </c>
      <c r="BT2637">
        <v>32</v>
      </c>
      <c r="BU2637">
        <v>1</v>
      </c>
      <c r="BV2637">
        <v>0</v>
      </c>
      <c r="BW2637">
        <v>134</v>
      </c>
      <c r="BX2637">
        <v>201</v>
      </c>
      <c r="BY2637">
        <v>-0.33329999999999999</v>
      </c>
      <c r="BZ2637" s="6">
        <v>-0.33</v>
      </c>
      <c r="CA2637" s="7">
        <v>45242</v>
      </c>
      <c r="CE2637">
        <v>34</v>
      </c>
      <c r="CF2637">
        <v>53</v>
      </c>
      <c r="CG2637">
        <v>47</v>
      </c>
      <c r="CI2637">
        <f t="shared" si="244"/>
        <v>2023</v>
      </c>
      <c r="CJ2637" t="str">
        <f t="shared" si="245"/>
        <v>6246_2023</v>
      </c>
    </row>
    <row r="2638" spans="1:88" x14ac:dyDescent="0.25">
      <c r="A2638" t="s">
        <v>111</v>
      </c>
      <c r="B2638" t="s">
        <v>152</v>
      </c>
      <c r="C2638">
        <v>6620</v>
      </c>
      <c r="D2638">
        <v>-37.686326999999999</v>
      </c>
      <c r="E2638">
        <v>145.02882500000001</v>
      </c>
      <c r="F2638">
        <v>4</v>
      </c>
      <c r="G2638" t="s">
        <v>568</v>
      </c>
      <c r="H2638">
        <v>10</v>
      </c>
      <c r="I2638">
        <v>190</v>
      </c>
      <c r="J2638">
        <v>101</v>
      </c>
      <c r="K2638">
        <v>281</v>
      </c>
      <c r="L2638">
        <v>190</v>
      </c>
      <c r="M2638">
        <v>10</v>
      </c>
      <c r="N2638">
        <v>272</v>
      </c>
      <c r="O2638">
        <v>92</v>
      </c>
      <c r="T2638">
        <v>6</v>
      </c>
      <c r="U2638">
        <v>25</v>
      </c>
      <c r="V2638">
        <v>2</v>
      </c>
      <c r="Y2638">
        <v>1</v>
      </c>
      <c r="Z2638">
        <v>2</v>
      </c>
      <c r="AA2638">
        <v>42</v>
      </c>
      <c r="AD2638">
        <v>21</v>
      </c>
      <c r="AE2638">
        <v>5</v>
      </c>
      <c r="AF2638">
        <v>2</v>
      </c>
      <c r="AI2638">
        <v>3</v>
      </c>
      <c r="AJ2638">
        <v>36</v>
      </c>
      <c r="AK2638">
        <v>2</v>
      </c>
      <c r="AX2638">
        <v>33</v>
      </c>
      <c r="AY2638">
        <v>25</v>
      </c>
      <c r="AZ2638">
        <v>58</v>
      </c>
      <c r="BA2638">
        <v>45</v>
      </c>
      <c r="BB2638">
        <v>47</v>
      </c>
      <c r="BC2638">
        <v>92</v>
      </c>
      <c r="BD2638">
        <v>28</v>
      </c>
      <c r="BE2638">
        <v>29</v>
      </c>
      <c r="BF2638">
        <v>57</v>
      </c>
      <c r="BG2638">
        <v>41</v>
      </c>
      <c r="BH2638">
        <v>46</v>
      </c>
      <c r="BI2638">
        <v>87</v>
      </c>
      <c r="BP2638">
        <v>104</v>
      </c>
      <c r="BR2638">
        <v>22</v>
      </c>
      <c r="BS2638">
        <v>18</v>
      </c>
      <c r="BT2638">
        <v>1</v>
      </c>
      <c r="BU2638">
        <v>2</v>
      </c>
      <c r="BV2638">
        <v>0</v>
      </c>
      <c r="BW2638">
        <v>147</v>
      </c>
      <c r="BX2638">
        <v>150</v>
      </c>
      <c r="BY2638">
        <v>-0.02</v>
      </c>
      <c r="BZ2638" s="6">
        <v>-0.02</v>
      </c>
      <c r="CA2638" s="7">
        <v>45242</v>
      </c>
      <c r="CE2638">
        <v>44</v>
      </c>
      <c r="CF2638">
        <v>60</v>
      </c>
      <c r="CG2638">
        <v>43</v>
      </c>
      <c r="CI2638">
        <f t="shared" si="244"/>
        <v>2023</v>
      </c>
      <c r="CJ2638" t="str">
        <f t="shared" si="245"/>
        <v>6620_2023</v>
      </c>
    </row>
    <row r="2639" spans="1:88" x14ac:dyDescent="0.25">
      <c r="A2639" t="s">
        <v>111</v>
      </c>
      <c r="B2639" t="s">
        <v>152</v>
      </c>
      <c r="C2639">
        <v>6621</v>
      </c>
      <c r="D2639">
        <v>-37.514125</v>
      </c>
      <c r="E2639">
        <v>145.11478399999999</v>
      </c>
      <c r="F2639">
        <v>4</v>
      </c>
      <c r="G2639" t="s">
        <v>569</v>
      </c>
      <c r="H2639">
        <v>18</v>
      </c>
      <c r="I2639">
        <v>198</v>
      </c>
      <c r="J2639">
        <v>99</v>
      </c>
      <c r="K2639">
        <v>279</v>
      </c>
      <c r="L2639">
        <v>190</v>
      </c>
      <c r="M2639">
        <v>10</v>
      </c>
      <c r="N2639">
        <v>337</v>
      </c>
      <c r="O2639">
        <v>157</v>
      </c>
      <c r="T2639">
        <v>8</v>
      </c>
      <c r="U2639">
        <v>9</v>
      </c>
      <c r="V2639">
        <v>0</v>
      </c>
      <c r="Y2639">
        <v>3</v>
      </c>
      <c r="Z2639">
        <v>19</v>
      </c>
      <c r="AA2639">
        <v>1</v>
      </c>
      <c r="AD2639">
        <v>15</v>
      </c>
      <c r="AE2639">
        <v>17</v>
      </c>
      <c r="AF2639">
        <v>1</v>
      </c>
      <c r="AI2639">
        <v>0</v>
      </c>
      <c r="AJ2639">
        <v>4</v>
      </c>
      <c r="AK2639">
        <v>2</v>
      </c>
      <c r="AX2639">
        <v>17</v>
      </c>
      <c r="AY2639">
        <v>18</v>
      </c>
      <c r="AZ2639">
        <v>35</v>
      </c>
      <c r="BA2639">
        <v>23</v>
      </c>
      <c r="BB2639">
        <v>29</v>
      </c>
      <c r="BC2639">
        <v>52</v>
      </c>
      <c r="BD2639">
        <v>33</v>
      </c>
      <c r="BE2639">
        <v>30</v>
      </c>
      <c r="BF2639">
        <v>63</v>
      </c>
      <c r="BG2639">
        <v>6</v>
      </c>
      <c r="BH2639">
        <v>2</v>
      </c>
      <c r="BI2639">
        <v>8</v>
      </c>
      <c r="BP2639">
        <v>32</v>
      </c>
      <c r="BR2639">
        <v>27</v>
      </c>
      <c r="BS2639">
        <v>0</v>
      </c>
      <c r="BT2639">
        <v>14</v>
      </c>
      <c r="BU2639">
        <v>6</v>
      </c>
      <c r="BV2639">
        <v>0</v>
      </c>
      <c r="BW2639">
        <v>79</v>
      </c>
      <c r="BX2639">
        <v>77</v>
      </c>
      <c r="BY2639">
        <v>2.5999999999999999E-2</v>
      </c>
      <c r="BZ2639" s="6">
        <v>0.03</v>
      </c>
      <c r="CA2639" s="7">
        <v>45242</v>
      </c>
      <c r="CE2639">
        <v>26</v>
      </c>
      <c r="CF2639">
        <v>28</v>
      </c>
      <c r="CG2639">
        <v>25</v>
      </c>
      <c r="CI2639">
        <f t="shared" si="244"/>
        <v>2023</v>
      </c>
      <c r="CJ2639" t="str">
        <f t="shared" si="245"/>
        <v>6621_2023</v>
      </c>
    </row>
    <row r="2640" spans="1:88" x14ac:dyDescent="0.25">
      <c r="A2640" t="s">
        <v>111</v>
      </c>
      <c r="B2640" t="s">
        <v>152</v>
      </c>
      <c r="C2640">
        <v>6622</v>
      </c>
      <c r="D2640">
        <v>-37.676220000000001</v>
      </c>
      <c r="E2640">
        <v>145.04156499999999</v>
      </c>
      <c r="F2640">
        <v>3</v>
      </c>
      <c r="G2640" t="s">
        <v>570</v>
      </c>
      <c r="H2640">
        <v>109</v>
      </c>
      <c r="I2640">
        <v>289</v>
      </c>
      <c r="J2640">
        <v>167</v>
      </c>
      <c r="K2640">
        <v>347</v>
      </c>
      <c r="L2640">
        <v>288</v>
      </c>
      <c r="M2640">
        <v>108</v>
      </c>
      <c r="T2640">
        <v>38</v>
      </c>
      <c r="U2640">
        <v>16</v>
      </c>
      <c r="Y2640">
        <v>28</v>
      </c>
      <c r="Z2640">
        <v>9</v>
      </c>
      <c r="AD2640">
        <v>10</v>
      </c>
      <c r="AE2640">
        <v>4</v>
      </c>
      <c r="AX2640">
        <v>54</v>
      </c>
      <c r="AY2640">
        <v>38</v>
      </c>
      <c r="AZ2640">
        <v>92</v>
      </c>
      <c r="BA2640">
        <v>37</v>
      </c>
      <c r="BB2640">
        <v>42</v>
      </c>
      <c r="BC2640">
        <v>79</v>
      </c>
      <c r="BD2640">
        <v>14</v>
      </c>
      <c r="BE2640">
        <v>25</v>
      </c>
      <c r="BF2640">
        <v>39</v>
      </c>
      <c r="BP2640">
        <v>61</v>
      </c>
      <c r="BR2640">
        <v>24</v>
      </c>
      <c r="BS2640">
        <v>11</v>
      </c>
      <c r="BT2640">
        <v>8</v>
      </c>
      <c r="BU2640">
        <v>1</v>
      </c>
      <c r="BV2640">
        <v>0</v>
      </c>
      <c r="BW2640">
        <v>105</v>
      </c>
      <c r="BX2640">
        <v>91</v>
      </c>
      <c r="BY2640">
        <v>0.15379999999999999</v>
      </c>
      <c r="BZ2640" s="6">
        <v>0.15</v>
      </c>
      <c r="CA2640" s="7">
        <v>45242</v>
      </c>
      <c r="CE2640">
        <v>24</v>
      </c>
      <c r="CF2640">
        <v>39</v>
      </c>
      <c r="CG2640">
        <v>42</v>
      </c>
      <c r="CI2640">
        <f t="shared" si="244"/>
        <v>2023</v>
      </c>
      <c r="CJ2640" t="str">
        <f t="shared" si="245"/>
        <v>6622_2023</v>
      </c>
    </row>
    <row r="2641" spans="1:88" x14ac:dyDescent="0.25">
      <c r="A2641" t="s">
        <v>111</v>
      </c>
      <c r="B2641" t="s">
        <v>152</v>
      </c>
      <c r="C2641">
        <v>6623</v>
      </c>
      <c r="D2641">
        <v>-37.632469</v>
      </c>
      <c r="E2641">
        <v>145.09620200000001</v>
      </c>
      <c r="F2641">
        <v>3</v>
      </c>
      <c r="G2641" t="s">
        <v>571</v>
      </c>
      <c r="H2641">
        <v>7</v>
      </c>
      <c r="I2641">
        <v>187</v>
      </c>
      <c r="J2641">
        <v>187</v>
      </c>
      <c r="K2641">
        <v>7</v>
      </c>
      <c r="L2641">
        <v>276</v>
      </c>
      <c r="M2641">
        <v>96</v>
      </c>
      <c r="T2641">
        <v>13</v>
      </c>
      <c r="U2641">
        <v>11</v>
      </c>
      <c r="Y2641">
        <v>6</v>
      </c>
      <c r="Z2641">
        <v>2</v>
      </c>
      <c r="AD2641">
        <v>8</v>
      </c>
      <c r="AE2641">
        <v>1</v>
      </c>
      <c r="AX2641">
        <v>24</v>
      </c>
      <c r="AY2641">
        <v>14</v>
      </c>
      <c r="AZ2641">
        <v>38</v>
      </c>
      <c r="BA2641">
        <v>8</v>
      </c>
      <c r="BB2641">
        <v>14</v>
      </c>
      <c r="BC2641">
        <v>22</v>
      </c>
      <c r="BD2641">
        <v>9</v>
      </c>
      <c r="BE2641">
        <v>13</v>
      </c>
      <c r="BF2641">
        <v>22</v>
      </c>
      <c r="BP2641">
        <v>24</v>
      </c>
      <c r="BR2641">
        <v>9</v>
      </c>
      <c r="BS2641">
        <v>3</v>
      </c>
      <c r="BT2641">
        <v>4</v>
      </c>
      <c r="BU2641">
        <v>1</v>
      </c>
      <c r="BV2641">
        <v>0</v>
      </c>
      <c r="BW2641">
        <v>41</v>
      </c>
      <c r="CA2641" s="7">
        <v>45242</v>
      </c>
      <c r="CE2641">
        <v>21</v>
      </c>
      <c r="CF2641">
        <v>13</v>
      </c>
      <c r="CG2641">
        <v>7</v>
      </c>
      <c r="CI2641">
        <f t="shared" si="244"/>
        <v>2023</v>
      </c>
      <c r="CJ2641" t="str">
        <f t="shared" si="245"/>
        <v>6623_2023</v>
      </c>
    </row>
    <row r="2642" spans="1:88" x14ac:dyDescent="0.25">
      <c r="A2642" t="s">
        <v>111</v>
      </c>
      <c r="B2642" t="s">
        <v>152</v>
      </c>
      <c r="C2642">
        <v>6624</v>
      </c>
      <c r="D2642">
        <v>-37.586995999999999</v>
      </c>
      <c r="E2642">
        <v>145.103195</v>
      </c>
      <c r="F2642">
        <v>4</v>
      </c>
      <c r="G2642" t="s">
        <v>572</v>
      </c>
      <c r="H2642">
        <v>10</v>
      </c>
      <c r="I2642">
        <v>190</v>
      </c>
      <c r="J2642">
        <v>97</v>
      </c>
      <c r="K2642">
        <v>277</v>
      </c>
      <c r="L2642">
        <v>190</v>
      </c>
      <c r="M2642">
        <v>10</v>
      </c>
      <c r="N2642">
        <v>279</v>
      </c>
      <c r="O2642">
        <v>99</v>
      </c>
      <c r="T2642">
        <v>8</v>
      </c>
      <c r="U2642">
        <v>6</v>
      </c>
      <c r="V2642">
        <v>2</v>
      </c>
      <c r="Y2642">
        <v>3</v>
      </c>
      <c r="Z2642">
        <v>10</v>
      </c>
      <c r="AA2642">
        <v>10</v>
      </c>
      <c r="AD2642">
        <v>7</v>
      </c>
      <c r="AE2642">
        <v>0</v>
      </c>
      <c r="AF2642">
        <v>18</v>
      </c>
      <c r="AI2642">
        <v>2</v>
      </c>
      <c r="AJ2642">
        <v>16</v>
      </c>
      <c r="AK2642">
        <v>10</v>
      </c>
      <c r="AX2642">
        <v>16</v>
      </c>
      <c r="AY2642">
        <v>12</v>
      </c>
      <c r="AZ2642">
        <v>28</v>
      </c>
      <c r="BA2642">
        <v>23</v>
      </c>
      <c r="BB2642">
        <v>24</v>
      </c>
      <c r="BC2642">
        <v>47</v>
      </c>
      <c r="BD2642">
        <v>25</v>
      </c>
      <c r="BE2642">
        <v>26</v>
      </c>
      <c r="BF2642">
        <v>51</v>
      </c>
      <c r="BG2642">
        <v>28</v>
      </c>
      <c r="BH2642">
        <v>30</v>
      </c>
      <c r="BI2642">
        <v>58</v>
      </c>
      <c r="BP2642">
        <v>50</v>
      </c>
      <c r="BR2642">
        <v>18</v>
      </c>
      <c r="BS2642">
        <v>11</v>
      </c>
      <c r="BT2642">
        <v>11</v>
      </c>
      <c r="BU2642">
        <v>2</v>
      </c>
      <c r="BV2642">
        <v>0</v>
      </c>
      <c r="BW2642">
        <v>92</v>
      </c>
      <c r="BX2642">
        <v>69</v>
      </c>
      <c r="BY2642">
        <v>0.33329999999999999</v>
      </c>
      <c r="BZ2642" s="6">
        <v>0.33</v>
      </c>
      <c r="CA2642" s="7">
        <v>45242</v>
      </c>
      <c r="CE2642">
        <v>34</v>
      </c>
      <c r="CF2642">
        <v>31</v>
      </c>
      <c r="CG2642">
        <v>27</v>
      </c>
      <c r="CI2642">
        <f t="shared" si="244"/>
        <v>2023</v>
      </c>
      <c r="CJ2642" t="str">
        <f t="shared" si="245"/>
        <v>6624_2023</v>
      </c>
    </row>
    <row r="2643" spans="1:88" x14ac:dyDescent="0.25">
      <c r="A2643" t="s">
        <v>111</v>
      </c>
      <c r="B2643" t="s">
        <v>152</v>
      </c>
      <c r="C2643">
        <v>5027</v>
      </c>
      <c r="D2643">
        <v>-37.678809000000001</v>
      </c>
      <c r="E2643">
        <v>145.069436</v>
      </c>
      <c r="F2643">
        <v>4</v>
      </c>
      <c r="G2643" t="s">
        <v>156</v>
      </c>
      <c r="H2643">
        <v>8</v>
      </c>
      <c r="I2643">
        <v>188</v>
      </c>
      <c r="J2643">
        <v>101</v>
      </c>
      <c r="K2643">
        <v>281</v>
      </c>
      <c r="L2643">
        <v>189</v>
      </c>
      <c r="M2643">
        <v>9</v>
      </c>
      <c r="N2643">
        <v>275</v>
      </c>
      <c r="O2643">
        <v>95</v>
      </c>
      <c r="T2643">
        <v>7</v>
      </c>
      <c r="U2643">
        <v>38</v>
      </c>
      <c r="V2643">
        <v>5</v>
      </c>
      <c r="Y2643">
        <v>9</v>
      </c>
      <c r="Z2643">
        <v>12</v>
      </c>
      <c r="AA2643">
        <v>8</v>
      </c>
      <c r="AD2643">
        <v>21</v>
      </c>
      <c r="AE2643">
        <v>7</v>
      </c>
      <c r="AF2643">
        <v>10</v>
      </c>
      <c r="AI2643">
        <v>7</v>
      </c>
      <c r="AJ2643">
        <v>9</v>
      </c>
      <c r="AK2643">
        <v>28</v>
      </c>
      <c r="AX2643">
        <v>50</v>
      </c>
      <c r="AY2643">
        <v>37</v>
      </c>
      <c r="AZ2643">
        <v>87</v>
      </c>
      <c r="BA2643">
        <v>29</v>
      </c>
      <c r="BB2643">
        <v>23</v>
      </c>
      <c r="BC2643">
        <v>52</v>
      </c>
      <c r="BD2643">
        <v>38</v>
      </c>
      <c r="BE2643">
        <v>78</v>
      </c>
      <c r="BF2643">
        <v>116</v>
      </c>
      <c r="BG2643">
        <v>44</v>
      </c>
      <c r="BH2643">
        <v>23</v>
      </c>
      <c r="BI2643">
        <v>67</v>
      </c>
      <c r="BP2643">
        <v>39</v>
      </c>
      <c r="BR2643">
        <v>108</v>
      </c>
      <c r="BS2643">
        <v>3</v>
      </c>
      <c r="BT2643">
        <v>8</v>
      </c>
      <c r="BU2643">
        <v>3</v>
      </c>
      <c r="BV2643">
        <v>0</v>
      </c>
      <c r="BW2643">
        <v>161</v>
      </c>
      <c r="BX2643">
        <v>105</v>
      </c>
      <c r="BY2643">
        <v>0.5333</v>
      </c>
      <c r="BZ2643" s="6">
        <v>0.53</v>
      </c>
      <c r="CA2643" s="7">
        <v>45249</v>
      </c>
      <c r="CE2643">
        <v>50</v>
      </c>
      <c r="CF2643">
        <v>51</v>
      </c>
      <c r="CG2643">
        <v>60</v>
      </c>
      <c r="CI2643">
        <f t="shared" si="244"/>
        <v>2023</v>
      </c>
      <c r="CJ2643" t="str">
        <f t="shared" si="245"/>
        <v>5027_2023</v>
      </c>
    </row>
    <row r="2644" spans="1:88" x14ac:dyDescent="0.25">
      <c r="A2644" t="s">
        <v>111</v>
      </c>
      <c r="B2644" t="s">
        <v>152</v>
      </c>
      <c r="C2644">
        <v>6619</v>
      </c>
      <c r="D2644">
        <v>-37.662365000000001</v>
      </c>
      <c r="E2644">
        <v>145.051524</v>
      </c>
      <c r="F2644">
        <v>3</v>
      </c>
      <c r="G2644" t="s">
        <v>567</v>
      </c>
      <c r="H2644">
        <v>87</v>
      </c>
      <c r="I2644">
        <v>267</v>
      </c>
      <c r="J2644">
        <v>228</v>
      </c>
      <c r="K2644">
        <v>48</v>
      </c>
      <c r="L2644">
        <v>267</v>
      </c>
      <c r="M2644">
        <v>87</v>
      </c>
      <c r="T2644">
        <v>7</v>
      </c>
      <c r="U2644">
        <v>19</v>
      </c>
      <c r="Y2644">
        <v>7</v>
      </c>
      <c r="Z2644">
        <v>4</v>
      </c>
      <c r="AD2644">
        <v>16</v>
      </c>
      <c r="AE2644">
        <v>7</v>
      </c>
      <c r="AX2644">
        <v>26</v>
      </c>
      <c r="AY2644">
        <v>23</v>
      </c>
      <c r="AZ2644">
        <v>49</v>
      </c>
      <c r="BA2644">
        <v>11</v>
      </c>
      <c r="BB2644">
        <v>14</v>
      </c>
      <c r="BC2644">
        <v>25</v>
      </c>
      <c r="BD2644">
        <v>23</v>
      </c>
      <c r="BE2644">
        <v>23</v>
      </c>
      <c r="BF2644">
        <v>46</v>
      </c>
      <c r="BP2644">
        <v>10</v>
      </c>
      <c r="BR2644">
        <v>36</v>
      </c>
      <c r="BS2644">
        <v>9</v>
      </c>
      <c r="BT2644">
        <v>5</v>
      </c>
      <c r="BU2644">
        <v>0</v>
      </c>
      <c r="BV2644">
        <v>0</v>
      </c>
      <c r="BW2644">
        <v>60</v>
      </c>
      <c r="CA2644" s="7">
        <v>45249</v>
      </c>
      <c r="CE2644">
        <v>28</v>
      </c>
      <c r="CF2644">
        <v>13</v>
      </c>
      <c r="CG2644">
        <v>19</v>
      </c>
      <c r="CI2644">
        <f t="shared" si="244"/>
        <v>2023</v>
      </c>
      <c r="CJ2644" t="str">
        <f t="shared" si="245"/>
        <v>6619_2023</v>
      </c>
    </row>
    <row r="2645" spans="1:88" x14ac:dyDescent="0.25">
      <c r="A2645" t="s">
        <v>111</v>
      </c>
      <c r="B2645" t="s">
        <v>152</v>
      </c>
      <c r="C2645">
        <v>5026</v>
      </c>
      <c r="D2645">
        <v>-37.686172999999997</v>
      </c>
      <c r="E2645">
        <v>145.06774899999999</v>
      </c>
      <c r="F2645">
        <v>4</v>
      </c>
      <c r="G2645" t="s">
        <v>155</v>
      </c>
      <c r="H2645">
        <v>13</v>
      </c>
      <c r="I2645">
        <v>193</v>
      </c>
      <c r="J2645">
        <v>96</v>
      </c>
      <c r="K2645">
        <v>276</v>
      </c>
      <c r="L2645">
        <v>215</v>
      </c>
      <c r="M2645">
        <v>35</v>
      </c>
      <c r="N2645">
        <v>280</v>
      </c>
      <c r="O2645">
        <v>100</v>
      </c>
      <c r="T2645">
        <v>6</v>
      </c>
      <c r="U2645">
        <v>16</v>
      </c>
      <c r="V2645">
        <v>10</v>
      </c>
      <c r="Y2645">
        <v>5</v>
      </c>
      <c r="Z2645">
        <v>5</v>
      </c>
      <c r="AA2645">
        <v>26</v>
      </c>
      <c r="AD2645">
        <v>16</v>
      </c>
      <c r="AE2645">
        <v>9</v>
      </c>
      <c r="AF2645">
        <v>4</v>
      </c>
      <c r="AI2645">
        <v>10</v>
      </c>
      <c r="AJ2645">
        <v>25</v>
      </c>
      <c r="AK2645">
        <v>2</v>
      </c>
      <c r="AX2645">
        <v>32</v>
      </c>
      <c r="AY2645">
        <v>31</v>
      </c>
      <c r="AZ2645">
        <v>63</v>
      </c>
      <c r="BA2645">
        <v>36</v>
      </c>
      <c r="BB2645">
        <v>40</v>
      </c>
      <c r="BC2645">
        <v>76</v>
      </c>
      <c r="BD2645">
        <v>29</v>
      </c>
      <c r="BE2645">
        <v>23</v>
      </c>
      <c r="BF2645">
        <v>52</v>
      </c>
      <c r="BG2645">
        <v>37</v>
      </c>
      <c r="BH2645">
        <v>40</v>
      </c>
      <c r="BI2645">
        <v>77</v>
      </c>
      <c r="BP2645">
        <v>66</v>
      </c>
      <c r="BR2645">
        <v>43</v>
      </c>
      <c r="BS2645">
        <v>16</v>
      </c>
      <c r="BT2645">
        <v>8</v>
      </c>
      <c r="BU2645">
        <v>1</v>
      </c>
      <c r="BV2645">
        <v>0</v>
      </c>
      <c r="BW2645">
        <v>134</v>
      </c>
      <c r="BX2645">
        <v>138</v>
      </c>
      <c r="BY2645">
        <v>-2.9000000000000001E-2</v>
      </c>
      <c r="BZ2645" s="6">
        <v>-0.03</v>
      </c>
      <c r="CA2645" s="7">
        <v>45263</v>
      </c>
      <c r="CE2645">
        <v>53</v>
      </c>
      <c r="CF2645">
        <v>33</v>
      </c>
      <c r="CG2645">
        <v>48</v>
      </c>
      <c r="CI2645">
        <f t="shared" si="244"/>
        <v>2023</v>
      </c>
      <c r="CJ2645" t="str">
        <f t="shared" si="245"/>
        <v>5026_2023</v>
      </c>
    </row>
    <row r="2646" spans="1:88" x14ac:dyDescent="0.25">
      <c r="A2646" t="s">
        <v>79</v>
      </c>
      <c r="B2646" t="s">
        <v>877</v>
      </c>
      <c r="C2646">
        <v>7532</v>
      </c>
      <c r="D2646">
        <v>-33.790070999999998</v>
      </c>
      <c r="E2646">
        <v>151.18747999999999</v>
      </c>
      <c r="F2646">
        <v>2</v>
      </c>
      <c r="G2646" t="s">
        <v>878</v>
      </c>
      <c r="H2646">
        <v>41</v>
      </c>
      <c r="I2646">
        <v>221</v>
      </c>
      <c r="J2646">
        <v>198</v>
      </c>
      <c r="K2646">
        <v>18</v>
      </c>
      <c r="T2646">
        <v>116</v>
      </c>
      <c r="Y2646">
        <v>159</v>
      </c>
      <c r="AX2646">
        <v>116</v>
      </c>
      <c r="AY2646">
        <v>159</v>
      </c>
      <c r="AZ2646">
        <v>275</v>
      </c>
      <c r="BA2646">
        <v>159</v>
      </c>
      <c r="BB2646">
        <v>116</v>
      </c>
      <c r="BC2646">
        <v>275</v>
      </c>
      <c r="BP2646">
        <v>11</v>
      </c>
      <c r="BR2646">
        <v>201</v>
      </c>
      <c r="BS2646">
        <v>16</v>
      </c>
      <c r="BT2646">
        <v>32</v>
      </c>
      <c r="BU2646">
        <v>0</v>
      </c>
      <c r="BV2646">
        <v>15</v>
      </c>
      <c r="BW2646">
        <v>275</v>
      </c>
      <c r="BX2646">
        <v>275</v>
      </c>
      <c r="BY2646">
        <v>0</v>
      </c>
      <c r="BZ2646" s="6">
        <v>0</v>
      </c>
      <c r="CA2646" s="7">
        <v>45242</v>
      </c>
      <c r="CE2646">
        <v>92</v>
      </c>
      <c r="CF2646">
        <v>87</v>
      </c>
      <c r="CG2646">
        <v>96</v>
      </c>
      <c r="CI2646">
        <f t="shared" si="244"/>
        <v>2023</v>
      </c>
      <c r="CJ2646" t="str">
        <f t="shared" si="245"/>
        <v>7532_2023</v>
      </c>
    </row>
    <row r="2647" spans="1:88" x14ac:dyDescent="0.25">
      <c r="A2647" t="s">
        <v>79</v>
      </c>
      <c r="B2647" t="s">
        <v>877</v>
      </c>
      <c r="C2647">
        <v>7533</v>
      </c>
      <c r="D2647">
        <v>-33.800142999999998</v>
      </c>
      <c r="E2647">
        <v>151.18080599999999</v>
      </c>
      <c r="F2647">
        <v>3</v>
      </c>
      <c r="G2647" t="s">
        <v>879</v>
      </c>
      <c r="H2647">
        <v>96</v>
      </c>
      <c r="I2647">
        <v>276</v>
      </c>
      <c r="J2647">
        <v>180</v>
      </c>
      <c r="K2647">
        <v>360</v>
      </c>
      <c r="L2647">
        <v>357</v>
      </c>
      <c r="M2647">
        <v>177</v>
      </c>
      <c r="T2647">
        <v>29</v>
      </c>
      <c r="U2647">
        <v>15</v>
      </c>
      <c r="Y2647">
        <v>42</v>
      </c>
      <c r="Z2647">
        <v>63</v>
      </c>
      <c r="AD2647">
        <v>17</v>
      </c>
      <c r="AE2647">
        <v>72</v>
      </c>
      <c r="AX2647">
        <v>44</v>
      </c>
      <c r="AY2647">
        <v>59</v>
      </c>
      <c r="AZ2647">
        <v>103</v>
      </c>
      <c r="BA2647">
        <v>105</v>
      </c>
      <c r="BB2647">
        <v>101</v>
      </c>
      <c r="BC2647">
        <v>206</v>
      </c>
      <c r="BD2647">
        <v>89</v>
      </c>
      <c r="BE2647">
        <v>78</v>
      </c>
      <c r="BF2647">
        <v>167</v>
      </c>
      <c r="BP2647">
        <v>32</v>
      </c>
      <c r="BR2647">
        <v>180</v>
      </c>
      <c r="BS2647">
        <v>13</v>
      </c>
      <c r="BT2647">
        <v>11</v>
      </c>
      <c r="BU2647">
        <v>2</v>
      </c>
      <c r="BV2647">
        <v>0</v>
      </c>
      <c r="BW2647">
        <v>238</v>
      </c>
      <c r="BX2647">
        <v>262</v>
      </c>
      <c r="BY2647">
        <v>-9.1600000000000001E-2</v>
      </c>
      <c r="BZ2647" s="6">
        <v>-0.09</v>
      </c>
      <c r="CA2647" s="7">
        <v>45242</v>
      </c>
      <c r="CE2647">
        <v>79</v>
      </c>
      <c r="CF2647">
        <v>86</v>
      </c>
      <c r="CG2647">
        <v>73</v>
      </c>
      <c r="CI2647">
        <f t="shared" si="244"/>
        <v>2023</v>
      </c>
      <c r="CJ2647" t="str">
        <f t="shared" si="245"/>
        <v>7533_2023</v>
      </c>
    </row>
    <row r="2648" spans="1:88" x14ac:dyDescent="0.25">
      <c r="A2648" t="s">
        <v>79</v>
      </c>
      <c r="B2648" t="s">
        <v>877</v>
      </c>
      <c r="C2648">
        <v>7534</v>
      </c>
      <c r="D2648">
        <v>-33.813026999999998</v>
      </c>
      <c r="E2648">
        <v>151.18097</v>
      </c>
      <c r="F2648">
        <v>3</v>
      </c>
      <c r="G2648" t="s">
        <v>880</v>
      </c>
      <c r="H2648">
        <v>105</v>
      </c>
      <c r="I2648">
        <v>285</v>
      </c>
      <c r="J2648">
        <v>154</v>
      </c>
      <c r="K2648">
        <v>334</v>
      </c>
      <c r="L2648">
        <v>282</v>
      </c>
      <c r="M2648">
        <v>102</v>
      </c>
      <c r="T2648">
        <v>1</v>
      </c>
      <c r="U2648">
        <v>101</v>
      </c>
      <c r="Y2648">
        <v>0</v>
      </c>
      <c r="Z2648">
        <v>1</v>
      </c>
      <c r="AD2648">
        <v>80</v>
      </c>
      <c r="AE2648">
        <v>2</v>
      </c>
      <c r="AX2648">
        <v>102</v>
      </c>
      <c r="AY2648">
        <v>80</v>
      </c>
      <c r="AZ2648">
        <v>182</v>
      </c>
      <c r="BA2648">
        <v>1</v>
      </c>
      <c r="BB2648">
        <v>3</v>
      </c>
      <c r="BC2648">
        <v>4</v>
      </c>
      <c r="BD2648">
        <v>82</v>
      </c>
      <c r="BE2648">
        <v>102</v>
      </c>
      <c r="BF2648">
        <v>184</v>
      </c>
      <c r="BP2648">
        <v>144</v>
      </c>
      <c r="BR2648">
        <v>20</v>
      </c>
      <c r="BS2648">
        <v>17</v>
      </c>
      <c r="BT2648">
        <v>1</v>
      </c>
      <c r="BU2648">
        <v>3</v>
      </c>
      <c r="BV2648">
        <v>0</v>
      </c>
      <c r="BW2648">
        <v>185</v>
      </c>
      <c r="BX2648">
        <v>140</v>
      </c>
      <c r="BY2648">
        <v>0.32140000000000002</v>
      </c>
      <c r="BZ2648" s="6">
        <v>0.32</v>
      </c>
      <c r="CA2648" s="7">
        <v>45242</v>
      </c>
      <c r="CE2648">
        <v>67</v>
      </c>
      <c r="CF2648">
        <v>62</v>
      </c>
      <c r="CG2648">
        <v>56</v>
      </c>
      <c r="CI2648">
        <f t="shared" si="244"/>
        <v>2023</v>
      </c>
      <c r="CJ2648" t="str">
        <f t="shared" si="245"/>
        <v>7534_2023</v>
      </c>
    </row>
    <row r="2649" spans="1:88" x14ac:dyDescent="0.25">
      <c r="A2649" t="s">
        <v>79</v>
      </c>
      <c r="B2649" t="s">
        <v>877</v>
      </c>
      <c r="C2649">
        <v>7535</v>
      </c>
      <c r="D2649">
        <v>-33.810640999999997</v>
      </c>
      <c r="E2649">
        <v>151.192409</v>
      </c>
      <c r="F2649">
        <v>3</v>
      </c>
      <c r="G2649" t="s">
        <v>881</v>
      </c>
      <c r="H2649">
        <v>8</v>
      </c>
      <c r="I2649">
        <v>188</v>
      </c>
      <c r="J2649">
        <v>140</v>
      </c>
      <c r="K2649">
        <v>320</v>
      </c>
      <c r="L2649">
        <v>260</v>
      </c>
      <c r="M2649">
        <v>80</v>
      </c>
      <c r="T2649">
        <v>79</v>
      </c>
      <c r="U2649">
        <v>46</v>
      </c>
      <c r="Y2649">
        <v>58</v>
      </c>
      <c r="Z2649">
        <v>37</v>
      </c>
      <c r="AD2649">
        <v>59</v>
      </c>
      <c r="AE2649">
        <v>49</v>
      </c>
      <c r="AX2649">
        <v>125</v>
      </c>
      <c r="AY2649">
        <v>117</v>
      </c>
      <c r="AZ2649">
        <v>242</v>
      </c>
      <c r="BA2649">
        <v>95</v>
      </c>
      <c r="BB2649">
        <v>128</v>
      </c>
      <c r="BC2649">
        <v>223</v>
      </c>
      <c r="BD2649">
        <v>108</v>
      </c>
      <c r="BE2649">
        <v>83</v>
      </c>
      <c r="BF2649">
        <v>191</v>
      </c>
      <c r="BP2649">
        <v>76</v>
      </c>
      <c r="BR2649">
        <v>154</v>
      </c>
      <c r="BS2649">
        <v>62</v>
      </c>
      <c r="BT2649">
        <v>35</v>
      </c>
      <c r="BU2649">
        <v>1</v>
      </c>
      <c r="BV2649">
        <v>0</v>
      </c>
      <c r="BW2649">
        <v>328</v>
      </c>
      <c r="BX2649">
        <v>351</v>
      </c>
      <c r="BY2649">
        <v>-6.5500000000000003E-2</v>
      </c>
      <c r="BZ2649" s="6">
        <v>-7.0000000000000007E-2</v>
      </c>
      <c r="CA2649" s="7">
        <v>45242</v>
      </c>
      <c r="CE2649">
        <v>107</v>
      </c>
      <c r="CF2649">
        <v>123</v>
      </c>
      <c r="CG2649">
        <v>98</v>
      </c>
      <c r="CI2649">
        <f t="shared" si="244"/>
        <v>2023</v>
      </c>
      <c r="CJ2649" t="str">
        <f t="shared" si="245"/>
        <v>7535_2023</v>
      </c>
    </row>
    <row r="2650" spans="1:88" x14ac:dyDescent="0.25">
      <c r="A2650" t="s">
        <v>79</v>
      </c>
      <c r="B2650" t="s">
        <v>877</v>
      </c>
      <c r="C2650">
        <v>7581</v>
      </c>
      <c r="D2650">
        <v>-33.794553000000001</v>
      </c>
      <c r="E2650">
        <v>151.199983</v>
      </c>
      <c r="F2650">
        <v>4</v>
      </c>
      <c r="G2650" t="s">
        <v>885</v>
      </c>
      <c r="H2650">
        <v>70</v>
      </c>
      <c r="I2650">
        <v>250</v>
      </c>
      <c r="J2650">
        <v>160</v>
      </c>
      <c r="K2650">
        <v>340</v>
      </c>
      <c r="L2650">
        <v>250</v>
      </c>
      <c r="M2650">
        <v>70</v>
      </c>
      <c r="N2650">
        <v>340</v>
      </c>
      <c r="O2650">
        <v>160</v>
      </c>
      <c r="T2650">
        <v>24</v>
      </c>
      <c r="U2650">
        <v>3</v>
      </c>
      <c r="V2650">
        <v>2</v>
      </c>
      <c r="Y2650">
        <v>30</v>
      </c>
      <c r="Z2650">
        <v>21</v>
      </c>
      <c r="AA2650">
        <v>120</v>
      </c>
      <c r="AD2650">
        <v>1</v>
      </c>
      <c r="AE2650">
        <v>25</v>
      </c>
      <c r="AF2650">
        <v>3</v>
      </c>
      <c r="AI2650">
        <v>8</v>
      </c>
      <c r="AJ2650">
        <v>133</v>
      </c>
      <c r="AK2650">
        <v>3</v>
      </c>
      <c r="AX2650">
        <v>29</v>
      </c>
      <c r="AY2650">
        <v>39</v>
      </c>
      <c r="AZ2650">
        <v>68</v>
      </c>
      <c r="BA2650">
        <v>171</v>
      </c>
      <c r="BB2650">
        <v>182</v>
      </c>
      <c r="BC2650">
        <v>353</v>
      </c>
      <c r="BD2650">
        <v>29</v>
      </c>
      <c r="BE2650">
        <v>27</v>
      </c>
      <c r="BF2650">
        <v>56</v>
      </c>
      <c r="BG2650">
        <v>144</v>
      </c>
      <c r="BH2650">
        <v>125</v>
      </c>
      <c r="BI2650">
        <v>269</v>
      </c>
      <c r="BP2650">
        <v>53</v>
      </c>
      <c r="BR2650">
        <v>242</v>
      </c>
      <c r="BS2650">
        <v>15</v>
      </c>
      <c r="BT2650">
        <v>55</v>
      </c>
      <c r="BU2650">
        <v>0</v>
      </c>
      <c r="BV2650">
        <v>8</v>
      </c>
      <c r="BW2650">
        <v>373</v>
      </c>
      <c r="BX2650">
        <v>339</v>
      </c>
      <c r="BY2650">
        <v>0.1003</v>
      </c>
      <c r="BZ2650" s="6">
        <v>0.1</v>
      </c>
      <c r="CA2650" s="7">
        <v>45242</v>
      </c>
      <c r="CE2650">
        <v>170</v>
      </c>
      <c r="CF2650">
        <v>111</v>
      </c>
      <c r="CG2650">
        <v>92</v>
      </c>
      <c r="CI2650">
        <f t="shared" si="244"/>
        <v>2023</v>
      </c>
      <c r="CJ2650" t="str">
        <f t="shared" si="245"/>
        <v>7581_2023</v>
      </c>
    </row>
    <row r="2651" spans="1:88" x14ac:dyDescent="0.25">
      <c r="A2651" t="s">
        <v>79</v>
      </c>
      <c r="B2651" t="s">
        <v>877</v>
      </c>
      <c r="C2651">
        <v>7704</v>
      </c>
      <c r="D2651">
        <v>-33.822491999999997</v>
      </c>
      <c r="E2651">
        <v>151.1867</v>
      </c>
      <c r="F2651">
        <v>3</v>
      </c>
      <c r="G2651" t="s">
        <v>908</v>
      </c>
      <c r="H2651">
        <v>60</v>
      </c>
      <c r="I2651">
        <v>240</v>
      </c>
      <c r="J2651">
        <v>150</v>
      </c>
      <c r="K2651">
        <v>330</v>
      </c>
      <c r="L2651">
        <v>330</v>
      </c>
      <c r="M2651">
        <v>150</v>
      </c>
      <c r="T2651">
        <v>10</v>
      </c>
      <c r="U2651">
        <v>31</v>
      </c>
      <c r="Y2651">
        <v>18</v>
      </c>
      <c r="Z2651">
        <v>91</v>
      </c>
      <c r="AD2651">
        <v>43</v>
      </c>
      <c r="AE2651">
        <v>151</v>
      </c>
      <c r="AX2651">
        <v>41</v>
      </c>
      <c r="AY2651">
        <v>61</v>
      </c>
      <c r="AZ2651">
        <v>102</v>
      </c>
      <c r="BA2651">
        <v>109</v>
      </c>
      <c r="BB2651">
        <v>161</v>
      </c>
      <c r="BC2651">
        <v>270</v>
      </c>
      <c r="BD2651">
        <v>194</v>
      </c>
      <c r="BE2651">
        <v>122</v>
      </c>
      <c r="BF2651">
        <v>316</v>
      </c>
      <c r="BP2651">
        <v>157</v>
      </c>
      <c r="BR2651">
        <v>143</v>
      </c>
      <c r="BS2651">
        <v>31</v>
      </c>
      <c r="BT2651">
        <v>7</v>
      </c>
      <c r="BU2651">
        <v>6</v>
      </c>
      <c r="BV2651">
        <v>0</v>
      </c>
      <c r="BW2651">
        <v>344</v>
      </c>
      <c r="BX2651">
        <v>256</v>
      </c>
      <c r="BY2651">
        <v>0.34379999999999999</v>
      </c>
      <c r="BZ2651" s="6">
        <v>0.34</v>
      </c>
      <c r="CA2651" s="7">
        <v>45242</v>
      </c>
      <c r="CE2651">
        <v>159</v>
      </c>
      <c r="CF2651">
        <v>112</v>
      </c>
      <c r="CG2651">
        <v>73</v>
      </c>
      <c r="CI2651">
        <f t="shared" si="244"/>
        <v>2023</v>
      </c>
      <c r="CJ2651" t="str">
        <f t="shared" si="245"/>
        <v>7704_2023</v>
      </c>
    </row>
    <row r="2652" spans="1:88" x14ac:dyDescent="0.25">
      <c r="A2652" t="s">
        <v>79</v>
      </c>
      <c r="B2652" t="s">
        <v>877</v>
      </c>
      <c r="C2652">
        <v>7705</v>
      </c>
      <c r="D2652">
        <v>-33.819389000000001</v>
      </c>
      <c r="E2652">
        <v>151.19290000000001</v>
      </c>
      <c r="F2652">
        <v>3</v>
      </c>
      <c r="G2652" t="s">
        <v>909</v>
      </c>
      <c r="H2652">
        <v>170</v>
      </c>
      <c r="I2652">
        <v>350</v>
      </c>
      <c r="J2652">
        <v>243</v>
      </c>
      <c r="K2652">
        <v>63</v>
      </c>
      <c r="L2652">
        <v>351</v>
      </c>
      <c r="M2652">
        <v>171</v>
      </c>
      <c r="T2652">
        <v>25</v>
      </c>
      <c r="U2652">
        <v>137</v>
      </c>
      <c r="Y2652">
        <v>15</v>
      </c>
      <c r="Z2652">
        <v>19</v>
      </c>
      <c r="AD2652">
        <v>151</v>
      </c>
      <c r="AE2652">
        <v>23</v>
      </c>
      <c r="AX2652">
        <v>162</v>
      </c>
      <c r="AY2652">
        <v>166</v>
      </c>
      <c r="AZ2652">
        <v>328</v>
      </c>
      <c r="BA2652">
        <v>34</v>
      </c>
      <c r="BB2652">
        <v>48</v>
      </c>
      <c r="BC2652">
        <v>82</v>
      </c>
      <c r="BD2652">
        <v>174</v>
      </c>
      <c r="BE2652">
        <v>156</v>
      </c>
      <c r="BF2652">
        <v>330</v>
      </c>
      <c r="BP2652">
        <v>35</v>
      </c>
      <c r="BR2652">
        <v>309</v>
      </c>
      <c r="BS2652">
        <v>12</v>
      </c>
      <c r="BT2652">
        <v>13</v>
      </c>
      <c r="BU2652">
        <v>1</v>
      </c>
      <c r="BV2652">
        <v>0</v>
      </c>
      <c r="BW2652">
        <v>370</v>
      </c>
      <c r="BX2652">
        <v>274</v>
      </c>
      <c r="BY2652">
        <v>0.35039999999999999</v>
      </c>
      <c r="BZ2652" s="6">
        <v>0.35</v>
      </c>
      <c r="CA2652" s="7">
        <v>45242</v>
      </c>
      <c r="CE2652">
        <v>150</v>
      </c>
      <c r="CF2652">
        <v>108</v>
      </c>
      <c r="CG2652">
        <v>112</v>
      </c>
      <c r="CI2652">
        <f t="shared" si="244"/>
        <v>2023</v>
      </c>
      <c r="CJ2652" t="str">
        <f t="shared" si="245"/>
        <v>7705_2023</v>
      </c>
    </row>
    <row r="2653" spans="1:88" x14ac:dyDescent="0.25">
      <c r="A2653" t="s">
        <v>79</v>
      </c>
      <c r="B2653" t="s">
        <v>877</v>
      </c>
      <c r="C2653">
        <v>7707</v>
      </c>
      <c r="D2653">
        <v>-33.802447999999998</v>
      </c>
      <c r="E2653">
        <v>151.20910000000001</v>
      </c>
      <c r="F2653">
        <v>3</v>
      </c>
      <c r="G2653" t="s">
        <v>911</v>
      </c>
      <c r="H2653">
        <v>87</v>
      </c>
      <c r="I2653">
        <v>267</v>
      </c>
      <c r="J2653">
        <v>270</v>
      </c>
      <c r="K2653">
        <v>90</v>
      </c>
      <c r="L2653">
        <v>341</v>
      </c>
      <c r="M2653">
        <v>161</v>
      </c>
      <c r="T2653">
        <v>48</v>
      </c>
      <c r="U2653">
        <v>8</v>
      </c>
      <c r="Y2653">
        <v>47</v>
      </c>
      <c r="Z2653">
        <v>8</v>
      </c>
      <c r="AD2653">
        <v>7</v>
      </c>
      <c r="AE2653">
        <v>4</v>
      </c>
      <c r="AX2653">
        <v>56</v>
      </c>
      <c r="AY2653">
        <v>54</v>
      </c>
      <c r="AZ2653">
        <v>110</v>
      </c>
      <c r="BA2653">
        <v>55</v>
      </c>
      <c r="BB2653">
        <v>52</v>
      </c>
      <c r="BC2653">
        <v>107</v>
      </c>
      <c r="BD2653">
        <v>11</v>
      </c>
      <c r="BE2653">
        <v>16</v>
      </c>
      <c r="BF2653">
        <v>27</v>
      </c>
      <c r="BP2653">
        <v>18</v>
      </c>
      <c r="BR2653">
        <v>68</v>
      </c>
      <c r="BS2653">
        <v>14</v>
      </c>
      <c r="BT2653">
        <v>15</v>
      </c>
      <c r="BU2653">
        <v>7</v>
      </c>
      <c r="BV2653">
        <v>0</v>
      </c>
      <c r="BW2653">
        <v>122</v>
      </c>
      <c r="BX2653">
        <v>152</v>
      </c>
      <c r="BY2653">
        <v>-0.19739999999999999</v>
      </c>
      <c r="BZ2653" s="6">
        <v>-0.2</v>
      </c>
      <c r="CA2653" s="7">
        <v>45242</v>
      </c>
      <c r="CE2653">
        <v>62</v>
      </c>
      <c r="CF2653">
        <v>37</v>
      </c>
      <c r="CG2653">
        <v>23</v>
      </c>
      <c r="CI2653">
        <f t="shared" si="244"/>
        <v>2023</v>
      </c>
      <c r="CJ2653" t="str">
        <f t="shared" si="245"/>
        <v>7707_2023</v>
      </c>
    </row>
    <row r="2654" spans="1:88" x14ac:dyDescent="0.25">
      <c r="A2654" t="s">
        <v>79</v>
      </c>
      <c r="B2654" t="s">
        <v>877</v>
      </c>
      <c r="C2654">
        <v>7708</v>
      </c>
      <c r="D2654">
        <v>-33.811917000000001</v>
      </c>
      <c r="E2654">
        <v>151.21789999999999</v>
      </c>
      <c r="F2654">
        <v>4</v>
      </c>
      <c r="G2654" t="s">
        <v>912</v>
      </c>
      <c r="H2654">
        <v>11</v>
      </c>
      <c r="I2654">
        <v>191</v>
      </c>
      <c r="J2654">
        <v>98</v>
      </c>
      <c r="K2654">
        <v>278</v>
      </c>
      <c r="L2654">
        <v>191</v>
      </c>
      <c r="M2654">
        <v>11</v>
      </c>
      <c r="N2654">
        <v>280</v>
      </c>
      <c r="O2654">
        <v>100</v>
      </c>
      <c r="T2654">
        <v>6</v>
      </c>
      <c r="U2654">
        <v>3</v>
      </c>
      <c r="V2654">
        <v>42</v>
      </c>
      <c r="Y2654">
        <v>5</v>
      </c>
      <c r="Z2654">
        <v>16</v>
      </c>
      <c r="AA2654">
        <v>105</v>
      </c>
      <c r="AD2654">
        <v>8</v>
      </c>
      <c r="AE2654">
        <v>5</v>
      </c>
      <c r="AF2654">
        <v>18</v>
      </c>
      <c r="AI2654">
        <v>28</v>
      </c>
      <c r="AJ2654">
        <v>123</v>
      </c>
      <c r="AK2654">
        <v>27</v>
      </c>
      <c r="AX2654">
        <v>51</v>
      </c>
      <c r="AY2654">
        <v>41</v>
      </c>
      <c r="AZ2654">
        <v>92</v>
      </c>
      <c r="BA2654">
        <v>126</v>
      </c>
      <c r="BB2654">
        <v>134</v>
      </c>
      <c r="BC2654">
        <v>260</v>
      </c>
      <c r="BD2654">
        <v>31</v>
      </c>
      <c r="BE2654">
        <v>46</v>
      </c>
      <c r="BF2654">
        <v>77</v>
      </c>
      <c r="BG2654">
        <v>178</v>
      </c>
      <c r="BH2654">
        <v>165</v>
      </c>
      <c r="BI2654">
        <v>343</v>
      </c>
      <c r="BP2654">
        <v>30</v>
      </c>
      <c r="BR2654">
        <v>274</v>
      </c>
      <c r="BS2654">
        <v>19</v>
      </c>
      <c r="BT2654">
        <v>52</v>
      </c>
      <c r="BU2654">
        <v>6</v>
      </c>
      <c r="BV2654">
        <v>5</v>
      </c>
      <c r="BW2654">
        <v>386</v>
      </c>
      <c r="BX2654">
        <v>444</v>
      </c>
      <c r="BY2654">
        <v>-0.13059999999999999</v>
      </c>
      <c r="BZ2654" s="6">
        <v>-0.13</v>
      </c>
      <c r="CA2654" s="7">
        <v>45242</v>
      </c>
      <c r="CE2654">
        <v>191</v>
      </c>
      <c r="CF2654">
        <v>103</v>
      </c>
      <c r="CG2654">
        <v>92</v>
      </c>
      <c r="CI2654">
        <f t="shared" si="244"/>
        <v>2023</v>
      </c>
      <c r="CJ2654" t="str">
        <f t="shared" si="245"/>
        <v>7708_2023</v>
      </c>
    </row>
    <row r="2655" spans="1:88" x14ac:dyDescent="0.25">
      <c r="A2655" t="s">
        <v>79</v>
      </c>
      <c r="B2655" t="s">
        <v>877</v>
      </c>
      <c r="C2655">
        <v>7709</v>
      </c>
      <c r="D2655">
        <v>-33.812649</v>
      </c>
      <c r="E2655">
        <v>151.20150000000001</v>
      </c>
      <c r="F2655">
        <v>4</v>
      </c>
      <c r="G2655" t="s">
        <v>913</v>
      </c>
      <c r="H2655">
        <v>38</v>
      </c>
      <c r="I2655">
        <v>218</v>
      </c>
      <c r="J2655">
        <v>160</v>
      </c>
      <c r="K2655">
        <v>340</v>
      </c>
      <c r="L2655">
        <v>210</v>
      </c>
      <c r="M2655">
        <v>30</v>
      </c>
      <c r="N2655">
        <v>356</v>
      </c>
      <c r="O2655">
        <v>176</v>
      </c>
      <c r="T2655">
        <v>25</v>
      </c>
      <c r="U2655">
        <v>65</v>
      </c>
      <c r="V2655">
        <v>7</v>
      </c>
      <c r="Y2655">
        <v>27</v>
      </c>
      <c r="Z2655">
        <v>0</v>
      </c>
      <c r="AA2655">
        <v>38</v>
      </c>
      <c r="AD2655">
        <v>49</v>
      </c>
      <c r="AE2655">
        <v>0</v>
      </c>
      <c r="AF2655">
        <v>30</v>
      </c>
      <c r="AI2655">
        <v>12</v>
      </c>
      <c r="AJ2655">
        <v>57</v>
      </c>
      <c r="AK2655">
        <v>30</v>
      </c>
      <c r="AX2655">
        <v>97</v>
      </c>
      <c r="AY2655">
        <v>88</v>
      </c>
      <c r="AZ2655">
        <v>185</v>
      </c>
      <c r="BA2655">
        <v>65</v>
      </c>
      <c r="BB2655">
        <v>82</v>
      </c>
      <c r="BC2655">
        <v>147</v>
      </c>
      <c r="BD2655">
        <v>79</v>
      </c>
      <c r="BE2655">
        <v>95</v>
      </c>
      <c r="BF2655">
        <v>174</v>
      </c>
      <c r="BG2655">
        <v>99</v>
      </c>
      <c r="BH2655">
        <v>75</v>
      </c>
      <c r="BI2655">
        <v>174</v>
      </c>
      <c r="BP2655">
        <v>85</v>
      </c>
      <c r="BR2655">
        <v>194</v>
      </c>
      <c r="BS2655">
        <v>16</v>
      </c>
      <c r="BT2655">
        <v>45</v>
      </c>
      <c r="BU2655">
        <v>0</v>
      </c>
      <c r="BV2655">
        <v>0</v>
      </c>
      <c r="BW2655">
        <v>340</v>
      </c>
      <c r="BX2655">
        <v>271</v>
      </c>
      <c r="BY2655">
        <v>0.25459999999999999</v>
      </c>
      <c r="BZ2655" s="6">
        <v>0.25</v>
      </c>
      <c r="CA2655" s="7">
        <v>45242</v>
      </c>
      <c r="CE2655">
        <v>109</v>
      </c>
      <c r="CF2655">
        <v>119</v>
      </c>
      <c r="CG2655">
        <v>112</v>
      </c>
      <c r="CI2655">
        <f t="shared" si="244"/>
        <v>2023</v>
      </c>
      <c r="CJ2655" t="str">
        <f t="shared" si="245"/>
        <v>7709_2023</v>
      </c>
    </row>
    <row r="2656" spans="1:88" x14ac:dyDescent="0.25">
      <c r="A2656" t="s">
        <v>79</v>
      </c>
      <c r="B2656" t="s">
        <v>877</v>
      </c>
      <c r="C2656">
        <v>7710</v>
      </c>
      <c r="D2656">
        <v>-33.786509000000002</v>
      </c>
      <c r="E2656">
        <v>151.1987</v>
      </c>
      <c r="F2656">
        <v>4</v>
      </c>
      <c r="G2656" t="s">
        <v>914</v>
      </c>
      <c r="H2656">
        <v>70</v>
      </c>
      <c r="I2656">
        <v>250</v>
      </c>
      <c r="J2656">
        <v>160</v>
      </c>
      <c r="K2656">
        <v>340</v>
      </c>
      <c r="L2656">
        <v>250</v>
      </c>
      <c r="M2656">
        <v>70</v>
      </c>
      <c r="N2656">
        <v>340</v>
      </c>
      <c r="O2656">
        <v>160</v>
      </c>
      <c r="T2656">
        <v>5</v>
      </c>
      <c r="U2656">
        <v>82</v>
      </c>
      <c r="V2656">
        <v>27</v>
      </c>
      <c r="Y2656">
        <v>7</v>
      </c>
      <c r="Z2656">
        <v>0</v>
      </c>
      <c r="AA2656">
        <v>4</v>
      </c>
      <c r="AD2656">
        <v>103</v>
      </c>
      <c r="AE2656">
        <v>2</v>
      </c>
      <c r="AF2656">
        <v>63</v>
      </c>
      <c r="AI2656">
        <v>32</v>
      </c>
      <c r="AJ2656">
        <v>5</v>
      </c>
      <c r="AK2656">
        <v>61</v>
      </c>
      <c r="AX2656">
        <v>114</v>
      </c>
      <c r="AY2656">
        <v>142</v>
      </c>
      <c r="AZ2656">
        <v>256</v>
      </c>
      <c r="BA2656">
        <v>11</v>
      </c>
      <c r="BB2656">
        <v>12</v>
      </c>
      <c r="BC2656">
        <v>23</v>
      </c>
      <c r="BD2656">
        <v>168</v>
      </c>
      <c r="BE2656">
        <v>143</v>
      </c>
      <c r="BF2656">
        <v>311</v>
      </c>
      <c r="BG2656">
        <v>98</v>
      </c>
      <c r="BH2656">
        <v>94</v>
      </c>
      <c r="BI2656">
        <v>192</v>
      </c>
      <c r="BP2656">
        <v>17</v>
      </c>
      <c r="BR2656">
        <v>355</v>
      </c>
      <c r="BS2656">
        <v>2</v>
      </c>
      <c r="BT2656">
        <v>10</v>
      </c>
      <c r="BU2656">
        <v>7</v>
      </c>
      <c r="BV2656">
        <v>0</v>
      </c>
      <c r="BW2656">
        <v>391</v>
      </c>
      <c r="BX2656">
        <v>426</v>
      </c>
      <c r="BY2656">
        <v>-8.2199999999999995E-2</v>
      </c>
      <c r="BZ2656" s="6">
        <v>-0.08</v>
      </c>
      <c r="CA2656" s="7">
        <v>45242</v>
      </c>
      <c r="CE2656">
        <v>96</v>
      </c>
      <c r="CF2656">
        <v>131</v>
      </c>
      <c r="CG2656">
        <v>164</v>
      </c>
      <c r="CI2656">
        <f t="shared" si="244"/>
        <v>2023</v>
      </c>
      <c r="CJ2656" t="str">
        <f t="shared" si="245"/>
        <v>7710_2023</v>
      </c>
    </row>
    <row r="2657" spans="1:88" x14ac:dyDescent="0.25">
      <c r="A2657" t="s">
        <v>79</v>
      </c>
      <c r="B2657" t="s">
        <v>877</v>
      </c>
      <c r="C2657">
        <v>7888</v>
      </c>
      <c r="D2657">
        <v>-33.805492999999998</v>
      </c>
      <c r="E2657">
        <v>151.17850000000001</v>
      </c>
      <c r="F2657">
        <v>2</v>
      </c>
      <c r="G2657" t="s">
        <v>1090</v>
      </c>
      <c r="H2657">
        <v>83</v>
      </c>
      <c r="I2657">
        <v>263</v>
      </c>
      <c r="J2657">
        <v>267</v>
      </c>
      <c r="K2657">
        <v>87</v>
      </c>
      <c r="T2657">
        <v>96</v>
      </c>
      <c r="Y2657">
        <v>164</v>
      </c>
      <c r="AX2657">
        <v>96</v>
      </c>
      <c r="AY2657">
        <v>164</v>
      </c>
      <c r="AZ2657">
        <v>260</v>
      </c>
      <c r="BA2657">
        <v>164</v>
      </c>
      <c r="BB2657">
        <v>96</v>
      </c>
      <c r="BC2657">
        <v>260</v>
      </c>
      <c r="BP2657">
        <v>47</v>
      </c>
      <c r="BR2657">
        <v>197</v>
      </c>
      <c r="BS2657">
        <v>12</v>
      </c>
      <c r="BT2657">
        <v>4</v>
      </c>
      <c r="BU2657">
        <v>0</v>
      </c>
      <c r="BV2657">
        <v>0</v>
      </c>
      <c r="BW2657">
        <v>260</v>
      </c>
      <c r="CA2657" s="7">
        <v>45242</v>
      </c>
      <c r="CE2657">
        <v>69</v>
      </c>
      <c r="CF2657">
        <v>87</v>
      </c>
      <c r="CG2657">
        <v>104</v>
      </c>
      <c r="CI2657">
        <f t="shared" si="244"/>
        <v>2023</v>
      </c>
      <c r="CJ2657" t="str">
        <f t="shared" si="245"/>
        <v>7888_2023</v>
      </c>
    </row>
    <row r="2658" spans="1:88" x14ac:dyDescent="0.25">
      <c r="A2658" t="s">
        <v>79</v>
      </c>
      <c r="B2658" t="s">
        <v>877</v>
      </c>
      <c r="C2658">
        <v>7890</v>
      </c>
      <c r="D2658">
        <v>-33.80583</v>
      </c>
      <c r="E2658">
        <v>151.17961600000001</v>
      </c>
      <c r="F2658">
        <v>2</v>
      </c>
      <c r="G2658" t="s">
        <v>1091</v>
      </c>
      <c r="H2658">
        <v>170</v>
      </c>
      <c r="I2658">
        <v>350</v>
      </c>
      <c r="J2658">
        <v>350</v>
      </c>
      <c r="K2658">
        <v>170</v>
      </c>
      <c r="T2658">
        <v>91</v>
      </c>
      <c r="Y2658">
        <v>69</v>
      </c>
      <c r="AX2658">
        <v>91</v>
      </c>
      <c r="AY2658">
        <v>69</v>
      </c>
      <c r="AZ2658">
        <v>160</v>
      </c>
      <c r="BA2658">
        <v>69</v>
      </c>
      <c r="BB2658">
        <v>91</v>
      </c>
      <c r="BC2658">
        <v>160</v>
      </c>
      <c r="BP2658">
        <v>28</v>
      </c>
      <c r="BR2658">
        <v>104</v>
      </c>
      <c r="BS2658">
        <v>28</v>
      </c>
      <c r="BT2658">
        <v>0</v>
      </c>
      <c r="BU2658">
        <v>0</v>
      </c>
      <c r="BV2658">
        <v>0</v>
      </c>
      <c r="BW2658">
        <v>160</v>
      </c>
      <c r="CA2658" s="7">
        <v>45242</v>
      </c>
      <c r="CE2658">
        <v>57</v>
      </c>
      <c r="CF2658">
        <v>44</v>
      </c>
      <c r="CG2658">
        <v>59</v>
      </c>
      <c r="CI2658">
        <f t="shared" si="244"/>
        <v>2023</v>
      </c>
      <c r="CJ2658" t="str">
        <f t="shared" si="245"/>
        <v>7890_2023</v>
      </c>
    </row>
    <row r="2659" spans="1:88" x14ac:dyDescent="0.25">
      <c r="A2659" t="s">
        <v>79</v>
      </c>
      <c r="B2659" t="s">
        <v>877</v>
      </c>
      <c r="C2659">
        <v>7892</v>
      </c>
      <c r="D2659">
        <v>-33.820906000000001</v>
      </c>
      <c r="E2659">
        <v>151.19323700000001</v>
      </c>
      <c r="F2659">
        <v>2</v>
      </c>
      <c r="G2659" t="s">
        <v>1092</v>
      </c>
      <c r="H2659">
        <v>170</v>
      </c>
      <c r="I2659">
        <v>350</v>
      </c>
      <c r="J2659">
        <v>350</v>
      </c>
      <c r="K2659">
        <v>170</v>
      </c>
      <c r="T2659">
        <v>352</v>
      </c>
      <c r="Y2659">
        <v>498</v>
      </c>
      <c r="AX2659">
        <v>352</v>
      </c>
      <c r="AY2659">
        <v>498</v>
      </c>
      <c r="AZ2659">
        <v>850</v>
      </c>
      <c r="BA2659">
        <v>498</v>
      </c>
      <c r="BB2659">
        <v>352</v>
      </c>
      <c r="BC2659">
        <v>850</v>
      </c>
      <c r="BP2659">
        <v>17</v>
      </c>
      <c r="BR2659">
        <v>809</v>
      </c>
      <c r="BS2659">
        <v>6</v>
      </c>
      <c r="BT2659">
        <v>18</v>
      </c>
      <c r="BU2659">
        <v>0</v>
      </c>
      <c r="BV2659">
        <v>0</v>
      </c>
      <c r="BW2659">
        <v>850</v>
      </c>
      <c r="CA2659" s="7">
        <v>45242</v>
      </c>
      <c r="CE2659">
        <v>243</v>
      </c>
      <c r="CF2659">
        <v>308</v>
      </c>
      <c r="CG2659">
        <v>299</v>
      </c>
      <c r="CI2659">
        <f t="shared" si="244"/>
        <v>2023</v>
      </c>
      <c r="CJ2659" t="str">
        <f t="shared" si="245"/>
        <v>7892_2023</v>
      </c>
    </row>
    <row r="2660" spans="1:88" x14ac:dyDescent="0.25">
      <c r="A2660" t="s">
        <v>79</v>
      </c>
      <c r="B2660" t="s">
        <v>877</v>
      </c>
      <c r="C2660">
        <v>7706</v>
      </c>
      <c r="D2660">
        <v>-33.796340999999998</v>
      </c>
      <c r="E2660">
        <v>151.16730000000001</v>
      </c>
      <c r="F2660">
        <v>4</v>
      </c>
      <c r="G2660" t="s">
        <v>910</v>
      </c>
      <c r="H2660">
        <v>30</v>
      </c>
      <c r="I2660">
        <v>210</v>
      </c>
      <c r="J2660">
        <v>140</v>
      </c>
      <c r="K2660">
        <v>320</v>
      </c>
      <c r="L2660">
        <v>275</v>
      </c>
      <c r="M2660">
        <v>95</v>
      </c>
      <c r="N2660">
        <v>345</v>
      </c>
      <c r="O2660">
        <v>165</v>
      </c>
      <c r="T2660">
        <v>4</v>
      </c>
      <c r="U2660">
        <v>0</v>
      </c>
      <c r="V2660">
        <v>0</v>
      </c>
      <c r="Y2660">
        <v>1</v>
      </c>
      <c r="Z2660">
        <v>52</v>
      </c>
      <c r="AA2660">
        <v>4</v>
      </c>
      <c r="AD2660">
        <v>0</v>
      </c>
      <c r="AE2660">
        <v>62</v>
      </c>
      <c r="AF2660">
        <v>3</v>
      </c>
      <c r="AI2660">
        <v>0</v>
      </c>
      <c r="AJ2660">
        <v>2</v>
      </c>
      <c r="AK2660">
        <v>2</v>
      </c>
      <c r="AX2660">
        <v>4</v>
      </c>
      <c r="AY2660">
        <v>1</v>
      </c>
      <c r="AZ2660">
        <v>5</v>
      </c>
      <c r="BA2660">
        <v>57</v>
      </c>
      <c r="BB2660">
        <v>68</v>
      </c>
      <c r="BC2660">
        <v>125</v>
      </c>
      <c r="BD2660">
        <v>65</v>
      </c>
      <c r="BE2660">
        <v>54</v>
      </c>
      <c r="BF2660">
        <v>119</v>
      </c>
      <c r="BG2660">
        <v>4</v>
      </c>
      <c r="BH2660">
        <v>7</v>
      </c>
      <c r="BI2660">
        <v>11</v>
      </c>
      <c r="BP2660">
        <v>23</v>
      </c>
      <c r="BR2660">
        <v>59</v>
      </c>
      <c r="BS2660">
        <v>15</v>
      </c>
      <c r="BT2660">
        <v>31</v>
      </c>
      <c r="BU2660">
        <v>2</v>
      </c>
      <c r="BV2660">
        <v>0</v>
      </c>
      <c r="BW2660">
        <v>130</v>
      </c>
      <c r="CA2660" s="7">
        <v>45256</v>
      </c>
      <c r="CE2660">
        <v>42</v>
      </c>
      <c r="CF2660">
        <v>41</v>
      </c>
      <c r="CG2660">
        <v>47</v>
      </c>
      <c r="CI2660">
        <f t="shared" si="244"/>
        <v>2023</v>
      </c>
      <c r="CJ2660" t="str">
        <f t="shared" si="245"/>
        <v>7706_2023</v>
      </c>
    </row>
    <row r="2661" spans="1:88" x14ac:dyDescent="0.25">
      <c r="A2661" t="s">
        <v>79</v>
      </c>
      <c r="B2661" t="s">
        <v>877</v>
      </c>
      <c r="C2661">
        <v>7889</v>
      </c>
      <c r="D2661">
        <v>-33.795828</v>
      </c>
      <c r="E2661">
        <v>151.18543399999999</v>
      </c>
      <c r="F2661">
        <v>2</v>
      </c>
      <c r="G2661" t="s">
        <v>1093</v>
      </c>
      <c r="H2661">
        <v>160</v>
      </c>
      <c r="I2661">
        <v>340</v>
      </c>
      <c r="J2661">
        <v>340</v>
      </c>
      <c r="K2661">
        <v>160</v>
      </c>
      <c r="T2661">
        <v>758</v>
      </c>
      <c r="Y2661">
        <v>758</v>
      </c>
      <c r="AX2661">
        <v>758</v>
      </c>
      <c r="AY2661">
        <v>758</v>
      </c>
      <c r="AZ2661">
        <v>1516</v>
      </c>
      <c r="BA2661">
        <v>758</v>
      </c>
      <c r="BB2661">
        <v>758</v>
      </c>
      <c r="BC2661">
        <v>1516</v>
      </c>
      <c r="BP2661">
        <v>14</v>
      </c>
      <c r="BR2661">
        <v>1491</v>
      </c>
      <c r="BS2661">
        <v>3</v>
      </c>
      <c r="BT2661">
        <v>5</v>
      </c>
      <c r="BU2661">
        <v>3</v>
      </c>
      <c r="BV2661">
        <v>0</v>
      </c>
      <c r="BW2661">
        <v>1516</v>
      </c>
      <c r="CA2661" s="7">
        <v>45256</v>
      </c>
      <c r="CE2661">
        <v>422</v>
      </c>
      <c r="CF2661">
        <v>585</v>
      </c>
      <c r="CG2661">
        <v>509</v>
      </c>
      <c r="CI2661">
        <f t="shared" si="244"/>
        <v>2023</v>
      </c>
      <c r="CJ2661" t="str">
        <f t="shared" si="245"/>
        <v>7889_2023</v>
      </c>
    </row>
    <row r="2662" spans="1:88" x14ac:dyDescent="0.25">
      <c r="A2662" t="s">
        <v>79</v>
      </c>
      <c r="B2662" t="s">
        <v>877</v>
      </c>
      <c r="C2662">
        <v>7891</v>
      </c>
      <c r="D2662">
        <v>-33.811624000000002</v>
      </c>
      <c r="E2662">
        <v>151.187849</v>
      </c>
      <c r="F2662">
        <v>2</v>
      </c>
      <c r="G2662" t="s">
        <v>1094</v>
      </c>
      <c r="H2662">
        <v>158</v>
      </c>
      <c r="I2662">
        <v>338</v>
      </c>
      <c r="J2662">
        <v>338</v>
      </c>
      <c r="K2662">
        <v>158</v>
      </c>
      <c r="T2662">
        <v>217</v>
      </c>
      <c r="Y2662">
        <v>155</v>
      </c>
      <c r="AX2662">
        <v>217</v>
      </c>
      <c r="AY2662">
        <v>155</v>
      </c>
      <c r="AZ2662">
        <v>372</v>
      </c>
      <c r="BA2662">
        <v>155</v>
      </c>
      <c r="BB2662">
        <v>217</v>
      </c>
      <c r="BC2662">
        <v>372</v>
      </c>
      <c r="BP2662">
        <v>22</v>
      </c>
      <c r="BR2662">
        <v>303</v>
      </c>
      <c r="BS2662">
        <v>25</v>
      </c>
      <c r="BT2662">
        <v>20</v>
      </c>
      <c r="BU2662">
        <v>1</v>
      </c>
      <c r="BV2662">
        <v>1</v>
      </c>
      <c r="BW2662">
        <v>372</v>
      </c>
      <c r="CA2662" s="7">
        <v>45249</v>
      </c>
      <c r="CE2662">
        <v>161</v>
      </c>
      <c r="CF2662">
        <v>81</v>
      </c>
      <c r="CG2662">
        <v>130</v>
      </c>
      <c r="CI2662">
        <f t="shared" si="244"/>
        <v>2023</v>
      </c>
      <c r="CJ2662" t="str">
        <f t="shared" si="245"/>
        <v>7891_2023</v>
      </c>
    </row>
    <row r="2663" spans="1:88" x14ac:dyDescent="0.25">
      <c r="A2663" t="s">
        <v>111</v>
      </c>
      <c r="B2663" t="s">
        <v>157</v>
      </c>
      <c r="C2663">
        <v>5047</v>
      </c>
      <c r="D2663">
        <v>-37.876595000000002</v>
      </c>
      <c r="E2663">
        <v>144.73719399999999</v>
      </c>
      <c r="F2663">
        <v>4</v>
      </c>
      <c r="G2663" t="s">
        <v>158</v>
      </c>
      <c r="H2663">
        <v>6</v>
      </c>
      <c r="I2663">
        <v>186</v>
      </c>
      <c r="J2663">
        <v>91</v>
      </c>
      <c r="K2663">
        <v>271</v>
      </c>
      <c r="L2663">
        <v>193</v>
      </c>
      <c r="M2663">
        <v>13</v>
      </c>
      <c r="N2663">
        <v>259</v>
      </c>
      <c r="O2663">
        <v>79</v>
      </c>
      <c r="T2663">
        <v>9</v>
      </c>
      <c r="U2663">
        <v>16</v>
      </c>
      <c r="V2663">
        <v>14</v>
      </c>
      <c r="Y2663">
        <v>4</v>
      </c>
      <c r="Z2663">
        <v>18</v>
      </c>
      <c r="AA2663">
        <v>29</v>
      </c>
      <c r="AD2663">
        <v>2</v>
      </c>
      <c r="AE2663">
        <v>2</v>
      </c>
      <c r="AF2663">
        <v>7</v>
      </c>
      <c r="AI2663">
        <v>10</v>
      </c>
      <c r="AJ2663">
        <v>29</v>
      </c>
      <c r="AK2663">
        <v>2</v>
      </c>
      <c r="AX2663">
        <v>39</v>
      </c>
      <c r="AY2663">
        <v>16</v>
      </c>
      <c r="AZ2663">
        <v>55</v>
      </c>
      <c r="BA2663">
        <v>51</v>
      </c>
      <c r="BB2663">
        <v>40</v>
      </c>
      <c r="BC2663">
        <v>91</v>
      </c>
      <c r="BD2663">
        <v>11</v>
      </c>
      <c r="BE2663">
        <v>36</v>
      </c>
      <c r="BF2663">
        <v>47</v>
      </c>
      <c r="BG2663">
        <v>41</v>
      </c>
      <c r="BH2663">
        <v>50</v>
      </c>
      <c r="BI2663">
        <v>91</v>
      </c>
      <c r="BP2663">
        <v>71</v>
      </c>
      <c r="BR2663">
        <v>47</v>
      </c>
      <c r="BS2663">
        <v>13</v>
      </c>
      <c r="BT2663">
        <v>11</v>
      </c>
      <c r="BU2663">
        <v>0</v>
      </c>
      <c r="BV2663">
        <v>0</v>
      </c>
      <c r="BW2663">
        <v>142</v>
      </c>
      <c r="BX2663">
        <v>128</v>
      </c>
      <c r="BY2663">
        <v>0.1094</v>
      </c>
      <c r="BZ2663" s="6">
        <v>0.11</v>
      </c>
      <c r="CA2663" s="7">
        <v>45242</v>
      </c>
      <c r="CE2663">
        <v>53</v>
      </c>
      <c r="CF2663">
        <v>41</v>
      </c>
      <c r="CG2663">
        <v>48</v>
      </c>
      <c r="CI2663">
        <f t="shared" si="244"/>
        <v>2023</v>
      </c>
      <c r="CJ2663" t="str">
        <f t="shared" si="245"/>
        <v>5047_2023</v>
      </c>
    </row>
    <row r="2664" spans="1:88" x14ac:dyDescent="0.25">
      <c r="A2664" t="s">
        <v>111</v>
      </c>
      <c r="B2664" t="s">
        <v>157</v>
      </c>
      <c r="C2664">
        <v>5052</v>
      </c>
      <c r="D2664">
        <v>-37.851049000000003</v>
      </c>
      <c r="E2664">
        <v>144.71219300000001</v>
      </c>
      <c r="F2664">
        <v>4</v>
      </c>
      <c r="G2664" t="s">
        <v>159</v>
      </c>
      <c r="H2664">
        <v>17</v>
      </c>
      <c r="I2664">
        <v>197</v>
      </c>
      <c r="J2664">
        <v>97</v>
      </c>
      <c r="K2664">
        <v>277</v>
      </c>
      <c r="L2664">
        <v>207</v>
      </c>
      <c r="M2664">
        <v>27</v>
      </c>
      <c r="N2664">
        <v>275</v>
      </c>
      <c r="O2664">
        <v>95</v>
      </c>
      <c r="T2664">
        <v>1</v>
      </c>
      <c r="U2664">
        <v>21</v>
      </c>
      <c r="V2664">
        <v>1</v>
      </c>
      <c r="Y2664">
        <v>4</v>
      </c>
      <c r="Z2664">
        <v>28</v>
      </c>
      <c r="AA2664">
        <v>23</v>
      </c>
      <c r="AD2664">
        <v>27</v>
      </c>
      <c r="AE2664">
        <v>54</v>
      </c>
      <c r="AF2664">
        <v>11</v>
      </c>
      <c r="AI2664">
        <v>1</v>
      </c>
      <c r="AJ2664">
        <v>17</v>
      </c>
      <c r="AK2664">
        <v>14</v>
      </c>
      <c r="AX2664">
        <v>23</v>
      </c>
      <c r="AY2664">
        <v>32</v>
      </c>
      <c r="AZ2664">
        <v>55</v>
      </c>
      <c r="BA2664">
        <v>55</v>
      </c>
      <c r="BB2664">
        <v>72</v>
      </c>
      <c r="BC2664">
        <v>127</v>
      </c>
      <c r="BD2664">
        <v>92</v>
      </c>
      <c r="BE2664">
        <v>63</v>
      </c>
      <c r="BF2664">
        <v>155</v>
      </c>
      <c r="BG2664">
        <v>32</v>
      </c>
      <c r="BH2664">
        <v>35</v>
      </c>
      <c r="BI2664">
        <v>67</v>
      </c>
      <c r="BP2664">
        <v>72</v>
      </c>
      <c r="BR2664">
        <v>90</v>
      </c>
      <c r="BS2664">
        <v>19</v>
      </c>
      <c r="BT2664">
        <v>16</v>
      </c>
      <c r="BU2664">
        <v>0</v>
      </c>
      <c r="BV2664">
        <v>5</v>
      </c>
      <c r="BW2664">
        <v>202</v>
      </c>
      <c r="BX2664">
        <v>155</v>
      </c>
      <c r="BY2664">
        <v>0.30320000000000003</v>
      </c>
      <c r="BZ2664" s="6">
        <v>0.3</v>
      </c>
      <c r="CA2664" s="7">
        <v>45242</v>
      </c>
      <c r="CE2664">
        <v>51</v>
      </c>
      <c r="CF2664">
        <v>63</v>
      </c>
      <c r="CG2664">
        <v>88</v>
      </c>
      <c r="CI2664">
        <f t="shared" si="244"/>
        <v>2023</v>
      </c>
      <c r="CJ2664" t="str">
        <f t="shared" si="245"/>
        <v>5052_2023</v>
      </c>
    </row>
    <row r="2665" spans="1:88" x14ac:dyDescent="0.25">
      <c r="A2665" t="s">
        <v>111</v>
      </c>
      <c r="B2665" t="s">
        <v>157</v>
      </c>
      <c r="C2665">
        <v>5055</v>
      </c>
      <c r="D2665">
        <v>-37.898569000000002</v>
      </c>
      <c r="E2665">
        <v>144.77960999999999</v>
      </c>
      <c r="F2665">
        <v>3</v>
      </c>
      <c r="G2665" t="s">
        <v>160</v>
      </c>
      <c r="H2665">
        <v>59</v>
      </c>
      <c r="I2665">
        <v>239</v>
      </c>
      <c r="J2665">
        <v>150</v>
      </c>
      <c r="K2665">
        <v>330</v>
      </c>
      <c r="L2665">
        <v>242</v>
      </c>
      <c r="M2665">
        <v>62</v>
      </c>
      <c r="T2665">
        <v>58</v>
      </c>
      <c r="U2665">
        <v>55</v>
      </c>
      <c r="Y2665">
        <v>48</v>
      </c>
      <c r="Z2665">
        <v>4</v>
      </c>
      <c r="AD2665">
        <v>46</v>
      </c>
      <c r="AE2665">
        <v>18</v>
      </c>
      <c r="AX2665">
        <v>113</v>
      </c>
      <c r="AY2665">
        <v>94</v>
      </c>
      <c r="AZ2665">
        <v>207</v>
      </c>
      <c r="BA2665">
        <v>52</v>
      </c>
      <c r="BB2665">
        <v>76</v>
      </c>
      <c r="BC2665">
        <v>128</v>
      </c>
      <c r="BD2665">
        <v>64</v>
      </c>
      <c r="BE2665">
        <v>59</v>
      </c>
      <c r="BF2665">
        <v>123</v>
      </c>
      <c r="BP2665">
        <v>136</v>
      </c>
      <c r="BR2665">
        <v>52</v>
      </c>
      <c r="BS2665">
        <v>27</v>
      </c>
      <c r="BT2665">
        <v>10</v>
      </c>
      <c r="BU2665">
        <v>4</v>
      </c>
      <c r="BV2665">
        <v>0</v>
      </c>
      <c r="BW2665">
        <v>229</v>
      </c>
      <c r="BX2665">
        <v>217</v>
      </c>
      <c r="BY2665">
        <v>5.5300000000000002E-2</v>
      </c>
      <c r="BZ2665" s="6">
        <v>0.06</v>
      </c>
      <c r="CA2665" s="7">
        <v>45242</v>
      </c>
      <c r="CE2665">
        <v>94</v>
      </c>
      <c r="CF2665">
        <v>75</v>
      </c>
      <c r="CG2665">
        <v>60</v>
      </c>
      <c r="CI2665">
        <f t="shared" si="244"/>
        <v>2023</v>
      </c>
      <c r="CJ2665" t="str">
        <f t="shared" si="245"/>
        <v>5055_2023</v>
      </c>
    </row>
    <row r="2666" spans="1:88" x14ac:dyDescent="0.25">
      <c r="A2666" t="s">
        <v>111</v>
      </c>
      <c r="B2666" t="s">
        <v>157</v>
      </c>
      <c r="C2666">
        <v>5591</v>
      </c>
      <c r="D2666">
        <v>-37.876854999999999</v>
      </c>
      <c r="E2666">
        <v>144.72165799999999</v>
      </c>
      <c r="F2666">
        <v>2</v>
      </c>
      <c r="G2666" t="s">
        <v>172</v>
      </c>
      <c r="H2666">
        <v>4</v>
      </c>
      <c r="I2666">
        <v>184</v>
      </c>
      <c r="J2666">
        <v>258</v>
      </c>
      <c r="K2666">
        <v>78</v>
      </c>
      <c r="T2666">
        <v>21</v>
      </c>
      <c r="Y2666">
        <v>20</v>
      </c>
      <c r="AX2666">
        <v>21</v>
      </c>
      <c r="AY2666">
        <v>20</v>
      </c>
      <c r="AZ2666">
        <v>41</v>
      </c>
      <c r="BA2666">
        <v>20</v>
      </c>
      <c r="BB2666">
        <v>21</v>
      </c>
      <c r="BC2666">
        <v>41</v>
      </c>
      <c r="BP2666">
        <v>35</v>
      </c>
      <c r="BR2666">
        <v>5</v>
      </c>
      <c r="BS2666">
        <v>1</v>
      </c>
      <c r="BT2666">
        <v>0</v>
      </c>
      <c r="BU2666">
        <v>0</v>
      </c>
      <c r="BV2666">
        <v>0</v>
      </c>
      <c r="BW2666">
        <v>41</v>
      </c>
      <c r="BX2666">
        <v>31</v>
      </c>
      <c r="BY2666">
        <v>0.3226</v>
      </c>
      <c r="BZ2666" s="6">
        <v>0.32</v>
      </c>
      <c r="CA2666" s="7">
        <v>45242</v>
      </c>
      <c r="CE2666">
        <v>21</v>
      </c>
      <c r="CF2666">
        <v>11</v>
      </c>
      <c r="CG2666">
        <v>9</v>
      </c>
      <c r="CI2666">
        <f t="shared" si="244"/>
        <v>2023</v>
      </c>
      <c r="CJ2666" t="str">
        <f t="shared" si="245"/>
        <v>5591_2023</v>
      </c>
    </row>
    <row r="2667" spans="1:88" x14ac:dyDescent="0.25">
      <c r="A2667" t="s">
        <v>111</v>
      </c>
      <c r="B2667" t="s">
        <v>157</v>
      </c>
      <c r="C2667">
        <v>5592</v>
      </c>
      <c r="D2667">
        <v>-37.868875000000003</v>
      </c>
      <c r="E2667">
        <v>144.720685</v>
      </c>
      <c r="F2667">
        <v>3</v>
      </c>
      <c r="G2667" t="s">
        <v>173</v>
      </c>
      <c r="H2667">
        <v>58</v>
      </c>
      <c r="I2667">
        <v>238</v>
      </c>
      <c r="J2667">
        <v>147</v>
      </c>
      <c r="K2667">
        <v>327</v>
      </c>
      <c r="L2667">
        <v>271</v>
      </c>
      <c r="M2667">
        <v>91</v>
      </c>
      <c r="T2667">
        <v>12</v>
      </c>
      <c r="U2667">
        <v>49</v>
      </c>
      <c r="Y2667">
        <v>27</v>
      </c>
      <c r="Z2667">
        <v>10</v>
      </c>
      <c r="AD2667">
        <v>31</v>
      </c>
      <c r="AE2667">
        <v>29</v>
      </c>
      <c r="AX2667">
        <v>61</v>
      </c>
      <c r="AY2667">
        <v>58</v>
      </c>
      <c r="AZ2667">
        <v>119</v>
      </c>
      <c r="BA2667">
        <v>37</v>
      </c>
      <c r="BB2667">
        <v>41</v>
      </c>
      <c r="BC2667">
        <v>78</v>
      </c>
      <c r="BD2667">
        <v>60</v>
      </c>
      <c r="BE2667">
        <v>59</v>
      </c>
      <c r="BF2667">
        <v>119</v>
      </c>
      <c r="BP2667">
        <v>75</v>
      </c>
      <c r="BR2667">
        <v>50</v>
      </c>
      <c r="BS2667">
        <v>16</v>
      </c>
      <c r="BT2667">
        <v>10</v>
      </c>
      <c r="BU2667">
        <v>5</v>
      </c>
      <c r="BV2667">
        <v>2</v>
      </c>
      <c r="BW2667">
        <v>158</v>
      </c>
      <c r="BX2667">
        <v>171</v>
      </c>
      <c r="BY2667">
        <v>-7.5999999999999998E-2</v>
      </c>
      <c r="BZ2667" s="6">
        <v>-0.08</v>
      </c>
      <c r="CA2667" s="7">
        <v>45242</v>
      </c>
      <c r="CE2667">
        <v>56</v>
      </c>
      <c r="CF2667">
        <v>51</v>
      </c>
      <c r="CG2667">
        <v>51</v>
      </c>
      <c r="CI2667">
        <f t="shared" si="244"/>
        <v>2023</v>
      </c>
      <c r="CJ2667" t="str">
        <f t="shared" si="245"/>
        <v>5592_2023</v>
      </c>
    </row>
    <row r="2668" spans="1:88" x14ac:dyDescent="0.25">
      <c r="A2668" t="s">
        <v>111</v>
      </c>
      <c r="B2668" t="s">
        <v>157</v>
      </c>
      <c r="C2668">
        <v>5593</v>
      </c>
      <c r="D2668">
        <v>-37.824747000000002</v>
      </c>
      <c r="E2668">
        <v>144.81346500000001</v>
      </c>
      <c r="F2668">
        <v>3</v>
      </c>
      <c r="G2668" t="s">
        <v>174</v>
      </c>
      <c r="H2668">
        <v>81</v>
      </c>
      <c r="I2668">
        <v>261</v>
      </c>
      <c r="J2668">
        <v>244</v>
      </c>
      <c r="K2668">
        <v>64</v>
      </c>
      <c r="L2668">
        <v>314</v>
      </c>
      <c r="M2668">
        <v>134</v>
      </c>
      <c r="T2668">
        <v>20</v>
      </c>
      <c r="U2668">
        <v>0</v>
      </c>
      <c r="Y2668">
        <v>27</v>
      </c>
      <c r="Z2668">
        <v>0</v>
      </c>
      <c r="AD2668">
        <v>0</v>
      </c>
      <c r="AE2668">
        <v>0</v>
      </c>
      <c r="AX2668">
        <v>20</v>
      </c>
      <c r="AY2668">
        <v>27</v>
      </c>
      <c r="AZ2668">
        <v>47</v>
      </c>
      <c r="BA2668">
        <v>27</v>
      </c>
      <c r="BB2668">
        <v>20</v>
      </c>
      <c r="BC2668">
        <v>47</v>
      </c>
      <c r="BD2668">
        <v>0</v>
      </c>
      <c r="BE2668">
        <v>0</v>
      </c>
      <c r="BF2668">
        <v>0</v>
      </c>
      <c r="BP2668">
        <v>43</v>
      </c>
      <c r="BR2668">
        <v>0</v>
      </c>
      <c r="BS2668">
        <v>0</v>
      </c>
      <c r="BT2668">
        <v>0</v>
      </c>
      <c r="BU2668">
        <v>0</v>
      </c>
      <c r="BV2668">
        <v>4</v>
      </c>
      <c r="BW2668">
        <v>47</v>
      </c>
      <c r="BX2668">
        <v>34</v>
      </c>
      <c r="BY2668">
        <v>0.38240000000000002</v>
      </c>
      <c r="BZ2668" s="6">
        <v>0.38</v>
      </c>
      <c r="CA2668" s="7">
        <v>45242</v>
      </c>
      <c r="CE2668">
        <v>8</v>
      </c>
      <c r="CF2668">
        <v>20</v>
      </c>
      <c r="CG2668">
        <v>19</v>
      </c>
      <c r="CI2668">
        <f t="shared" si="244"/>
        <v>2023</v>
      </c>
      <c r="CJ2668" t="str">
        <f t="shared" si="245"/>
        <v>5593_2023</v>
      </c>
    </row>
    <row r="2669" spans="1:88" x14ac:dyDescent="0.25">
      <c r="A2669" t="s">
        <v>111</v>
      </c>
      <c r="B2669" t="s">
        <v>157</v>
      </c>
      <c r="C2669">
        <v>5596</v>
      </c>
      <c r="D2669">
        <v>-37.900910000000003</v>
      </c>
      <c r="E2669">
        <v>144.659459</v>
      </c>
      <c r="F2669">
        <v>4</v>
      </c>
      <c r="G2669" t="s">
        <v>178</v>
      </c>
      <c r="H2669">
        <v>5</v>
      </c>
      <c r="I2669">
        <v>185</v>
      </c>
      <c r="J2669">
        <v>79</v>
      </c>
      <c r="K2669">
        <v>259</v>
      </c>
      <c r="L2669">
        <v>173</v>
      </c>
      <c r="M2669">
        <v>353</v>
      </c>
      <c r="N2669">
        <v>262</v>
      </c>
      <c r="O2669">
        <v>82</v>
      </c>
      <c r="T2669">
        <v>1</v>
      </c>
      <c r="U2669">
        <v>8</v>
      </c>
      <c r="V2669">
        <v>11</v>
      </c>
      <c r="Y2669">
        <v>0</v>
      </c>
      <c r="Z2669">
        <v>1</v>
      </c>
      <c r="AA2669">
        <v>86</v>
      </c>
      <c r="AD2669">
        <v>12</v>
      </c>
      <c r="AE2669">
        <v>2</v>
      </c>
      <c r="AF2669">
        <v>71</v>
      </c>
      <c r="AI2669">
        <v>11</v>
      </c>
      <c r="AJ2669">
        <v>75</v>
      </c>
      <c r="AK2669">
        <v>47</v>
      </c>
      <c r="AX2669">
        <v>20</v>
      </c>
      <c r="AY2669">
        <v>23</v>
      </c>
      <c r="AZ2669">
        <v>43</v>
      </c>
      <c r="BA2669">
        <v>87</v>
      </c>
      <c r="BB2669">
        <v>78</v>
      </c>
      <c r="BC2669">
        <v>165</v>
      </c>
      <c r="BD2669">
        <v>85</v>
      </c>
      <c r="BE2669">
        <v>56</v>
      </c>
      <c r="BF2669">
        <v>141</v>
      </c>
      <c r="BG2669">
        <v>133</v>
      </c>
      <c r="BH2669">
        <v>168</v>
      </c>
      <c r="BI2669">
        <v>301</v>
      </c>
      <c r="BP2669">
        <v>25</v>
      </c>
      <c r="BR2669">
        <v>242</v>
      </c>
      <c r="BS2669">
        <v>5</v>
      </c>
      <c r="BT2669">
        <v>31</v>
      </c>
      <c r="BU2669">
        <v>19</v>
      </c>
      <c r="BV2669">
        <v>3</v>
      </c>
      <c r="BW2669">
        <v>325</v>
      </c>
      <c r="BX2669">
        <v>324</v>
      </c>
      <c r="BY2669">
        <v>3.0999999999999999E-3</v>
      </c>
      <c r="BZ2669" s="6">
        <v>0</v>
      </c>
      <c r="CA2669" s="7">
        <v>45242</v>
      </c>
      <c r="CE2669">
        <v>93</v>
      </c>
      <c r="CF2669">
        <v>119</v>
      </c>
      <c r="CG2669">
        <v>113</v>
      </c>
      <c r="CI2669">
        <f t="shared" si="244"/>
        <v>2023</v>
      </c>
      <c r="CJ2669" t="str">
        <f t="shared" si="245"/>
        <v>5596_2023</v>
      </c>
    </row>
    <row r="2670" spans="1:88" x14ac:dyDescent="0.25">
      <c r="A2670" t="s">
        <v>111</v>
      </c>
      <c r="B2670" t="s">
        <v>157</v>
      </c>
      <c r="C2670">
        <v>5597</v>
      </c>
      <c r="D2670">
        <v>-37.934781000000001</v>
      </c>
      <c r="E2670">
        <v>144.66141300000001</v>
      </c>
      <c r="F2670">
        <v>3</v>
      </c>
      <c r="G2670" t="s">
        <v>180</v>
      </c>
      <c r="H2670">
        <v>23</v>
      </c>
      <c r="I2670">
        <v>203</v>
      </c>
      <c r="J2670">
        <v>128</v>
      </c>
      <c r="K2670">
        <v>308</v>
      </c>
      <c r="L2670">
        <v>303</v>
      </c>
      <c r="M2670">
        <v>123</v>
      </c>
      <c r="T2670">
        <v>0</v>
      </c>
      <c r="U2670">
        <v>2</v>
      </c>
      <c r="Y2670">
        <v>0</v>
      </c>
      <c r="Z2670">
        <v>5</v>
      </c>
      <c r="AD2670">
        <v>1</v>
      </c>
      <c r="AE2670">
        <v>4</v>
      </c>
      <c r="AX2670">
        <v>2</v>
      </c>
      <c r="AY2670">
        <v>1</v>
      </c>
      <c r="AZ2670">
        <v>3</v>
      </c>
      <c r="BA2670">
        <v>5</v>
      </c>
      <c r="BB2670">
        <v>4</v>
      </c>
      <c r="BC2670">
        <v>9</v>
      </c>
      <c r="BD2670">
        <v>5</v>
      </c>
      <c r="BE2670">
        <v>7</v>
      </c>
      <c r="BF2670">
        <v>12</v>
      </c>
      <c r="BP2670">
        <v>8</v>
      </c>
      <c r="BR2670">
        <v>4</v>
      </c>
      <c r="BS2670">
        <v>0</v>
      </c>
      <c r="BT2670">
        <v>0</v>
      </c>
      <c r="BU2670">
        <v>0</v>
      </c>
      <c r="BV2670">
        <v>0</v>
      </c>
      <c r="BW2670">
        <v>12</v>
      </c>
      <c r="BX2670">
        <v>0</v>
      </c>
      <c r="BY2670">
        <v>0</v>
      </c>
      <c r="BZ2670" s="6">
        <v>0</v>
      </c>
      <c r="CA2670" s="7">
        <v>45242</v>
      </c>
      <c r="CE2670">
        <v>7</v>
      </c>
      <c r="CF2670">
        <v>2</v>
      </c>
      <c r="CG2670">
        <v>3</v>
      </c>
      <c r="CI2670">
        <f t="shared" si="244"/>
        <v>2023</v>
      </c>
      <c r="CJ2670" t="str">
        <f t="shared" si="245"/>
        <v>5597_2023</v>
      </c>
    </row>
    <row r="2671" spans="1:88" x14ac:dyDescent="0.25">
      <c r="A2671" t="s">
        <v>111</v>
      </c>
      <c r="B2671" t="s">
        <v>157</v>
      </c>
      <c r="C2671">
        <v>6043</v>
      </c>
      <c r="D2671">
        <v>-37.919029000000002</v>
      </c>
      <c r="E2671">
        <v>144.65866199999999</v>
      </c>
      <c r="F2671">
        <v>4</v>
      </c>
      <c r="G2671" t="s">
        <v>378</v>
      </c>
      <c r="H2671">
        <v>66</v>
      </c>
      <c r="I2671">
        <v>246</v>
      </c>
      <c r="J2671">
        <v>201</v>
      </c>
      <c r="K2671">
        <v>21</v>
      </c>
      <c r="L2671">
        <v>247</v>
      </c>
      <c r="M2671">
        <v>67</v>
      </c>
      <c r="N2671">
        <v>302</v>
      </c>
      <c r="O2671">
        <v>122</v>
      </c>
      <c r="T2671">
        <v>3</v>
      </c>
      <c r="U2671">
        <v>0</v>
      </c>
      <c r="V2671">
        <v>20</v>
      </c>
      <c r="Y2671">
        <v>1</v>
      </c>
      <c r="Z2671">
        <v>0</v>
      </c>
      <c r="AA2671">
        <v>3</v>
      </c>
      <c r="AD2671">
        <v>2</v>
      </c>
      <c r="AE2671">
        <v>0</v>
      </c>
      <c r="AF2671">
        <v>2</v>
      </c>
      <c r="AI2671">
        <v>16</v>
      </c>
      <c r="AJ2671">
        <v>1</v>
      </c>
      <c r="AK2671">
        <v>9</v>
      </c>
      <c r="AX2671">
        <v>23</v>
      </c>
      <c r="AY2671">
        <v>19</v>
      </c>
      <c r="AZ2671">
        <v>42</v>
      </c>
      <c r="BA2671">
        <v>4</v>
      </c>
      <c r="BB2671">
        <v>4</v>
      </c>
      <c r="BC2671">
        <v>8</v>
      </c>
      <c r="BD2671">
        <v>4</v>
      </c>
      <c r="BE2671">
        <v>9</v>
      </c>
      <c r="BF2671">
        <v>13</v>
      </c>
      <c r="BG2671">
        <v>26</v>
      </c>
      <c r="BH2671">
        <v>25</v>
      </c>
      <c r="BI2671">
        <v>51</v>
      </c>
      <c r="BP2671">
        <v>31</v>
      </c>
      <c r="BR2671">
        <v>14</v>
      </c>
      <c r="BS2671">
        <v>9</v>
      </c>
      <c r="BT2671">
        <v>3</v>
      </c>
      <c r="BU2671">
        <v>0</v>
      </c>
      <c r="BV2671">
        <v>0</v>
      </c>
      <c r="BW2671">
        <v>57</v>
      </c>
      <c r="BX2671">
        <v>55</v>
      </c>
      <c r="BY2671">
        <v>3.6400000000000002E-2</v>
      </c>
      <c r="BZ2671" s="6">
        <v>0.04</v>
      </c>
      <c r="CA2671" s="7">
        <v>45242</v>
      </c>
      <c r="CE2671">
        <v>16</v>
      </c>
      <c r="CF2671">
        <v>18</v>
      </c>
      <c r="CG2671">
        <v>23</v>
      </c>
      <c r="CI2671">
        <f t="shared" si="244"/>
        <v>2023</v>
      </c>
      <c r="CJ2671" t="str">
        <f t="shared" si="245"/>
        <v>6043_2023</v>
      </c>
    </row>
    <row r="2672" spans="1:88" x14ac:dyDescent="0.25">
      <c r="A2672" t="s">
        <v>111</v>
      </c>
      <c r="B2672" t="s">
        <v>157</v>
      </c>
      <c r="C2672">
        <v>6250</v>
      </c>
      <c r="D2672">
        <v>-37.820585000000001</v>
      </c>
      <c r="E2672">
        <v>144.825098</v>
      </c>
      <c r="F2672">
        <v>3</v>
      </c>
      <c r="G2672" t="s">
        <v>433</v>
      </c>
      <c r="H2672">
        <v>70</v>
      </c>
      <c r="I2672">
        <v>250</v>
      </c>
      <c r="J2672">
        <v>238</v>
      </c>
      <c r="K2672">
        <v>58</v>
      </c>
      <c r="L2672">
        <v>344</v>
      </c>
      <c r="M2672">
        <v>164</v>
      </c>
      <c r="T2672">
        <v>9</v>
      </c>
      <c r="U2672">
        <v>4</v>
      </c>
      <c r="Y2672">
        <v>23</v>
      </c>
      <c r="Z2672">
        <v>5</v>
      </c>
      <c r="AD2672">
        <v>7</v>
      </c>
      <c r="AE2672">
        <v>6</v>
      </c>
      <c r="AX2672">
        <v>13</v>
      </c>
      <c r="AY2672">
        <v>30</v>
      </c>
      <c r="AZ2672">
        <v>43</v>
      </c>
      <c r="BA2672">
        <v>28</v>
      </c>
      <c r="BB2672">
        <v>15</v>
      </c>
      <c r="BC2672">
        <v>43</v>
      </c>
      <c r="BD2672">
        <v>13</v>
      </c>
      <c r="BE2672">
        <v>9</v>
      </c>
      <c r="BF2672">
        <v>22</v>
      </c>
      <c r="BP2672">
        <v>47</v>
      </c>
      <c r="BR2672">
        <v>0</v>
      </c>
      <c r="BS2672">
        <v>2</v>
      </c>
      <c r="BT2672">
        <v>0</v>
      </c>
      <c r="BU2672">
        <v>0</v>
      </c>
      <c r="BV2672">
        <v>5</v>
      </c>
      <c r="BW2672">
        <v>54</v>
      </c>
      <c r="BX2672">
        <v>35</v>
      </c>
      <c r="BY2672">
        <v>0.54290000000000005</v>
      </c>
      <c r="BZ2672" s="6">
        <v>0.54</v>
      </c>
      <c r="CA2672" s="7">
        <v>45242</v>
      </c>
      <c r="CE2672">
        <v>11</v>
      </c>
      <c r="CF2672">
        <v>21</v>
      </c>
      <c r="CG2672">
        <v>22</v>
      </c>
      <c r="CI2672">
        <f t="shared" si="244"/>
        <v>2023</v>
      </c>
      <c r="CJ2672" t="str">
        <f t="shared" si="245"/>
        <v>6250_2023</v>
      </c>
    </row>
    <row r="2673" spans="1:88" x14ac:dyDescent="0.25">
      <c r="A2673" t="s">
        <v>111</v>
      </c>
      <c r="B2673" t="s">
        <v>157</v>
      </c>
      <c r="C2673">
        <v>7020</v>
      </c>
      <c r="D2673">
        <v>-37.903032000000003</v>
      </c>
      <c r="E2673">
        <v>144.65101000000001</v>
      </c>
      <c r="F2673">
        <v>4</v>
      </c>
      <c r="G2673" t="s">
        <v>697</v>
      </c>
      <c r="H2673">
        <v>70</v>
      </c>
      <c r="I2673">
        <v>250</v>
      </c>
      <c r="J2673">
        <v>246</v>
      </c>
      <c r="K2673">
        <v>66</v>
      </c>
      <c r="L2673">
        <v>307</v>
      </c>
      <c r="M2673">
        <v>127</v>
      </c>
      <c r="N2673">
        <v>346</v>
      </c>
      <c r="O2673">
        <v>166</v>
      </c>
      <c r="T2673">
        <v>4</v>
      </c>
      <c r="U2673">
        <v>9</v>
      </c>
      <c r="V2673">
        <v>4</v>
      </c>
      <c r="Y2673">
        <v>5</v>
      </c>
      <c r="Z2673">
        <v>5</v>
      </c>
      <c r="AA2673">
        <v>0</v>
      </c>
      <c r="AD2673">
        <v>5</v>
      </c>
      <c r="AE2673">
        <v>1</v>
      </c>
      <c r="AF2673">
        <v>0</v>
      </c>
      <c r="AI2673">
        <v>7</v>
      </c>
      <c r="AJ2673">
        <v>0</v>
      </c>
      <c r="AK2673">
        <v>3</v>
      </c>
      <c r="AX2673">
        <v>17</v>
      </c>
      <c r="AY2673">
        <v>17</v>
      </c>
      <c r="AZ2673">
        <v>34</v>
      </c>
      <c r="BA2673">
        <v>10</v>
      </c>
      <c r="BB2673">
        <v>5</v>
      </c>
      <c r="BC2673">
        <v>15</v>
      </c>
      <c r="BD2673">
        <v>6</v>
      </c>
      <c r="BE2673">
        <v>17</v>
      </c>
      <c r="BF2673">
        <v>23</v>
      </c>
      <c r="BG2673">
        <v>10</v>
      </c>
      <c r="BH2673">
        <v>4</v>
      </c>
      <c r="BI2673">
        <v>14</v>
      </c>
      <c r="BP2673">
        <v>23</v>
      </c>
      <c r="BR2673">
        <v>9</v>
      </c>
      <c r="BS2673">
        <v>4</v>
      </c>
      <c r="BT2673">
        <v>3</v>
      </c>
      <c r="BU2673">
        <v>4</v>
      </c>
      <c r="BV2673">
        <v>0</v>
      </c>
      <c r="BW2673">
        <v>43</v>
      </c>
      <c r="BX2673">
        <v>90</v>
      </c>
      <c r="BY2673">
        <v>-0.5222</v>
      </c>
      <c r="BZ2673" s="6">
        <v>-0.52</v>
      </c>
      <c r="CA2673" s="7">
        <v>45242</v>
      </c>
      <c r="CE2673">
        <v>18</v>
      </c>
      <c r="CF2673">
        <v>13</v>
      </c>
      <c r="CG2673">
        <v>12</v>
      </c>
      <c r="CI2673">
        <f t="shared" si="244"/>
        <v>2023</v>
      </c>
      <c r="CJ2673" t="str">
        <f t="shared" si="245"/>
        <v>7020_2023</v>
      </c>
    </row>
    <row r="2674" spans="1:88" x14ac:dyDescent="0.25">
      <c r="A2674" t="s">
        <v>111</v>
      </c>
      <c r="B2674" t="s">
        <v>157</v>
      </c>
      <c r="C2674">
        <v>7021</v>
      </c>
      <c r="D2674">
        <v>-37.912908999999999</v>
      </c>
      <c r="E2674">
        <v>144.68338</v>
      </c>
      <c r="F2674">
        <v>4</v>
      </c>
      <c r="G2674" t="s">
        <v>698</v>
      </c>
      <c r="H2674">
        <v>123</v>
      </c>
      <c r="I2674">
        <v>303</v>
      </c>
      <c r="J2674">
        <v>186</v>
      </c>
      <c r="K2674">
        <v>6</v>
      </c>
      <c r="L2674">
        <v>307</v>
      </c>
      <c r="M2674">
        <v>127</v>
      </c>
      <c r="N2674">
        <v>351</v>
      </c>
      <c r="O2674">
        <v>171</v>
      </c>
      <c r="T2674">
        <v>0</v>
      </c>
      <c r="U2674">
        <v>3</v>
      </c>
      <c r="V2674">
        <v>0</v>
      </c>
      <c r="Y2674">
        <v>1</v>
      </c>
      <c r="Z2674">
        <v>24</v>
      </c>
      <c r="AA2674">
        <v>0</v>
      </c>
      <c r="AD2674">
        <v>0</v>
      </c>
      <c r="AE2674">
        <v>149</v>
      </c>
      <c r="AF2674">
        <v>0</v>
      </c>
      <c r="AI2674">
        <v>0</v>
      </c>
      <c r="AJ2674">
        <v>0</v>
      </c>
      <c r="AK2674">
        <v>0</v>
      </c>
      <c r="AX2674">
        <v>3</v>
      </c>
      <c r="AY2674">
        <v>1</v>
      </c>
      <c r="AZ2674">
        <v>4</v>
      </c>
      <c r="BA2674">
        <v>25</v>
      </c>
      <c r="BB2674">
        <v>149</v>
      </c>
      <c r="BC2674">
        <v>174</v>
      </c>
      <c r="BD2674">
        <v>149</v>
      </c>
      <c r="BE2674">
        <v>27</v>
      </c>
      <c r="BF2674">
        <v>176</v>
      </c>
      <c r="BG2674">
        <v>0</v>
      </c>
      <c r="BH2674">
        <v>0</v>
      </c>
      <c r="BI2674">
        <v>0</v>
      </c>
      <c r="BP2674">
        <v>73</v>
      </c>
      <c r="BR2674">
        <v>103</v>
      </c>
      <c r="BS2674">
        <v>1</v>
      </c>
      <c r="BT2674">
        <v>0</v>
      </c>
      <c r="BU2674">
        <v>0</v>
      </c>
      <c r="BV2674">
        <v>0</v>
      </c>
      <c r="BW2674">
        <v>177</v>
      </c>
      <c r="BX2674">
        <v>16</v>
      </c>
      <c r="BY2674">
        <v>10.0625</v>
      </c>
      <c r="BZ2674" s="6">
        <v>10.06</v>
      </c>
      <c r="CA2674" s="7">
        <v>45249</v>
      </c>
      <c r="CE2674">
        <v>36</v>
      </c>
      <c r="CF2674">
        <v>44</v>
      </c>
      <c r="CG2674">
        <v>97</v>
      </c>
      <c r="CI2674">
        <f t="shared" si="244"/>
        <v>2023</v>
      </c>
      <c r="CJ2674" t="str">
        <f t="shared" si="245"/>
        <v>7021_2023</v>
      </c>
    </row>
    <row r="2675" spans="1:88" x14ac:dyDescent="0.25">
      <c r="A2675" t="s">
        <v>111</v>
      </c>
      <c r="B2675" t="s">
        <v>157</v>
      </c>
      <c r="C2675">
        <v>7185</v>
      </c>
      <c r="D2675">
        <v>-37.898055999999997</v>
      </c>
      <c r="E2675">
        <v>144.70433399999999</v>
      </c>
      <c r="F2675">
        <v>4</v>
      </c>
      <c r="G2675" t="s">
        <v>780</v>
      </c>
      <c r="H2675">
        <v>18</v>
      </c>
      <c r="I2675">
        <v>198</v>
      </c>
      <c r="J2675">
        <v>98</v>
      </c>
      <c r="K2675">
        <v>278</v>
      </c>
      <c r="L2675">
        <v>200</v>
      </c>
      <c r="M2675">
        <v>20</v>
      </c>
      <c r="N2675">
        <v>277</v>
      </c>
      <c r="O2675">
        <v>97</v>
      </c>
      <c r="T2675">
        <v>0</v>
      </c>
      <c r="U2675">
        <v>0</v>
      </c>
      <c r="V2675">
        <v>0</v>
      </c>
      <c r="Y2675">
        <v>0</v>
      </c>
      <c r="Z2675">
        <v>3</v>
      </c>
      <c r="AA2675">
        <v>12</v>
      </c>
      <c r="AD2675">
        <v>0</v>
      </c>
      <c r="AE2675">
        <v>8</v>
      </c>
      <c r="AF2675">
        <v>19</v>
      </c>
      <c r="AI2675">
        <v>0</v>
      </c>
      <c r="AJ2675">
        <v>17</v>
      </c>
      <c r="AK2675">
        <v>6</v>
      </c>
      <c r="AX2675">
        <v>0</v>
      </c>
      <c r="AY2675">
        <v>0</v>
      </c>
      <c r="AZ2675">
        <v>0</v>
      </c>
      <c r="BA2675">
        <v>15</v>
      </c>
      <c r="BB2675">
        <v>25</v>
      </c>
      <c r="BC2675">
        <v>40</v>
      </c>
      <c r="BD2675">
        <v>27</v>
      </c>
      <c r="BE2675">
        <v>9</v>
      </c>
      <c r="BF2675">
        <v>36</v>
      </c>
      <c r="BG2675">
        <v>23</v>
      </c>
      <c r="BH2675">
        <v>31</v>
      </c>
      <c r="BI2675">
        <v>54</v>
      </c>
      <c r="BP2675">
        <v>52</v>
      </c>
      <c r="BR2675">
        <v>6</v>
      </c>
      <c r="BS2675">
        <v>5</v>
      </c>
      <c r="BT2675">
        <v>0</v>
      </c>
      <c r="BU2675">
        <v>1</v>
      </c>
      <c r="BV2675">
        <v>1</v>
      </c>
      <c r="BW2675">
        <v>65</v>
      </c>
      <c r="BX2675">
        <v>60</v>
      </c>
      <c r="BY2675">
        <v>8.3299999999999999E-2</v>
      </c>
      <c r="BZ2675" s="6">
        <v>0.08</v>
      </c>
      <c r="CA2675" s="7">
        <v>45242</v>
      </c>
      <c r="CE2675">
        <v>36</v>
      </c>
      <c r="CF2675">
        <v>21</v>
      </c>
      <c r="CG2675">
        <v>8</v>
      </c>
      <c r="CI2675">
        <f t="shared" si="244"/>
        <v>2023</v>
      </c>
      <c r="CJ2675" t="str">
        <f t="shared" si="245"/>
        <v>7185_2023</v>
      </c>
    </row>
    <row r="2676" spans="1:88" x14ac:dyDescent="0.25">
      <c r="A2676" t="s">
        <v>111</v>
      </c>
      <c r="B2676" t="s">
        <v>157</v>
      </c>
      <c r="C2676">
        <v>7472</v>
      </c>
      <c r="D2676">
        <v>-37.895902</v>
      </c>
      <c r="E2676">
        <v>144.716735</v>
      </c>
      <c r="F2676">
        <v>5</v>
      </c>
      <c r="G2676" t="s">
        <v>849</v>
      </c>
      <c r="H2676">
        <v>10</v>
      </c>
      <c r="I2676">
        <v>190</v>
      </c>
      <c r="J2676">
        <v>98</v>
      </c>
      <c r="K2676">
        <v>278</v>
      </c>
      <c r="L2676">
        <v>186</v>
      </c>
      <c r="M2676">
        <v>6</v>
      </c>
      <c r="N2676">
        <v>267</v>
      </c>
      <c r="O2676">
        <v>87</v>
      </c>
      <c r="P2676">
        <v>330</v>
      </c>
      <c r="Q2676">
        <v>150</v>
      </c>
      <c r="T2676">
        <v>13</v>
      </c>
      <c r="U2676">
        <v>15</v>
      </c>
      <c r="V2676">
        <v>3</v>
      </c>
      <c r="W2676">
        <v>10</v>
      </c>
      <c r="Y2676">
        <v>17</v>
      </c>
      <c r="Z2676">
        <v>15</v>
      </c>
      <c r="AA2676">
        <v>14</v>
      </c>
      <c r="AB2676">
        <v>1</v>
      </c>
      <c r="AD2676">
        <v>17</v>
      </c>
      <c r="AE2676">
        <v>25</v>
      </c>
      <c r="AF2676">
        <v>4</v>
      </c>
      <c r="AG2676">
        <v>3</v>
      </c>
      <c r="AI2676">
        <v>4</v>
      </c>
      <c r="AJ2676">
        <v>21</v>
      </c>
      <c r="AK2676">
        <v>3</v>
      </c>
      <c r="AL2676">
        <v>1</v>
      </c>
      <c r="AN2676">
        <v>14</v>
      </c>
      <c r="AO2676">
        <v>2</v>
      </c>
      <c r="AP2676">
        <v>6</v>
      </c>
      <c r="AQ2676">
        <v>0</v>
      </c>
      <c r="AX2676">
        <v>41</v>
      </c>
      <c r="AY2676">
        <v>52</v>
      </c>
      <c r="AZ2676">
        <v>93</v>
      </c>
      <c r="BA2676">
        <v>47</v>
      </c>
      <c r="BB2676">
        <v>61</v>
      </c>
      <c r="BC2676">
        <v>108</v>
      </c>
      <c r="BD2676">
        <v>49</v>
      </c>
      <c r="BE2676">
        <v>39</v>
      </c>
      <c r="BF2676">
        <v>88</v>
      </c>
      <c r="BG2676">
        <v>29</v>
      </c>
      <c r="BH2676">
        <v>21</v>
      </c>
      <c r="BI2676">
        <v>50</v>
      </c>
      <c r="BJ2676">
        <v>22</v>
      </c>
      <c r="BK2676">
        <v>15</v>
      </c>
      <c r="BL2676">
        <v>37</v>
      </c>
      <c r="BP2676">
        <v>69</v>
      </c>
      <c r="BR2676">
        <v>89</v>
      </c>
      <c r="BS2676">
        <v>17</v>
      </c>
      <c r="BT2676">
        <v>12</v>
      </c>
      <c r="BU2676">
        <v>1</v>
      </c>
      <c r="BV2676">
        <v>0</v>
      </c>
      <c r="BW2676">
        <v>188</v>
      </c>
      <c r="BX2676">
        <v>182</v>
      </c>
      <c r="BY2676">
        <v>3.3000000000000002E-2</v>
      </c>
      <c r="BZ2676" s="6">
        <v>0.03</v>
      </c>
      <c r="CA2676" s="7">
        <v>45242</v>
      </c>
      <c r="CE2676">
        <v>81</v>
      </c>
      <c r="CF2676">
        <v>55</v>
      </c>
      <c r="CG2676">
        <v>52</v>
      </c>
      <c r="CI2676">
        <f t="shared" si="244"/>
        <v>2023</v>
      </c>
      <c r="CJ2676" t="str">
        <f t="shared" si="245"/>
        <v>7472_2023</v>
      </c>
    </row>
    <row r="2677" spans="1:88" x14ac:dyDescent="0.25">
      <c r="A2677" t="s">
        <v>111</v>
      </c>
      <c r="B2677" t="s">
        <v>157</v>
      </c>
      <c r="C2677">
        <v>5595</v>
      </c>
      <c r="D2677">
        <v>-37.887583999999997</v>
      </c>
      <c r="E2677">
        <v>144.64265900000001</v>
      </c>
      <c r="F2677">
        <v>4</v>
      </c>
      <c r="G2677" t="s">
        <v>177</v>
      </c>
      <c r="H2677">
        <v>70</v>
      </c>
      <c r="I2677">
        <v>250</v>
      </c>
      <c r="J2677">
        <v>150</v>
      </c>
      <c r="K2677">
        <v>330</v>
      </c>
      <c r="L2677">
        <v>271</v>
      </c>
      <c r="M2677">
        <v>91</v>
      </c>
      <c r="N2677">
        <v>335</v>
      </c>
      <c r="O2677">
        <v>155</v>
      </c>
      <c r="T2677">
        <v>13</v>
      </c>
      <c r="U2677">
        <v>10</v>
      </c>
      <c r="V2677">
        <v>7</v>
      </c>
      <c r="Y2677">
        <v>12</v>
      </c>
      <c r="Z2677">
        <v>10</v>
      </c>
      <c r="AA2677">
        <v>30</v>
      </c>
      <c r="AD2677">
        <v>17</v>
      </c>
      <c r="AE2677">
        <v>2</v>
      </c>
      <c r="AF2677">
        <v>2</v>
      </c>
      <c r="AI2677">
        <v>12</v>
      </c>
      <c r="AJ2677">
        <v>20</v>
      </c>
      <c r="AK2677">
        <v>8</v>
      </c>
      <c r="AX2677">
        <v>30</v>
      </c>
      <c r="AY2677">
        <v>41</v>
      </c>
      <c r="AZ2677">
        <v>71</v>
      </c>
      <c r="BA2677">
        <v>52</v>
      </c>
      <c r="BB2677">
        <v>35</v>
      </c>
      <c r="BC2677">
        <v>87</v>
      </c>
      <c r="BD2677">
        <v>21</v>
      </c>
      <c r="BE2677">
        <v>28</v>
      </c>
      <c r="BF2677">
        <v>49</v>
      </c>
      <c r="BG2677">
        <v>40</v>
      </c>
      <c r="BH2677">
        <v>39</v>
      </c>
      <c r="BI2677">
        <v>79</v>
      </c>
      <c r="BP2677">
        <v>66</v>
      </c>
      <c r="BR2677">
        <v>49</v>
      </c>
      <c r="BS2677">
        <v>16</v>
      </c>
      <c r="BT2677">
        <v>8</v>
      </c>
      <c r="BU2677">
        <v>2</v>
      </c>
      <c r="BV2677">
        <v>2</v>
      </c>
      <c r="BW2677">
        <v>143</v>
      </c>
      <c r="BX2677">
        <v>158</v>
      </c>
      <c r="BY2677">
        <v>-9.4899999999999998E-2</v>
      </c>
      <c r="BZ2677" s="6">
        <v>-0.09</v>
      </c>
      <c r="CA2677" s="7">
        <v>45249</v>
      </c>
      <c r="CE2677">
        <v>54</v>
      </c>
      <c r="CF2677">
        <v>58</v>
      </c>
      <c r="CG2677">
        <v>31</v>
      </c>
      <c r="CI2677">
        <f t="shared" si="244"/>
        <v>2023</v>
      </c>
      <c r="CJ2677" t="str">
        <f t="shared" si="245"/>
        <v>5595_2023</v>
      </c>
    </row>
    <row r="2678" spans="1:88" x14ac:dyDescent="0.25">
      <c r="A2678" t="s">
        <v>111</v>
      </c>
      <c r="B2678" t="s">
        <v>157</v>
      </c>
      <c r="C2678">
        <v>6841</v>
      </c>
      <c r="D2678">
        <v>-37.888347000000003</v>
      </c>
      <c r="E2678">
        <v>144.61904100000001</v>
      </c>
      <c r="F2678">
        <v>3</v>
      </c>
      <c r="G2678" t="s">
        <v>636</v>
      </c>
      <c r="H2678">
        <v>84</v>
      </c>
      <c r="I2678">
        <v>264</v>
      </c>
      <c r="J2678">
        <v>237</v>
      </c>
      <c r="K2678">
        <v>57</v>
      </c>
      <c r="L2678">
        <v>316</v>
      </c>
      <c r="M2678">
        <v>136</v>
      </c>
      <c r="T2678">
        <v>12</v>
      </c>
      <c r="U2678">
        <v>16</v>
      </c>
      <c r="Y2678">
        <v>9</v>
      </c>
      <c r="Z2678">
        <v>5</v>
      </c>
      <c r="AD2678">
        <v>10</v>
      </c>
      <c r="AE2678">
        <v>9</v>
      </c>
      <c r="AX2678">
        <v>28</v>
      </c>
      <c r="AY2678">
        <v>19</v>
      </c>
      <c r="AZ2678">
        <v>47</v>
      </c>
      <c r="BA2678">
        <v>14</v>
      </c>
      <c r="BB2678">
        <v>21</v>
      </c>
      <c r="BC2678">
        <v>35</v>
      </c>
      <c r="BD2678">
        <v>19</v>
      </c>
      <c r="BE2678">
        <v>21</v>
      </c>
      <c r="BF2678">
        <v>40</v>
      </c>
      <c r="BP2678">
        <v>4</v>
      </c>
      <c r="BR2678">
        <v>35</v>
      </c>
      <c r="BS2678">
        <v>4</v>
      </c>
      <c r="BT2678">
        <v>18</v>
      </c>
      <c r="BU2678">
        <v>0</v>
      </c>
      <c r="BV2678">
        <v>0</v>
      </c>
      <c r="BW2678">
        <v>61</v>
      </c>
      <c r="BX2678">
        <v>82</v>
      </c>
      <c r="BY2678">
        <v>-0.25609999999999999</v>
      </c>
      <c r="BZ2678" s="6">
        <v>-0.26</v>
      </c>
      <c r="CA2678" s="7">
        <v>45249</v>
      </c>
      <c r="CE2678">
        <v>11</v>
      </c>
      <c r="CF2678">
        <v>13</v>
      </c>
      <c r="CG2678">
        <v>37</v>
      </c>
      <c r="CI2678">
        <f t="shared" si="244"/>
        <v>2023</v>
      </c>
      <c r="CJ2678" t="str">
        <f t="shared" si="245"/>
        <v>6841_2023</v>
      </c>
    </row>
    <row r="2679" spans="1:88" x14ac:dyDescent="0.25">
      <c r="A2679" t="s">
        <v>111</v>
      </c>
      <c r="B2679" t="s">
        <v>196</v>
      </c>
      <c r="C2679">
        <v>5617</v>
      </c>
      <c r="D2679">
        <v>-37.834009999999999</v>
      </c>
      <c r="E2679">
        <v>145.02362600000001</v>
      </c>
      <c r="F2679">
        <v>3</v>
      </c>
      <c r="G2679" t="s">
        <v>197</v>
      </c>
      <c r="H2679">
        <v>80</v>
      </c>
      <c r="I2679">
        <v>260</v>
      </c>
      <c r="J2679">
        <v>130</v>
      </c>
      <c r="K2679">
        <v>310</v>
      </c>
      <c r="L2679">
        <v>327</v>
      </c>
      <c r="M2679">
        <v>147</v>
      </c>
      <c r="T2679">
        <v>119</v>
      </c>
      <c r="U2679">
        <v>232</v>
      </c>
      <c r="Y2679">
        <v>84</v>
      </c>
      <c r="Z2679">
        <v>386</v>
      </c>
      <c r="AD2679">
        <v>263</v>
      </c>
      <c r="AE2679">
        <v>344</v>
      </c>
      <c r="AX2679">
        <v>351</v>
      </c>
      <c r="AY2679">
        <v>347</v>
      </c>
      <c r="AZ2679">
        <v>698</v>
      </c>
      <c r="BA2679">
        <v>470</v>
      </c>
      <c r="BB2679">
        <v>463</v>
      </c>
      <c r="BC2679">
        <v>933</v>
      </c>
      <c r="BD2679">
        <v>607</v>
      </c>
      <c r="BE2679">
        <v>618</v>
      </c>
      <c r="BF2679">
        <v>1225</v>
      </c>
      <c r="BP2679">
        <v>706</v>
      </c>
      <c r="BR2679">
        <v>159</v>
      </c>
      <c r="BS2679">
        <v>531</v>
      </c>
      <c r="BT2679">
        <v>18</v>
      </c>
      <c r="BU2679">
        <v>6</v>
      </c>
      <c r="BV2679">
        <v>8</v>
      </c>
      <c r="BW2679">
        <v>1428</v>
      </c>
      <c r="BX2679">
        <v>1580</v>
      </c>
      <c r="BY2679">
        <v>-9.6199999999999994E-2</v>
      </c>
      <c r="BZ2679" s="6">
        <v>-0.1</v>
      </c>
      <c r="CA2679" s="7">
        <v>45242</v>
      </c>
      <c r="CE2679">
        <v>462</v>
      </c>
      <c r="CF2679">
        <v>556</v>
      </c>
      <c r="CG2679">
        <v>410</v>
      </c>
      <c r="CI2679">
        <f t="shared" si="244"/>
        <v>2023</v>
      </c>
      <c r="CJ2679" t="str">
        <f t="shared" si="245"/>
        <v>5617_2023</v>
      </c>
    </row>
    <row r="2680" spans="1:88" x14ac:dyDescent="0.25">
      <c r="A2680" t="s">
        <v>111</v>
      </c>
      <c r="B2680" t="s">
        <v>196</v>
      </c>
      <c r="C2680">
        <v>5618</v>
      </c>
      <c r="D2680">
        <v>-37.805456999999997</v>
      </c>
      <c r="E2680">
        <v>144.99900299999999</v>
      </c>
      <c r="F2680">
        <v>3</v>
      </c>
      <c r="G2680" t="s">
        <v>198</v>
      </c>
      <c r="H2680">
        <v>24</v>
      </c>
      <c r="I2680">
        <v>204</v>
      </c>
      <c r="J2680">
        <v>89</v>
      </c>
      <c r="K2680">
        <v>269</v>
      </c>
      <c r="L2680">
        <v>270</v>
      </c>
      <c r="M2680">
        <v>90</v>
      </c>
      <c r="T2680">
        <v>0</v>
      </c>
      <c r="U2680">
        <v>0</v>
      </c>
      <c r="Y2680">
        <v>0</v>
      </c>
      <c r="Z2680">
        <v>350</v>
      </c>
      <c r="AD2680">
        <v>0</v>
      </c>
      <c r="AE2680">
        <v>390</v>
      </c>
      <c r="AX2680">
        <v>0</v>
      </c>
      <c r="AY2680">
        <v>0</v>
      </c>
      <c r="AZ2680">
        <v>0</v>
      </c>
      <c r="BA2680">
        <v>350</v>
      </c>
      <c r="BB2680">
        <v>390</v>
      </c>
      <c r="BC2680">
        <v>740</v>
      </c>
      <c r="BD2680">
        <v>390</v>
      </c>
      <c r="BE2680">
        <v>350</v>
      </c>
      <c r="BF2680">
        <v>740</v>
      </c>
      <c r="BP2680">
        <v>297</v>
      </c>
      <c r="BR2680">
        <v>278</v>
      </c>
      <c r="BS2680">
        <v>71</v>
      </c>
      <c r="BT2680">
        <v>94</v>
      </c>
      <c r="BU2680">
        <v>0</v>
      </c>
      <c r="BV2680">
        <v>0</v>
      </c>
      <c r="BW2680">
        <v>740</v>
      </c>
      <c r="BX2680">
        <v>908</v>
      </c>
      <c r="BY2680">
        <v>-0.185</v>
      </c>
      <c r="BZ2680" s="6">
        <v>-0.19</v>
      </c>
      <c r="CA2680" s="7">
        <v>45242</v>
      </c>
      <c r="CE2680">
        <v>253</v>
      </c>
      <c r="CF2680">
        <v>235</v>
      </c>
      <c r="CG2680">
        <v>252</v>
      </c>
      <c r="CI2680">
        <f t="shared" si="244"/>
        <v>2023</v>
      </c>
      <c r="CJ2680" t="str">
        <f t="shared" si="245"/>
        <v>5618_2023</v>
      </c>
    </row>
    <row r="2681" spans="1:88" x14ac:dyDescent="0.25">
      <c r="A2681" t="s">
        <v>111</v>
      </c>
      <c r="B2681" t="s">
        <v>196</v>
      </c>
      <c r="C2681">
        <v>5619</v>
      </c>
      <c r="D2681">
        <v>-37.796014</v>
      </c>
      <c r="E2681">
        <v>145.00105600000001</v>
      </c>
      <c r="F2681">
        <v>3</v>
      </c>
      <c r="G2681" t="s">
        <v>199</v>
      </c>
      <c r="H2681">
        <v>14</v>
      </c>
      <c r="I2681">
        <v>194</v>
      </c>
      <c r="J2681">
        <v>78</v>
      </c>
      <c r="K2681">
        <v>258</v>
      </c>
      <c r="L2681">
        <v>248</v>
      </c>
      <c r="M2681">
        <v>68</v>
      </c>
      <c r="T2681">
        <v>60</v>
      </c>
      <c r="U2681">
        <v>103</v>
      </c>
      <c r="Y2681">
        <v>39</v>
      </c>
      <c r="Z2681">
        <v>445</v>
      </c>
      <c r="AD2681">
        <v>57</v>
      </c>
      <c r="AE2681">
        <v>422</v>
      </c>
      <c r="AX2681">
        <v>163</v>
      </c>
      <c r="AY2681">
        <v>96</v>
      </c>
      <c r="AZ2681">
        <v>259</v>
      </c>
      <c r="BA2681">
        <v>484</v>
      </c>
      <c r="BB2681">
        <v>482</v>
      </c>
      <c r="BC2681">
        <v>966</v>
      </c>
      <c r="BD2681">
        <v>479</v>
      </c>
      <c r="BE2681">
        <v>548</v>
      </c>
      <c r="BF2681">
        <v>1027</v>
      </c>
      <c r="BP2681">
        <v>225</v>
      </c>
      <c r="BR2681">
        <v>526</v>
      </c>
      <c r="BS2681">
        <v>208</v>
      </c>
      <c r="BT2681">
        <v>166</v>
      </c>
      <c r="BU2681">
        <v>1</v>
      </c>
      <c r="BV2681">
        <v>0</v>
      </c>
      <c r="BW2681">
        <v>1126</v>
      </c>
      <c r="BX2681">
        <v>881</v>
      </c>
      <c r="BY2681">
        <v>0.27810000000000001</v>
      </c>
      <c r="BZ2681" s="6">
        <v>0.28000000000000003</v>
      </c>
      <c r="CA2681" s="7">
        <v>45242</v>
      </c>
      <c r="CE2681">
        <v>288</v>
      </c>
      <c r="CF2681">
        <v>411</v>
      </c>
      <c r="CG2681">
        <v>427</v>
      </c>
      <c r="CI2681">
        <f t="shared" si="244"/>
        <v>2023</v>
      </c>
      <c r="CJ2681" t="str">
        <f t="shared" si="245"/>
        <v>5619_2023</v>
      </c>
    </row>
    <row r="2682" spans="1:88" x14ac:dyDescent="0.25">
      <c r="A2682" t="s">
        <v>111</v>
      </c>
      <c r="B2682" t="s">
        <v>196</v>
      </c>
      <c r="C2682">
        <v>5620</v>
      </c>
      <c r="D2682">
        <v>-37.778438000000001</v>
      </c>
      <c r="E2682">
        <v>144.99042399999999</v>
      </c>
      <c r="F2682">
        <v>4</v>
      </c>
      <c r="G2682" t="s">
        <v>200</v>
      </c>
      <c r="H2682">
        <v>98</v>
      </c>
      <c r="I2682">
        <v>278</v>
      </c>
      <c r="J2682">
        <v>145</v>
      </c>
      <c r="K2682">
        <v>325</v>
      </c>
      <c r="L2682">
        <v>171</v>
      </c>
      <c r="M2682">
        <v>351</v>
      </c>
      <c r="N2682">
        <v>341</v>
      </c>
      <c r="O2682">
        <v>161</v>
      </c>
      <c r="T2682">
        <v>7</v>
      </c>
      <c r="U2682">
        <v>79</v>
      </c>
      <c r="V2682">
        <v>16</v>
      </c>
      <c r="Y2682">
        <v>6</v>
      </c>
      <c r="Z2682">
        <v>92</v>
      </c>
      <c r="AA2682">
        <v>143</v>
      </c>
      <c r="AD2682">
        <v>46</v>
      </c>
      <c r="AE2682">
        <v>74</v>
      </c>
      <c r="AF2682">
        <v>103</v>
      </c>
      <c r="AI2682">
        <v>12</v>
      </c>
      <c r="AJ2682">
        <v>82</v>
      </c>
      <c r="AK2682">
        <v>129</v>
      </c>
      <c r="AX2682">
        <v>102</v>
      </c>
      <c r="AY2682">
        <v>64</v>
      </c>
      <c r="AZ2682">
        <v>166</v>
      </c>
      <c r="BA2682">
        <v>241</v>
      </c>
      <c r="BB2682">
        <v>163</v>
      </c>
      <c r="BC2682">
        <v>404</v>
      </c>
      <c r="BD2682">
        <v>223</v>
      </c>
      <c r="BE2682">
        <v>300</v>
      </c>
      <c r="BF2682">
        <v>523</v>
      </c>
      <c r="BG2682">
        <v>223</v>
      </c>
      <c r="BH2682">
        <v>262</v>
      </c>
      <c r="BI2682">
        <v>485</v>
      </c>
      <c r="BP2682">
        <v>490</v>
      </c>
      <c r="BR2682">
        <v>142</v>
      </c>
      <c r="BS2682">
        <v>105</v>
      </c>
      <c r="BT2682">
        <v>47</v>
      </c>
      <c r="BU2682">
        <v>5</v>
      </c>
      <c r="BV2682">
        <v>0</v>
      </c>
      <c r="BW2682">
        <v>789</v>
      </c>
      <c r="BX2682">
        <v>560</v>
      </c>
      <c r="BY2682">
        <v>0.40889999999999999</v>
      </c>
      <c r="BZ2682" s="6">
        <v>0.41</v>
      </c>
      <c r="CA2682" s="7">
        <v>45242</v>
      </c>
      <c r="CE2682">
        <v>245</v>
      </c>
      <c r="CF2682">
        <v>280</v>
      </c>
      <c r="CG2682">
        <v>264</v>
      </c>
      <c r="CI2682">
        <f t="shared" si="244"/>
        <v>2023</v>
      </c>
      <c r="CJ2682" t="str">
        <f t="shared" si="245"/>
        <v>5620_2023</v>
      </c>
    </row>
    <row r="2683" spans="1:88" x14ac:dyDescent="0.25">
      <c r="A2683" t="s">
        <v>111</v>
      </c>
      <c r="B2683" t="s">
        <v>196</v>
      </c>
      <c r="C2683">
        <v>8011</v>
      </c>
      <c r="D2683">
        <v>-37.808515</v>
      </c>
      <c r="E2683">
        <v>144.99930000000001</v>
      </c>
      <c r="F2683">
        <v>3</v>
      </c>
      <c r="G2683" t="s">
        <v>1095</v>
      </c>
      <c r="H2683">
        <v>4</v>
      </c>
      <c r="I2683">
        <v>184</v>
      </c>
      <c r="J2683">
        <v>96</v>
      </c>
      <c r="K2683">
        <v>276</v>
      </c>
      <c r="L2683">
        <v>187</v>
      </c>
      <c r="M2683">
        <v>7</v>
      </c>
      <c r="T2683">
        <v>234</v>
      </c>
      <c r="U2683">
        <v>31</v>
      </c>
      <c r="Y2683">
        <v>233</v>
      </c>
      <c r="Z2683">
        <v>12</v>
      </c>
      <c r="AD2683">
        <v>28</v>
      </c>
      <c r="AE2683">
        <v>7</v>
      </c>
      <c r="AX2683">
        <v>265</v>
      </c>
      <c r="AY2683">
        <v>261</v>
      </c>
      <c r="AZ2683">
        <v>526</v>
      </c>
      <c r="BA2683">
        <v>245</v>
      </c>
      <c r="BB2683">
        <v>241</v>
      </c>
      <c r="BC2683">
        <v>486</v>
      </c>
      <c r="BD2683">
        <v>35</v>
      </c>
      <c r="BE2683">
        <v>43</v>
      </c>
      <c r="BF2683">
        <v>78</v>
      </c>
      <c r="BP2683">
        <v>304</v>
      </c>
      <c r="BR2683">
        <v>176</v>
      </c>
      <c r="BS2683">
        <v>30</v>
      </c>
      <c r="BT2683">
        <v>28</v>
      </c>
      <c r="BU2683">
        <v>7</v>
      </c>
      <c r="BV2683">
        <v>0</v>
      </c>
      <c r="BW2683">
        <v>545</v>
      </c>
      <c r="BX2683">
        <v>510</v>
      </c>
      <c r="BY2683">
        <v>6.8599999999999994E-2</v>
      </c>
      <c r="BZ2683" s="6">
        <v>7.0000000000000007E-2</v>
      </c>
      <c r="CA2683" s="7">
        <v>45249</v>
      </c>
      <c r="CE2683">
        <v>183</v>
      </c>
      <c r="CF2683">
        <v>164</v>
      </c>
      <c r="CG2683">
        <v>198</v>
      </c>
      <c r="CI2683">
        <f>YEAR(CA2683)</f>
        <v>2023</v>
      </c>
      <c r="CJ2683" t="str">
        <f t="shared" si="245"/>
        <v>8011_2023</v>
      </c>
    </row>
    <row r="2684" spans="1:88" x14ac:dyDescent="0.25">
      <c r="A2684" t="s">
        <v>79</v>
      </c>
      <c r="B2684" t="s">
        <v>941</v>
      </c>
      <c r="C2684">
        <v>7873</v>
      </c>
      <c r="D2684">
        <v>-36.070306000000002</v>
      </c>
      <c r="E2684">
        <v>146.92119400000001</v>
      </c>
      <c r="F2684">
        <v>4</v>
      </c>
      <c r="G2684" t="s">
        <v>942</v>
      </c>
      <c r="H2684">
        <v>53</v>
      </c>
      <c r="I2684">
        <v>233</v>
      </c>
      <c r="J2684">
        <v>120</v>
      </c>
      <c r="K2684">
        <v>300</v>
      </c>
      <c r="L2684">
        <v>253</v>
      </c>
      <c r="M2684">
        <v>73</v>
      </c>
      <c r="N2684">
        <v>285</v>
      </c>
      <c r="O2684">
        <v>105</v>
      </c>
      <c r="T2684">
        <v>3</v>
      </c>
      <c r="U2684">
        <v>35</v>
      </c>
      <c r="V2684">
        <v>3</v>
      </c>
      <c r="Y2684">
        <v>0</v>
      </c>
      <c r="Z2684">
        <v>9</v>
      </c>
      <c r="AA2684">
        <v>10</v>
      </c>
      <c r="AD2684">
        <v>40</v>
      </c>
      <c r="AE2684">
        <v>15</v>
      </c>
      <c r="AF2684">
        <v>1</v>
      </c>
      <c r="AI2684">
        <v>2</v>
      </c>
      <c r="AJ2684">
        <v>6</v>
      </c>
      <c r="AK2684">
        <v>3</v>
      </c>
      <c r="AX2684">
        <v>41</v>
      </c>
      <c r="AY2684">
        <v>42</v>
      </c>
      <c r="AZ2684">
        <v>83</v>
      </c>
      <c r="BA2684">
        <v>19</v>
      </c>
      <c r="BB2684">
        <v>24</v>
      </c>
      <c r="BC2684">
        <v>43</v>
      </c>
      <c r="BD2684">
        <v>56</v>
      </c>
      <c r="BE2684">
        <v>47</v>
      </c>
      <c r="BF2684">
        <v>103</v>
      </c>
      <c r="BG2684">
        <v>11</v>
      </c>
      <c r="BH2684">
        <v>14</v>
      </c>
      <c r="BI2684">
        <v>25</v>
      </c>
      <c r="BP2684">
        <v>53</v>
      </c>
      <c r="BQ2684">
        <v>6</v>
      </c>
      <c r="BR2684">
        <v>26</v>
      </c>
      <c r="BS2684">
        <v>7</v>
      </c>
      <c r="BT2684">
        <v>20</v>
      </c>
      <c r="BU2684">
        <v>6</v>
      </c>
      <c r="BV2684">
        <v>9</v>
      </c>
      <c r="BW2684">
        <v>127</v>
      </c>
      <c r="BZ2684" s="10"/>
      <c r="CA2684" s="7">
        <v>45606</v>
      </c>
      <c r="CE2684">
        <v>49</v>
      </c>
      <c r="CF2684">
        <v>36</v>
      </c>
      <c r="CG2684">
        <v>42</v>
      </c>
      <c r="CI2684">
        <f t="shared" ref="CI2684:CI2747" si="246">YEAR(CA2684)</f>
        <v>2024</v>
      </c>
      <c r="CJ2684" t="str">
        <f t="shared" si="245"/>
        <v>7873_2024</v>
      </c>
    </row>
    <row r="2685" spans="1:88" x14ac:dyDescent="0.25">
      <c r="A2685" t="s">
        <v>79</v>
      </c>
      <c r="B2685" t="s">
        <v>941</v>
      </c>
      <c r="C2685">
        <v>7874</v>
      </c>
      <c r="D2685">
        <v>-36.083610999999998</v>
      </c>
      <c r="E2685">
        <v>146.90727799999999</v>
      </c>
      <c r="F2685">
        <v>3</v>
      </c>
      <c r="G2685" t="s">
        <v>943</v>
      </c>
      <c r="H2685">
        <v>53</v>
      </c>
      <c r="I2685">
        <v>233</v>
      </c>
      <c r="J2685">
        <v>152</v>
      </c>
      <c r="K2685">
        <v>332</v>
      </c>
      <c r="L2685">
        <v>314</v>
      </c>
      <c r="M2685">
        <v>134</v>
      </c>
      <c r="T2685">
        <v>111</v>
      </c>
      <c r="U2685">
        <v>10</v>
      </c>
      <c r="Y2685">
        <v>84</v>
      </c>
      <c r="Z2685">
        <v>100</v>
      </c>
      <c r="AD2685">
        <v>9</v>
      </c>
      <c r="AE2685">
        <v>82</v>
      </c>
      <c r="AX2685">
        <v>121</v>
      </c>
      <c r="AY2685">
        <v>93</v>
      </c>
      <c r="AZ2685">
        <v>214</v>
      </c>
      <c r="BA2685">
        <v>184</v>
      </c>
      <c r="BB2685">
        <v>193</v>
      </c>
      <c r="BC2685">
        <v>377</v>
      </c>
      <c r="BD2685">
        <v>91</v>
      </c>
      <c r="BE2685">
        <v>110</v>
      </c>
      <c r="BF2685">
        <v>201</v>
      </c>
      <c r="BP2685">
        <v>47</v>
      </c>
      <c r="BQ2685">
        <v>11</v>
      </c>
      <c r="BR2685">
        <v>286</v>
      </c>
      <c r="BS2685">
        <v>7</v>
      </c>
      <c r="BT2685">
        <v>36</v>
      </c>
      <c r="BU2685">
        <v>2</v>
      </c>
      <c r="BV2685">
        <v>7</v>
      </c>
      <c r="BW2685">
        <v>396</v>
      </c>
      <c r="BZ2685" s="10"/>
      <c r="CA2685" s="7">
        <v>45606</v>
      </c>
      <c r="CE2685">
        <v>162</v>
      </c>
      <c r="CF2685">
        <v>107</v>
      </c>
      <c r="CG2685">
        <v>127</v>
      </c>
      <c r="CI2685">
        <f t="shared" si="246"/>
        <v>2024</v>
      </c>
      <c r="CJ2685" t="str">
        <f t="shared" si="245"/>
        <v>7874_2024</v>
      </c>
    </row>
    <row r="2686" spans="1:88" x14ac:dyDescent="0.25">
      <c r="A2686" t="s">
        <v>79</v>
      </c>
      <c r="B2686" t="s">
        <v>941</v>
      </c>
      <c r="C2686">
        <v>7875</v>
      </c>
      <c r="D2686">
        <v>-36.076428999999997</v>
      </c>
      <c r="E2686">
        <v>146.92825999999999</v>
      </c>
      <c r="F2686">
        <v>2</v>
      </c>
      <c r="G2686" t="s">
        <v>944</v>
      </c>
      <c r="H2686">
        <v>20</v>
      </c>
      <c r="I2686">
        <v>200</v>
      </c>
      <c r="J2686">
        <v>210</v>
      </c>
      <c r="K2686">
        <v>30</v>
      </c>
      <c r="T2686">
        <v>62</v>
      </c>
      <c r="Y2686">
        <v>54</v>
      </c>
      <c r="AX2686">
        <v>62</v>
      </c>
      <c r="AY2686">
        <v>54</v>
      </c>
      <c r="AZ2686">
        <v>116</v>
      </c>
      <c r="BA2686">
        <v>54</v>
      </c>
      <c r="BB2686">
        <v>62</v>
      </c>
      <c r="BC2686">
        <v>116</v>
      </c>
      <c r="BP2686">
        <v>48</v>
      </c>
      <c r="BQ2686">
        <v>5</v>
      </c>
      <c r="BR2686">
        <v>25</v>
      </c>
      <c r="BS2686">
        <v>24</v>
      </c>
      <c r="BT2686">
        <v>12</v>
      </c>
      <c r="BU2686">
        <v>0</v>
      </c>
      <c r="BV2686">
        <v>2</v>
      </c>
      <c r="BW2686">
        <v>116</v>
      </c>
      <c r="BZ2686" s="10"/>
      <c r="CA2686" s="7">
        <v>45606</v>
      </c>
      <c r="CE2686">
        <v>55</v>
      </c>
      <c r="CF2686">
        <v>40</v>
      </c>
      <c r="CG2686">
        <v>21</v>
      </c>
      <c r="CI2686">
        <f t="shared" si="246"/>
        <v>2024</v>
      </c>
      <c r="CJ2686" t="str">
        <f t="shared" si="245"/>
        <v>7875_2024</v>
      </c>
    </row>
    <row r="2687" spans="1:88" x14ac:dyDescent="0.25">
      <c r="A2687" t="s">
        <v>111</v>
      </c>
      <c r="B2687" t="s">
        <v>112</v>
      </c>
      <c r="C2687">
        <v>4137</v>
      </c>
      <c r="D2687">
        <v>-37.750163999999998</v>
      </c>
      <c r="E2687">
        <v>145.09272799999999</v>
      </c>
      <c r="F2687">
        <v>3</v>
      </c>
      <c r="G2687" t="s">
        <v>113</v>
      </c>
      <c r="H2687">
        <v>120</v>
      </c>
      <c r="I2687">
        <v>300</v>
      </c>
      <c r="J2687">
        <v>292</v>
      </c>
      <c r="K2687">
        <v>112</v>
      </c>
      <c r="L2687">
        <v>320</v>
      </c>
      <c r="M2687">
        <v>140</v>
      </c>
      <c r="U2687">
        <v>33</v>
      </c>
      <c r="V2687">
        <v>0</v>
      </c>
      <c r="AD2687">
        <v>0</v>
      </c>
      <c r="AF2687">
        <v>0</v>
      </c>
      <c r="AI2687">
        <v>17</v>
      </c>
      <c r="AK2687">
        <v>0</v>
      </c>
      <c r="AX2687">
        <v>33</v>
      </c>
      <c r="AY2687">
        <v>17</v>
      </c>
      <c r="AZ2687">
        <v>50</v>
      </c>
      <c r="BD2687">
        <v>0</v>
      </c>
      <c r="BE2687">
        <v>33</v>
      </c>
      <c r="BF2687">
        <v>33</v>
      </c>
      <c r="BG2687">
        <v>17</v>
      </c>
      <c r="BH2687">
        <v>0</v>
      </c>
      <c r="BI2687">
        <v>17</v>
      </c>
      <c r="BP2687">
        <v>8</v>
      </c>
      <c r="BQ2687">
        <v>0</v>
      </c>
      <c r="BR2687">
        <v>3</v>
      </c>
      <c r="BS2687">
        <v>6</v>
      </c>
      <c r="BT2687">
        <v>0</v>
      </c>
      <c r="BU2687">
        <v>0</v>
      </c>
      <c r="BV2687">
        <v>33</v>
      </c>
      <c r="BW2687">
        <v>50</v>
      </c>
      <c r="BX2687">
        <v>561</v>
      </c>
      <c r="BY2687">
        <v>-0.91087344000000003</v>
      </c>
      <c r="BZ2687" s="10">
        <v>-0.91087344000000003</v>
      </c>
      <c r="CA2687" s="7">
        <v>45606</v>
      </c>
      <c r="CE2687">
        <v>27</v>
      </c>
      <c r="CF2687">
        <v>17</v>
      </c>
      <c r="CG2687">
        <v>6</v>
      </c>
      <c r="CI2687">
        <f t="shared" si="246"/>
        <v>2024</v>
      </c>
      <c r="CJ2687" t="str">
        <f t="shared" si="245"/>
        <v>4137_2024</v>
      </c>
    </row>
    <row r="2688" spans="1:88" x14ac:dyDescent="0.25">
      <c r="A2688" t="s">
        <v>111</v>
      </c>
      <c r="B2688" t="s">
        <v>112</v>
      </c>
      <c r="C2688">
        <v>6344</v>
      </c>
      <c r="D2688">
        <v>-37.755144000000001</v>
      </c>
      <c r="E2688">
        <v>145.07432900000001</v>
      </c>
      <c r="F2688">
        <v>3</v>
      </c>
      <c r="G2688" t="s">
        <v>525</v>
      </c>
      <c r="H2688">
        <v>6</v>
      </c>
      <c r="I2688">
        <v>186</v>
      </c>
      <c r="J2688">
        <v>93</v>
      </c>
      <c r="K2688">
        <v>273</v>
      </c>
      <c r="L2688">
        <v>221</v>
      </c>
      <c r="M2688">
        <v>41</v>
      </c>
      <c r="T2688">
        <v>116</v>
      </c>
      <c r="U2688">
        <v>49</v>
      </c>
      <c r="Y2688">
        <v>104</v>
      </c>
      <c r="Z2688">
        <v>128</v>
      </c>
      <c r="AD2688">
        <v>38</v>
      </c>
      <c r="AE2688">
        <v>112</v>
      </c>
      <c r="AX2688">
        <v>165</v>
      </c>
      <c r="AY2688">
        <v>142</v>
      </c>
      <c r="AZ2688">
        <v>307</v>
      </c>
      <c r="BA2688">
        <v>232</v>
      </c>
      <c r="BB2688">
        <v>228</v>
      </c>
      <c r="BC2688">
        <v>460</v>
      </c>
      <c r="BD2688">
        <v>150</v>
      </c>
      <c r="BE2688">
        <v>177</v>
      </c>
      <c r="BF2688">
        <v>327</v>
      </c>
      <c r="BP2688">
        <v>204</v>
      </c>
      <c r="BQ2688">
        <v>19</v>
      </c>
      <c r="BR2688">
        <v>173</v>
      </c>
      <c r="BS2688">
        <v>107</v>
      </c>
      <c r="BT2688">
        <v>43</v>
      </c>
      <c r="BU2688">
        <v>0</v>
      </c>
      <c r="BV2688">
        <v>1</v>
      </c>
      <c r="BW2688">
        <v>547</v>
      </c>
      <c r="BX2688">
        <v>599</v>
      </c>
      <c r="BY2688">
        <v>-8.6811351999999994E-2</v>
      </c>
      <c r="BZ2688" s="10">
        <v>-8.6811351999999994E-2</v>
      </c>
      <c r="CA2688" s="7">
        <v>45606</v>
      </c>
      <c r="CE2688">
        <v>204</v>
      </c>
      <c r="CF2688">
        <v>170</v>
      </c>
      <c r="CG2688">
        <v>173</v>
      </c>
      <c r="CI2688">
        <f t="shared" si="246"/>
        <v>2024</v>
      </c>
      <c r="CJ2688" t="str">
        <f t="shared" si="245"/>
        <v>6344_2024</v>
      </c>
    </row>
    <row r="2689" spans="1:88" x14ac:dyDescent="0.25">
      <c r="A2689" t="s">
        <v>111</v>
      </c>
      <c r="B2689" t="s">
        <v>112</v>
      </c>
      <c r="C2689">
        <v>7725</v>
      </c>
      <c r="D2689">
        <v>-37.753884999999997</v>
      </c>
      <c r="E2689">
        <v>145.03148999999999</v>
      </c>
      <c r="F2689">
        <v>3</v>
      </c>
      <c r="G2689" t="s">
        <v>925</v>
      </c>
      <c r="H2689">
        <v>23</v>
      </c>
      <c r="I2689">
        <v>203</v>
      </c>
      <c r="J2689">
        <v>169</v>
      </c>
      <c r="K2689">
        <v>349</v>
      </c>
      <c r="L2689">
        <v>210</v>
      </c>
      <c r="M2689">
        <v>30</v>
      </c>
      <c r="T2689">
        <v>15</v>
      </c>
      <c r="U2689">
        <v>168</v>
      </c>
      <c r="Y2689">
        <v>16</v>
      </c>
      <c r="Z2689">
        <v>52</v>
      </c>
      <c r="AD2689">
        <v>156</v>
      </c>
      <c r="AE2689">
        <v>32</v>
      </c>
      <c r="AX2689">
        <v>183</v>
      </c>
      <c r="AY2689">
        <v>172</v>
      </c>
      <c r="AZ2689">
        <v>355</v>
      </c>
      <c r="BA2689">
        <v>68</v>
      </c>
      <c r="BB2689">
        <v>47</v>
      </c>
      <c r="BC2689">
        <v>115</v>
      </c>
      <c r="BD2689">
        <v>188</v>
      </c>
      <c r="BE2689">
        <v>220</v>
      </c>
      <c r="BF2689">
        <v>408</v>
      </c>
      <c r="BP2689">
        <v>187</v>
      </c>
      <c r="BQ2689">
        <v>28</v>
      </c>
      <c r="BR2689">
        <v>86</v>
      </c>
      <c r="BS2689">
        <v>106</v>
      </c>
      <c r="BT2689">
        <v>30</v>
      </c>
      <c r="BU2689">
        <v>0</v>
      </c>
      <c r="BV2689">
        <v>2</v>
      </c>
      <c r="BW2689">
        <v>439</v>
      </c>
      <c r="BX2689">
        <v>365</v>
      </c>
      <c r="BY2689">
        <v>0.20273972600000001</v>
      </c>
      <c r="BZ2689" s="10">
        <v>0.20273972600000001</v>
      </c>
      <c r="CA2689" s="7">
        <v>45606</v>
      </c>
      <c r="CE2689">
        <v>137</v>
      </c>
      <c r="CF2689">
        <v>154</v>
      </c>
      <c r="CG2689">
        <v>148</v>
      </c>
      <c r="CI2689">
        <f t="shared" si="246"/>
        <v>2024</v>
      </c>
      <c r="CJ2689" t="str">
        <f t="shared" si="245"/>
        <v>7725_2024</v>
      </c>
    </row>
    <row r="2690" spans="1:88" x14ac:dyDescent="0.25">
      <c r="A2690" t="s">
        <v>111</v>
      </c>
      <c r="B2690" t="s">
        <v>112</v>
      </c>
      <c r="C2690">
        <v>7726</v>
      </c>
      <c r="D2690">
        <v>-37.740478000000003</v>
      </c>
      <c r="E2690">
        <v>145.03325000000001</v>
      </c>
      <c r="F2690">
        <v>3</v>
      </c>
      <c r="G2690" t="s">
        <v>926</v>
      </c>
      <c r="H2690">
        <v>30</v>
      </c>
      <c r="I2690">
        <v>210</v>
      </c>
      <c r="J2690">
        <v>102</v>
      </c>
      <c r="K2690">
        <v>282</v>
      </c>
      <c r="L2690">
        <v>240</v>
      </c>
      <c r="M2690">
        <v>60</v>
      </c>
      <c r="T2690">
        <v>11</v>
      </c>
      <c r="U2690">
        <v>113</v>
      </c>
      <c r="Y2690">
        <v>7</v>
      </c>
      <c r="Z2690">
        <v>14</v>
      </c>
      <c r="AD2690">
        <v>126</v>
      </c>
      <c r="AE2690">
        <v>3</v>
      </c>
      <c r="AX2690">
        <v>124</v>
      </c>
      <c r="AY2690">
        <v>133</v>
      </c>
      <c r="AZ2690">
        <v>257</v>
      </c>
      <c r="BA2690">
        <v>21</v>
      </c>
      <c r="BB2690">
        <v>14</v>
      </c>
      <c r="BC2690">
        <v>35</v>
      </c>
      <c r="BD2690">
        <v>129</v>
      </c>
      <c r="BE2690">
        <v>127</v>
      </c>
      <c r="BF2690">
        <v>256</v>
      </c>
      <c r="BP2690">
        <v>139</v>
      </c>
      <c r="BQ2690">
        <v>17</v>
      </c>
      <c r="BR2690">
        <v>46</v>
      </c>
      <c r="BS2690">
        <v>57</v>
      </c>
      <c r="BT2690">
        <v>14</v>
      </c>
      <c r="BU2690">
        <v>0</v>
      </c>
      <c r="BV2690">
        <v>1</v>
      </c>
      <c r="BW2690">
        <v>274</v>
      </c>
      <c r="BX2690">
        <v>298</v>
      </c>
      <c r="BY2690">
        <v>-8.0536913000000002E-2</v>
      </c>
      <c r="BZ2690" s="10">
        <v>-8.0536913000000002E-2</v>
      </c>
      <c r="CA2690" s="7">
        <v>45606</v>
      </c>
      <c r="CE2690">
        <v>57</v>
      </c>
      <c r="CF2690">
        <v>118</v>
      </c>
      <c r="CG2690">
        <v>99</v>
      </c>
      <c r="CI2690">
        <f t="shared" si="246"/>
        <v>2024</v>
      </c>
      <c r="CJ2690" t="str">
        <f t="shared" si="245"/>
        <v>7726_2024</v>
      </c>
    </row>
    <row r="2691" spans="1:88" x14ac:dyDescent="0.25">
      <c r="A2691" t="s">
        <v>111</v>
      </c>
      <c r="B2691" t="s">
        <v>112</v>
      </c>
      <c r="C2691">
        <v>7727</v>
      </c>
      <c r="D2691">
        <v>-37.767488</v>
      </c>
      <c r="E2691">
        <v>145.03818999999999</v>
      </c>
      <c r="F2691">
        <v>3</v>
      </c>
      <c r="G2691" t="s">
        <v>927</v>
      </c>
      <c r="H2691">
        <v>97</v>
      </c>
      <c r="I2691">
        <v>277</v>
      </c>
      <c r="J2691">
        <v>193</v>
      </c>
      <c r="K2691">
        <v>13</v>
      </c>
      <c r="L2691">
        <v>277</v>
      </c>
      <c r="M2691">
        <v>97</v>
      </c>
      <c r="T2691">
        <v>76</v>
      </c>
      <c r="U2691">
        <v>52</v>
      </c>
      <c r="Y2691">
        <v>55</v>
      </c>
      <c r="Z2691">
        <v>13</v>
      </c>
      <c r="AD2691">
        <v>60</v>
      </c>
      <c r="AE2691">
        <v>10</v>
      </c>
      <c r="AX2691">
        <v>128</v>
      </c>
      <c r="AY2691">
        <v>115</v>
      </c>
      <c r="AZ2691">
        <v>243</v>
      </c>
      <c r="BA2691">
        <v>68</v>
      </c>
      <c r="BB2691">
        <v>86</v>
      </c>
      <c r="BC2691">
        <v>154</v>
      </c>
      <c r="BD2691">
        <v>70</v>
      </c>
      <c r="BE2691">
        <v>65</v>
      </c>
      <c r="BF2691">
        <v>135</v>
      </c>
      <c r="BP2691">
        <v>57</v>
      </c>
      <c r="BQ2691">
        <v>3</v>
      </c>
      <c r="BR2691">
        <v>148</v>
      </c>
      <c r="BS2691">
        <v>16</v>
      </c>
      <c r="BT2691">
        <v>41</v>
      </c>
      <c r="BU2691">
        <v>1</v>
      </c>
      <c r="BV2691">
        <v>0</v>
      </c>
      <c r="BW2691">
        <v>266</v>
      </c>
      <c r="BX2691">
        <v>271</v>
      </c>
      <c r="BY2691">
        <v>-1.8450185000000001E-2</v>
      </c>
      <c r="BZ2691" s="10">
        <v>-1.8450185000000001E-2</v>
      </c>
      <c r="CA2691" s="7">
        <v>45606</v>
      </c>
      <c r="CE2691">
        <v>85</v>
      </c>
      <c r="CF2691">
        <v>105</v>
      </c>
      <c r="CG2691">
        <v>76</v>
      </c>
      <c r="CI2691">
        <f t="shared" si="246"/>
        <v>2024</v>
      </c>
      <c r="CJ2691" t="str">
        <f t="shared" ref="CJ2691:CJ2754" si="247">_xlfn.CONCAT(C2691,"_",CI2691)</f>
        <v>7727_2024</v>
      </c>
    </row>
    <row r="2692" spans="1:88" x14ac:dyDescent="0.25">
      <c r="A2692" t="s">
        <v>111</v>
      </c>
      <c r="B2692" t="s">
        <v>112</v>
      </c>
      <c r="C2692">
        <v>7728</v>
      </c>
      <c r="D2692">
        <v>-37.693187999999999</v>
      </c>
      <c r="E2692">
        <v>145.1</v>
      </c>
      <c r="F2692">
        <v>3</v>
      </c>
      <c r="G2692" t="s">
        <v>928</v>
      </c>
      <c r="H2692">
        <v>200</v>
      </c>
      <c r="I2692">
        <v>20</v>
      </c>
      <c r="J2692">
        <v>267</v>
      </c>
      <c r="K2692">
        <v>87</v>
      </c>
      <c r="L2692">
        <v>357</v>
      </c>
      <c r="M2692">
        <v>177</v>
      </c>
      <c r="U2692">
        <v>2</v>
      </c>
      <c r="V2692">
        <v>5</v>
      </c>
      <c r="W2692">
        <v>1</v>
      </c>
      <c r="AD2692">
        <v>0</v>
      </c>
      <c r="AF2692">
        <v>8</v>
      </c>
      <c r="AG2692">
        <v>6</v>
      </c>
      <c r="AI2692">
        <v>3</v>
      </c>
      <c r="AK2692">
        <v>6</v>
      </c>
      <c r="AL2692">
        <v>25</v>
      </c>
      <c r="AN2692">
        <v>1</v>
      </c>
      <c r="AP2692">
        <v>0</v>
      </c>
      <c r="AQ2692">
        <v>30</v>
      </c>
      <c r="AX2692">
        <v>8</v>
      </c>
      <c r="AY2692">
        <v>4</v>
      </c>
      <c r="AZ2692">
        <v>12</v>
      </c>
      <c r="BD2692">
        <v>14</v>
      </c>
      <c r="BE2692">
        <v>8</v>
      </c>
      <c r="BF2692">
        <v>22</v>
      </c>
      <c r="BG2692">
        <v>34</v>
      </c>
      <c r="BH2692">
        <v>43</v>
      </c>
      <c r="BI2692">
        <v>77</v>
      </c>
      <c r="BJ2692">
        <v>31</v>
      </c>
      <c r="BK2692">
        <v>32</v>
      </c>
      <c r="BL2692">
        <v>63</v>
      </c>
      <c r="BP2692">
        <v>27</v>
      </c>
      <c r="BQ2692">
        <v>3</v>
      </c>
      <c r="BR2692">
        <v>21</v>
      </c>
      <c r="BS2692">
        <v>17</v>
      </c>
      <c r="BT2692">
        <v>17</v>
      </c>
      <c r="BU2692">
        <v>1</v>
      </c>
      <c r="BV2692">
        <v>1</v>
      </c>
      <c r="BW2692">
        <v>87</v>
      </c>
      <c r="BZ2692" s="10"/>
      <c r="CA2692" s="7">
        <v>45606</v>
      </c>
      <c r="CE2692">
        <v>21</v>
      </c>
      <c r="CF2692">
        <v>45</v>
      </c>
      <c r="CG2692">
        <v>21</v>
      </c>
      <c r="CI2692">
        <f t="shared" si="246"/>
        <v>2024</v>
      </c>
      <c r="CJ2692" t="str">
        <f t="shared" si="247"/>
        <v>7728_2024</v>
      </c>
    </row>
    <row r="2693" spans="1:88" x14ac:dyDescent="0.25">
      <c r="A2693" t="s">
        <v>111</v>
      </c>
      <c r="B2693" t="s">
        <v>112</v>
      </c>
      <c r="C2693">
        <v>7730</v>
      </c>
      <c r="D2693">
        <v>-37.714705000000002</v>
      </c>
      <c r="E2693">
        <v>145.11212</v>
      </c>
      <c r="F2693">
        <v>3</v>
      </c>
      <c r="G2693" t="s">
        <v>930</v>
      </c>
      <c r="H2693">
        <v>27</v>
      </c>
      <c r="I2693">
        <v>207</v>
      </c>
      <c r="J2693">
        <v>180</v>
      </c>
      <c r="K2693">
        <v>360</v>
      </c>
      <c r="L2693">
        <v>234</v>
      </c>
      <c r="M2693">
        <v>54</v>
      </c>
      <c r="T2693">
        <v>92</v>
      </c>
      <c r="U2693">
        <v>23</v>
      </c>
      <c r="Y2693">
        <v>74</v>
      </c>
      <c r="Z2693">
        <v>37</v>
      </c>
      <c r="AD2693">
        <v>34</v>
      </c>
      <c r="AE2693">
        <v>32</v>
      </c>
      <c r="AX2693">
        <v>115</v>
      </c>
      <c r="AY2693">
        <v>108</v>
      </c>
      <c r="AZ2693">
        <v>223</v>
      </c>
      <c r="BA2693">
        <v>111</v>
      </c>
      <c r="BB2693">
        <v>124</v>
      </c>
      <c r="BC2693">
        <v>235</v>
      </c>
      <c r="BD2693">
        <v>66</v>
      </c>
      <c r="BE2693">
        <v>60</v>
      </c>
      <c r="BF2693">
        <v>126</v>
      </c>
      <c r="BP2693">
        <v>31</v>
      </c>
      <c r="BQ2693">
        <v>2</v>
      </c>
      <c r="BR2693">
        <v>132</v>
      </c>
      <c r="BS2693">
        <v>55</v>
      </c>
      <c r="BT2693">
        <v>65</v>
      </c>
      <c r="BU2693">
        <v>0</v>
      </c>
      <c r="BV2693">
        <v>7</v>
      </c>
      <c r="BW2693">
        <v>292</v>
      </c>
      <c r="BX2693">
        <v>187</v>
      </c>
      <c r="BY2693">
        <v>0.56149732600000002</v>
      </c>
      <c r="BZ2693" s="10">
        <v>0.56149732600000002</v>
      </c>
      <c r="CA2693" s="7">
        <v>45606</v>
      </c>
      <c r="CE2693">
        <v>116</v>
      </c>
      <c r="CF2693">
        <v>101</v>
      </c>
      <c r="CG2693">
        <v>75</v>
      </c>
      <c r="CI2693">
        <f t="shared" si="246"/>
        <v>2024</v>
      </c>
      <c r="CJ2693" t="str">
        <f t="shared" si="247"/>
        <v>7730_2024</v>
      </c>
    </row>
    <row r="2694" spans="1:88" x14ac:dyDescent="0.25">
      <c r="A2694" t="s">
        <v>111</v>
      </c>
      <c r="B2694" t="s">
        <v>112</v>
      </c>
      <c r="C2694">
        <v>7731</v>
      </c>
      <c r="D2694">
        <v>-37.736119000000002</v>
      </c>
      <c r="E2694">
        <v>145.06607</v>
      </c>
      <c r="F2694">
        <v>5</v>
      </c>
      <c r="G2694" t="s">
        <v>931</v>
      </c>
      <c r="H2694">
        <v>5</v>
      </c>
      <c r="I2694">
        <v>185</v>
      </c>
      <c r="J2694">
        <v>116</v>
      </c>
      <c r="K2694">
        <v>296</v>
      </c>
      <c r="L2694">
        <v>162</v>
      </c>
      <c r="M2694">
        <v>342</v>
      </c>
      <c r="N2694">
        <v>194</v>
      </c>
      <c r="O2694">
        <v>14</v>
      </c>
      <c r="P2694">
        <v>292</v>
      </c>
      <c r="Q2694">
        <v>112</v>
      </c>
      <c r="T2694">
        <v>15</v>
      </c>
      <c r="U2694">
        <v>43</v>
      </c>
      <c r="V2694">
        <v>69</v>
      </c>
      <c r="W2694">
        <v>19</v>
      </c>
      <c r="Y2694">
        <v>17</v>
      </c>
      <c r="Z2694">
        <v>1</v>
      </c>
      <c r="AA2694">
        <v>0</v>
      </c>
      <c r="AB2694">
        <v>18</v>
      </c>
      <c r="AD2694">
        <v>50</v>
      </c>
      <c r="AE2694">
        <v>4</v>
      </c>
      <c r="AF2694">
        <v>2</v>
      </c>
      <c r="AG2694">
        <v>17</v>
      </c>
      <c r="AI2694">
        <v>81</v>
      </c>
      <c r="AJ2694">
        <v>3</v>
      </c>
      <c r="AK2694">
        <v>1</v>
      </c>
      <c r="AL2694">
        <v>7</v>
      </c>
      <c r="AN2694">
        <v>14</v>
      </c>
      <c r="AO2694">
        <v>9</v>
      </c>
      <c r="AP2694">
        <v>8</v>
      </c>
      <c r="AQ2694">
        <v>18</v>
      </c>
      <c r="AX2694">
        <v>146</v>
      </c>
      <c r="AY2694">
        <v>162</v>
      </c>
      <c r="AZ2694">
        <v>308</v>
      </c>
      <c r="BA2694">
        <v>36</v>
      </c>
      <c r="BB2694">
        <v>31</v>
      </c>
      <c r="BC2694">
        <v>67</v>
      </c>
      <c r="BD2694">
        <v>73</v>
      </c>
      <c r="BE2694">
        <v>53</v>
      </c>
      <c r="BF2694">
        <v>126</v>
      </c>
      <c r="BG2694">
        <v>92</v>
      </c>
      <c r="BH2694">
        <v>89</v>
      </c>
      <c r="BI2694">
        <v>181</v>
      </c>
      <c r="BJ2694">
        <v>49</v>
      </c>
      <c r="BK2694">
        <v>61</v>
      </c>
      <c r="BL2694">
        <v>110</v>
      </c>
      <c r="BP2694">
        <v>22</v>
      </c>
      <c r="BQ2694">
        <v>3</v>
      </c>
      <c r="BR2694">
        <v>166</v>
      </c>
      <c r="BS2694">
        <v>49</v>
      </c>
      <c r="BT2694">
        <v>146</v>
      </c>
      <c r="BU2694">
        <v>0</v>
      </c>
      <c r="BV2694">
        <v>10</v>
      </c>
      <c r="BW2694">
        <v>396</v>
      </c>
      <c r="BX2694">
        <v>426</v>
      </c>
      <c r="BY2694">
        <v>-7.0422534999999994E-2</v>
      </c>
      <c r="BZ2694" s="10">
        <v>-7.0422534999999994E-2</v>
      </c>
      <c r="CA2694" s="7">
        <v>45606</v>
      </c>
      <c r="CE2694">
        <v>149</v>
      </c>
      <c r="CF2694">
        <v>136</v>
      </c>
      <c r="CG2694">
        <v>111</v>
      </c>
      <c r="CI2694">
        <f t="shared" si="246"/>
        <v>2024</v>
      </c>
      <c r="CJ2694" t="str">
        <f t="shared" si="247"/>
        <v>7731_2024</v>
      </c>
    </row>
    <row r="2695" spans="1:88" x14ac:dyDescent="0.25">
      <c r="A2695" t="s">
        <v>111</v>
      </c>
      <c r="B2695" t="s">
        <v>112</v>
      </c>
      <c r="C2695">
        <v>7732</v>
      </c>
      <c r="D2695">
        <v>-37.703752000000001</v>
      </c>
      <c r="E2695">
        <v>145.06473</v>
      </c>
      <c r="F2695">
        <v>3</v>
      </c>
      <c r="G2695" t="s">
        <v>932</v>
      </c>
      <c r="H2695">
        <v>101</v>
      </c>
      <c r="I2695">
        <v>281</v>
      </c>
      <c r="J2695">
        <v>190</v>
      </c>
      <c r="K2695">
        <v>10</v>
      </c>
      <c r="L2695">
        <v>285</v>
      </c>
      <c r="M2695">
        <v>105</v>
      </c>
      <c r="T2695">
        <v>5</v>
      </c>
      <c r="U2695">
        <v>15</v>
      </c>
      <c r="Y2695">
        <v>1</v>
      </c>
      <c r="Z2695">
        <v>0</v>
      </c>
      <c r="AD2695">
        <v>9</v>
      </c>
      <c r="AE2695">
        <v>5</v>
      </c>
      <c r="AX2695">
        <v>20</v>
      </c>
      <c r="AY2695">
        <v>10</v>
      </c>
      <c r="AZ2695">
        <v>30</v>
      </c>
      <c r="BA2695">
        <v>1</v>
      </c>
      <c r="BB2695">
        <v>10</v>
      </c>
      <c r="BC2695">
        <v>11</v>
      </c>
      <c r="BD2695">
        <v>14</v>
      </c>
      <c r="BE2695">
        <v>15</v>
      </c>
      <c r="BF2695">
        <v>29</v>
      </c>
      <c r="BP2695">
        <v>6</v>
      </c>
      <c r="BQ2695">
        <v>0</v>
      </c>
      <c r="BR2695">
        <v>6</v>
      </c>
      <c r="BS2695">
        <v>5</v>
      </c>
      <c r="BT2695">
        <v>11</v>
      </c>
      <c r="BU2695">
        <v>3</v>
      </c>
      <c r="BV2695">
        <v>4</v>
      </c>
      <c r="BW2695">
        <v>35</v>
      </c>
      <c r="BX2695">
        <v>48</v>
      </c>
      <c r="BY2695">
        <v>-0.27083333300000001</v>
      </c>
      <c r="BZ2695" s="10">
        <v>-0.27083333300000001</v>
      </c>
      <c r="CA2695" s="7">
        <v>45606</v>
      </c>
      <c r="CE2695">
        <v>15</v>
      </c>
      <c r="CF2695">
        <v>14</v>
      </c>
      <c r="CG2695">
        <v>6</v>
      </c>
      <c r="CI2695">
        <f t="shared" si="246"/>
        <v>2024</v>
      </c>
      <c r="CJ2695" t="str">
        <f t="shared" si="247"/>
        <v>7732_2024</v>
      </c>
    </row>
    <row r="2696" spans="1:88" x14ac:dyDescent="0.25">
      <c r="A2696" t="s">
        <v>111</v>
      </c>
      <c r="B2696" t="s">
        <v>112</v>
      </c>
      <c r="C2696">
        <v>7734</v>
      </c>
      <c r="D2696">
        <v>-37.73227</v>
      </c>
      <c r="E2696">
        <v>145.134806</v>
      </c>
      <c r="F2696">
        <v>4</v>
      </c>
      <c r="G2696" t="s">
        <v>934</v>
      </c>
      <c r="H2696">
        <v>109</v>
      </c>
      <c r="I2696">
        <v>289</v>
      </c>
      <c r="J2696">
        <v>187</v>
      </c>
      <c r="K2696">
        <v>7</v>
      </c>
      <c r="L2696">
        <v>293</v>
      </c>
      <c r="M2696">
        <v>113</v>
      </c>
      <c r="N2696">
        <v>356</v>
      </c>
      <c r="O2696">
        <v>176</v>
      </c>
      <c r="T2696">
        <v>43</v>
      </c>
      <c r="U2696">
        <v>32</v>
      </c>
      <c r="V2696">
        <v>8</v>
      </c>
      <c r="Y2696">
        <v>19</v>
      </c>
      <c r="Z2696">
        <v>0</v>
      </c>
      <c r="AA2696">
        <v>5</v>
      </c>
      <c r="AD2696">
        <v>46</v>
      </c>
      <c r="AE2696">
        <v>1</v>
      </c>
      <c r="AF2696">
        <v>7</v>
      </c>
      <c r="AI2696">
        <v>9</v>
      </c>
      <c r="AJ2696">
        <v>1</v>
      </c>
      <c r="AK2696">
        <v>8</v>
      </c>
      <c r="AX2696">
        <v>83</v>
      </c>
      <c r="AY2696">
        <v>74</v>
      </c>
      <c r="AZ2696">
        <v>157</v>
      </c>
      <c r="BA2696">
        <v>24</v>
      </c>
      <c r="BB2696">
        <v>45</v>
      </c>
      <c r="BC2696">
        <v>69</v>
      </c>
      <c r="BD2696">
        <v>54</v>
      </c>
      <c r="BE2696">
        <v>40</v>
      </c>
      <c r="BF2696">
        <v>94</v>
      </c>
      <c r="BG2696">
        <v>18</v>
      </c>
      <c r="BH2696">
        <v>20</v>
      </c>
      <c r="BI2696">
        <v>38</v>
      </c>
      <c r="BP2696">
        <v>134</v>
      </c>
      <c r="BQ2696">
        <v>3</v>
      </c>
      <c r="BR2696">
        <v>37</v>
      </c>
      <c r="BS2696">
        <v>1</v>
      </c>
      <c r="BT2696">
        <v>4</v>
      </c>
      <c r="BU2696">
        <v>0</v>
      </c>
      <c r="BV2696">
        <v>0</v>
      </c>
      <c r="BW2696">
        <v>179</v>
      </c>
      <c r="BX2696">
        <v>170</v>
      </c>
      <c r="BY2696">
        <v>5.2941176E-2</v>
      </c>
      <c r="BZ2696" s="10">
        <v>5.2941176E-2</v>
      </c>
      <c r="CA2696" s="7">
        <v>45606</v>
      </c>
      <c r="CE2696">
        <v>68</v>
      </c>
      <c r="CF2696">
        <v>63</v>
      </c>
      <c r="CG2696">
        <v>48</v>
      </c>
      <c r="CI2696">
        <f t="shared" si="246"/>
        <v>2024</v>
      </c>
      <c r="CJ2696" t="str">
        <f t="shared" si="247"/>
        <v>7734_2024</v>
      </c>
    </row>
    <row r="2697" spans="1:88" x14ac:dyDescent="0.25">
      <c r="A2697" t="s">
        <v>111</v>
      </c>
      <c r="B2697" t="s">
        <v>112</v>
      </c>
      <c r="C2697">
        <v>7952</v>
      </c>
      <c r="D2697">
        <v>-37.750830999999998</v>
      </c>
      <c r="E2697">
        <v>145.08214899999999</v>
      </c>
      <c r="F2697">
        <v>3</v>
      </c>
      <c r="G2697" t="s">
        <v>945</v>
      </c>
      <c r="H2697">
        <v>15</v>
      </c>
      <c r="I2697">
        <v>195</v>
      </c>
      <c r="J2697">
        <v>80</v>
      </c>
      <c r="K2697">
        <v>260</v>
      </c>
      <c r="L2697">
        <v>190</v>
      </c>
      <c r="M2697">
        <v>10</v>
      </c>
      <c r="T2697">
        <v>44</v>
      </c>
      <c r="U2697">
        <v>155</v>
      </c>
      <c r="Y2697">
        <v>45</v>
      </c>
      <c r="Z2697">
        <v>251</v>
      </c>
      <c r="AD2697">
        <v>186</v>
      </c>
      <c r="AE2697">
        <v>187</v>
      </c>
      <c r="AX2697">
        <v>199</v>
      </c>
      <c r="AY2697">
        <v>231</v>
      </c>
      <c r="AZ2697">
        <v>430</v>
      </c>
      <c r="BA2697">
        <v>296</v>
      </c>
      <c r="BB2697">
        <v>231</v>
      </c>
      <c r="BC2697">
        <v>527</v>
      </c>
      <c r="BD2697">
        <v>373</v>
      </c>
      <c r="BE2697">
        <v>406</v>
      </c>
      <c r="BF2697">
        <v>779</v>
      </c>
      <c r="BP2697">
        <v>318</v>
      </c>
      <c r="BQ2697">
        <v>13</v>
      </c>
      <c r="BR2697">
        <v>178</v>
      </c>
      <c r="BS2697">
        <v>303</v>
      </c>
      <c r="BT2697">
        <v>56</v>
      </c>
      <c r="BU2697">
        <v>0</v>
      </c>
      <c r="BV2697">
        <v>0</v>
      </c>
      <c r="BW2697">
        <v>868</v>
      </c>
      <c r="BX2697">
        <v>568</v>
      </c>
      <c r="BY2697">
        <v>0.52816901400000005</v>
      </c>
      <c r="BZ2697" s="10">
        <v>0.52816901400000005</v>
      </c>
      <c r="CA2697" s="7">
        <v>45606</v>
      </c>
      <c r="CE2697">
        <v>390</v>
      </c>
      <c r="CF2697">
        <v>235</v>
      </c>
      <c r="CG2697">
        <v>243</v>
      </c>
      <c r="CI2697">
        <f t="shared" si="246"/>
        <v>2024</v>
      </c>
      <c r="CJ2697" t="str">
        <f t="shared" si="247"/>
        <v>7952_2024</v>
      </c>
    </row>
    <row r="2698" spans="1:88" x14ac:dyDescent="0.25">
      <c r="A2698" t="s">
        <v>111</v>
      </c>
      <c r="B2698" t="s">
        <v>112</v>
      </c>
      <c r="C2698">
        <v>7953</v>
      </c>
      <c r="D2698">
        <v>-37.719403999999997</v>
      </c>
      <c r="E2698">
        <v>145.09520499999999</v>
      </c>
      <c r="F2698">
        <v>5</v>
      </c>
      <c r="G2698" t="s">
        <v>948</v>
      </c>
      <c r="H2698">
        <v>5</v>
      </c>
      <c r="I2698">
        <v>185</v>
      </c>
      <c r="J2698">
        <v>132</v>
      </c>
      <c r="K2698">
        <v>312</v>
      </c>
      <c r="L2698">
        <v>200</v>
      </c>
      <c r="M2698">
        <v>20</v>
      </c>
      <c r="N2698">
        <v>283</v>
      </c>
      <c r="O2698">
        <v>103</v>
      </c>
      <c r="P2698">
        <v>320</v>
      </c>
      <c r="Q2698">
        <v>140</v>
      </c>
      <c r="T2698">
        <v>0</v>
      </c>
      <c r="U2698">
        <v>0</v>
      </c>
      <c r="V2698">
        <v>0</v>
      </c>
      <c r="W2698">
        <v>6</v>
      </c>
      <c r="Y2698">
        <v>0</v>
      </c>
      <c r="Z2698">
        <v>0</v>
      </c>
      <c r="AA2698">
        <v>0</v>
      </c>
      <c r="AB2698">
        <v>6</v>
      </c>
      <c r="AD2698">
        <v>0</v>
      </c>
      <c r="AE2698">
        <v>0</v>
      </c>
      <c r="AF2698">
        <v>1</v>
      </c>
      <c r="AG2698">
        <v>0</v>
      </c>
      <c r="AI2698">
        <v>0</v>
      </c>
      <c r="AJ2698">
        <v>0</v>
      </c>
      <c r="AK2698">
        <v>0</v>
      </c>
      <c r="AL2698">
        <v>0</v>
      </c>
      <c r="AN2698">
        <v>1</v>
      </c>
      <c r="AO2698">
        <v>11</v>
      </c>
      <c r="AP2698">
        <v>0</v>
      </c>
      <c r="AQ2698">
        <v>5</v>
      </c>
      <c r="AX2698">
        <v>6</v>
      </c>
      <c r="AY2698">
        <v>1</v>
      </c>
      <c r="AZ2698">
        <v>7</v>
      </c>
      <c r="BA2698">
        <v>6</v>
      </c>
      <c r="BB2698">
        <v>11</v>
      </c>
      <c r="BC2698">
        <v>17</v>
      </c>
      <c r="BD2698">
        <v>1</v>
      </c>
      <c r="BE2698">
        <v>0</v>
      </c>
      <c r="BF2698">
        <v>1</v>
      </c>
      <c r="BG2698">
        <v>0</v>
      </c>
      <c r="BH2698">
        <v>6</v>
      </c>
      <c r="BI2698">
        <v>6</v>
      </c>
      <c r="BJ2698">
        <v>17</v>
      </c>
      <c r="BK2698">
        <v>12</v>
      </c>
      <c r="BL2698">
        <v>29</v>
      </c>
      <c r="BP2698">
        <v>3</v>
      </c>
      <c r="BQ2698">
        <v>0</v>
      </c>
      <c r="BR2698">
        <v>13</v>
      </c>
      <c r="BS2698">
        <v>2</v>
      </c>
      <c r="BT2698">
        <v>8</v>
      </c>
      <c r="BU2698">
        <v>2</v>
      </c>
      <c r="BV2698">
        <v>2</v>
      </c>
      <c r="BW2698">
        <v>30</v>
      </c>
      <c r="BX2698">
        <v>32</v>
      </c>
      <c r="BY2698">
        <v>-6.25E-2</v>
      </c>
      <c r="BZ2698" s="10">
        <v>-6.25E-2</v>
      </c>
      <c r="CA2698" s="7">
        <v>45606</v>
      </c>
      <c r="CE2698">
        <v>10</v>
      </c>
      <c r="CF2698">
        <v>6</v>
      </c>
      <c r="CG2698">
        <v>14</v>
      </c>
      <c r="CI2698">
        <f t="shared" si="246"/>
        <v>2024</v>
      </c>
      <c r="CJ2698" t="str">
        <f t="shared" si="247"/>
        <v>7953_2024</v>
      </c>
    </row>
    <row r="2699" spans="1:88" x14ac:dyDescent="0.25">
      <c r="A2699" t="s">
        <v>111</v>
      </c>
      <c r="B2699" t="s">
        <v>389</v>
      </c>
      <c r="C2699">
        <v>6210</v>
      </c>
      <c r="D2699">
        <v>-38.604165999999999</v>
      </c>
      <c r="E2699">
        <v>145.57851099999999</v>
      </c>
      <c r="F2699">
        <v>4</v>
      </c>
      <c r="G2699" t="s">
        <v>390</v>
      </c>
      <c r="H2699">
        <v>6</v>
      </c>
      <c r="I2699">
        <v>186</v>
      </c>
      <c r="J2699">
        <v>118</v>
      </c>
      <c r="K2699">
        <v>298</v>
      </c>
      <c r="L2699">
        <v>176</v>
      </c>
      <c r="M2699">
        <v>356</v>
      </c>
      <c r="N2699">
        <v>302</v>
      </c>
      <c r="O2699">
        <v>122</v>
      </c>
      <c r="T2699">
        <v>2</v>
      </c>
      <c r="U2699">
        <v>4</v>
      </c>
      <c r="V2699">
        <v>3</v>
      </c>
      <c r="Y2699">
        <v>0</v>
      </c>
      <c r="Z2699">
        <v>2</v>
      </c>
      <c r="AA2699">
        <v>19</v>
      </c>
      <c r="AD2699">
        <v>4</v>
      </c>
      <c r="AE2699">
        <v>8</v>
      </c>
      <c r="AF2699">
        <v>2</v>
      </c>
      <c r="AI2699">
        <v>1</v>
      </c>
      <c r="AJ2699">
        <v>27</v>
      </c>
      <c r="AK2699">
        <v>6</v>
      </c>
      <c r="AX2699">
        <v>9</v>
      </c>
      <c r="AY2699">
        <v>5</v>
      </c>
      <c r="AZ2699">
        <v>14</v>
      </c>
      <c r="BA2699">
        <v>21</v>
      </c>
      <c r="BB2699">
        <v>37</v>
      </c>
      <c r="BC2699">
        <v>58</v>
      </c>
      <c r="BD2699">
        <v>14</v>
      </c>
      <c r="BE2699">
        <v>12</v>
      </c>
      <c r="BF2699">
        <v>26</v>
      </c>
      <c r="BG2699">
        <v>34</v>
      </c>
      <c r="BH2699">
        <v>24</v>
      </c>
      <c r="BI2699">
        <v>58</v>
      </c>
      <c r="BP2699">
        <v>28</v>
      </c>
      <c r="BQ2699">
        <v>18</v>
      </c>
      <c r="BR2699">
        <v>18</v>
      </c>
      <c r="BS2699">
        <v>2</v>
      </c>
      <c r="BT2699">
        <v>7</v>
      </c>
      <c r="BU2699">
        <v>0</v>
      </c>
      <c r="BV2699">
        <v>5</v>
      </c>
      <c r="BW2699">
        <v>78</v>
      </c>
      <c r="BX2699">
        <v>107</v>
      </c>
      <c r="BY2699">
        <v>-0.271028037</v>
      </c>
      <c r="BZ2699" s="10">
        <v>-0.271028037</v>
      </c>
      <c r="CA2699" s="7">
        <v>45606</v>
      </c>
      <c r="CE2699">
        <v>22</v>
      </c>
      <c r="CF2699">
        <v>17</v>
      </c>
      <c r="CG2699">
        <v>39</v>
      </c>
      <c r="CI2699">
        <f t="shared" si="246"/>
        <v>2024</v>
      </c>
      <c r="CJ2699" t="str">
        <f t="shared" si="247"/>
        <v>6210_2024</v>
      </c>
    </row>
    <row r="2700" spans="1:88" x14ac:dyDescent="0.25">
      <c r="A2700" t="s">
        <v>111</v>
      </c>
      <c r="B2700" t="s">
        <v>389</v>
      </c>
      <c r="C2700">
        <v>6872</v>
      </c>
      <c r="D2700">
        <v>-38.525641999999998</v>
      </c>
      <c r="E2700">
        <v>145.44779</v>
      </c>
      <c r="F2700">
        <v>4</v>
      </c>
      <c r="G2700" t="s">
        <v>950</v>
      </c>
      <c r="H2700">
        <v>42</v>
      </c>
      <c r="I2700">
        <v>222</v>
      </c>
      <c r="J2700">
        <v>161</v>
      </c>
      <c r="K2700">
        <v>341</v>
      </c>
      <c r="L2700">
        <v>203</v>
      </c>
      <c r="M2700">
        <v>23</v>
      </c>
      <c r="N2700">
        <v>357</v>
      </c>
      <c r="O2700">
        <v>177</v>
      </c>
      <c r="T2700">
        <v>0</v>
      </c>
      <c r="U2700">
        <v>0</v>
      </c>
      <c r="V2700">
        <v>0</v>
      </c>
      <c r="Y2700">
        <v>0</v>
      </c>
      <c r="Z2700">
        <v>17</v>
      </c>
      <c r="AA2700">
        <v>12</v>
      </c>
      <c r="AD2700">
        <v>0</v>
      </c>
      <c r="AE2700">
        <v>5</v>
      </c>
      <c r="AF2700">
        <v>6</v>
      </c>
      <c r="AI2700">
        <v>0</v>
      </c>
      <c r="AJ2700">
        <v>6</v>
      </c>
      <c r="AK2700">
        <v>3</v>
      </c>
      <c r="AX2700">
        <v>0</v>
      </c>
      <c r="AY2700">
        <v>0</v>
      </c>
      <c r="AZ2700">
        <v>0</v>
      </c>
      <c r="BA2700">
        <v>29</v>
      </c>
      <c r="BB2700">
        <v>11</v>
      </c>
      <c r="BC2700">
        <v>40</v>
      </c>
      <c r="BD2700">
        <v>11</v>
      </c>
      <c r="BE2700">
        <v>20</v>
      </c>
      <c r="BF2700">
        <v>31</v>
      </c>
      <c r="BG2700">
        <v>9</v>
      </c>
      <c r="BH2700">
        <v>18</v>
      </c>
      <c r="BI2700">
        <v>27</v>
      </c>
      <c r="BP2700">
        <v>15</v>
      </c>
      <c r="BQ2700">
        <v>18</v>
      </c>
      <c r="BR2700">
        <v>3</v>
      </c>
      <c r="BS2700">
        <v>0</v>
      </c>
      <c r="BT2700">
        <v>13</v>
      </c>
      <c r="BU2700">
        <v>0</v>
      </c>
      <c r="BV2700">
        <v>0</v>
      </c>
      <c r="BW2700">
        <v>49</v>
      </c>
      <c r="BX2700">
        <v>64</v>
      </c>
      <c r="BY2700">
        <v>-0.234375</v>
      </c>
      <c r="BZ2700" s="10">
        <v>-0.234375</v>
      </c>
      <c r="CA2700" s="7">
        <v>45606</v>
      </c>
      <c r="CE2700">
        <v>21</v>
      </c>
      <c r="CF2700">
        <v>11</v>
      </c>
      <c r="CG2700">
        <v>17</v>
      </c>
      <c r="CI2700">
        <f t="shared" si="246"/>
        <v>2024</v>
      </c>
      <c r="CJ2700" t="str">
        <f t="shared" si="247"/>
        <v>6872_2024</v>
      </c>
    </row>
    <row r="2701" spans="1:88" x14ac:dyDescent="0.25">
      <c r="A2701" t="s">
        <v>111</v>
      </c>
      <c r="B2701" t="s">
        <v>389</v>
      </c>
      <c r="C2701">
        <v>6873</v>
      </c>
      <c r="D2701">
        <v>-38.550246000000001</v>
      </c>
      <c r="E2701">
        <v>145.47663399999999</v>
      </c>
      <c r="F2701">
        <v>3</v>
      </c>
      <c r="G2701" t="s">
        <v>951</v>
      </c>
      <c r="H2701">
        <v>42</v>
      </c>
      <c r="I2701">
        <v>222</v>
      </c>
      <c r="J2701">
        <v>134</v>
      </c>
      <c r="K2701">
        <v>314</v>
      </c>
      <c r="L2701">
        <v>310</v>
      </c>
      <c r="M2701">
        <v>130</v>
      </c>
      <c r="T2701">
        <v>65</v>
      </c>
      <c r="U2701">
        <v>34</v>
      </c>
      <c r="Y2701">
        <v>47</v>
      </c>
      <c r="Z2701">
        <v>25</v>
      </c>
      <c r="AD2701">
        <v>27</v>
      </c>
      <c r="AE2701">
        <v>20</v>
      </c>
      <c r="AX2701">
        <v>99</v>
      </c>
      <c r="AY2701">
        <v>74</v>
      </c>
      <c r="AZ2701">
        <v>173</v>
      </c>
      <c r="BA2701">
        <v>72</v>
      </c>
      <c r="BB2701">
        <v>85</v>
      </c>
      <c r="BC2701">
        <v>157</v>
      </c>
      <c r="BD2701">
        <v>47</v>
      </c>
      <c r="BE2701">
        <v>59</v>
      </c>
      <c r="BF2701">
        <v>106</v>
      </c>
      <c r="BP2701">
        <v>28</v>
      </c>
      <c r="BQ2701">
        <v>35</v>
      </c>
      <c r="BR2701">
        <v>116</v>
      </c>
      <c r="BS2701">
        <v>10</v>
      </c>
      <c r="BT2701">
        <v>28</v>
      </c>
      <c r="BU2701">
        <v>0</v>
      </c>
      <c r="BV2701">
        <v>1</v>
      </c>
      <c r="BW2701">
        <v>218</v>
      </c>
      <c r="BX2701">
        <v>223</v>
      </c>
      <c r="BY2701">
        <v>-2.2421525000000001E-2</v>
      </c>
      <c r="BZ2701" s="10">
        <v>-2.2421525000000001E-2</v>
      </c>
      <c r="CA2701" s="7">
        <v>45606</v>
      </c>
      <c r="CE2701">
        <v>55</v>
      </c>
      <c r="CF2701">
        <v>98</v>
      </c>
      <c r="CG2701">
        <v>65</v>
      </c>
      <c r="CI2701">
        <f t="shared" si="246"/>
        <v>2024</v>
      </c>
      <c r="CJ2701" t="str">
        <f t="shared" si="247"/>
        <v>6873_2024</v>
      </c>
    </row>
    <row r="2702" spans="1:88" x14ac:dyDescent="0.25">
      <c r="A2702" t="s">
        <v>111</v>
      </c>
      <c r="B2702" t="s">
        <v>389</v>
      </c>
      <c r="C2702">
        <v>7122</v>
      </c>
      <c r="D2702">
        <v>-38.514977999999999</v>
      </c>
      <c r="E2702">
        <v>145.34902600000001</v>
      </c>
      <c r="F2702">
        <v>2</v>
      </c>
      <c r="G2702" t="s">
        <v>952</v>
      </c>
      <c r="H2702">
        <v>55</v>
      </c>
      <c r="I2702">
        <v>235</v>
      </c>
      <c r="J2702">
        <v>253</v>
      </c>
      <c r="K2702">
        <v>73</v>
      </c>
      <c r="T2702">
        <v>55</v>
      </c>
      <c r="Y2702">
        <v>58</v>
      </c>
      <c r="AX2702">
        <v>55</v>
      </c>
      <c r="AY2702">
        <v>58</v>
      </c>
      <c r="AZ2702">
        <v>113</v>
      </c>
      <c r="BA2702">
        <v>58</v>
      </c>
      <c r="BB2702">
        <v>55</v>
      </c>
      <c r="BC2702">
        <v>113</v>
      </c>
      <c r="BP2702">
        <v>47</v>
      </c>
      <c r="BQ2702">
        <v>20</v>
      </c>
      <c r="BR2702">
        <v>36</v>
      </c>
      <c r="BS2702">
        <v>2</v>
      </c>
      <c r="BT2702">
        <v>5</v>
      </c>
      <c r="BU2702">
        <v>2</v>
      </c>
      <c r="BV2702">
        <v>1</v>
      </c>
      <c r="BW2702">
        <v>113</v>
      </c>
      <c r="BX2702">
        <v>90</v>
      </c>
      <c r="BY2702">
        <v>0.25555555600000002</v>
      </c>
      <c r="BZ2702" s="10">
        <v>0.25555555600000002</v>
      </c>
      <c r="CA2702" s="7">
        <v>45606</v>
      </c>
      <c r="CE2702">
        <v>23</v>
      </c>
      <c r="CF2702">
        <v>29</v>
      </c>
      <c r="CG2702">
        <v>61</v>
      </c>
      <c r="CI2702">
        <f t="shared" si="246"/>
        <v>2024</v>
      </c>
      <c r="CJ2702" t="str">
        <f t="shared" si="247"/>
        <v>7122_2024</v>
      </c>
    </row>
    <row r="2703" spans="1:88" x14ac:dyDescent="0.25">
      <c r="A2703" t="s">
        <v>111</v>
      </c>
      <c r="B2703" t="s">
        <v>389</v>
      </c>
      <c r="C2703">
        <v>7879</v>
      </c>
      <c r="D2703">
        <v>-38.465715799999998</v>
      </c>
      <c r="E2703">
        <v>145.2388885</v>
      </c>
      <c r="F2703">
        <v>2</v>
      </c>
      <c r="G2703" t="s">
        <v>953</v>
      </c>
      <c r="H2703">
        <v>1</v>
      </c>
      <c r="I2703">
        <v>181</v>
      </c>
      <c r="J2703">
        <v>181</v>
      </c>
      <c r="K2703">
        <v>1</v>
      </c>
      <c r="T2703">
        <v>34</v>
      </c>
      <c r="Y2703">
        <v>35</v>
      </c>
      <c r="AX2703">
        <v>34</v>
      </c>
      <c r="AY2703">
        <v>35</v>
      </c>
      <c r="AZ2703">
        <v>69</v>
      </c>
      <c r="BA2703">
        <v>35</v>
      </c>
      <c r="BB2703">
        <v>34</v>
      </c>
      <c r="BC2703">
        <v>69</v>
      </c>
      <c r="BP2703">
        <v>23</v>
      </c>
      <c r="BQ2703">
        <v>6</v>
      </c>
      <c r="BR2703">
        <v>31</v>
      </c>
      <c r="BS2703">
        <v>2</v>
      </c>
      <c r="BT2703">
        <v>3</v>
      </c>
      <c r="BU2703">
        <v>0</v>
      </c>
      <c r="BV2703">
        <v>4</v>
      </c>
      <c r="BW2703">
        <v>69</v>
      </c>
      <c r="BX2703">
        <v>52</v>
      </c>
      <c r="BY2703">
        <v>0.32692307700000001</v>
      </c>
      <c r="BZ2703" s="10">
        <v>0.32692307700000001</v>
      </c>
      <c r="CA2703" s="7">
        <v>45606</v>
      </c>
      <c r="CE2703">
        <v>32</v>
      </c>
      <c r="CF2703">
        <v>20</v>
      </c>
      <c r="CG2703">
        <v>17</v>
      </c>
      <c r="CI2703">
        <f t="shared" si="246"/>
        <v>2024</v>
      </c>
      <c r="CJ2703" t="str">
        <f t="shared" si="247"/>
        <v>7879_2024</v>
      </c>
    </row>
    <row r="2704" spans="1:88" x14ac:dyDescent="0.25">
      <c r="A2704" t="s">
        <v>111</v>
      </c>
      <c r="B2704" t="s">
        <v>389</v>
      </c>
      <c r="C2704">
        <v>7880</v>
      </c>
      <c r="D2704">
        <v>-38.520893000000001</v>
      </c>
      <c r="E2704">
        <v>145.39058600000001</v>
      </c>
      <c r="F2704">
        <v>2</v>
      </c>
      <c r="G2704" t="s">
        <v>954</v>
      </c>
      <c r="H2704">
        <v>75</v>
      </c>
      <c r="I2704">
        <v>255</v>
      </c>
      <c r="J2704">
        <v>260</v>
      </c>
      <c r="K2704">
        <v>80</v>
      </c>
      <c r="T2704">
        <v>18</v>
      </c>
      <c r="Y2704">
        <v>13</v>
      </c>
      <c r="AX2704">
        <v>18</v>
      </c>
      <c r="AY2704">
        <v>13</v>
      </c>
      <c r="AZ2704">
        <v>31</v>
      </c>
      <c r="BA2704">
        <v>13</v>
      </c>
      <c r="BB2704">
        <v>18</v>
      </c>
      <c r="BC2704">
        <v>31</v>
      </c>
      <c r="BP2704">
        <v>13</v>
      </c>
      <c r="BQ2704">
        <v>2</v>
      </c>
      <c r="BR2704">
        <v>13</v>
      </c>
      <c r="BS2704">
        <v>2</v>
      </c>
      <c r="BT2704">
        <v>1</v>
      </c>
      <c r="BU2704">
        <v>0</v>
      </c>
      <c r="BV2704">
        <v>0</v>
      </c>
      <c r="BW2704">
        <v>31</v>
      </c>
      <c r="BX2704">
        <v>25</v>
      </c>
      <c r="BY2704">
        <v>0.24</v>
      </c>
      <c r="BZ2704" s="10">
        <v>0.24</v>
      </c>
      <c r="CA2704" s="7">
        <v>45606</v>
      </c>
      <c r="CE2704">
        <v>12</v>
      </c>
      <c r="CF2704">
        <v>4</v>
      </c>
      <c r="CG2704">
        <v>15</v>
      </c>
      <c r="CI2704">
        <f t="shared" si="246"/>
        <v>2024</v>
      </c>
      <c r="CJ2704" t="str">
        <f t="shared" si="247"/>
        <v>7880_2024</v>
      </c>
    </row>
    <row r="2705" spans="1:88" x14ac:dyDescent="0.25">
      <c r="A2705" t="s">
        <v>111</v>
      </c>
      <c r="B2705" t="s">
        <v>389</v>
      </c>
      <c r="C2705">
        <v>7881</v>
      </c>
      <c r="D2705">
        <v>-38.637765000000002</v>
      </c>
      <c r="E2705">
        <v>145.726417</v>
      </c>
      <c r="F2705">
        <v>2</v>
      </c>
      <c r="G2705" t="s">
        <v>955</v>
      </c>
      <c r="H2705">
        <v>22</v>
      </c>
      <c r="I2705">
        <v>202</v>
      </c>
      <c r="J2705">
        <v>202</v>
      </c>
      <c r="K2705">
        <v>22</v>
      </c>
      <c r="T2705">
        <v>216</v>
      </c>
      <c r="Y2705">
        <v>212</v>
      </c>
      <c r="AX2705">
        <v>216</v>
      </c>
      <c r="AY2705">
        <v>212</v>
      </c>
      <c r="AZ2705">
        <v>428</v>
      </c>
      <c r="BA2705">
        <v>212</v>
      </c>
      <c r="BB2705">
        <v>216</v>
      </c>
      <c r="BC2705">
        <v>428</v>
      </c>
      <c r="BP2705">
        <v>48</v>
      </c>
      <c r="BQ2705">
        <v>2</v>
      </c>
      <c r="BR2705">
        <v>272</v>
      </c>
      <c r="BS2705">
        <v>43</v>
      </c>
      <c r="BT2705">
        <v>55</v>
      </c>
      <c r="BU2705">
        <v>0</v>
      </c>
      <c r="BV2705">
        <v>8</v>
      </c>
      <c r="BW2705">
        <v>428</v>
      </c>
      <c r="BX2705">
        <v>457</v>
      </c>
      <c r="BY2705">
        <v>-6.3457330000000006E-2</v>
      </c>
      <c r="BZ2705" s="10">
        <v>-6.3457330000000006E-2</v>
      </c>
      <c r="CA2705" s="7">
        <v>45606</v>
      </c>
      <c r="CE2705">
        <v>102</v>
      </c>
      <c r="CF2705">
        <v>201</v>
      </c>
      <c r="CG2705">
        <v>125</v>
      </c>
      <c r="CI2705">
        <f t="shared" si="246"/>
        <v>2024</v>
      </c>
      <c r="CJ2705" t="str">
        <f t="shared" si="247"/>
        <v>7881_2024</v>
      </c>
    </row>
    <row r="2706" spans="1:88" x14ac:dyDescent="0.25">
      <c r="A2706" t="s">
        <v>111</v>
      </c>
      <c r="B2706" t="s">
        <v>389</v>
      </c>
      <c r="C2706">
        <v>7882</v>
      </c>
      <c r="D2706">
        <v>-38.418008999999998</v>
      </c>
      <c r="E2706">
        <v>145.45543699999999</v>
      </c>
      <c r="F2706">
        <v>2</v>
      </c>
      <c r="G2706" t="s">
        <v>956</v>
      </c>
      <c r="H2706">
        <v>97</v>
      </c>
      <c r="I2706">
        <v>277</v>
      </c>
      <c r="J2706">
        <v>279</v>
      </c>
      <c r="K2706">
        <v>99</v>
      </c>
      <c r="T2706">
        <v>3</v>
      </c>
      <c r="Y2706">
        <v>4</v>
      </c>
      <c r="AX2706">
        <v>3</v>
      </c>
      <c r="AY2706">
        <v>4</v>
      </c>
      <c r="AZ2706">
        <v>7</v>
      </c>
      <c r="BA2706">
        <v>4</v>
      </c>
      <c r="BB2706">
        <v>3</v>
      </c>
      <c r="BC2706">
        <v>7</v>
      </c>
      <c r="BP2706">
        <v>5</v>
      </c>
      <c r="BQ2706">
        <v>0</v>
      </c>
      <c r="BR2706">
        <v>0</v>
      </c>
      <c r="BS2706">
        <v>0</v>
      </c>
      <c r="BT2706">
        <v>2</v>
      </c>
      <c r="BU2706">
        <v>0</v>
      </c>
      <c r="BV2706">
        <v>0</v>
      </c>
      <c r="BW2706">
        <v>7</v>
      </c>
      <c r="BX2706">
        <v>3</v>
      </c>
      <c r="BY2706">
        <v>1.3333333329999999</v>
      </c>
      <c r="BZ2706" s="10">
        <v>1.3333333329999999</v>
      </c>
      <c r="CA2706" s="7">
        <v>45606</v>
      </c>
      <c r="CE2706">
        <v>1</v>
      </c>
      <c r="CF2706">
        <v>0</v>
      </c>
      <c r="CG2706">
        <v>6</v>
      </c>
      <c r="CI2706">
        <f t="shared" si="246"/>
        <v>2024</v>
      </c>
      <c r="CJ2706" t="str">
        <f t="shared" si="247"/>
        <v>7882_2024</v>
      </c>
    </row>
    <row r="2707" spans="1:88" x14ac:dyDescent="0.25">
      <c r="A2707" t="s">
        <v>79</v>
      </c>
      <c r="B2707" t="s">
        <v>1096</v>
      </c>
      <c r="C2707">
        <v>8335</v>
      </c>
      <c r="D2707">
        <v>-33.412100000000002</v>
      </c>
      <c r="E2707">
        <v>149.59994699999999</v>
      </c>
      <c r="F2707">
        <v>4</v>
      </c>
      <c r="G2707" t="s">
        <v>1097</v>
      </c>
      <c r="H2707">
        <v>67</v>
      </c>
      <c r="I2707">
        <v>247</v>
      </c>
      <c r="J2707">
        <v>167</v>
      </c>
      <c r="K2707">
        <v>347</v>
      </c>
      <c r="L2707">
        <v>247</v>
      </c>
      <c r="M2707">
        <v>67</v>
      </c>
      <c r="N2707">
        <v>318</v>
      </c>
      <c r="O2707">
        <v>138</v>
      </c>
      <c r="T2707">
        <v>0</v>
      </c>
      <c r="U2707">
        <v>13</v>
      </c>
      <c r="V2707">
        <v>0</v>
      </c>
      <c r="Y2707">
        <v>1</v>
      </c>
      <c r="Z2707">
        <v>3</v>
      </c>
      <c r="AA2707">
        <v>246</v>
      </c>
      <c r="AD2707">
        <v>3</v>
      </c>
      <c r="AE2707">
        <v>0</v>
      </c>
      <c r="AF2707">
        <v>12</v>
      </c>
      <c r="AI2707">
        <v>0</v>
      </c>
      <c r="AJ2707">
        <v>2</v>
      </c>
      <c r="AK2707">
        <v>11</v>
      </c>
      <c r="AX2707">
        <v>13</v>
      </c>
      <c r="AY2707">
        <v>4</v>
      </c>
      <c r="AZ2707">
        <v>17</v>
      </c>
      <c r="BA2707">
        <v>250</v>
      </c>
      <c r="BB2707">
        <v>2</v>
      </c>
      <c r="BC2707">
        <v>252</v>
      </c>
      <c r="BD2707">
        <v>15</v>
      </c>
      <c r="BE2707">
        <v>27</v>
      </c>
      <c r="BF2707">
        <v>42</v>
      </c>
      <c r="BG2707">
        <v>13</v>
      </c>
      <c r="BH2707">
        <v>258</v>
      </c>
      <c r="BI2707">
        <v>271</v>
      </c>
      <c r="BP2707">
        <v>26</v>
      </c>
      <c r="BQ2707">
        <v>1</v>
      </c>
      <c r="BR2707">
        <v>147</v>
      </c>
      <c r="BS2707">
        <v>4</v>
      </c>
      <c r="BT2707">
        <v>113</v>
      </c>
      <c r="BU2707">
        <v>0</v>
      </c>
      <c r="BV2707">
        <v>0</v>
      </c>
      <c r="BW2707">
        <v>291</v>
      </c>
      <c r="BZ2707" s="10"/>
      <c r="CA2707" s="7">
        <v>45606</v>
      </c>
      <c r="CE2707">
        <v>251</v>
      </c>
      <c r="CF2707">
        <v>25</v>
      </c>
      <c r="CG2707">
        <v>15</v>
      </c>
      <c r="CI2707">
        <f t="shared" si="246"/>
        <v>2024</v>
      </c>
      <c r="CJ2707" t="str">
        <f t="shared" si="247"/>
        <v>8335_2024</v>
      </c>
    </row>
    <row r="2708" spans="1:88" x14ac:dyDescent="0.25">
      <c r="A2708" t="s">
        <v>79</v>
      </c>
      <c r="B2708" t="s">
        <v>1096</v>
      </c>
      <c r="C2708">
        <v>8337</v>
      </c>
      <c r="D2708">
        <v>-33.423561999999997</v>
      </c>
      <c r="E2708">
        <v>149.58439899999999</v>
      </c>
      <c r="F2708">
        <v>4</v>
      </c>
      <c r="G2708" t="s">
        <v>1098</v>
      </c>
      <c r="H2708">
        <v>52</v>
      </c>
      <c r="I2708">
        <v>232</v>
      </c>
      <c r="J2708">
        <v>141</v>
      </c>
      <c r="K2708">
        <v>321</v>
      </c>
      <c r="L2708">
        <v>232</v>
      </c>
      <c r="M2708">
        <v>52</v>
      </c>
      <c r="N2708">
        <v>318</v>
      </c>
      <c r="O2708">
        <v>138</v>
      </c>
      <c r="T2708">
        <v>1</v>
      </c>
      <c r="U2708">
        <v>12</v>
      </c>
      <c r="V2708">
        <v>25</v>
      </c>
      <c r="Y2708">
        <v>0</v>
      </c>
      <c r="Z2708">
        <v>2</v>
      </c>
      <c r="AA2708">
        <v>3</v>
      </c>
      <c r="AD2708">
        <v>11136</v>
      </c>
      <c r="AE2708">
        <v>2</v>
      </c>
      <c r="AF2708">
        <v>1</v>
      </c>
      <c r="AI2708">
        <v>4</v>
      </c>
      <c r="AJ2708">
        <v>14</v>
      </c>
      <c r="AK2708">
        <v>14</v>
      </c>
      <c r="AX2708">
        <v>38</v>
      </c>
      <c r="AY2708">
        <v>11140</v>
      </c>
      <c r="AZ2708">
        <v>11178</v>
      </c>
      <c r="BA2708">
        <v>5</v>
      </c>
      <c r="BB2708">
        <v>17</v>
      </c>
      <c r="BC2708">
        <v>22</v>
      </c>
      <c r="BD2708">
        <v>11139</v>
      </c>
      <c r="BE2708">
        <v>28</v>
      </c>
      <c r="BF2708">
        <v>11167</v>
      </c>
      <c r="BG2708">
        <v>32</v>
      </c>
      <c r="BH2708">
        <v>29</v>
      </c>
      <c r="BI2708">
        <v>61</v>
      </c>
      <c r="BP2708">
        <v>11152</v>
      </c>
      <c r="BQ2708">
        <v>0</v>
      </c>
      <c r="BR2708">
        <v>46</v>
      </c>
      <c r="BS2708">
        <v>4</v>
      </c>
      <c r="BT2708">
        <v>12</v>
      </c>
      <c r="BU2708">
        <v>0</v>
      </c>
      <c r="BV2708">
        <v>0</v>
      </c>
      <c r="BW2708">
        <v>11214</v>
      </c>
      <c r="BZ2708" s="10"/>
      <c r="CA2708" s="7">
        <v>45606</v>
      </c>
      <c r="CE2708">
        <v>45</v>
      </c>
      <c r="CF2708">
        <v>11154</v>
      </c>
      <c r="CG2708">
        <v>15</v>
      </c>
      <c r="CI2708">
        <f t="shared" si="246"/>
        <v>2024</v>
      </c>
      <c r="CJ2708" t="str">
        <f t="shared" si="247"/>
        <v>8337_2024</v>
      </c>
    </row>
    <row r="2709" spans="1:88" x14ac:dyDescent="0.25">
      <c r="A2709" t="s">
        <v>79</v>
      </c>
      <c r="B2709" t="s">
        <v>1096</v>
      </c>
      <c r="C2709">
        <v>8351</v>
      </c>
      <c r="D2709">
        <v>-33.394827999999997</v>
      </c>
      <c r="E2709">
        <v>149.557131</v>
      </c>
      <c r="F2709">
        <v>3</v>
      </c>
      <c r="G2709" t="s">
        <v>1099</v>
      </c>
      <c r="H2709">
        <v>113</v>
      </c>
      <c r="I2709">
        <v>293</v>
      </c>
      <c r="J2709">
        <v>205</v>
      </c>
      <c r="K2709">
        <v>25</v>
      </c>
      <c r="L2709">
        <v>294</v>
      </c>
      <c r="M2709">
        <v>114</v>
      </c>
      <c r="T2709">
        <v>2</v>
      </c>
      <c r="U2709">
        <v>12</v>
      </c>
      <c r="Y2709">
        <v>2</v>
      </c>
      <c r="Z2709">
        <v>6</v>
      </c>
      <c r="AD2709">
        <v>8</v>
      </c>
      <c r="AE2709">
        <v>7</v>
      </c>
      <c r="AX2709">
        <v>14</v>
      </c>
      <c r="AY2709">
        <v>10</v>
      </c>
      <c r="AZ2709">
        <v>24</v>
      </c>
      <c r="BA2709">
        <v>8</v>
      </c>
      <c r="BB2709">
        <v>9</v>
      </c>
      <c r="BC2709">
        <v>17</v>
      </c>
      <c r="BD2709">
        <v>15</v>
      </c>
      <c r="BE2709">
        <v>18</v>
      </c>
      <c r="BF2709">
        <v>33</v>
      </c>
      <c r="BP2709">
        <v>13</v>
      </c>
      <c r="BQ2709">
        <v>1</v>
      </c>
      <c r="BR2709">
        <v>7</v>
      </c>
      <c r="BS2709">
        <v>5</v>
      </c>
      <c r="BT2709">
        <v>11</v>
      </c>
      <c r="BU2709">
        <v>0</v>
      </c>
      <c r="BV2709">
        <v>0</v>
      </c>
      <c r="BW2709">
        <v>37</v>
      </c>
      <c r="BZ2709" s="10"/>
      <c r="CA2709" s="7">
        <v>45606</v>
      </c>
      <c r="CE2709">
        <v>20</v>
      </c>
      <c r="CF2709">
        <v>10</v>
      </c>
      <c r="CG2709">
        <v>7</v>
      </c>
      <c r="CI2709">
        <f t="shared" si="246"/>
        <v>2024</v>
      </c>
      <c r="CJ2709" t="str">
        <f t="shared" si="247"/>
        <v>8351_2024</v>
      </c>
    </row>
    <row r="2710" spans="1:88" x14ac:dyDescent="0.25">
      <c r="A2710" t="s">
        <v>79</v>
      </c>
      <c r="B2710" t="s">
        <v>1096</v>
      </c>
      <c r="C2710">
        <v>8353</v>
      </c>
      <c r="D2710">
        <v>-33.426668999999997</v>
      </c>
      <c r="E2710">
        <v>149.56810200000001</v>
      </c>
      <c r="F2710">
        <v>4</v>
      </c>
      <c r="G2710" t="s">
        <v>1100</v>
      </c>
      <c r="H2710">
        <v>51</v>
      </c>
      <c r="I2710">
        <v>231</v>
      </c>
      <c r="J2710">
        <v>141</v>
      </c>
      <c r="K2710">
        <v>321</v>
      </c>
      <c r="L2710">
        <v>210</v>
      </c>
      <c r="M2710">
        <v>30</v>
      </c>
      <c r="N2710">
        <v>320</v>
      </c>
      <c r="O2710">
        <v>140</v>
      </c>
      <c r="T2710">
        <v>2</v>
      </c>
      <c r="U2710">
        <v>7</v>
      </c>
      <c r="V2710">
        <v>2</v>
      </c>
      <c r="Y2710">
        <v>1</v>
      </c>
      <c r="Z2710">
        <v>1</v>
      </c>
      <c r="AA2710">
        <v>0</v>
      </c>
      <c r="AD2710">
        <v>5</v>
      </c>
      <c r="AE2710">
        <v>1</v>
      </c>
      <c r="AF2710">
        <v>3</v>
      </c>
      <c r="AI2710">
        <v>3</v>
      </c>
      <c r="AJ2710">
        <v>1</v>
      </c>
      <c r="AK2710">
        <v>6</v>
      </c>
      <c r="AX2710">
        <v>11</v>
      </c>
      <c r="AY2710">
        <v>9</v>
      </c>
      <c r="AZ2710">
        <v>20</v>
      </c>
      <c r="BA2710">
        <v>2</v>
      </c>
      <c r="BB2710">
        <v>4</v>
      </c>
      <c r="BC2710">
        <v>6</v>
      </c>
      <c r="BD2710">
        <v>9</v>
      </c>
      <c r="BE2710">
        <v>14</v>
      </c>
      <c r="BF2710">
        <v>23</v>
      </c>
      <c r="BG2710">
        <v>10</v>
      </c>
      <c r="BH2710">
        <v>5</v>
      </c>
      <c r="BI2710">
        <v>15</v>
      </c>
      <c r="BP2710">
        <v>6</v>
      </c>
      <c r="BQ2710">
        <v>0</v>
      </c>
      <c r="BR2710">
        <v>21</v>
      </c>
      <c r="BS2710">
        <v>0</v>
      </c>
      <c r="BT2710">
        <v>4</v>
      </c>
      <c r="BU2710">
        <v>0</v>
      </c>
      <c r="BV2710">
        <v>1</v>
      </c>
      <c r="BW2710">
        <v>32</v>
      </c>
      <c r="BZ2710" s="10"/>
      <c r="CA2710" s="7">
        <v>45606</v>
      </c>
      <c r="CE2710">
        <v>16</v>
      </c>
      <c r="CF2710">
        <v>8</v>
      </c>
      <c r="CG2710">
        <v>8</v>
      </c>
      <c r="CI2710">
        <f t="shared" si="246"/>
        <v>2024</v>
      </c>
      <c r="CJ2710" t="str">
        <f t="shared" si="247"/>
        <v>8353_2024</v>
      </c>
    </row>
    <row r="2711" spans="1:88" x14ac:dyDescent="0.25">
      <c r="A2711" t="s">
        <v>79</v>
      </c>
      <c r="B2711" t="s">
        <v>957</v>
      </c>
      <c r="C2711">
        <v>7883</v>
      </c>
      <c r="D2711">
        <v>-33.947670000000002</v>
      </c>
      <c r="E2711">
        <v>151.15564000000001</v>
      </c>
      <c r="F2711">
        <v>2</v>
      </c>
      <c r="G2711" t="s">
        <v>964</v>
      </c>
      <c r="H2711">
        <v>55</v>
      </c>
      <c r="I2711">
        <v>235</v>
      </c>
      <c r="J2711">
        <v>228</v>
      </c>
      <c r="K2711">
        <v>48</v>
      </c>
      <c r="T2711">
        <v>178</v>
      </c>
      <c r="Y2711">
        <v>224</v>
      </c>
      <c r="AX2711">
        <v>178</v>
      </c>
      <c r="AY2711">
        <v>224</v>
      </c>
      <c r="AZ2711">
        <v>402</v>
      </c>
      <c r="BA2711">
        <v>224</v>
      </c>
      <c r="BB2711">
        <v>178</v>
      </c>
      <c r="BC2711">
        <v>402</v>
      </c>
      <c r="BP2711">
        <v>264</v>
      </c>
      <c r="BQ2711">
        <v>19</v>
      </c>
      <c r="BR2711">
        <v>59</v>
      </c>
      <c r="BS2711">
        <v>47</v>
      </c>
      <c r="BT2711">
        <v>10</v>
      </c>
      <c r="BU2711">
        <v>0</v>
      </c>
      <c r="BV2711">
        <v>3</v>
      </c>
      <c r="BW2711">
        <v>402</v>
      </c>
      <c r="BZ2711" s="10"/>
      <c r="CA2711" s="7">
        <v>45606</v>
      </c>
      <c r="CC2711">
        <v>105</v>
      </c>
      <c r="CD2711">
        <v>165</v>
      </c>
      <c r="CE2711">
        <v>132</v>
      </c>
      <c r="CI2711">
        <f t="shared" si="246"/>
        <v>2024</v>
      </c>
      <c r="CJ2711" t="str">
        <f t="shared" si="247"/>
        <v>7883_2024</v>
      </c>
    </row>
    <row r="2712" spans="1:88" x14ac:dyDescent="0.25">
      <c r="A2712" t="s">
        <v>79</v>
      </c>
      <c r="B2712" t="s">
        <v>957</v>
      </c>
      <c r="C2712">
        <v>7884</v>
      </c>
      <c r="D2712">
        <v>-33.948236000000001</v>
      </c>
      <c r="E2712">
        <v>151.166504</v>
      </c>
      <c r="F2712">
        <v>2</v>
      </c>
      <c r="G2712" t="s">
        <v>958</v>
      </c>
      <c r="H2712">
        <v>158</v>
      </c>
      <c r="I2712">
        <v>338</v>
      </c>
      <c r="J2712">
        <v>335</v>
      </c>
      <c r="K2712">
        <v>155</v>
      </c>
      <c r="T2712">
        <v>227</v>
      </c>
      <c r="Y2712">
        <v>238</v>
      </c>
      <c r="AX2712">
        <v>227</v>
      </c>
      <c r="AY2712">
        <v>238</v>
      </c>
      <c r="AZ2712">
        <v>465</v>
      </c>
      <c r="BA2712">
        <v>238</v>
      </c>
      <c r="BB2712">
        <v>227</v>
      </c>
      <c r="BC2712">
        <v>465</v>
      </c>
      <c r="BP2712">
        <v>206</v>
      </c>
      <c r="BQ2712">
        <v>13</v>
      </c>
      <c r="BR2712">
        <v>143</v>
      </c>
      <c r="BS2712">
        <v>66</v>
      </c>
      <c r="BT2712">
        <v>35</v>
      </c>
      <c r="BU2712">
        <v>0</v>
      </c>
      <c r="BV2712">
        <v>2</v>
      </c>
      <c r="BW2712">
        <v>465</v>
      </c>
      <c r="BZ2712" s="10"/>
      <c r="CA2712" s="7">
        <v>45606</v>
      </c>
      <c r="CC2712">
        <v>141</v>
      </c>
      <c r="CD2712">
        <v>168</v>
      </c>
      <c r="CE2712">
        <v>156</v>
      </c>
      <c r="CI2712">
        <f t="shared" si="246"/>
        <v>2024</v>
      </c>
      <c r="CJ2712" t="str">
        <f t="shared" si="247"/>
        <v>7884_2024</v>
      </c>
    </row>
    <row r="2713" spans="1:88" x14ac:dyDescent="0.25">
      <c r="A2713" t="s">
        <v>79</v>
      </c>
      <c r="B2713" t="s">
        <v>957</v>
      </c>
      <c r="C2713">
        <v>7885</v>
      </c>
      <c r="D2713">
        <v>-33.978560000000002</v>
      </c>
      <c r="E2713">
        <v>151.14995999999999</v>
      </c>
      <c r="F2713">
        <v>2</v>
      </c>
      <c r="G2713" t="s">
        <v>959</v>
      </c>
      <c r="H2713">
        <v>190</v>
      </c>
      <c r="I2713">
        <v>10</v>
      </c>
      <c r="J2713">
        <v>348</v>
      </c>
      <c r="K2713">
        <v>168</v>
      </c>
      <c r="T2713">
        <v>982</v>
      </c>
      <c r="Y2713">
        <v>990</v>
      </c>
      <c r="AX2713">
        <v>982</v>
      </c>
      <c r="AY2713">
        <v>990</v>
      </c>
      <c r="AZ2713">
        <v>1972</v>
      </c>
      <c r="BA2713">
        <v>990</v>
      </c>
      <c r="BB2713">
        <v>982</v>
      </c>
      <c r="BC2713">
        <v>1972</v>
      </c>
      <c r="BP2713">
        <v>724</v>
      </c>
      <c r="BQ2713">
        <v>14</v>
      </c>
      <c r="BR2713">
        <v>848</v>
      </c>
      <c r="BS2713">
        <v>284</v>
      </c>
      <c r="BT2713">
        <v>77</v>
      </c>
      <c r="BU2713">
        <v>2</v>
      </c>
      <c r="BV2713">
        <v>23</v>
      </c>
      <c r="BW2713">
        <v>1972</v>
      </c>
      <c r="BZ2713" s="10"/>
      <c r="CA2713" s="7">
        <v>45606</v>
      </c>
      <c r="CC2713">
        <v>591</v>
      </c>
      <c r="CD2713">
        <v>685</v>
      </c>
      <c r="CE2713">
        <v>696</v>
      </c>
      <c r="CI2713">
        <f t="shared" si="246"/>
        <v>2024</v>
      </c>
      <c r="CJ2713" t="str">
        <f t="shared" si="247"/>
        <v>7885_2024</v>
      </c>
    </row>
    <row r="2714" spans="1:88" x14ac:dyDescent="0.25">
      <c r="A2714" t="s">
        <v>79</v>
      </c>
      <c r="B2714" t="s">
        <v>957</v>
      </c>
      <c r="C2714">
        <v>7886</v>
      </c>
      <c r="D2714">
        <v>-33.957016000000003</v>
      </c>
      <c r="E2714">
        <v>151.20433700000001</v>
      </c>
      <c r="F2714">
        <v>4</v>
      </c>
      <c r="G2714" t="s">
        <v>960</v>
      </c>
      <c r="H2714">
        <v>46</v>
      </c>
      <c r="I2714">
        <v>226</v>
      </c>
      <c r="J2714">
        <v>122</v>
      </c>
      <c r="K2714">
        <v>302</v>
      </c>
      <c r="L2714">
        <v>217</v>
      </c>
      <c r="M2714">
        <v>37</v>
      </c>
      <c r="N2714">
        <v>300</v>
      </c>
      <c r="O2714">
        <v>120</v>
      </c>
      <c r="T2714">
        <v>8</v>
      </c>
      <c r="U2714">
        <v>61</v>
      </c>
      <c r="V2714">
        <v>25</v>
      </c>
      <c r="Y2714">
        <v>12</v>
      </c>
      <c r="Z2714">
        <v>0</v>
      </c>
      <c r="AA2714">
        <v>11</v>
      </c>
      <c r="AD2714">
        <v>50</v>
      </c>
      <c r="AE2714">
        <v>0</v>
      </c>
      <c r="AF2714">
        <v>38</v>
      </c>
      <c r="AI2714">
        <v>30</v>
      </c>
      <c r="AJ2714">
        <v>13</v>
      </c>
      <c r="AK2714">
        <v>16</v>
      </c>
      <c r="AX2714">
        <v>94</v>
      </c>
      <c r="AY2714">
        <v>92</v>
      </c>
      <c r="AZ2714">
        <v>186</v>
      </c>
      <c r="BA2714">
        <v>23</v>
      </c>
      <c r="BB2714">
        <v>21</v>
      </c>
      <c r="BC2714">
        <v>44</v>
      </c>
      <c r="BD2714">
        <v>88</v>
      </c>
      <c r="BE2714">
        <v>77</v>
      </c>
      <c r="BF2714">
        <v>165</v>
      </c>
      <c r="BG2714">
        <v>59</v>
      </c>
      <c r="BH2714">
        <v>74</v>
      </c>
      <c r="BI2714">
        <v>133</v>
      </c>
      <c r="BP2714">
        <v>32</v>
      </c>
      <c r="BQ2714">
        <v>0</v>
      </c>
      <c r="BR2714">
        <v>143</v>
      </c>
      <c r="BS2714">
        <v>16</v>
      </c>
      <c r="BT2714">
        <v>70</v>
      </c>
      <c r="BU2714">
        <v>0</v>
      </c>
      <c r="BV2714">
        <v>3</v>
      </c>
      <c r="BW2714">
        <v>264</v>
      </c>
      <c r="BZ2714" s="10"/>
      <c r="CA2714" s="7">
        <v>45606</v>
      </c>
      <c r="CC2714">
        <v>45</v>
      </c>
      <c r="CD2714">
        <v>94</v>
      </c>
      <c r="CE2714">
        <v>125</v>
      </c>
      <c r="CI2714">
        <f t="shared" si="246"/>
        <v>2024</v>
      </c>
      <c r="CJ2714" t="str">
        <f t="shared" si="247"/>
        <v>7886_2024</v>
      </c>
    </row>
    <row r="2715" spans="1:88" x14ac:dyDescent="0.25">
      <c r="A2715" t="s">
        <v>79</v>
      </c>
      <c r="B2715" t="s">
        <v>957</v>
      </c>
      <c r="C2715">
        <v>7887</v>
      </c>
      <c r="D2715">
        <v>-33.94567</v>
      </c>
      <c r="E2715">
        <v>151.22166000000001</v>
      </c>
      <c r="F2715">
        <v>4</v>
      </c>
      <c r="G2715" t="s">
        <v>961</v>
      </c>
      <c r="H2715">
        <v>35</v>
      </c>
      <c r="I2715">
        <v>215</v>
      </c>
      <c r="J2715">
        <v>112</v>
      </c>
      <c r="K2715">
        <v>292</v>
      </c>
      <c r="L2715">
        <v>179</v>
      </c>
      <c r="M2715">
        <v>359</v>
      </c>
      <c r="N2715">
        <v>320</v>
      </c>
      <c r="O2715">
        <v>140</v>
      </c>
      <c r="T2715">
        <v>20</v>
      </c>
      <c r="U2715">
        <v>5</v>
      </c>
      <c r="V2715">
        <v>15</v>
      </c>
      <c r="Y2715">
        <v>11</v>
      </c>
      <c r="Z2715">
        <v>3</v>
      </c>
      <c r="AA2715">
        <v>21</v>
      </c>
      <c r="AD2715">
        <v>3</v>
      </c>
      <c r="AE2715">
        <v>5</v>
      </c>
      <c r="AF2715">
        <v>7</v>
      </c>
      <c r="AI2715">
        <v>6</v>
      </c>
      <c r="AJ2715">
        <v>32</v>
      </c>
      <c r="AK2715">
        <v>7</v>
      </c>
      <c r="AX2715">
        <v>40</v>
      </c>
      <c r="AY2715">
        <v>20</v>
      </c>
      <c r="AZ2715">
        <v>60</v>
      </c>
      <c r="BA2715">
        <v>35</v>
      </c>
      <c r="BB2715">
        <v>57</v>
      </c>
      <c r="BC2715">
        <v>92</v>
      </c>
      <c r="BD2715">
        <v>15</v>
      </c>
      <c r="BE2715">
        <v>15</v>
      </c>
      <c r="BF2715">
        <v>30</v>
      </c>
      <c r="BG2715">
        <v>45</v>
      </c>
      <c r="BH2715">
        <v>43</v>
      </c>
      <c r="BI2715">
        <v>88</v>
      </c>
      <c r="BP2715">
        <v>57</v>
      </c>
      <c r="BQ2715">
        <v>5</v>
      </c>
      <c r="BR2715">
        <v>58</v>
      </c>
      <c r="BS2715">
        <v>11</v>
      </c>
      <c r="BT2715">
        <v>4</v>
      </c>
      <c r="BU2715">
        <v>0</v>
      </c>
      <c r="BV2715">
        <v>0</v>
      </c>
      <c r="BW2715">
        <v>135</v>
      </c>
      <c r="BZ2715" s="10"/>
      <c r="CA2715" s="7">
        <v>45606</v>
      </c>
      <c r="CC2715">
        <v>41</v>
      </c>
      <c r="CD2715">
        <v>44</v>
      </c>
      <c r="CE2715">
        <v>50</v>
      </c>
      <c r="CI2715">
        <f t="shared" si="246"/>
        <v>2024</v>
      </c>
      <c r="CJ2715" t="str">
        <f t="shared" si="247"/>
        <v>7887_2024</v>
      </c>
    </row>
    <row r="2716" spans="1:88" x14ac:dyDescent="0.25">
      <c r="A2716" t="s">
        <v>79</v>
      </c>
      <c r="B2716" t="s">
        <v>1101</v>
      </c>
      <c r="C2716">
        <v>8269</v>
      </c>
      <c r="D2716">
        <v>-33.926155999999999</v>
      </c>
      <c r="E2716">
        <v>151.173948</v>
      </c>
      <c r="F2716">
        <v>3</v>
      </c>
      <c r="G2716" t="s">
        <v>1102</v>
      </c>
      <c r="H2716">
        <v>5</v>
      </c>
      <c r="I2716">
        <v>185</v>
      </c>
      <c r="J2716">
        <v>95</v>
      </c>
      <c r="K2716">
        <v>275</v>
      </c>
      <c r="L2716">
        <v>315</v>
      </c>
      <c r="M2716">
        <v>135</v>
      </c>
      <c r="T2716">
        <v>3</v>
      </c>
      <c r="U2716">
        <v>127</v>
      </c>
      <c r="Y2716">
        <v>4</v>
      </c>
      <c r="Z2716">
        <v>19</v>
      </c>
      <c r="AD2716">
        <v>114</v>
      </c>
      <c r="AE2716">
        <v>25</v>
      </c>
      <c r="AX2716">
        <v>130</v>
      </c>
      <c r="AY2716">
        <v>118</v>
      </c>
      <c r="AZ2716">
        <v>248</v>
      </c>
      <c r="BA2716">
        <v>23</v>
      </c>
      <c r="BB2716">
        <v>28</v>
      </c>
      <c r="BC2716">
        <v>51</v>
      </c>
      <c r="BD2716">
        <v>139</v>
      </c>
      <c r="BE2716">
        <v>146</v>
      </c>
      <c r="BF2716">
        <v>285</v>
      </c>
      <c r="BP2716">
        <v>212</v>
      </c>
      <c r="BQ2716">
        <v>17</v>
      </c>
      <c r="BR2716">
        <v>28</v>
      </c>
      <c r="BS2716">
        <v>27</v>
      </c>
      <c r="BT2716">
        <v>7</v>
      </c>
      <c r="BU2716">
        <v>1</v>
      </c>
      <c r="BV2716">
        <v>0</v>
      </c>
      <c r="BW2716">
        <v>292</v>
      </c>
      <c r="BZ2716" s="10"/>
      <c r="CA2716" s="7">
        <v>45606</v>
      </c>
      <c r="CC2716">
        <v>105</v>
      </c>
      <c r="CD2716">
        <v>94</v>
      </c>
      <c r="CE2716">
        <v>93</v>
      </c>
      <c r="CI2716">
        <f t="shared" si="246"/>
        <v>2024</v>
      </c>
      <c r="CJ2716" t="str">
        <f t="shared" si="247"/>
        <v>8269_2024</v>
      </c>
    </row>
    <row r="2717" spans="1:88" x14ac:dyDescent="0.25">
      <c r="A2717" t="s">
        <v>140</v>
      </c>
      <c r="B2717" t="s">
        <v>1103</v>
      </c>
      <c r="C2717">
        <v>8394</v>
      </c>
      <c r="D2717">
        <v>-17.931885999999999</v>
      </c>
      <c r="E2717">
        <v>122.21233700000001</v>
      </c>
      <c r="F2717">
        <v>4</v>
      </c>
      <c r="G2717" t="s">
        <v>1104</v>
      </c>
      <c r="H2717">
        <v>73</v>
      </c>
      <c r="I2717">
        <v>253</v>
      </c>
      <c r="J2717">
        <v>154</v>
      </c>
      <c r="K2717">
        <v>334</v>
      </c>
      <c r="L2717">
        <v>277</v>
      </c>
      <c r="M2717">
        <v>97</v>
      </c>
      <c r="N2717">
        <v>335</v>
      </c>
      <c r="O2717">
        <v>155</v>
      </c>
      <c r="T2717">
        <v>16</v>
      </c>
      <c r="U2717">
        <v>0</v>
      </c>
      <c r="V2717">
        <v>37</v>
      </c>
      <c r="Y2717">
        <v>14</v>
      </c>
      <c r="Z2717">
        <v>0</v>
      </c>
      <c r="AA2717">
        <v>16</v>
      </c>
      <c r="AD2717">
        <v>0</v>
      </c>
      <c r="AE2717">
        <v>0</v>
      </c>
      <c r="AF2717">
        <v>0</v>
      </c>
      <c r="AI2717">
        <v>48</v>
      </c>
      <c r="AJ2717">
        <v>15</v>
      </c>
      <c r="AK2717">
        <v>2</v>
      </c>
      <c r="AX2717">
        <v>53</v>
      </c>
      <c r="AY2717">
        <v>62</v>
      </c>
      <c r="AZ2717">
        <v>115</v>
      </c>
      <c r="BA2717">
        <v>30</v>
      </c>
      <c r="BB2717">
        <v>31</v>
      </c>
      <c r="BC2717">
        <v>61</v>
      </c>
      <c r="BD2717">
        <v>0</v>
      </c>
      <c r="BE2717">
        <v>2</v>
      </c>
      <c r="BF2717">
        <v>2</v>
      </c>
      <c r="BG2717">
        <v>65</v>
      </c>
      <c r="BH2717">
        <v>53</v>
      </c>
      <c r="BI2717">
        <v>118</v>
      </c>
      <c r="BP2717">
        <v>29</v>
      </c>
      <c r="BQ2717">
        <v>2</v>
      </c>
      <c r="BR2717">
        <v>90</v>
      </c>
      <c r="BS2717">
        <v>8</v>
      </c>
      <c r="BT2717">
        <v>6</v>
      </c>
      <c r="BU2717">
        <v>6</v>
      </c>
      <c r="BV2717">
        <v>7</v>
      </c>
      <c r="BW2717">
        <v>148</v>
      </c>
      <c r="BZ2717" s="10"/>
      <c r="CA2717" s="7">
        <v>45606</v>
      </c>
      <c r="CC2717">
        <v>72</v>
      </c>
      <c r="CD2717">
        <v>44</v>
      </c>
      <c r="CE2717">
        <v>32</v>
      </c>
      <c r="CI2717">
        <f t="shared" si="246"/>
        <v>2024</v>
      </c>
      <c r="CJ2717" t="str">
        <f t="shared" si="247"/>
        <v>8394_2024</v>
      </c>
    </row>
    <row r="2718" spans="1:88" x14ac:dyDescent="0.25">
      <c r="A2718" t="s">
        <v>140</v>
      </c>
      <c r="B2718" t="s">
        <v>1103</v>
      </c>
      <c r="C2718">
        <v>8395</v>
      </c>
      <c r="D2718">
        <v>-17.935165000000001</v>
      </c>
      <c r="E2718">
        <v>122.213154</v>
      </c>
      <c r="F2718">
        <v>4</v>
      </c>
      <c r="G2718" t="s">
        <v>1105</v>
      </c>
      <c r="H2718">
        <v>3</v>
      </c>
      <c r="I2718">
        <v>183</v>
      </c>
      <c r="J2718">
        <v>92</v>
      </c>
      <c r="K2718">
        <v>272</v>
      </c>
      <c r="L2718">
        <v>182</v>
      </c>
      <c r="M2718">
        <v>2</v>
      </c>
      <c r="N2718">
        <v>264</v>
      </c>
      <c r="O2718">
        <v>84</v>
      </c>
      <c r="T2718">
        <v>11</v>
      </c>
      <c r="U2718">
        <v>12</v>
      </c>
      <c r="V2718">
        <v>0</v>
      </c>
      <c r="Y2718">
        <v>16</v>
      </c>
      <c r="Z2718">
        <v>2</v>
      </c>
      <c r="AA2718">
        <v>8</v>
      </c>
      <c r="AD2718">
        <v>12</v>
      </c>
      <c r="AE2718">
        <v>2</v>
      </c>
      <c r="AF2718">
        <v>0</v>
      </c>
      <c r="AI2718">
        <v>0</v>
      </c>
      <c r="AJ2718">
        <v>4</v>
      </c>
      <c r="AK2718">
        <v>0</v>
      </c>
      <c r="AX2718">
        <v>23</v>
      </c>
      <c r="AY2718">
        <v>28</v>
      </c>
      <c r="AZ2718">
        <v>51</v>
      </c>
      <c r="BA2718">
        <v>26</v>
      </c>
      <c r="BB2718">
        <v>17</v>
      </c>
      <c r="BC2718">
        <v>43</v>
      </c>
      <c r="BD2718">
        <v>14</v>
      </c>
      <c r="BE2718">
        <v>14</v>
      </c>
      <c r="BF2718">
        <v>28</v>
      </c>
      <c r="BG2718">
        <v>4</v>
      </c>
      <c r="BH2718">
        <v>8</v>
      </c>
      <c r="BI2718">
        <v>12</v>
      </c>
      <c r="BP2718">
        <v>14</v>
      </c>
      <c r="BQ2718">
        <v>1</v>
      </c>
      <c r="BR2718">
        <v>22</v>
      </c>
      <c r="BS2718">
        <v>15</v>
      </c>
      <c r="BT2718">
        <v>6</v>
      </c>
      <c r="BU2718">
        <v>9</v>
      </c>
      <c r="BV2718">
        <v>0</v>
      </c>
      <c r="BW2718">
        <v>67</v>
      </c>
      <c r="BZ2718" s="10"/>
      <c r="CA2718" s="7">
        <v>45606</v>
      </c>
      <c r="CC2718">
        <v>20</v>
      </c>
      <c r="CD2718">
        <v>28</v>
      </c>
      <c r="CE2718">
        <v>19</v>
      </c>
      <c r="CI2718">
        <f t="shared" si="246"/>
        <v>2024</v>
      </c>
      <c r="CJ2718" t="str">
        <f t="shared" si="247"/>
        <v>8395_2024</v>
      </c>
    </row>
    <row r="2719" spans="1:88" x14ac:dyDescent="0.25">
      <c r="A2719" t="s">
        <v>140</v>
      </c>
      <c r="B2719" t="s">
        <v>1103</v>
      </c>
      <c r="C2719">
        <v>8396</v>
      </c>
      <c r="D2719">
        <v>-17.931134</v>
      </c>
      <c r="E2719">
        <v>122.225385</v>
      </c>
      <c r="F2719">
        <v>4</v>
      </c>
      <c r="G2719" t="s">
        <v>1106</v>
      </c>
      <c r="H2719">
        <v>45</v>
      </c>
      <c r="I2719">
        <v>225</v>
      </c>
      <c r="J2719">
        <v>145</v>
      </c>
      <c r="K2719">
        <v>325</v>
      </c>
      <c r="L2719">
        <v>260</v>
      </c>
      <c r="M2719">
        <v>80</v>
      </c>
      <c r="N2719">
        <v>325</v>
      </c>
      <c r="O2719">
        <v>145</v>
      </c>
      <c r="T2719">
        <v>1</v>
      </c>
      <c r="U2719">
        <v>5</v>
      </c>
      <c r="V2719">
        <v>4</v>
      </c>
      <c r="Y2719">
        <v>2</v>
      </c>
      <c r="Z2719">
        <v>0</v>
      </c>
      <c r="AA2719">
        <v>4</v>
      </c>
      <c r="AD2719">
        <v>7</v>
      </c>
      <c r="AE2719">
        <v>2</v>
      </c>
      <c r="AF2719">
        <v>1</v>
      </c>
      <c r="AI2719">
        <v>2</v>
      </c>
      <c r="AJ2719">
        <v>5</v>
      </c>
      <c r="AK2719">
        <v>3</v>
      </c>
      <c r="AX2719">
        <v>10</v>
      </c>
      <c r="AY2719">
        <v>11</v>
      </c>
      <c r="AZ2719">
        <v>21</v>
      </c>
      <c r="BA2719">
        <v>6</v>
      </c>
      <c r="BB2719">
        <v>8</v>
      </c>
      <c r="BC2719">
        <v>14</v>
      </c>
      <c r="BD2719">
        <v>10</v>
      </c>
      <c r="BE2719">
        <v>8</v>
      </c>
      <c r="BF2719">
        <v>18</v>
      </c>
      <c r="BG2719">
        <v>10</v>
      </c>
      <c r="BH2719">
        <v>9</v>
      </c>
      <c r="BI2719">
        <v>19</v>
      </c>
      <c r="BP2719">
        <v>18</v>
      </c>
      <c r="BQ2719">
        <v>2</v>
      </c>
      <c r="BR2719">
        <v>2</v>
      </c>
      <c r="BS2719">
        <v>4</v>
      </c>
      <c r="BT2719">
        <v>1</v>
      </c>
      <c r="BU2719">
        <v>4</v>
      </c>
      <c r="BV2719">
        <v>5</v>
      </c>
      <c r="BW2719">
        <v>36</v>
      </c>
      <c r="BZ2719" s="10"/>
      <c r="CA2719" s="7">
        <v>45606</v>
      </c>
      <c r="CC2719">
        <v>21</v>
      </c>
      <c r="CD2719">
        <v>9</v>
      </c>
      <c r="CE2719">
        <v>6</v>
      </c>
      <c r="CI2719">
        <f t="shared" si="246"/>
        <v>2024</v>
      </c>
      <c r="CJ2719" t="str">
        <f t="shared" si="247"/>
        <v>8396_2024</v>
      </c>
    </row>
    <row r="2720" spans="1:88" x14ac:dyDescent="0.25">
      <c r="A2720" t="s">
        <v>79</v>
      </c>
      <c r="B2720" t="s">
        <v>1107</v>
      </c>
      <c r="C2720">
        <v>8372</v>
      </c>
      <c r="D2720">
        <v>-28.637727999999999</v>
      </c>
      <c r="E2720">
        <v>153.59270000000001</v>
      </c>
      <c r="F2720">
        <v>4</v>
      </c>
      <c r="G2720" t="s">
        <v>1108</v>
      </c>
      <c r="H2720">
        <v>6</v>
      </c>
      <c r="I2720">
        <v>186</v>
      </c>
      <c r="J2720">
        <v>87</v>
      </c>
      <c r="K2720">
        <v>267</v>
      </c>
      <c r="L2720">
        <v>110</v>
      </c>
      <c r="M2720">
        <v>290</v>
      </c>
      <c r="N2720">
        <v>265</v>
      </c>
      <c r="O2720">
        <v>85</v>
      </c>
      <c r="T2720">
        <v>3</v>
      </c>
      <c r="U2720">
        <v>28</v>
      </c>
      <c r="V2720">
        <v>5</v>
      </c>
      <c r="Y2720">
        <v>2</v>
      </c>
      <c r="Z2720">
        <v>7</v>
      </c>
      <c r="AA2720">
        <v>0</v>
      </c>
      <c r="AD2720">
        <v>17</v>
      </c>
      <c r="AE2720">
        <v>0</v>
      </c>
      <c r="AF2720">
        <v>70</v>
      </c>
      <c r="AI2720">
        <v>14</v>
      </c>
      <c r="AJ2720">
        <v>2</v>
      </c>
      <c r="AK2720">
        <v>45</v>
      </c>
      <c r="AX2720">
        <v>36</v>
      </c>
      <c r="AY2720">
        <v>33</v>
      </c>
      <c r="AZ2720">
        <v>69</v>
      </c>
      <c r="BA2720">
        <v>9</v>
      </c>
      <c r="BB2720">
        <v>5</v>
      </c>
      <c r="BC2720">
        <v>14</v>
      </c>
      <c r="BD2720">
        <v>87</v>
      </c>
      <c r="BE2720">
        <v>80</v>
      </c>
      <c r="BF2720">
        <v>167</v>
      </c>
      <c r="BG2720">
        <v>61</v>
      </c>
      <c r="BH2720">
        <v>75</v>
      </c>
      <c r="BI2720">
        <v>136</v>
      </c>
      <c r="BP2720">
        <v>83</v>
      </c>
      <c r="BQ2720">
        <v>69</v>
      </c>
      <c r="BR2720">
        <v>38</v>
      </c>
      <c r="BS2720">
        <v>2</v>
      </c>
      <c r="BT2720">
        <v>0</v>
      </c>
      <c r="BU2720">
        <v>0</v>
      </c>
      <c r="BV2720">
        <v>1</v>
      </c>
      <c r="BW2720">
        <v>193</v>
      </c>
      <c r="BZ2720" s="10"/>
      <c r="CA2720" s="7">
        <v>45606</v>
      </c>
      <c r="CE2720">
        <v>74</v>
      </c>
      <c r="CF2720">
        <v>58</v>
      </c>
      <c r="CG2720">
        <v>61</v>
      </c>
      <c r="CI2720">
        <f t="shared" si="246"/>
        <v>2024</v>
      </c>
      <c r="CJ2720" t="str">
        <f t="shared" si="247"/>
        <v>8372_2024</v>
      </c>
    </row>
    <row r="2721" spans="1:88" x14ac:dyDescent="0.25">
      <c r="A2721" t="s">
        <v>79</v>
      </c>
      <c r="B2721" t="s">
        <v>1107</v>
      </c>
      <c r="C2721">
        <v>8374</v>
      </c>
      <c r="D2721">
        <v>-28.64415</v>
      </c>
      <c r="E2721">
        <v>153.6123</v>
      </c>
      <c r="F2721">
        <v>4</v>
      </c>
      <c r="G2721" t="s">
        <v>1109</v>
      </c>
      <c r="H2721">
        <v>86</v>
      </c>
      <c r="I2721">
        <v>266</v>
      </c>
      <c r="J2721">
        <v>168</v>
      </c>
      <c r="K2721">
        <v>348</v>
      </c>
      <c r="L2721">
        <v>272</v>
      </c>
      <c r="M2721">
        <v>92</v>
      </c>
      <c r="N2721">
        <v>347</v>
      </c>
      <c r="O2721">
        <v>167</v>
      </c>
      <c r="T2721">
        <v>40</v>
      </c>
      <c r="U2721">
        <v>231</v>
      </c>
      <c r="V2721">
        <v>58</v>
      </c>
      <c r="Y2721">
        <v>34</v>
      </c>
      <c r="Z2721">
        <v>40</v>
      </c>
      <c r="AA2721">
        <v>650</v>
      </c>
      <c r="AD2721">
        <v>197</v>
      </c>
      <c r="AE2721">
        <v>27</v>
      </c>
      <c r="AF2721">
        <v>33</v>
      </c>
      <c r="AI2721">
        <v>71</v>
      </c>
      <c r="AJ2721">
        <v>467</v>
      </c>
      <c r="AK2721">
        <v>78</v>
      </c>
      <c r="AX2721">
        <v>329</v>
      </c>
      <c r="AY2721">
        <v>302</v>
      </c>
      <c r="AZ2721">
        <v>631</v>
      </c>
      <c r="BA2721">
        <v>724</v>
      </c>
      <c r="BB2721">
        <v>534</v>
      </c>
      <c r="BC2721">
        <v>1258</v>
      </c>
      <c r="BD2721">
        <v>257</v>
      </c>
      <c r="BE2721">
        <v>349</v>
      </c>
      <c r="BF2721">
        <v>606</v>
      </c>
      <c r="BG2721">
        <v>616</v>
      </c>
      <c r="BH2721">
        <v>741</v>
      </c>
      <c r="BI2721">
        <v>1357</v>
      </c>
      <c r="BP2721">
        <v>90</v>
      </c>
      <c r="BQ2721">
        <v>46</v>
      </c>
      <c r="BR2721">
        <v>1753</v>
      </c>
      <c r="BS2721">
        <v>4</v>
      </c>
      <c r="BT2721">
        <v>29</v>
      </c>
      <c r="BU2721">
        <v>1</v>
      </c>
      <c r="BV2721">
        <v>3</v>
      </c>
      <c r="BW2721">
        <v>1926</v>
      </c>
      <c r="BZ2721" s="10"/>
      <c r="CA2721" s="7">
        <v>45606</v>
      </c>
      <c r="CE2721">
        <v>490</v>
      </c>
      <c r="CF2721">
        <v>718</v>
      </c>
      <c r="CG2721">
        <v>718</v>
      </c>
      <c r="CI2721">
        <f t="shared" si="246"/>
        <v>2024</v>
      </c>
      <c r="CJ2721" t="str">
        <f t="shared" si="247"/>
        <v>8374_2024</v>
      </c>
    </row>
    <row r="2722" spans="1:88" x14ac:dyDescent="0.25">
      <c r="A2722" t="s">
        <v>79</v>
      </c>
      <c r="B2722" t="s">
        <v>1107</v>
      </c>
      <c r="C2722">
        <v>8375</v>
      </c>
      <c r="D2722">
        <v>-28.640294000000001</v>
      </c>
      <c r="E2722">
        <v>153.6361</v>
      </c>
      <c r="F2722">
        <v>2</v>
      </c>
      <c r="G2722" t="s">
        <v>1110</v>
      </c>
      <c r="H2722">
        <v>215</v>
      </c>
      <c r="I2722">
        <v>35</v>
      </c>
      <c r="J2722">
        <v>338</v>
      </c>
      <c r="K2722">
        <v>158</v>
      </c>
      <c r="T2722">
        <v>379</v>
      </c>
      <c r="Y2722">
        <v>417</v>
      </c>
      <c r="AX2722">
        <v>379</v>
      </c>
      <c r="AY2722">
        <v>417</v>
      </c>
      <c r="AZ2722">
        <v>796</v>
      </c>
      <c r="BA2722">
        <v>417</v>
      </c>
      <c r="BB2722">
        <v>379</v>
      </c>
      <c r="BC2722">
        <v>796</v>
      </c>
      <c r="BP2722">
        <v>9</v>
      </c>
      <c r="BQ2722">
        <v>2</v>
      </c>
      <c r="BR2722">
        <v>749</v>
      </c>
      <c r="BS2722">
        <v>31</v>
      </c>
      <c r="BT2722">
        <v>0</v>
      </c>
      <c r="BU2722">
        <v>0</v>
      </c>
      <c r="BV2722">
        <v>5</v>
      </c>
      <c r="BW2722">
        <v>796</v>
      </c>
      <c r="BZ2722" s="10"/>
      <c r="CA2722" s="7">
        <v>45606</v>
      </c>
      <c r="CE2722">
        <v>227</v>
      </c>
      <c r="CF2722">
        <v>283</v>
      </c>
      <c r="CG2722">
        <v>286</v>
      </c>
      <c r="CI2722">
        <f t="shared" si="246"/>
        <v>2024</v>
      </c>
      <c r="CJ2722" t="str">
        <f t="shared" si="247"/>
        <v>8375_2024</v>
      </c>
    </row>
    <row r="2723" spans="1:88" x14ac:dyDescent="0.25">
      <c r="A2723" t="s">
        <v>79</v>
      </c>
      <c r="B2723" t="s">
        <v>1107</v>
      </c>
      <c r="C2723">
        <v>8376</v>
      </c>
      <c r="D2723">
        <v>-28.650776</v>
      </c>
      <c r="E2723">
        <v>153.6147</v>
      </c>
      <c r="F2723">
        <v>4</v>
      </c>
      <c r="G2723" t="s">
        <v>1111</v>
      </c>
      <c r="H2723">
        <v>17</v>
      </c>
      <c r="I2723">
        <v>197</v>
      </c>
      <c r="J2723">
        <v>108</v>
      </c>
      <c r="K2723">
        <v>288</v>
      </c>
      <c r="L2723">
        <v>167</v>
      </c>
      <c r="M2723">
        <v>347</v>
      </c>
      <c r="N2723">
        <v>287</v>
      </c>
      <c r="O2723">
        <v>107</v>
      </c>
      <c r="T2723">
        <v>3</v>
      </c>
      <c r="U2723">
        <v>103</v>
      </c>
      <c r="V2723">
        <v>32</v>
      </c>
      <c r="Y2723">
        <v>4</v>
      </c>
      <c r="Z2723">
        <v>1</v>
      </c>
      <c r="AA2723">
        <v>1</v>
      </c>
      <c r="AD2723">
        <v>149</v>
      </c>
      <c r="AE2723">
        <v>3</v>
      </c>
      <c r="AF2723">
        <v>188</v>
      </c>
      <c r="AI2723">
        <v>41</v>
      </c>
      <c r="AJ2723">
        <v>7</v>
      </c>
      <c r="AK2723">
        <v>93</v>
      </c>
      <c r="AX2723">
        <v>138</v>
      </c>
      <c r="AY2723">
        <v>194</v>
      </c>
      <c r="AZ2723">
        <v>332</v>
      </c>
      <c r="BA2723">
        <v>6</v>
      </c>
      <c r="BB2723">
        <v>13</v>
      </c>
      <c r="BC2723">
        <v>19</v>
      </c>
      <c r="BD2723">
        <v>340</v>
      </c>
      <c r="BE2723">
        <v>197</v>
      </c>
      <c r="BF2723">
        <v>537</v>
      </c>
      <c r="BG2723">
        <v>141</v>
      </c>
      <c r="BH2723">
        <v>221</v>
      </c>
      <c r="BI2723">
        <v>362</v>
      </c>
      <c r="BP2723">
        <v>189</v>
      </c>
      <c r="BQ2723">
        <v>102</v>
      </c>
      <c r="BR2723">
        <v>299</v>
      </c>
      <c r="BS2723">
        <v>17</v>
      </c>
      <c r="BT2723">
        <v>12</v>
      </c>
      <c r="BU2723">
        <v>0</v>
      </c>
      <c r="BV2723">
        <v>6</v>
      </c>
      <c r="BW2723">
        <v>625</v>
      </c>
      <c r="BZ2723" s="10"/>
      <c r="CA2723" s="7">
        <v>45606</v>
      </c>
      <c r="CE2723">
        <v>246</v>
      </c>
      <c r="CF2723">
        <v>206</v>
      </c>
      <c r="CG2723">
        <v>173</v>
      </c>
      <c r="CI2723">
        <f t="shared" si="246"/>
        <v>2024</v>
      </c>
      <c r="CJ2723" t="str">
        <f t="shared" si="247"/>
        <v>8376_2024</v>
      </c>
    </row>
    <row r="2724" spans="1:88" x14ac:dyDescent="0.25">
      <c r="A2724" t="s">
        <v>79</v>
      </c>
      <c r="B2724" t="s">
        <v>1107</v>
      </c>
      <c r="C2724">
        <v>8377</v>
      </c>
      <c r="D2724">
        <v>-28.689563</v>
      </c>
      <c r="E2724">
        <v>153.6078</v>
      </c>
      <c r="F2724">
        <v>3</v>
      </c>
      <c r="G2724" t="s">
        <v>1112</v>
      </c>
      <c r="H2724">
        <v>5</v>
      </c>
      <c r="I2724">
        <v>185</v>
      </c>
      <c r="J2724">
        <v>95</v>
      </c>
      <c r="K2724">
        <v>275</v>
      </c>
      <c r="L2724">
        <v>195</v>
      </c>
      <c r="M2724">
        <v>15</v>
      </c>
      <c r="T2724">
        <v>120</v>
      </c>
      <c r="U2724">
        <v>2</v>
      </c>
      <c r="Y2724">
        <v>142</v>
      </c>
      <c r="Z2724">
        <v>11</v>
      </c>
      <c r="AD2724">
        <v>2</v>
      </c>
      <c r="AE2724">
        <v>11</v>
      </c>
      <c r="AX2724">
        <v>122</v>
      </c>
      <c r="AY2724">
        <v>144</v>
      </c>
      <c r="AZ2724">
        <v>266</v>
      </c>
      <c r="BA2724">
        <v>153</v>
      </c>
      <c r="BB2724">
        <v>131</v>
      </c>
      <c r="BC2724">
        <v>284</v>
      </c>
      <c r="BD2724">
        <v>13</v>
      </c>
      <c r="BE2724">
        <v>13</v>
      </c>
      <c r="BF2724">
        <v>26</v>
      </c>
      <c r="BP2724">
        <v>82</v>
      </c>
      <c r="BQ2724">
        <v>50</v>
      </c>
      <c r="BR2724">
        <v>133</v>
      </c>
      <c r="BS2724">
        <v>6</v>
      </c>
      <c r="BT2724">
        <v>12</v>
      </c>
      <c r="BU2724">
        <v>0</v>
      </c>
      <c r="BV2724">
        <v>5</v>
      </c>
      <c r="BW2724">
        <v>288</v>
      </c>
      <c r="BZ2724" s="10"/>
      <c r="CA2724" s="7">
        <v>45606</v>
      </c>
      <c r="CE2724">
        <v>75</v>
      </c>
      <c r="CF2724">
        <v>89</v>
      </c>
      <c r="CG2724">
        <v>124</v>
      </c>
      <c r="CI2724">
        <f t="shared" si="246"/>
        <v>2024</v>
      </c>
      <c r="CJ2724" t="str">
        <f t="shared" si="247"/>
        <v>8377_2024</v>
      </c>
    </row>
    <row r="2725" spans="1:88" x14ac:dyDescent="0.25">
      <c r="A2725" t="s">
        <v>79</v>
      </c>
      <c r="B2725" t="s">
        <v>1107</v>
      </c>
      <c r="C2725">
        <v>8378</v>
      </c>
      <c r="D2725">
        <v>-28.686140000000002</v>
      </c>
      <c r="E2725">
        <v>153.52586099999999</v>
      </c>
      <c r="F2725">
        <v>2</v>
      </c>
      <c r="G2725" t="s">
        <v>1113</v>
      </c>
      <c r="H2725">
        <v>80</v>
      </c>
      <c r="I2725">
        <v>260</v>
      </c>
      <c r="J2725">
        <v>265</v>
      </c>
      <c r="K2725">
        <v>85</v>
      </c>
      <c r="T2725">
        <v>47</v>
      </c>
      <c r="Y2725">
        <v>34</v>
      </c>
      <c r="AX2725">
        <v>47</v>
      </c>
      <c r="AY2725">
        <v>34</v>
      </c>
      <c r="AZ2725">
        <v>81</v>
      </c>
      <c r="BA2725">
        <v>34</v>
      </c>
      <c r="BB2725">
        <v>47</v>
      </c>
      <c r="BC2725">
        <v>81</v>
      </c>
      <c r="BP2725">
        <v>7</v>
      </c>
      <c r="BQ2725">
        <v>1</v>
      </c>
      <c r="BR2725">
        <v>61</v>
      </c>
      <c r="BS2725">
        <v>0</v>
      </c>
      <c r="BT2725">
        <v>6</v>
      </c>
      <c r="BU2725">
        <v>0</v>
      </c>
      <c r="BV2725">
        <v>6</v>
      </c>
      <c r="BW2725">
        <v>81</v>
      </c>
      <c r="BZ2725" s="10"/>
      <c r="CA2725" s="7">
        <v>45606</v>
      </c>
      <c r="CE2725">
        <v>18</v>
      </c>
      <c r="CF2725">
        <v>33</v>
      </c>
      <c r="CG2725">
        <v>30</v>
      </c>
      <c r="CI2725">
        <f t="shared" si="246"/>
        <v>2024</v>
      </c>
      <c r="CJ2725" t="str">
        <f t="shared" si="247"/>
        <v>8378_2024</v>
      </c>
    </row>
    <row r="2726" spans="1:88" x14ac:dyDescent="0.25">
      <c r="A2726" t="s">
        <v>79</v>
      </c>
      <c r="B2726" t="s">
        <v>1107</v>
      </c>
      <c r="C2726">
        <v>8383</v>
      </c>
      <c r="D2726">
        <v>-28.525262999999999</v>
      </c>
      <c r="E2726">
        <v>153.54589999999999</v>
      </c>
      <c r="F2726">
        <v>3</v>
      </c>
      <c r="G2726" t="s">
        <v>1114</v>
      </c>
      <c r="H2726">
        <v>80</v>
      </c>
      <c r="I2726">
        <v>260</v>
      </c>
      <c r="J2726">
        <v>169</v>
      </c>
      <c r="K2726">
        <v>349</v>
      </c>
      <c r="L2726">
        <v>346</v>
      </c>
      <c r="M2726">
        <v>166</v>
      </c>
      <c r="T2726">
        <v>28</v>
      </c>
      <c r="U2726">
        <v>14</v>
      </c>
      <c r="Y2726">
        <v>26</v>
      </c>
      <c r="Z2726">
        <v>15</v>
      </c>
      <c r="AD2726">
        <v>24</v>
      </c>
      <c r="AE2726">
        <v>10</v>
      </c>
      <c r="AX2726">
        <v>42</v>
      </c>
      <c r="AY2726">
        <v>50</v>
      </c>
      <c r="AZ2726">
        <v>92</v>
      </c>
      <c r="BA2726">
        <v>41</v>
      </c>
      <c r="BB2726">
        <v>38</v>
      </c>
      <c r="BC2726">
        <v>79</v>
      </c>
      <c r="BD2726">
        <v>34</v>
      </c>
      <c r="BE2726">
        <v>29</v>
      </c>
      <c r="BF2726">
        <v>63</v>
      </c>
      <c r="BP2726">
        <v>16</v>
      </c>
      <c r="BQ2726">
        <v>6</v>
      </c>
      <c r="BR2726">
        <v>82</v>
      </c>
      <c r="BS2726">
        <v>4</v>
      </c>
      <c r="BT2726">
        <v>4</v>
      </c>
      <c r="BU2726">
        <v>0</v>
      </c>
      <c r="BV2726">
        <v>5</v>
      </c>
      <c r="BW2726">
        <v>117</v>
      </c>
      <c r="BZ2726" s="10"/>
      <c r="CA2726" s="7">
        <v>45606</v>
      </c>
      <c r="CE2726">
        <v>47</v>
      </c>
      <c r="CF2726">
        <v>38</v>
      </c>
      <c r="CG2726">
        <v>32</v>
      </c>
      <c r="CI2726">
        <f t="shared" si="246"/>
        <v>2024</v>
      </c>
      <c r="CJ2726" t="str">
        <f t="shared" si="247"/>
        <v>8383_2024</v>
      </c>
    </row>
    <row r="2727" spans="1:88" x14ac:dyDescent="0.25">
      <c r="A2727" t="s">
        <v>79</v>
      </c>
      <c r="B2727" t="s">
        <v>1107</v>
      </c>
      <c r="C2727">
        <v>8386</v>
      </c>
      <c r="D2727">
        <v>-28.539562</v>
      </c>
      <c r="E2727">
        <v>153.55250000000001</v>
      </c>
      <c r="F2727">
        <v>3</v>
      </c>
      <c r="G2727" t="s">
        <v>1115</v>
      </c>
      <c r="H2727">
        <v>65</v>
      </c>
      <c r="I2727">
        <v>245</v>
      </c>
      <c r="J2727">
        <v>192</v>
      </c>
      <c r="K2727">
        <v>12</v>
      </c>
      <c r="L2727">
        <v>278</v>
      </c>
      <c r="M2727">
        <v>98</v>
      </c>
      <c r="T2727">
        <v>101</v>
      </c>
      <c r="U2727">
        <v>168</v>
      </c>
      <c r="Y2727">
        <v>76</v>
      </c>
      <c r="Z2727">
        <v>178</v>
      </c>
      <c r="AD2727">
        <v>253</v>
      </c>
      <c r="AE2727">
        <v>112</v>
      </c>
      <c r="AX2727">
        <v>269</v>
      </c>
      <c r="AY2727">
        <v>329</v>
      </c>
      <c r="AZ2727">
        <v>598</v>
      </c>
      <c r="BA2727">
        <v>254</v>
      </c>
      <c r="BB2727">
        <v>213</v>
      </c>
      <c r="BC2727">
        <v>467</v>
      </c>
      <c r="BD2727">
        <v>365</v>
      </c>
      <c r="BE2727">
        <v>346</v>
      </c>
      <c r="BF2727">
        <v>711</v>
      </c>
      <c r="BP2727">
        <v>129</v>
      </c>
      <c r="BQ2727">
        <v>11</v>
      </c>
      <c r="BR2727">
        <v>704</v>
      </c>
      <c r="BS2727">
        <v>5</v>
      </c>
      <c r="BT2727">
        <v>30</v>
      </c>
      <c r="BU2727">
        <v>1</v>
      </c>
      <c r="BV2727">
        <v>8</v>
      </c>
      <c r="BW2727">
        <v>888</v>
      </c>
      <c r="BZ2727" s="10"/>
      <c r="CA2727" s="7">
        <v>45606</v>
      </c>
      <c r="CE2727">
        <v>253</v>
      </c>
      <c r="CF2727">
        <v>320</v>
      </c>
      <c r="CG2727">
        <v>315</v>
      </c>
      <c r="CI2727">
        <f t="shared" si="246"/>
        <v>2024</v>
      </c>
      <c r="CJ2727" t="str">
        <f t="shared" si="247"/>
        <v>8386_2024</v>
      </c>
    </row>
    <row r="2728" spans="1:88" x14ac:dyDescent="0.25">
      <c r="A2728" t="s">
        <v>79</v>
      </c>
      <c r="B2728" t="s">
        <v>444</v>
      </c>
      <c r="C2728">
        <v>8323</v>
      </c>
      <c r="D2728">
        <v>-34.071604999999998</v>
      </c>
      <c r="E2728">
        <v>150.81072</v>
      </c>
      <c r="F2728">
        <v>2</v>
      </c>
      <c r="G2728" t="s">
        <v>1116</v>
      </c>
      <c r="H2728">
        <v>25</v>
      </c>
      <c r="I2728">
        <v>205</v>
      </c>
      <c r="J2728">
        <v>216</v>
      </c>
      <c r="K2728">
        <v>36</v>
      </c>
      <c r="T2728">
        <v>4</v>
      </c>
      <c r="Y2728">
        <v>14</v>
      </c>
      <c r="AX2728">
        <v>4</v>
      </c>
      <c r="AY2728">
        <v>14</v>
      </c>
      <c r="AZ2728">
        <v>18</v>
      </c>
      <c r="BA2728">
        <v>14</v>
      </c>
      <c r="BB2728">
        <v>4</v>
      </c>
      <c r="BC2728">
        <v>18</v>
      </c>
      <c r="BP2728">
        <v>1</v>
      </c>
      <c r="BQ2728">
        <v>0</v>
      </c>
      <c r="BR2728">
        <v>16</v>
      </c>
      <c r="BS2728">
        <v>0</v>
      </c>
      <c r="BT2728">
        <v>0</v>
      </c>
      <c r="BU2728">
        <v>1</v>
      </c>
      <c r="BV2728">
        <v>0</v>
      </c>
      <c r="BW2728">
        <v>18</v>
      </c>
      <c r="BZ2728" s="10"/>
      <c r="CA2728" s="7">
        <v>45606</v>
      </c>
      <c r="CE2728">
        <v>7</v>
      </c>
      <c r="CF2728">
        <v>6</v>
      </c>
      <c r="CG2728">
        <v>5</v>
      </c>
      <c r="CI2728">
        <f t="shared" si="246"/>
        <v>2024</v>
      </c>
      <c r="CJ2728" t="str">
        <f t="shared" si="247"/>
        <v>8323_2024</v>
      </c>
    </row>
    <row r="2729" spans="1:88" x14ac:dyDescent="0.25">
      <c r="A2729" t="s">
        <v>79</v>
      </c>
      <c r="B2729" t="s">
        <v>444</v>
      </c>
      <c r="C2729">
        <v>8324</v>
      </c>
      <c r="D2729">
        <v>-34.072595999999997</v>
      </c>
      <c r="E2729">
        <v>150.81042199999999</v>
      </c>
      <c r="F2729">
        <v>3</v>
      </c>
      <c r="G2729" t="s">
        <v>1117</v>
      </c>
      <c r="H2729">
        <v>30</v>
      </c>
      <c r="I2729">
        <v>210</v>
      </c>
      <c r="J2729">
        <v>180</v>
      </c>
      <c r="K2729">
        <v>360</v>
      </c>
      <c r="L2729">
        <v>300</v>
      </c>
      <c r="M2729">
        <v>120</v>
      </c>
      <c r="T2729">
        <v>7</v>
      </c>
      <c r="U2729">
        <v>1</v>
      </c>
      <c r="Y2729">
        <v>14</v>
      </c>
      <c r="Z2729">
        <v>3</v>
      </c>
      <c r="AD2729">
        <v>1</v>
      </c>
      <c r="AE2729">
        <v>0</v>
      </c>
      <c r="AX2729">
        <v>8</v>
      </c>
      <c r="AY2729">
        <v>15</v>
      </c>
      <c r="AZ2729">
        <v>23</v>
      </c>
      <c r="BA2729">
        <v>17</v>
      </c>
      <c r="BB2729">
        <v>7</v>
      </c>
      <c r="BC2729">
        <v>24</v>
      </c>
      <c r="BD2729">
        <v>1</v>
      </c>
      <c r="BE2729">
        <v>4</v>
      </c>
      <c r="BF2729">
        <v>5</v>
      </c>
      <c r="BP2729">
        <v>0</v>
      </c>
      <c r="BQ2729">
        <v>0</v>
      </c>
      <c r="BR2729">
        <v>22</v>
      </c>
      <c r="BS2729">
        <v>0</v>
      </c>
      <c r="BT2729">
        <v>3</v>
      </c>
      <c r="BU2729">
        <v>0</v>
      </c>
      <c r="BV2729">
        <v>1</v>
      </c>
      <c r="BW2729">
        <v>26</v>
      </c>
      <c r="BZ2729" s="10"/>
      <c r="CA2729" s="7">
        <v>45606</v>
      </c>
      <c r="CE2729">
        <v>6</v>
      </c>
      <c r="CF2729">
        <v>9</v>
      </c>
      <c r="CG2729">
        <v>11</v>
      </c>
      <c r="CI2729">
        <f t="shared" si="246"/>
        <v>2024</v>
      </c>
      <c r="CJ2729" t="str">
        <f t="shared" si="247"/>
        <v>8324_2024</v>
      </c>
    </row>
    <row r="2730" spans="1:88" x14ac:dyDescent="0.25">
      <c r="A2730" t="s">
        <v>79</v>
      </c>
      <c r="B2730" t="s">
        <v>444</v>
      </c>
      <c r="C2730">
        <v>8326</v>
      </c>
      <c r="D2730">
        <v>-34.071648000000003</v>
      </c>
      <c r="E2730">
        <v>150.808888</v>
      </c>
      <c r="F2730">
        <v>2</v>
      </c>
      <c r="G2730" t="s">
        <v>1118</v>
      </c>
      <c r="H2730">
        <v>104</v>
      </c>
      <c r="I2730">
        <v>284</v>
      </c>
      <c r="J2730">
        <v>289</v>
      </c>
      <c r="K2730">
        <v>109</v>
      </c>
      <c r="T2730">
        <v>59</v>
      </c>
      <c r="Y2730">
        <v>49</v>
      </c>
      <c r="AX2730">
        <v>59</v>
      </c>
      <c r="AY2730">
        <v>49</v>
      </c>
      <c r="AZ2730">
        <v>108</v>
      </c>
      <c r="BA2730">
        <v>49</v>
      </c>
      <c r="BB2730">
        <v>59</v>
      </c>
      <c r="BC2730">
        <v>108</v>
      </c>
      <c r="BP2730">
        <v>14</v>
      </c>
      <c r="BQ2730">
        <v>2</v>
      </c>
      <c r="BR2730">
        <v>85</v>
      </c>
      <c r="BS2730">
        <v>0</v>
      </c>
      <c r="BT2730">
        <v>3</v>
      </c>
      <c r="BU2730">
        <v>2</v>
      </c>
      <c r="BV2730">
        <v>2</v>
      </c>
      <c r="BW2730">
        <v>108</v>
      </c>
      <c r="BZ2730" s="10"/>
      <c r="CA2730" s="7">
        <v>45606</v>
      </c>
      <c r="CE2730">
        <v>33</v>
      </c>
      <c r="CF2730">
        <v>37</v>
      </c>
      <c r="CG2730">
        <v>38</v>
      </c>
      <c r="CI2730">
        <f t="shared" si="246"/>
        <v>2024</v>
      </c>
      <c r="CJ2730" t="str">
        <f t="shared" si="247"/>
        <v>8326_2024</v>
      </c>
    </row>
    <row r="2731" spans="1:88" x14ac:dyDescent="0.25">
      <c r="A2731" t="s">
        <v>79</v>
      </c>
      <c r="B2731" t="s">
        <v>444</v>
      </c>
      <c r="C2731">
        <v>8327</v>
      </c>
      <c r="D2731">
        <v>-34.072301000000003</v>
      </c>
      <c r="E2731">
        <v>150.80565899999999</v>
      </c>
      <c r="F2731">
        <v>4</v>
      </c>
      <c r="G2731" t="s">
        <v>1119</v>
      </c>
      <c r="H2731">
        <v>48</v>
      </c>
      <c r="I2731">
        <v>228</v>
      </c>
      <c r="J2731">
        <v>150</v>
      </c>
      <c r="K2731">
        <v>330</v>
      </c>
      <c r="L2731">
        <v>238</v>
      </c>
      <c r="M2731">
        <v>58</v>
      </c>
      <c r="N2731">
        <v>325</v>
      </c>
      <c r="O2731">
        <v>145</v>
      </c>
      <c r="T2731">
        <v>8</v>
      </c>
      <c r="U2731">
        <v>15</v>
      </c>
      <c r="V2731">
        <v>0</v>
      </c>
      <c r="Y2731">
        <v>0</v>
      </c>
      <c r="Z2731">
        <v>10</v>
      </c>
      <c r="AA2731">
        <v>1</v>
      </c>
      <c r="AD2731">
        <v>26</v>
      </c>
      <c r="AE2731">
        <v>6</v>
      </c>
      <c r="AF2731">
        <v>0</v>
      </c>
      <c r="AI2731">
        <v>3</v>
      </c>
      <c r="AJ2731">
        <v>1</v>
      </c>
      <c r="AK2731">
        <v>2</v>
      </c>
      <c r="AX2731">
        <v>23</v>
      </c>
      <c r="AY2731">
        <v>29</v>
      </c>
      <c r="AZ2731">
        <v>52</v>
      </c>
      <c r="BA2731">
        <v>11</v>
      </c>
      <c r="BB2731">
        <v>15</v>
      </c>
      <c r="BC2731">
        <v>26</v>
      </c>
      <c r="BD2731">
        <v>32</v>
      </c>
      <c r="BE2731">
        <v>27</v>
      </c>
      <c r="BF2731">
        <v>59</v>
      </c>
      <c r="BG2731">
        <v>6</v>
      </c>
      <c r="BH2731">
        <v>1</v>
      </c>
      <c r="BI2731">
        <v>7</v>
      </c>
      <c r="BP2731">
        <v>19</v>
      </c>
      <c r="BQ2731">
        <v>9</v>
      </c>
      <c r="BR2731">
        <v>39</v>
      </c>
      <c r="BS2731">
        <v>0</v>
      </c>
      <c r="BT2731">
        <v>1</v>
      </c>
      <c r="BU2731">
        <v>2</v>
      </c>
      <c r="BV2731">
        <v>2</v>
      </c>
      <c r="BW2731">
        <v>72</v>
      </c>
      <c r="BZ2731" s="10"/>
      <c r="CA2731" s="7">
        <v>45606</v>
      </c>
      <c r="CE2731">
        <v>28</v>
      </c>
      <c r="CF2731">
        <v>20</v>
      </c>
      <c r="CG2731">
        <v>24</v>
      </c>
      <c r="CI2731">
        <f t="shared" si="246"/>
        <v>2024</v>
      </c>
      <c r="CJ2731" t="str">
        <f t="shared" si="247"/>
        <v>8327_2024</v>
      </c>
    </row>
    <row r="2732" spans="1:88" x14ac:dyDescent="0.25">
      <c r="A2732" t="s">
        <v>79</v>
      </c>
      <c r="B2732" t="s">
        <v>444</v>
      </c>
      <c r="C2732">
        <v>8329</v>
      </c>
      <c r="D2732">
        <v>-34.075955999999998</v>
      </c>
      <c r="E2732">
        <v>150.81061600000001</v>
      </c>
      <c r="F2732">
        <v>3</v>
      </c>
      <c r="G2732" t="s">
        <v>1120</v>
      </c>
      <c r="H2732">
        <v>38</v>
      </c>
      <c r="I2732">
        <v>218</v>
      </c>
      <c r="J2732">
        <v>142</v>
      </c>
      <c r="K2732">
        <v>322</v>
      </c>
      <c r="L2732">
        <v>317</v>
      </c>
      <c r="M2732">
        <v>137</v>
      </c>
      <c r="T2732">
        <v>4</v>
      </c>
      <c r="U2732">
        <v>2</v>
      </c>
      <c r="Y2732">
        <v>18</v>
      </c>
      <c r="Z2732">
        <v>14</v>
      </c>
      <c r="AD2732">
        <v>1</v>
      </c>
      <c r="AE2732">
        <v>29</v>
      </c>
      <c r="AX2732">
        <v>6</v>
      </c>
      <c r="AY2732">
        <v>19</v>
      </c>
      <c r="AZ2732">
        <v>25</v>
      </c>
      <c r="BA2732">
        <v>32</v>
      </c>
      <c r="BB2732">
        <v>33</v>
      </c>
      <c r="BC2732">
        <v>65</v>
      </c>
      <c r="BD2732">
        <v>30</v>
      </c>
      <c r="BE2732">
        <v>16</v>
      </c>
      <c r="BF2732">
        <v>46</v>
      </c>
      <c r="BP2732">
        <v>4</v>
      </c>
      <c r="BQ2732">
        <v>1</v>
      </c>
      <c r="BR2732">
        <v>60</v>
      </c>
      <c r="BS2732">
        <v>0</v>
      </c>
      <c r="BT2732">
        <v>3</v>
      </c>
      <c r="BU2732">
        <v>0</v>
      </c>
      <c r="BV2732">
        <v>0</v>
      </c>
      <c r="BW2732">
        <v>68</v>
      </c>
      <c r="BZ2732" s="10"/>
      <c r="CA2732" s="7">
        <v>45606</v>
      </c>
      <c r="CE2732">
        <v>16</v>
      </c>
      <c r="CF2732">
        <v>10</v>
      </c>
      <c r="CG2732">
        <v>42</v>
      </c>
      <c r="CI2732">
        <f t="shared" si="246"/>
        <v>2024</v>
      </c>
      <c r="CJ2732" t="str">
        <f t="shared" si="247"/>
        <v>8329_2024</v>
      </c>
    </row>
    <row r="2733" spans="1:88" x14ac:dyDescent="0.25">
      <c r="A2733" t="s">
        <v>79</v>
      </c>
      <c r="B2733" t="s">
        <v>439</v>
      </c>
      <c r="C2733">
        <v>6255</v>
      </c>
      <c r="D2733">
        <v>-33.915100000000002</v>
      </c>
      <c r="E2733">
        <v>151.13485299999999</v>
      </c>
      <c r="F2733">
        <v>5</v>
      </c>
      <c r="G2733" t="s">
        <v>440</v>
      </c>
      <c r="H2733">
        <v>56</v>
      </c>
      <c r="I2733">
        <v>236</v>
      </c>
      <c r="J2733">
        <v>76</v>
      </c>
      <c r="K2733">
        <v>256</v>
      </c>
      <c r="L2733">
        <v>150</v>
      </c>
      <c r="M2733">
        <v>330</v>
      </c>
      <c r="N2733">
        <v>236</v>
      </c>
      <c r="O2733">
        <v>56</v>
      </c>
      <c r="P2733">
        <v>324</v>
      </c>
      <c r="Q2733">
        <v>144</v>
      </c>
      <c r="T2733">
        <v>25</v>
      </c>
      <c r="U2733">
        <v>6</v>
      </c>
      <c r="V2733">
        <v>20</v>
      </c>
      <c r="W2733">
        <v>39</v>
      </c>
      <c r="Y2733">
        <v>9</v>
      </c>
      <c r="Z2733">
        <v>4</v>
      </c>
      <c r="AA2733">
        <v>16</v>
      </c>
      <c r="AB2733">
        <v>199</v>
      </c>
      <c r="AD2733">
        <v>8</v>
      </c>
      <c r="AE2733">
        <v>4</v>
      </c>
      <c r="AF2733">
        <v>3</v>
      </c>
      <c r="AG2733">
        <v>10</v>
      </c>
      <c r="AI2733">
        <v>13</v>
      </c>
      <c r="AJ2733">
        <v>8</v>
      </c>
      <c r="AK2733">
        <v>2</v>
      </c>
      <c r="AL2733">
        <v>15</v>
      </c>
      <c r="AN2733">
        <v>54</v>
      </c>
      <c r="AO2733">
        <v>250</v>
      </c>
      <c r="AP2733">
        <v>10</v>
      </c>
      <c r="AQ2733">
        <v>15</v>
      </c>
      <c r="AX2733">
        <v>90</v>
      </c>
      <c r="AY2733">
        <v>84</v>
      </c>
      <c r="AZ2733">
        <v>174</v>
      </c>
      <c r="BA2733">
        <v>228</v>
      </c>
      <c r="BB2733">
        <v>287</v>
      </c>
      <c r="BC2733">
        <v>515</v>
      </c>
      <c r="BD2733">
        <v>25</v>
      </c>
      <c r="BE2733">
        <v>22</v>
      </c>
      <c r="BF2733">
        <v>47</v>
      </c>
      <c r="BG2733">
        <v>38</v>
      </c>
      <c r="BH2733">
        <v>54</v>
      </c>
      <c r="BI2733">
        <v>92</v>
      </c>
      <c r="BJ2733">
        <v>329</v>
      </c>
      <c r="BK2733">
        <v>263</v>
      </c>
      <c r="BL2733">
        <v>592</v>
      </c>
      <c r="BP2733">
        <v>266</v>
      </c>
      <c r="BQ2733">
        <v>53</v>
      </c>
      <c r="BR2733">
        <v>246</v>
      </c>
      <c r="BS2733">
        <v>101</v>
      </c>
      <c r="BT2733">
        <v>38</v>
      </c>
      <c r="BU2733">
        <v>6</v>
      </c>
      <c r="BV2733">
        <v>0</v>
      </c>
      <c r="BW2733">
        <v>710</v>
      </c>
      <c r="BZ2733" s="10"/>
      <c r="CA2733" s="7">
        <v>45606</v>
      </c>
      <c r="CE2733">
        <v>265</v>
      </c>
      <c r="CF2733">
        <v>239</v>
      </c>
      <c r="CG2733">
        <v>206</v>
      </c>
      <c r="CI2733">
        <f t="shared" si="246"/>
        <v>2024</v>
      </c>
      <c r="CJ2733" t="str">
        <f t="shared" si="247"/>
        <v>6255_2024</v>
      </c>
    </row>
    <row r="2734" spans="1:88" x14ac:dyDescent="0.25">
      <c r="A2734" t="s">
        <v>79</v>
      </c>
      <c r="B2734" t="s">
        <v>439</v>
      </c>
      <c r="C2734">
        <v>6256</v>
      </c>
      <c r="D2734">
        <v>-33.914243999999997</v>
      </c>
      <c r="E2734">
        <v>151.12210400000001</v>
      </c>
      <c r="F2734">
        <v>4</v>
      </c>
      <c r="G2734" t="s">
        <v>441</v>
      </c>
      <c r="H2734">
        <v>61</v>
      </c>
      <c r="I2734">
        <v>241</v>
      </c>
      <c r="J2734">
        <v>163</v>
      </c>
      <c r="K2734">
        <v>343</v>
      </c>
      <c r="L2734">
        <v>264</v>
      </c>
      <c r="M2734">
        <v>84</v>
      </c>
      <c r="N2734">
        <v>347</v>
      </c>
      <c r="O2734">
        <v>167</v>
      </c>
      <c r="T2734">
        <v>34</v>
      </c>
      <c r="U2734">
        <v>138</v>
      </c>
      <c r="V2734">
        <v>4</v>
      </c>
      <c r="Y2734">
        <v>43</v>
      </c>
      <c r="Z2734">
        <v>59</v>
      </c>
      <c r="AA2734">
        <v>24</v>
      </c>
      <c r="AD2734">
        <v>130</v>
      </c>
      <c r="AE2734">
        <v>78</v>
      </c>
      <c r="AF2734">
        <v>16</v>
      </c>
      <c r="AI2734">
        <v>9</v>
      </c>
      <c r="AJ2734">
        <v>22</v>
      </c>
      <c r="AK2734">
        <v>18</v>
      </c>
      <c r="AX2734">
        <v>176</v>
      </c>
      <c r="AY2734">
        <v>182</v>
      </c>
      <c r="AZ2734">
        <v>358</v>
      </c>
      <c r="BA2734">
        <v>126</v>
      </c>
      <c r="BB2734">
        <v>134</v>
      </c>
      <c r="BC2734">
        <v>260</v>
      </c>
      <c r="BD2734">
        <v>224</v>
      </c>
      <c r="BE2734">
        <v>215</v>
      </c>
      <c r="BF2734">
        <v>439</v>
      </c>
      <c r="BG2734">
        <v>49</v>
      </c>
      <c r="BH2734">
        <v>44</v>
      </c>
      <c r="BI2734">
        <v>93</v>
      </c>
      <c r="BP2734">
        <v>159</v>
      </c>
      <c r="BQ2734">
        <v>15</v>
      </c>
      <c r="BR2734">
        <v>273</v>
      </c>
      <c r="BS2734">
        <v>46</v>
      </c>
      <c r="BT2734">
        <v>71</v>
      </c>
      <c r="BU2734">
        <v>1</v>
      </c>
      <c r="BV2734">
        <v>10</v>
      </c>
      <c r="BW2734">
        <v>575</v>
      </c>
      <c r="BZ2734" s="10"/>
      <c r="CA2734" s="7">
        <v>45606</v>
      </c>
      <c r="CE2734">
        <v>201</v>
      </c>
      <c r="CF2734">
        <v>199</v>
      </c>
      <c r="CG2734">
        <v>175</v>
      </c>
      <c r="CI2734">
        <f t="shared" si="246"/>
        <v>2024</v>
      </c>
      <c r="CJ2734" t="str">
        <f t="shared" si="247"/>
        <v>6256_2024</v>
      </c>
    </row>
    <row r="2735" spans="1:88" x14ac:dyDescent="0.25">
      <c r="A2735" t="s">
        <v>79</v>
      </c>
      <c r="B2735" t="s">
        <v>439</v>
      </c>
      <c r="C2735">
        <v>7522</v>
      </c>
      <c r="D2735">
        <v>-33.951962999999999</v>
      </c>
      <c r="E2735">
        <v>151.042136</v>
      </c>
      <c r="F2735">
        <v>3</v>
      </c>
      <c r="G2735" t="s">
        <v>870</v>
      </c>
      <c r="H2735">
        <v>95</v>
      </c>
      <c r="I2735">
        <v>275</v>
      </c>
      <c r="J2735">
        <v>190</v>
      </c>
      <c r="K2735">
        <v>10</v>
      </c>
      <c r="L2735">
        <v>305</v>
      </c>
      <c r="M2735">
        <v>125</v>
      </c>
      <c r="T2735">
        <v>36</v>
      </c>
      <c r="U2735">
        <v>20</v>
      </c>
      <c r="Y2735">
        <v>33</v>
      </c>
      <c r="Z2735">
        <v>23</v>
      </c>
      <c r="AD2735">
        <v>35</v>
      </c>
      <c r="AE2735">
        <v>29</v>
      </c>
      <c r="AX2735">
        <v>56</v>
      </c>
      <c r="AY2735">
        <v>68</v>
      </c>
      <c r="AZ2735">
        <v>124</v>
      </c>
      <c r="BA2735">
        <v>56</v>
      </c>
      <c r="BB2735">
        <v>65</v>
      </c>
      <c r="BC2735">
        <v>121</v>
      </c>
      <c r="BD2735">
        <v>64</v>
      </c>
      <c r="BE2735">
        <v>43</v>
      </c>
      <c r="BF2735">
        <v>107</v>
      </c>
      <c r="BP2735">
        <v>12</v>
      </c>
      <c r="BQ2735">
        <v>2</v>
      </c>
      <c r="BR2735">
        <v>139</v>
      </c>
      <c r="BS2735">
        <v>1</v>
      </c>
      <c r="BT2735">
        <v>22</v>
      </c>
      <c r="BU2735">
        <v>0</v>
      </c>
      <c r="BV2735">
        <v>0</v>
      </c>
      <c r="BW2735">
        <v>176</v>
      </c>
      <c r="BZ2735" s="10"/>
      <c r="CA2735" s="7">
        <v>45606</v>
      </c>
      <c r="CE2735">
        <v>47</v>
      </c>
      <c r="CF2735">
        <v>68</v>
      </c>
      <c r="CG2735">
        <v>61</v>
      </c>
      <c r="CI2735">
        <f t="shared" si="246"/>
        <v>2024</v>
      </c>
      <c r="CJ2735" t="str">
        <f t="shared" si="247"/>
        <v>7522_2024</v>
      </c>
    </row>
    <row r="2736" spans="1:88" x14ac:dyDescent="0.25">
      <c r="A2736" t="s">
        <v>79</v>
      </c>
      <c r="B2736" t="s">
        <v>439</v>
      </c>
      <c r="C2736">
        <v>7529</v>
      </c>
      <c r="D2736">
        <v>-33.893917000000002</v>
      </c>
      <c r="E2736">
        <v>151.01452800000001</v>
      </c>
      <c r="F2736">
        <v>3</v>
      </c>
      <c r="G2736" t="s">
        <v>874</v>
      </c>
      <c r="H2736">
        <v>6</v>
      </c>
      <c r="I2736">
        <v>186</v>
      </c>
      <c r="J2736">
        <v>170</v>
      </c>
      <c r="K2736">
        <v>350</v>
      </c>
      <c r="L2736">
        <v>276</v>
      </c>
      <c r="M2736">
        <v>96</v>
      </c>
      <c r="T2736">
        <v>60</v>
      </c>
      <c r="U2736">
        <v>10</v>
      </c>
      <c r="Y2736">
        <v>31</v>
      </c>
      <c r="Z2736">
        <v>1</v>
      </c>
      <c r="AD2736">
        <v>13</v>
      </c>
      <c r="AE2736">
        <v>8</v>
      </c>
      <c r="AX2736">
        <v>70</v>
      </c>
      <c r="AY2736">
        <v>44</v>
      </c>
      <c r="AZ2736">
        <v>114</v>
      </c>
      <c r="BA2736">
        <v>32</v>
      </c>
      <c r="BB2736">
        <v>68</v>
      </c>
      <c r="BC2736">
        <v>100</v>
      </c>
      <c r="BD2736">
        <v>21</v>
      </c>
      <c r="BE2736">
        <v>11</v>
      </c>
      <c r="BF2736">
        <v>32</v>
      </c>
      <c r="BP2736">
        <v>12</v>
      </c>
      <c r="BQ2736">
        <v>0</v>
      </c>
      <c r="BR2736">
        <v>98</v>
      </c>
      <c r="BS2736">
        <v>0</v>
      </c>
      <c r="BT2736">
        <v>12</v>
      </c>
      <c r="BU2736">
        <v>1</v>
      </c>
      <c r="BV2736">
        <v>0</v>
      </c>
      <c r="BW2736">
        <v>123</v>
      </c>
      <c r="BZ2736" s="10"/>
      <c r="CA2736" s="7">
        <v>45606</v>
      </c>
      <c r="CE2736">
        <v>55</v>
      </c>
      <c r="CF2736">
        <v>34</v>
      </c>
      <c r="CG2736">
        <v>34</v>
      </c>
      <c r="CI2736">
        <f t="shared" si="246"/>
        <v>2024</v>
      </c>
      <c r="CJ2736" t="str">
        <f t="shared" si="247"/>
        <v>7529_2024</v>
      </c>
    </row>
    <row r="2737" spans="1:88" x14ac:dyDescent="0.25">
      <c r="A2737" t="s">
        <v>79</v>
      </c>
      <c r="B2737" t="s">
        <v>439</v>
      </c>
      <c r="C2737">
        <v>8346</v>
      </c>
      <c r="D2737">
        <v>-33.906905000000002</v>
      </c>
      <c r="E2737">
        <v>150.97953799999999</v>
      </c>
      <c r="F2737">
        <v>3</v>
      </c>
      <c r="G2737" t="s">
        <v>1121</v>
      </c>
      <c r="H2737">
        <v>60</v>
      </c>
      <c r="I2737">
        <v>240</v>
      </c>
      <c r="J2737">
        <v>110</v>
      </c>
      <c r="K2737">
        <v>290</v>
      </c>
      <c r="L2737">
        <v>207</v>
      </c>
      <c r="M2737">
        <v>27</v>
      </c>
      <c r="T2737">
        <v>23</v>
      </c>
      <c r="U2737">
        <v>67</v>
      </c>
      <c r="Y2737">
        <v>18</v>
      </c>
      <c r="Z2737">
        <v>0</v>
      </c>
      <c r="AD2737">
        <v>60</v>
      </c>
      <c r="AE2737">
        <v>7</v>
      </c>
      <c r="AX2737">
        <v>90</v>
      </c>
      <c r="AY2737">
        <v>78</v>
      </c>
      <c r="AZ2737">
        <v>168</v>
      </c>
      <c r="BA2737">
        <v>18</v>
      </c>
      <c r="BB2737">
        <v>30</v>
      </c>
      <c r="BC2737">
        <v>48</v>
      </c>
      <c r="BD2737">
        <v>67</v>
      </c>
      <c r="BE2737">
        <v>67</v>
      </c>
      <c r="BF2737">
        <v>134</v>
      </c>
      <c r="BP2737">
        <v>32</v>
      </c>
      <c r="BQ2737">
        <v>0</v>
      </c>
      <c r="BR2737">
        <v>115</v>
      </c>
      <c r="BS2737">
        <v>3</v>
      </c>
      <c r="BT2737">
        <v>22</v>
      </c>
      <c r="BU2737">
        <v>2</v>
      </c>
      <c r="BV2737">
        <v>1</v>
      </c>
      <c r="BW2737">
        <v>175</v>
      </c>
      <c r="BZ2737" s="10"/>
      <c r="CA2737" s="7">
        <v>45606</v>
      </c>
      <c r="CE2737">
        <v>70</v>
      </c>
      <c r="CF2737">
        <v>56</v>
      </c>
      <c r="CG2737">
        <v>49</v>
      </c>
      <c r="CI2737">
        <f t="shared" si="246"/>
        <v>2024</v>
      </c>
      <c r="CJ2737" t="str">
        <f t="shared" si="247"/>
        <v>8346_2024</v>
      </c>
    </row>
    <row r="2738" spans="1:88" x14ac:dyDescent="0.25">
      <c r="A2738" t="s">
        <v>79</v>
      </c>
      <c r="B2738" t="s">
        <v>439</v>
      </c>
      <c r="C2738">
        <v>8347</v>
      </c>
      <c r="D2738">
        <v>-33.956442000000003</v>
      </c>
      <c r="E2738">
        <v>150.98520199999999</v>
      </c>
      <c r="F2738">
        <v>4</v>
      </c>
      <c r="G2738" t="s">
        <v>1122</v>
      </c>
      <c r="H2738">
        <v>64</v>
      </c>
      <c r="I2738">
        <v>244</v>
      </c>
      <c r="J2738">
        <v>104</v>
      </c>
      <c r="K2738">
        <v>284</v>
      </c>
      <c r="L2738">
        <v>189</v>
      </c>
      <c r="M2738">
        <v>9</v>
      </c>
      <c r="N2738">
        <v>303</v>
      </c>
      <c r="O2738">
        <v>123</v>
      </c>
      <c r="T2738">
        <v>0</v>
      </c>
      <c r="U2738">
        <v>13</v>
      </c>
      <c r="V2738">
        <v>31</v>
      </c>
      <c r="Y2738">
        <v>0</v>
      </c>
      <c r="Z2738">
        <v>0</v>
      </c>
      <c r="AA2738">
        <v>0</v>
      </c>
      <c r="AD2738">
        <v>12</v>
      </c>
      <c r="AE2738">
        <v>0</v>
      </c>
      <c r="AF2738">
        <v>6</v>
      </c>
      <c r="AI2738">
        <v>37</v>
      </c>
      <c r="AJ2738">
        <v>3</v>
      </c>
      <c r="AK2738">
        <v>11</v>
      </c>
      <c r="AX2738">
        <v>44</v>
      </c>
      <c r="AY2738">
        <v>49</v>
      </c>
      <c r="AZ2738">
        <v>93</v>
      </c>
      <c r="BA2738">
        <v>0</v>
      </c>
      <c r="BB2738">
        <v>3</v>
      </c>
      <c r="BC2738">
        <v>3</v>
      </c>
      <c r="BD2738">
        <v>18</v>
      </c>
      <c r="BE2738">
        <v>24</v>
      </c>
      <c r="BF2738">
        <v>42</v>
      </c>
      <c r="BG2738">
        <v>51</v>
      </c>
      <c r="BH2738">
        <v>37</v>
      </c>
      <c r="BI2738">
        <v>88</v>
      </c>
      <c r="BP2738">
        <v>26</v>
      </c>
      <c r="BQ2738">
        <v>3</v>
      </c>
      <c r="BR2738">
        <v>44</v>
      </c>
      <c r="BS2738">
        <v>26</v>
      </c>
      <c r="BT2738">
        <v>14</v>
      </c>
      <c r="BU2738">
        <v>0</v>
      </c>
      <c r="BV2738">
        <v>0</v>
      </c>
      <c r="BW2738">
        <v>113</v>
      </c>
      <c r="BZ2738" s="10"/>
      <c r="CA2738" s="7">
        <v>45606</v>
      </c>
      <c r="CE2738">
        <v>59</v>
      </c>
      <c r="CF2738">
        <v>33</v>
      </c>
      <c r="CG2738">
        <v>21</v>
      </c>
      <c r="CI2738">
        <f t="shared" si="246"/>
        <v>2024</v>
      </c>
      <c r="CJ2738" t="str">
        <f t="shared" si="247"/>
        <v>8347_2024</v>
      </c>
    </row>
    <row r="2739" spans="1:88" x14ac:dyDescent="0.25">
      <c r="A2739" t="s">
        <v>79</v>
      </c>
      <c r="B2739" t="s">
        <v>439</v>
      </c>
      <c r="C2739">
        <v>8348</v>
      </c>
      <c r="D2739">
        <v>-33.901142999999998</v>
      </c>
      <c r="E2739">
        <v>151.1079</v>
      </c>
      <c r="F2739">
        <v>4</v>
      </c>
      <c r="G2739" t="s">
        <v>1123</v>
      </c>
      <c r="H2739">
        <v>7</v>
      </c>
      <c r="I2739">
        <v>187</v>
      </c>
      <c r="J2739">
        <v>95</v>
      </c>
      <c r="K2739">
        <v>275</v>
      </c>
      <c r="L2739">
        <v>192</v>
      </c>
      <c r="M2739">
        <v>12</v>
      </c>
      <c r="N2739">
        <v>337</v>
      </c>
      <c r="O2739">
        <v>157</v>
      </c>
      <c r="T2739">
        <v>23</v>
      </c>
      <c r="U2739">
        <v>28</v>
      </c>
      <c r="V2739">
        <v>9</v>
      </c>
      <c r="Y2739">
        <v>24</v>
      </c>
      <c r="Z2739">
        <v>4</v>
      </c>
      <c r="AA2739">
        <v>115</v>
      </c>
      <c r="AD2739">
        <v>29</v>
      </c>
      <c r="AE2739">
        <v>2</v>
      </c>
      <c r="AF2739">
        <v>6</v>
      </c>
      <c r="AI2739">
        <v>6</v>
      </c>
      <c r="AJ2739">
        <v>92</v>
      </c>
      <c r="AK2739">
        <v>2</v>
      </c>
      <c r="AX2739">
        <v>60</v>
      </c>
      <c r="AY2739">
        <v>59</v>
      </c>
      <c r="AZ2739">
        <v>119</v>
      </c>
      <c r="BA2739">
        <v>143</v>
      </c>
      <c r="BB2739">
        <v>117</v>
      </c>
      <c r="BC2739">
        <v>260</v>
      </c>
      <c r="BD2739">
        <v>37</v>
      </c>
      <c r="BE2739">
        <v>34</v>
      </c>
      <c r="BF2739">
        <v>71</v>
      </c>
      <c r="BG2739">
        <v>100</v>
      </c>
      <c r="BH2739">
        <v>130</v>
      </c>
      <c r="BI2739">
        <v>230</v>
      </c>
      <c r="BP2739">
        <v>150</v>
      </c>
      <c r="BQ2739">
        <v>35</v>
      </c>
      <c r="BR2739">
        <v>96</v>
      </c>
      <c r="BS2739">
        <v>30</v>
      </c>
      <c r="BT2739">
        <v>22</v>
      </c>
      <c r="BU2739">
        <v>0</v>
      </c>
      <c r="BV2739">
        <v>7</v>
      </c>
      <c r="BW2739">
        <v>340</v>
      </c>
      <c r="BZ2739" s="10"/>
      <c r="CA2739" s="7">
        <v>45606</v>
      </c>
      <c r="CE2739">
        <v>118</v>
      </c>
      <c r="CF2739">
        <v>107</v>
      </c>
      <c r="CG2739">
        <v>115</v>
      </c>
      <c r="CI2739">
        <f t="shared" si="246"/>
        <v>2024</v>
      </c>
      <c r="CJ2739" t="str">
        <f t="shared" si="247"/>
        <v>8348_2024</v>
      </c>
    </row>
    <row r="2740" spans="1:88" x14ac:dyDescent="0.25">
      <c r="A2740" t="s">
        <v>79</v>
      </c>
      <c r="B2740" t="s">
        <v>439</v>
      </c>
      <c r="C2740">
        <v>8349</v>
      </c>
      <c r="D2740">
        <v>-33.923223999999998</v>
      </c>
      <c r="E2740">
        <v>151.03218100000001</v>
      </c>
      <c r="F2740">
        <v>4</v>
      </c>
      <c r="G2740" t="s">
        <v>1124</v>
      </c>
      <c r="H2740">
        <v>60</v>
      </c>
      <c r="I2740">
        <v>240</v>
      </c>
      <c r="J2740">
        <v>150</v>
      </c>
      <c r="K2740">
        <v>330</v>
      </c>
      <c r="L2740">
        <v>197</v>
      </c>
      <c r="M2740">
        <v>17</v>
      </c>
      <c r="N2740">
        <v>332</v>
      </c>
      <c r="O2740">
        <v>152</v>
      </c>
      <c r="T2740">
        <v>29</v>
      </c>
      <c r="U2740">
        <v>2</v>
      </c>
      <c r="V2740">
        <v>12</v>
      </c>
      <c r="Y2740">
        <v>33</v>
      </c>
      <c r="Z2740">
        <v>6</v>
      </c>
      <c r="AA2740">
        <v>100</v>
      </c>
      <c r="AD2740">
        <v>2</v>
      </c>
      <c r="AE2740">
        <v>1</v>
      </c>
      <c r="AF2740">
        <v>24</v>
      </c>
      <c r="AI2740">
        <v>15</v>
      </c>
      <c r="AJ2740">
        <v>54</v>
      </c>
      <c r="AK2740">
        <v>14</v>
      </c>
      <c r="AX2740">
        <v>43</v>
      </c>
      <c r="AY2740">
        <v>50</v>
      </c>
      <c r="AZ2740">
        <v>93</v>
      </c>
      <c r="BA2740">
        <v>139</v>
      </c>
      <c r="BB2740">
        <v>84</v>
      </c>
      <c r="BC2740">
        <v>223</v>
      </c>
      <c r="BD2740">
        <v>27</v>
      </c>
      <c r="BE2740">
        <v>22</v>
      </c>
      <c r="BF2740">
        <v>49</v>
      </c>
      <c r="BG2740">
        <v>83</v>
      </c>
      <c r="BH2740">
        <v>136</v>
      </c>
      <c r="BI2740">
        <v>219</v>
      </c>
      <c r="BP2740">
        <v>9</v>
      </c>
      <c r="BQ2740">
        <v>4</v>
      </c>
      <c r="BR2740">
        <v>261</v>
      </c>
      <c r="BS2740">
        <v>11</v>
      </c>
      <c r="BT2740">
        <v>7</v>
      </c>
      <c r="BU2740">
        <v>0</v>
      </c>
      <c r="BV2740">
        <v>0</v>
      </c>
      <c r="BW2740">
        <v>292</v>
      </c>
      <c r="BZ2740" s="10"/>
      <c r="CA2740" s="7">
        <v>45606</v>
      </c>
      <c r="CE2740">
        <v>129</v>
      </c>
      <c r="CF2740">
        <v>114</v>
      </c>
      <c r="CG2740">
        <v>49</v>
      </c>
      <c r="CI2740">
        <f t="shared" si="246"/>
        <v>2024</v>
      </c>
      <c r="CJ2740" t="str">
        <f t="shared" si="247"/>
        <v>8349_2024</v>
      </c>
    </row>
    <row r="2741" spans="1:88" x14ac:dyDescent="0.25">
      <c r="A2741" t="s">
        <v>79</v>
      </c>
      <c r="B2741" t="s">
        <v>439</v>
      </c>
      <c r="C2741">
        <v>8350</v>
      </c>
      <c r="D2741">
        <v>-33.939297000000003</v>
      </c>
      <c r="E2741">
        <v>151.09374199999999</v>
      </c>
      <c r="F2741">
        <v>4</v>
      </c>
      <c r="G2741" t="s">
        <v>1125</v>
      </c>
      <c r="H2741">
        <v>73</v>
      </c>
      <c r="I2741">
        <v>253</v>
      </c>
      <c r="J2741">
        <v>139</v>
      </c>
      <c r="K2741">
        <v>319</v>
      </c>
      <c r="L2741">
        <v>264</v>
      </c>
      <c r="M2741">
        <v>84</v>
      </c>
      <c r="N2741">
        <v>330</v>
      </c>
      <c r="O2741">
        <v>150</v>
      </c>
      <c r="T2741">
        <v>0</v>
      </c>
      <c r="U2741">
        <v>33</v>
      </c>
      <c r="V2741">
        <v>5</v>
      </c>
      <c r="Y2741">
        <v>0</v>
      </c>
      <c r="Z2741">
        <v>0</v>
      </c>
      <c r="AA2741">
        <v>0</v>
      </c>
      <c r="AD2741">
        <v>56</v>
      </c>
      <c r="AE2741">
        <v>0</v>
      </c>
      <c r="AF2741">
        <v>4</v>
      </c>
      <c r="AI2741">
        <v>24</v>
      </c>
      <c r="AJ2741">
        <v>0</v>
      </c>
      <c r="AK2741">
        <v>12</v>
      </c>
      <c r="AX2741">
        <v>38</v>
      </c>
      <c r="AY2741">
        <v>80</v>
      </c>
      <c r="AZ2741">
        <v>118</v>
      </c>
      <c r="BA2741">
        <v>0</v>
      </c>
      <c r="BB2741">
        <v>0</v>
      </c>
      <c r="BC2741">
        <v>0</v>
      </c>
      <c r="BD2741">
        <v>60</v>
      </c>
      <c r="BE2741">
        <v>45</v>
      </c>
      <c r="BF2741">
        <v>105</v>
      </c>
      <c r="BG2741">
        <v>36</v>
      </c>
      <c r="BH2741">
        <v>9</v>
      </c>
      <c r="BI2741">
        <v>45</v>
      </c>
      <c r="BP2741">
        <v>19</v>
      </c>
      <c r="BQ2741">
        <v>26</v>
      </c>
      <c r="BR2741">
        <v>58</v>
      </c>
      <c r="BS2741">
        <v>16</v>
      </c>
      <c r="BT2741">
        <v>12</v>
      </c>
      <c r="BU2741">
        <v>2</v>
      </c>
      <c r="BV2741">
        <v>1</v>
      </c>
      <c r="BW2741">
        <v>134</v>
      </c>
      <c r="BZ2741" s="10"/>
      <c r="CA2741" s="7">
        <v>45606</v>
      </c>
      <c r="CE2741">
        <v>43</v>
      </c>
      <c r="CF2741">
        <v>49</v>
      </c>
      <c r="CG2741">
        <v>42</v>
      </c>
      <c r="CI2741">
        <f t="shared" si="246"/>
        <v>2024</v>
      </c>
      <c r="CJ2741" t="str">
        <f t="shared" si="247"/>
        <v>8350_2024</v>
      </c>
    </row>
    <row r="2742" spans="1:88" x14ac:dyDescent="0.25">
      <c r="A2742" t="s">
        <v>79</v>
      </c>
      <c r="B2742" t="s">
        <v>1126</v>
      </c>
      <c r="C2742">
        <v>8260</v>
      </c>
      <c r="D2742">
        <v>-30.293821000000001</v>
      </c>
      <c r="E2742">
        <v>153.109363</v>
      </c>
      <c r="F2742">
        <v>2</v>
      </c>
      <c r="G2742" t="s">
        <v>1127</v>
      </c>
      <c r="H2742">
        <v>128</v>
      </c>
      <c r="I2742">
        <v>308</v>
      </c>
      <c r="J2742">
        <v>315</v>
      </c>
      <c r="K2742">
        <v>135</v>
      </c>
      <c r="T2742">
        <v>23</v>
      </c>
      <c r="Y2742">
        <v>39</v>
      </c>
      <c r="AX2742">
        <v>23</v>
      </c>
      <c r="AY2742">
        <v>39</v>
      </c>
      <c r="AZ2742">
        <v>62</v>
      </c>
      <c r="BA2742">
        <v>39</v>
      </c>
      <c r="BB2742">
        <v>23</v>
      </c>
      <c r="BC2742">
        <v>62</v>
      </c>
      <c r="BP2742">
        <v>13</v>
      </c>
      <c r="BQ2742">
        <v>2</v>
      </c>
      <c r="BR2742">
        <v>35</v>
      </c>
      <c r="BS2742">
        <v>0</v>
      </c>
      <c r="BT2742">
        <v>7</v>
      </c>
      <c r="BU2742">
        <v>0</v>
      </c>
      <c r="BV2742">
        <v>5</v>
      </c>
      <c r="BW2742">
        <v>62</v>
      </c>
      <c r="BZ2742" s="10"/>
      <c r="CA2742" s="7">
        <v>45606</v>
      </c>
      <c r="CE2742">
        <v>15</v>
      </c>
      <c r="CF2742">
        <v>24</v>
      </c>
      <c r="CG2742">
        <v>23</v>
      </c>
      <c r="CI2742">
        <f t="shared" si="246"/>
        <v>2024</v>
      </c>
      <c r="CJ2742" t="str">
        <f t="shared" si="247"/>
        <v>8260_2024</v>
      </c>
    </row>
    <row r="2743" spans="1:88" x14ac:dyDescent="0.25">
      <c r="A2743" t="s">
        <v>140</v>
      </c>
      <c r="B2743" t="s">
        <v>380</v>
      </c>
      <c r="C2743">
        <v>7520</v>
      </c>
      <c r="D2743">
        <v>-31.989642</v>
      </c>
      <c r="E2743">
        <v>115.756174</v>
      </c>
      <c r="F2743">
        <v>4</v>
      </c>
      <c r="G2743" t="s">
        <v>868</v>
      </c>
      <c r="H2743">
        <v>0</v>
      </c>
      <c r="I2743">
        <v>180</v>
      </c>
      <c r="J2743">
        <v>90</v>
      </c>
      <c r="K2743">
        <v>270</v>
      </c>
      <c r="L2743">
        <v>180</v>
      </c>
      <c r="M2743">
        <v>360</v>
      </c>
      <c r="N2743">
        <v>270</v>
      </c>
      <c r="O2743">
        <v>90</v>
      </c>
      <c r="T2743">
        <v>31</v>
      </c>
      <c r="U2743">
        <v>30</v>
      </c>
      <c r="V2743">
        <v>10</v>
      </c>
      <c r="Y2743">
        <v>13</v>
      </c>
      <c r="Z2743">
        <v>35</v>
      </c>
      <c r="AA2743">
        <v>71</v>
      </c>
      <c r="AD2743">
        <v>29</v>
      </c>
      <c r="AE2743">
        <v>18</v>
      </c>
      <c r="AF2743">
        <v>4</v>
      </c>
      <c r="AI2743">
        <v>13</v>
      </c>
      <c r="AJ2743">
        <v>74</v>
      </c>
      <c r="AK2743">
        <v>2</v>
      </c>
      <c r="AX2743">
        <v>71</v>
      </c>
      <c r="AY2743">
        <v>55</v>
      </c>
      <c r="AZ2743">
        <v>126</v>
      </c>
      <c r="BA2743">
        <v>119</v>
      </c>
      <c r="BB2743">
        <v>123</v>
      </c>
      <c r="BC2743">
        <v>242</v>
      </c>
      <c r="BD2743">
        <v>51</v>
      </c>
      <c r="BE2743">
        <v>67</v>
      </c>
      <c r="BF2743">
        <v>118</v>
      </c>
      <c r="BG2743">
        <v>89</v>
      </c>
      <c r="BH2743">
        <v>85</v>
      </c>
      <c r="BI2743">
        <v>174</v>
      </c>
      <c r="BP2743">
        <v>52</v>
      </c>
      <c r="BQ2743">
        <v>6</v>
      </c>
      <c r="BR2743">
        <v>232</v>
      </c>
      <c r="BS2743">
        <v>5</v>
      </c>
      <c r="BT2743">
        <v>31</v>
      </c>
      <c r="BU2743">
        <v>2</v>
      </c>
      <c r="BV2743">
        <v>2</v>
      </c>
      <c r="BW2743">
        <v>330</v>
      </c>
      <c r="BX2743">
        <v>292</v>
      </c>
      <c r="BY2743">
        <v>0.13013698600000001</v>
      </c>
      <c r="BZ2743" s="10">
        <v>0.13013698600000001</v>
      </c>
      <c r="CA2743" s="7">
        <v>45606</v>
      </c>
      <c r="CE2743">
        <v>151</v>
      </c>
      <c r="CF2743">
        <v>125</v>
      </c>
      <c r="CG2743">
        <v>54</v>
      </c>
      <c r="CI2743">
        <f t="shared" si="246"/>
        <v>2024</v>
      </c>
      <c r="CJ2743" t="str">
        <f t="shared" si="247"/>
        <v>7520_2024</v>
      </c>
    </row>
    <row r="2744" spans="1:88" x14ac:dyDescent="0.25">
      <c r="A2744" t="s">
        <v>140</v>
      </c>
      <c r="B2744" t="s">
        <v>380</v>
      </c>
      <c r="C2744">
        <v>8256</v>
      </c>
      <c r="D2744">
        <v>-31.98197</v>
      </c>
      <c r="E2744">
        <v>115.75418000000001</v>
      </c>
      <c r="F2744">
        <v>3</v>
      </c>
      <c r="G2744" t="s">
        <v>1128</v>
      </c>
      <c r="H2744">
        <v>17</v>
      </c>
      <c r="I2744">
        <v>197</v>
      </c>
      <c r="J2744">
        <v>83</v>
      </c>
      <c r="K2744">
        <v>263</v>
      </c>
      <c r="L2744">
        <v>184</v>
      </c>
      <c r="M2744">
        <v>4</v>
      </c>
      <c r="T2744">
        <v>34</v>
      </c>
      <c r="U2744">
        <v>353</v>
      </c>
      <c r="Y2744">
        <v>2</v>
      </c>
      <c r="Z2744">
        <v>112</v>
      </c>
      <c r="AD2744">
        <v>331</v>
      </c>
      <c r="AE2744">
        <v>82</v>
      </c>
      <c r="AX2744">
        <v>387</v>
      </c>
      <c r="AY2744">
        <v>333</v>
      </c>
      <c r="AZ2744">
        <v>720</v>
      </c>
      <c r="BA2744">
        <v>114</v>
      </c>
      <c r="BB2744">
        <v>116</v>
      </c>
      <c r="BC2744">
        <v>230</v>
      </c>
      <c r="BD2744">
        <v>413</v>
      </c>
      <c r="BE2744">
        <v>465</v>
      </c>
      <c r="BF2744">
        <v>878</v>
      </c>
      <c r="BP2744">
        <v>108</v>
      </c>
      <c r="BQ2744">
        <v>28</v>
      </c>
      <c r="BR2744">
        <v>615</v>
      </c>
      <c r="BS2744">
        <v>67</v>
      </c>
      <c r="BT2744">
        <v>95</v>
      </c>
      <c r="BU2744">
        <v>1</v>
      </c>
      <c r="BV2744">
        <v>0</v>
      </c>
      <c r="BW2744">
        <v>914</v>
      </c>
      <c r="BZ2744" s="10"/>
      <c r="CA2744" s="7">
        <v>45606</v>
      </c>
      <c r="CE2744">
        <v>333</v>
      </c>
      <c r="CF2744">
        <v>304</v>
      </c>
      <c r="CG2744">
        <v>277</v>
      </c>
      <c r="CI2744">
        <f t="shared" si="246"/>
        <v>2024</v>
      </c>
      <c r="CJ2744" t="str">
        <f t="shared" si="247"/>
        <v>8256_2024</v>
      </c>
    </row>
    <row r="2745" spans="1:88" x14ac:dyDescent="0.25">
      <c r="A2745" t="s">
        <v>140</v>
      </c>
      <c r="B2745" t="s">
        <v>380</v>
      </c>
      <c r="C2745">
        <v>8257</v>
      </c>
      <c r="D2745">
        <v>-31.986457000000001</v>
      </c>
      <c r="E2745">
        <v>115.759789</v>
      </c>
      <c r="F2745">
        <v>4</v>
      </c>
      <c r="G2745" t="s">
        <v>1129</v>
      </c>
      <c r="H2745">
        <v>0</v>
      </c>
      <c r="I2745">
        <v>180</v>
      </c>
      <c r="J2745">
        <v>87</v>
      </c>
      <c r="K2745">
        <v>267</v>
      </c>
      <c r="L2745">
        <v>180</v>
      </c>
      <c r="M2745">
        <v>360</v>
      </c>
      <c r="N2745">
        <v>284</v>
      </c>
      <c r="O2745">
        <v>104</v>
      </c>
      <c r="T2745">
        <v>8</v>
      </c>
      <c r="U2745">
        <v>23</v>
      </c>
      <c r="V2745">
        <v>20</v>
      </c>
      <c r="Y2745">
        <v>3</v>
      </c>
      <c r="Z2745">
        <v>5</v>
      </c>
      <c r="AA2745">
        <v>86</v>
      </c>
      <c r="AD2745">
        <v>34</v>
      </c>
      <c r="AE2745">
        <v>7</v>
      </c>
      <c r="AF2745">
        <v>5</v>
      </c>
      <c r="AI2745">
        <v>20</v>
      </c>
      <c r="AJ2745">
        <v>47</v>
      </c>
      <c r="AK2745">
        <v>11</v>
      </c>
      <c r="AX2745">
        <v>51</v>
      </c>
      <c r="AY2745">
        <v>57</v>
      </c>
      <c r="AZ2745">
        <v>108</v>
      </c>
      <c r="BA2745">
        <v>94</v>
      </c>
      <c r="BB2745">
        <v>62</v>
      </c>
      <c r="BC2745">
        <v>156</v>
      </c>
      <c r="BD2745">
        <v>46</v>
      </c>
      <c r="BE2745">
        <v>39</v>
      </c>
      <c r="BF2745">
        <v>85</v>
      </c>
      <c r="BG2745">
        <v>78</v>
      </c>
      <c r="BH2745">
        <v>111</v>
      </c>
      <c r="BI2745">
        <v>189</v>
      </c>
      <c r="BP2745">
        <v>62</v>
      </c>
      <c r="BQ2745">
        <v>10</v>
      </c>
      <c r="BR2745">
        <v>166</v>
      </c>
      <c r="BS2745">
        <v>6</v>
      </c>
      <c r="BT2745">
        <v>17</v>
      </c>
      <c r="BU2745">
        <v>2</v>
      </c>
      <c r="BV2745">
        <v>6</v>
      </c>
      <c r="BW2745">
        <v>269</v>
      </c>
      <c r="BZ2745" s="10"/>
      <c r="CA2745" s="7">
        <v>45606</v>
      </c>
      <c r="CE2745">
        <v>126</v>
      </c>
      <c r="CF2745">
        <v>55</v>
      </c>
      <c r="CG2745">
        <v>88</v>
      </c>
      <c r="CI2745">
        <f t="shared" si="246"/>
        <v>2024</v>
      </c>
      <c r="CJ2745" t="str">
        <f t="shared" si="247"/>
        <v>8257_2024</v>
      </c>
    </row>
    <row r="2746" spans="1:88" x14ac:dyDescent="0.25">
      <c r="A2746" t="s">
        <v>140</v>
      </c>
      <c r="B2746" t="s">
        <v>380</v>
      </c>
      <c r="C2746">
        <v>8258</v>
      </c>
      <c r="D2746">
        <v>-31.986588000000001</v>
      </c>
      <c r="E2746">
        <v>115.765608</v>
      </c>
      <c r="F2746">
        <v>4</v>
      </c>
      <c r="G2746" t="s">
        <v>1130</v>
      </c>
      <c r="H2746">
        <v>33</v>
      </c>
      <c r="I2746">
        <v>213</v>
      </c>
      <c r="J2746">
        <v>90</v>
      </c>
      <c r="K2746">
        <v>270</v>
      </c>
      <c r="L2746">
        <v>213</v>
      </c>
      <c r="M2746">
        <v>33</v>
      </c>
      <c r="N2746">
        <v>270</v>
      </c>
      <c r="O2746">
        <v>90</v>
      </c>
      <c r="T2746">
        <v>0</v>
      </c>
      <c r="U2746">
        <v>21</v>
      </c>
      <c r="V2746">
        <v>6</v>
      </c>
      <c r="Y2746">
        <v>0</v>
      </c>
      <c r="Z2746">
        <v>1</v>
      </c>
      <c r="AA2746">
        <v>34</v>
      </c>
      <c r="AD2746">
        <v>7</v>
      </c>
      <c r="AE2746">
        <v>2</v>
      </c>
      <c r="AF2746">
        <v>1</v>
      </c>
      <c r="AI2746">
        <v>7</v>
      </c>
      <c r="AJ2746">
        <v>18</v>
      </c>
      <c r="AK2746">
        <v>9</v>
      </c>
      <c r="AX2746">
        <v>27</v>
      </c>
      <c r="AY2746">
        <v>14</v>
      </c>
      <c r="AZ2746">
        <v>41</v>
      </c>
      <c r="BA2746">
        <v>35</v>
      </c>
      <c r="BB2746">
        <v>20</v>
      </c>
      <c r="BC2746">
        <v>55</v>
      </c>
      <c r="BD2746">
        <v>10</v>
      </c>
      <c r="BE2746">
        <v>31</v>
      </c>
      <c r="BF2746">
        <v>41</v>
      </c>
      <c r="BG2746">
        <v>34</v>
      </c>
      <c r="BH2746">
        <v>41</v>
      </c>
      <c r="BI2746">
        <v>75</v>
      </c>
      <c r="BP2746">
        <v>36</v>
      </c>
      <c r="BQ2746">
        <v>6</v>
      </c>
      <c r="BR2746">
        <v>47</v>
      </c>
      <c r="BS2746">
        <v>2</v>
      </c>
      <c r="BT2746">
        <v>11</v>
      </c>
      <c r="BU2746">
        <v>3</v>
      </c>
      <c r="BV2746">
        <v>1</v>
      </c>
      <c r="BW2746">
        <v>106</v>
      </c>
      <c r="BZ2746" s="10"/>
      <c r="CA2746" s="7">
        <v>45606</v>
      </c>
      <c r="CE2746">
        <v>38</v>
      </c>
      <c r="CF2746">
        <v>48</v>
      </c>
      <c r="CG2746">
        <v>20</v>
      </c>
      <c r="CI2746">
        <f t="shared" si="246"/>
        <v>2024</v>
      </c>
      <c r="CJ2746" t="str">
        <f t="shared" si="247"/>
        <v>8258_2024</v>
      </c>
    </row>
    <row r="2747" spans="1:88" x14ac:dyDescent="0.25">
      <c r="A2747" t="s">
        <v>140</v>
      </c>
      <c r="B2747" t="s">
        <v>380</v>
      </c>
      <c r="C2747">
        <v>8259</v>
      </c>
      <c r="D2747">
        <v>-31.996077</v>
      </c>
      <c r="E2747">
        <v>115.759694</v>
      </c>
      <c r="F2747">
        <v>5</v>
      </c>
      <c r="G2747" t="s">
        <v>1131</v>
      </c>
      <c r="H2747">
        <v>33</v>
      </c>
      <c r="I2747">
        <v>213</v>
      </c>
      <c r="J2747">
        <v>95</v>
      </c>
      <c r="K2747">
        <v>275</v>
      </c>
      <c r="L2747">
        <v>172</v>
      </c>
      <c r="M2747">
        <v>352</v>
      </c>
      <c r="N2747">
        <v>272</v>
      </c>
      <c r="O2747">
        <v>92</v>
      </c>
      <c r="P2747">
        <v>355</v>
      </c>
      <c r="Q2747">
        <v>175</v>
      </c>
      <c r="T2747">
        <v>8</v>
      </c>
      <c r="U2747">
        <v>4</v>
      </c>
      <c r="V2747">
        <v>0</v>
      </c>
      <c r="W2747">
        <v>0</v>
      </c>
      <c r="Y2747">
        <v>3</v>
      </c>
      <c r="Z2747">
        <v>4</v>
      </c>
      <c r="AA2747">
        <v>139</v>
      </c>
      <c r="AB2747">
        <v>12</v>
      </c>
      <c r="AD2747">
        <v>7</v>
      </c>
      <c r="AE2747">
        <v>6</v>
      </c>
      <c r="AF2747">
        <v>19</v>
      </c>
      <c r="AG2747">
        <v>8</v>
      </c>
      <c r="AI2747">
        <v>1</v>
      </c>
      <c r="AJ2747">
        <v>88</v>
      </c>
      <c r="AK2747">
        <v>2</v>
      </c>
      <c r="AL2747">
        <v>5</v>
      </c>
      <c r="AN2747">
        <v>2</v>
      </c>
      <c r="AO2747">
        <v>21</v>
      </c>
      <c r="AP2747">
        <v>6</v>
      </c>
      <c r="AQ2747">
        <v>6</v>
      </c>
      <c r="AX2747">
        <v>12</v>
      </c>
      <c r="AY2747">
        <v>13</v>
      </c>
      <c r="AZ2747">
        <v>25</v>
      </c>
      <c r="BA2747">
        <v>158</v>
      </c>
      <c r="BB2747">
        <v>123</v>
      </c>
      <c r="BC2747">
        <v>281</v>
      </c>
      <c r="BD2747">
        <v>40</v>
      </c>
      <c r="BE2747">
        <v>16</v>
      </c>
      <c r="BF2747">
        <v>56</v>
      </c>
      <c r="BG2747">
        <v>96</v>
      </c>
      <c r="BH2747">
        <v>164</v>
      </c>
      <c r="BI2747">
        <v>260</v>
      </c>
      <c r="BJ2747">
        <v>35</v>
      </c>
      <c r="BK2747">
        <v>25</v>
      </c>
      <c r="BL2747">
        <v>60</v>
      </c>
      <c r="BP2747">
        <v>52</v>
      </c>
      <c r="BQ2747">
        <v>14</v>
      </c>
      <c r="BR2747">
        <v>254</v>
      </c>
      <c r="BS2747">
        <v>8</v>
      </c>
      <c r="BT2747">
        <v>10</v>
      </c>
      <c r="BU2747">
        <v>3</v>
      </c>
      <c r="BV2747">
        <v>0</v>
      </c>
      <c r="BW2747">
        <v>341</v>
      </c>
      <c r="BZ2747" s="10"/>
      <c r="CA2747" s="7">
        <v>45606</v>
      </c>
      <c r="CE2747">
        <v>110</v>
      </c>
      <c r="CF2747">
        <v>96</v>
      </c>
      <c r="CG2747">
        <v>135</v>
      </c>
      <c r="CI2747">
        <f t="shared" si="246"/>
        <v>2024</v>
      </c>
      <c r="CJ2747" t="str">
        <f t="shared" si="247"/>
        <v>8259_2024</v>
      </c>
    </row>
    <row r="2748" spans="1:88" x14ac:dyDescent="0.25">
      <c r="A2748" t="s">
        <v>111</v>
      </c>
      <c r="B2748" t="s">
        <v>301</v>
      </c>
      <c r="C2748">
        <v>5826</v>
      </c>
      <c r="D2748">
        <v>-38.098587999999999</v>
      </c>
      <c r="E2748">
        <v>145.13475800000001</v>
      </c>
      <c r="F2748">
        <v>3</v>
      </c>
      <c r="G2748" t="s">
        <v>302</v>
      </c>
      <c r="H2748">
        <v>8</v>
      </c>
      <c r="I2748">
        <v>188</v>
      </c>
      <c r="J2748">
        <v>194</v>
      </c>
      <c r="K2748">
        <v>14</v>
      </c>
      <c r="L2748">
        <v>279</v>
      </c>
      <c r="M2748">
        <v>99</v>
      </c>
      <c r="T2748">
        <v>75</v>
      </c>
      <c r="U2748">
        <v>1</v>
      </c>
      <c r="Y2748">
        <v>71</v>
      </c>
      <c r="Z2748">
        <v>5</v>
      </c>
      <c r="AD2748">
        <v>4</v>
      </c>
      <c r="AE2748">
        <v>7</v>
      </c>
      <c r="AX2748">
        <v>76</v>
      </c>
      <c r="AY2748">
        <v>75</v>
      </c>
      <c r="AZ2748">
        <v>151</v>
      </c>
      <c r="BA2748">
        <v>76</v>
      </c>
      <c r="BB2748">
        <v>82</v>
      </c>
      <c r="BC2748">
        <v>158</v>
      </c>
      <c r="BD2748">
        <v>11</v>
      </c>
      <c r="BE2748">
        <v>6</v>
      </c>
      <c r="BF2748">
        <v>17</v>
      </c>
      <c r="BP2748">
        <v>52</v>
      </c>
      <c r="BQ2748">
        <v>21</v>
      </c>
      <c r="BR2748">
        <v>37</v>
      </c>
      <c r="BS2748">
        <v>21</v>
      </c>
      <c r="BT2748">
        <v>30</v>
      </c>
      <c r="BU2748">
        <v>2</v>
      </c>
      <c r="BV2748">
        <v>0</v>
      </c>
      <c r="BW2748">
        <v>163</v>
      </c>
      <c r="BX2748">
        <v>605</v>
      </c>
      <c r="BY2748">
        <v>-0.73057851200000001</v>
      </c>
      <c r="BZ2748" s="10">
        <v>-0.73057851200000001</v>
      </c>
      <c r="CA2748" s="7">
        <v>45606</v>
      </c>
      <c r="CE2748">
        <v>49</v>
      </c>
      <c r="CF2748">
        <v>64</v>
      </c>
      <c r="CG2748">
        <v>50</v>
      </c>
      <c r="CI2748">
        <f t="shared" ref="CI2748:CI2811" si="248">YEAR(CA2748)</f>
        <v>2024</v>
      </c>
      <c r="CJ2748" t="str">
        <f t="shared" si="247"/>
        <v>5826_2024</v>
      </c>
    </row>
    <row r="2749" spans="1:88" x14ac:dyDescent="0.25">
      <c r="A2749" t="s">
        <v>111</v>
      </c>
      <c r="B2749" t="s">
        <v>301</v>
      </c>
      <c r="C2749">
        <v>5828</v>
      </c>
      <c r="D2749">
        <v>-38.184370999999999</v>
      </c>
      <c r="E2749">
        <v>145.11648199999999</v>
      </c>
      <c r="F2749">
        <v>3</v>
      </c>
      <c r="G2749" t="s">
        <v>303</v>
      </c>
      <c r="H2749">
        <v>59</v>
      </c>
      <c r="I2749">
        <v>239</v>
      </c>
      <c r="J2749">
        <v>148</v>
      </c>
      <c r="K2749">
        <v>328</v>
      </c>
      <c r="L2749">
        <v>328</v>
      </c>
      <c r="M2749">
        <v>148</v>
      </c>
      <c r="T2749">
        <v>34</v>
      </c>
      <c r="U2749">
        <v>15</v>
      </c>
      <c r="Y2749">
        <v>43</v>
      </c>
      <c r="Z2749">
        <v>47</v>
      </c>
      <c r="AD2749">
        <v>23</v>
      </c>
      <c r="AE2749">
        <v>31</v>
      </c>
      <c r="AX2749">
        <v>49</v>
      </c>
      <c r="AY2749">
        <v>66</v>
      </c>
      <c r="AZ2749">
        <v>115</v>
      </c>
      <c r="BA2749">
        <v>90</v>
      </c>
      <c r="BB2749">
        <v>65</v>
      </c>
      <c r="BC2749">
        <v>155</v>
      </c>
      <c r="BD2749">
        <v>54</v>
      </c>
      <c r="BE2749">
        <v>62</v>
      </c>
      <c r="BF2749">
        <v>116</v>
      </c>
      <c r="BP2749">
        <v>99</v>
      </c>
      <c r="BQ2749">
        <v>5</v>
      </c>
      <c r="BR2749">
        <v>43</v>
      </c>
      <c r="BS2749">
        <v>19</v>
      </c>
      <c r="BT2749">
        <v>22</v>
      </c>
      <c r="BU2749">
        <v>1</v>
      </c>
      <c r="BV2749">
        <v>4</v>
      </c>
      <c r="BW2749">
        <v>193</v>
      </c>
      <c r="BX2749">
        <v>187</v>
      </c>
      <c r="BY2749">
        <v>3.2085560999999999E-2</v>
      </c>
      <c r="BZ2749" s="10">
        <v>3.2085560999999999E-2</v>
      </c>
      <c r="CA2749" s="7">
        <v>45606</v>
      </c>
      <c r="CE2749">
        <v>87</v>
      </c>
      <c r="CF2749">
        <v>77</v>
      </c>
      <c r="CG2749">
        <v>29</v>
      </c>
      <c r="CI2749">
        <f t="shared" si="248"/>
        <v>2024</v>
      </c>
      <c r="CJ2749" t="str">
        <f t="shared" si="247"/>
        <v>5828_2024</v>
      </c>
    </row>
    <row r="2750" spans="1:88" x14ac:dyDescent="0.25">
      <c r="A2750" t="s">
        <v>111</v>
      </c>
      <c r="B2750" t="s">
        <v>301</v>
      </c>
      <c r="C2750">
        <v>5997</v>
      </c>
      <c r="D2750">
        <v>-38.158721999999997</v>
      </c>
      <c r="E2750">
        <v>145.152255</v>
      </c>
      <c r="F2750">
        <v>3</v>
      </c>
      <c r="G2750" t="s">
        <v>340</v>
      </c>
      <c r="H2750">
        <v>11</v>
      </c>
      <c r="I2750">
        <v>191</v>
      </c>
      <c r="J2750">
        <v>131</v>
      </c>
      <c r="K2750">
        <v>311</v>
      </c>
      <c r="L2750">
        <v>311</v>
      </c>
      <c r="M2750">
        <v>131</v>
      </c>
      <c r="T2750">
        <v>1</v>
      </c>
      <c r="U2750">
        <v>5</v>
      </c>
      <c r="Y2750">
        <v>1</v>
      </c>
      <c r="Z2750">
        <v>38</v>
      </c>
      <c r="AD2750">
        <v>4</v>
      </c>
      <c r="AE2750">
        <v>33</v>
      </c>
      <c r="AX2750">
        <v>6</v>
      </c>
      <c r="AY2750">
        <v>5</v>
      </c>
      <c r="AZ2750">
        <v>11</v>
      </c>
      <c r="BA2750">
        <v>39</v>
      </c>
      <c r="BB2750">
        <v>34</v>
      </c>
      <c r="BC2750">
        <v>73</v>
      </c>
      <c r="BD2750">
        <v>37</v>
      </c>
      <c r="BE2750">
        <v>43</v>
      </c>
      <c r="BF2750">
        <v>80</v>
      </c>
      <c r="BP2750">
        <v>31</v>
      </c>
      <c r="BQ2750">
        <v>10</v>
      </c>
      <c r="BR2750">
        <v>22</v>
      </c>
      <c r="BS2750">
        <v>9</v>
      </c>
      <c r="BT2750">
        <v>8</v>
      </c>
      <c r="BU2750">
        <v>2</v>
      </c>
      <c r="BV2750">
        <v>0</v>
      </c>
      <c r="BW2750">
        <v>82</v>
      </c>
      <c r="BX2750">
        <v>103</v>
      </c>
      <c r="BY2750">
        <v>-0.203883495</v>
      </c>
      <c r="BZ2750" s="10">
        <v>-0.203883495</v>
      </c>
      <c r="CA2750" s="7">
        <v>45606</v>
      </c>
      <c r="CE2750">
        <v>24</v>
      </c>
      <c r="CF2750">
        <v>26</v>
      </c>
      <c r="CG2750">
        <v>32</v>
      </c>
      <c r="CI2750">
        <f t="shared" si="248"/>
        <v>2024</v>
      </c>
      <c r="CJ2750" t="str">
        <f t="shared" si="247"/>
        <v>5997_2024</v>
      </c>
    </row>
    <row r="2751" spans="1:88" x14ac:dyDescent="0.25">
      <c r="A2751" t="s">
        <v>111</v>
      </c>
      <c r="B2751" t="s">
        <v>301</v>
      </c>
      <c r="C2751">
        <v>5998</v>
      </c>
      <c r="D2751">
        <v>-38.102215999999999</v>
      </c>
      <c r="E2751">
        <v>145.13937899999999</v>
      </c>
      <c r="F2751">
        <v>3</v>
      </c>
      <c r="G2751" t="s">
        <v>341</v>
      </c>
      <c r="H2751">
        <v>16</v>
      </c>
      <c r="I2751">
        <v>196</v>
      </c>
      <c r="J2751">
        <v>76</v>
      </c>
      <c r="K2751">
        <v>256</v>
      </c>
      <c r="L2751">
        <v>202</v>
      </c>
      <c r="M2751">
        <v>22</v>
      </c>
      <c r="T2751">
        <v>7</v>
      </c>
      <c r="U2751">
        <v>56</v>
      </c>
      <c r="Y2751">
        <v>22</v>
      </c>
      <c r="Z2751">
        <v>28</v>
      </c>
      <c r="AD2751">
        <v>64</v>
      </c>
      <c r="AE2751">
        <v>35</v>
      </c>
      <c r="AX2751">
        <v>63</v>
      </c>
      <c r="AY2751">
        <v>86</v>
      </c>
      <c r="AZ2751">
        <v>149</v>
      </c>
      <c r="BA2751">
        <v>50</v>
      </c>
      <c r="BB2751">
        <v>42</v>
      </c>
      <c r="BC2751">
        <v>92</v>
      </c>
      <c r="BD2751">
        <v>99</v>
      </c>
      <c r="BE2751">
        <v>84</v>
      </c>
      <c r="BF2751">
        <v>183</v>
      </c>
      <c r="BP2751">
        <v>97</v>
      </c>
      <c r="BQ2751">
        <v>28</v>
      </c>
      <c r="BR2751">
        <v>32</v>
      </c>
      <c r="BS2751">
        <v>36</v>
      </c>
      <c r="BT2751">
        <v>18</v>
      </c>
      <c r="BU2751">
        <v>1</v>
      </c>
      <c r="BV2751">
        <v>0</v>
      </c>
      <c r="BW2751">
        <v>212</v>
      </c>
      <c r="BX2751">
        <v>197</v>
      </c>
      <c r="BY2751">
        <v>7.6142132000000001E-2</v>
      </c>
      <c r="BZ2751" s="10">
        <v>7.6142132000000001E-2</v>
      </c>
      <c r="CA2751" s="7">
        <v>45606</v>
      </c>
      <c r="CE2751">
        <v>68</v>
      </c>
      <c r="CF2751">
        <v>73</v>
      </c>
      <c r="CG2751">
        <v>71</v>
      </c>
      <c r="CI2751">
        <f t="shared" si="248"/>
        <v>2024</v>
      </c>
      <c r="CJ2751" t="str">
        <f t="shared" si="247"/>
        <v>5998_2024</v>
      </c>
    </row>
    <row r="2752" spans="1:88" x14ac:dyDescent="0.25">
      <c r="A2752" t="s">
        <v>111</v>
      </c>
      <c r="B2752" t="s">
        <v>301</v>
      </c>
      <c r="C2752">
        <v>6216</v>
      </c>
      <c r="D2752">
        <v>-38.083674000000002</v>
      </c>
      <c r="E2752">
        <v>145.13354899999999</v>
      </c>
      <c r="F2752">
        <v>4</v>
      </c>
      <c r="G2752" t="s">
        <v>397</v>
      </c>
      <c r="H2752">
        <v>69</v>
      </c>
      <c r="I2752">
        <v>249</v>
      </c>
      <c r="J2752">
        <v>157</v>
      </c>
      <c r="K2752">
        <v>337</v>
      </c>
      <c r="L2752">
        <v>251</v>
      </c>
      <c r="M2752">
        <v>71</v>
      </c>
      <c r="N2752">
        <v>337</v>
      </c>
      <c r="O2752">
        <v>157</v>
      </c>
      <c r="T2752">
        <v>1</v>
      </c>
      <c r="U2752">
        <v>19</v>
      </c>
      <c r="V2752">
        <v>22</v>
      </c>
      <c r="Y2752">
        <v>0</v>
      </c>
      <c r="Z2752">
        <v>0</v>
      </c>
      <c r="AA2752">
        <v>0</v>
      </c>
      <c r="AD2752">
        <v>17</v>
      </c>
      <c r="AE2752">
        <v>0</v>
      </c>
      <c r="AF2752">
        <v>12</v>
      </c>
      <c r="AI2752">
        <v>27</v>
      </c>
      <c r="AJ2752">
        <v>0</v>
      </c>
      <c r="AK2752">
        <v>14</v>
      </c>
      <c r="AX2752">
        <v>42</v>
      </c>
      <c r="AY2752">
        <v>44</v>
      </c>
      <c r="AZ2752">
        <v>86</v>
      </c>
      <c r="BA2752">
        <v>0</v>
      </c>
      <c r="BB2752">
        <v>1</v>
      </c>
      <c r="BC2752">
        <v>1</v>
      </c>
      <c r="BD2752">
        <v>29</v>
      </c>
      <c r="BE2752">
        <v>33</v>
      </c>
      <c r="BF2752">
        <v>62</v>
      </c>
      <c r="BG2752">
        <v>41</v>
      </c>
      <c r="BH2752">
        <v>34</v>
      </c>
      <c r="BI2752">
        <v>75</v>
      </c>
      <c r="BP2752">
        <v>25</v>
      </c>
      <c r="BQ2752">
        <v>9</v>
      </c>
      <c r="BR2752">
        <v>36</v>
      </c>
      <c r="BS2752">
        <v>14</v>
      </c>
      <c r="BT2752">
        <v>28</v>
      </c>
      <c r="BU2752">
        <v>0</v>
      </c>
      <c r="BV2752">
        <v>0</v>
      </c>
      <c r="BW2752">
        <v>112</v>
      </c>
      <c r="BX2752">
        <v>124</v>
      </c>
      <c r="BY2752">
        <v>-9.6774193999999994E-2</v>
      </c>
      <c r="BZ2752" s="10">
        <v>-9.6774193999999994E-2</v>
      </c>
      <c r="CA2752" s="7">
        <v>45606</v>
      </c>
      <c r="CE2752">
        <v>39</v>
      </c>
      <c r="CF2752">
        <v>41</v>
      </c>
      <c r="CG2752">
        <v>32</v>
      </c>
      <c r="CI2752">
        <f t="shared" si="248"/>
        <v>2024</v>
      </c>
      <c r="CJ2752" t="str">
        <f t="shared" si="247"/>
        <v>6216_2024</v>
      </c>
    </row>
    <row r="2753" spans="1:88" x14ac:dyDescent="0.25">
      <c r="A2753" t="s">
        <v>111</v>
      </c>
      <c r="B2753" t="s">
        <v>301</v>
      </c>
      <c r="C2753">
        <v>6218</v>
      </c>
      <c r="D2753">
        <v>-38.131911000000002</v>
      </c>
      <c r="E2753">
        <v>145.17344199999999</v>
      </c>
      <c r="F2753">
        <v>3</v>
      </c>
      <c r="G2753" t="s">
        <v>399</v>
      </c>
      <c r="H2753">
        <v>124</v>
      </c>
      <c r="I2753">
        <v>304</v>
      </c>
      <c r="J2753">
        <v>173</v>
      </c>
      <c r="K2753">
        <v>353</v>
      </c>
      <c r="L2753">
        <v>349</v>
      </c>
      <c r="M2753">
        <v>169</v>
      </c>
      <c r="T2753">
        <v>4</v>
      </c>
      <c r="U2753">
        <v>8</v>
      </c>
      <c r="Y2753">
        <v>8</v>
      </c>
      <c r="Z2753">
        <v>57</v>
      </c>
      <c r="AD2753">
        <v>6</v>
      </c>
      <c r="AE2753">
        <v>43</v>
      </c>
      <c r="AX2753">
        <v>12</v>
      </c>
      <c r="AY2753">
        <v>14</v>
      </c>
      <c r="AZ2753">
        <v>26</v>
      </c>
      <c r="BA2753">
        <v>65</v>
      </c>
      <c r="BB2753">
        <v>47</v>
      </c>
      <c r="BC2753">
        <v>112</v>
      </c>
      <c r="BD2753">
        <v>49</v>
      </c>
      <c r="BE2753">
        <v>65</v>
      </c>
      <c r="BF2753">
        <v>114</v>
      </c>
      <c r="BP2753">
        <v>71</v>
      </c>
      <c r="BQ2753">
        <v>13</v>
      </c>
      <c r="BR2753">
        <v>15</v>
      </c>
      <c r="BS2753">
        <v>12</v>
      </c>
      <c r="BT2753">
        <v>7</v>
      </c>
      <c r="BU2753">
        <v>2</v>
      </c>
      <c r="BV2753">
        <v>6</v>
      </c>
      <c r="BW2753">
        <v>126</v>
      </c>
      <c r="BX2753">
        <v>143</v>
      </c>
      <c r="BY2753">
        <v>-0.11888111899999999</v>
      </c>
      <c r="BZ2753" s="10">
        <v>-0.11888111899999999</v>
      </c>
      <c r="CA2753" s="7">
        <v>45606</v>
      </c>
      <c r="CE2753">
        <v>33</v>
      </c>
      <c r="CF2753">
        <v>50</v>
      </c>
      <c r="CG2753">
        <v>43</v>
      </c>
      <c r="CI2753">
        <f t="shared" si="248"/>
        <v>2024</v>
      </c>
      <c r="CJ2753" t="str">
        <f t="shared" si="247"/>
        <v>6218_2024</v>
      </c>
    </row>
    <row r="2754" spans="1:88" x14ac:dyDescent="0.25">
      <c r="A2754" t="s">
        <v>111</v>
      </c>
      <c r="B2754" t="s">
        <v>301</v>
      </c>
      <c r="C2754">
        <v>6219</v>
      </c>
      <c r="D2754">
        <v>-38.155420999999997</v>
      </c>
      <c r="E2754">
        <v>145.167069</v>
      </c>
      <c r="F2754">
        <v>4</v>
      </c>
      <c r="G2754" t="s">
        <v>400</v>
      </c>
      <c r="H2754">
        <v>21</v>
      </c>
      <c r="I2754">
        <v>201</v>
      </c>
      <c r="J2754">
        <v>108</v>
      </c>
      <c r="K2754">
        <v>288</v>
      </c>
      <c r="L2754">
        <v>193</v>
      </c>
      <c r="M2754">
        <v>13</v>
      </c>
      <c r="N2754">
        <v>288</v>
      </c>
      <c r="O2754">
        <v>108</v>
      </c>
      <c r="T2754">
        <v>3</v>
      </c>
      <c r="U2754">
        <v>34</v>
      </c>
      <c r="V2754">
        <v>3</v>
      </c>
      <c r="Y2754">
        <v>8</v>
      </c>
      <c r="Z2754">
        <v>9</v>
      </c>
      <c r="AA2754">
        <v>14</v>
      </c>
      <c r="AD2754">
        <v>33</v>
      </c>
      <c r="AE2754">
        <v>5</v>
      </c>
      <c r="AF2754">
        <v>23</v>
      </c>
      <c r="AI2754">
        <v>3</v>
      </c>
      <c r="AJ2754">
        <v>17</v>
      </c>
      <c r="AK2754">
        <v>3</v>
      </c>
      <c r="AX2754">
        <v>40</v>
      </c>
      <c r="AY2754">
        <v>44</v>
      </c>
      <c r="AZ2754">
        <v>84</v>
      </c>
      <c r="BA2754">
        <v>31</v>
      </c>
      <c r="BB2754">
        <v>25</v>
      </c>
      <c r="BC2754">
        <v>56</v>
      </c>
      <c r="BD2754">
        <v>61</v>
      </c>
      <c r="BE2754">
        <v>46</v>
      </c>
      <c r="BF2754">
        <v>107</v>
      </c>
      <c r="BG2754">
        <v>23</v>
      </c>
      <c r="BH2754">
        <v>40</v>
      </c>
      <c r="BI2754">
        <v>63</v>
      </c>
      <c r="BP2754">
        <v>81</v>
      </c>
      <c r="BQ2754">
        <v>8</v>
      </c>
      <c r="BR2754">
        <v>41</v>
      </c>
      <c r="BS2754">
        <v>16</v>
      </c>
      <c r="BT2754">
        <v>6</v>
      </c>
      <c r="BU2754">
        <v>3</v>
      </c>
      <c r="BV2754">
        <v>0</v>
      </c>
      <c r="BW2754">
        <v>155</v>
      </c>
      <c r="BX2754">
        <v>171</v>
      </c>
      <c r="BY2754">
        <v>-9.3567251000000004E-2</v>
      </c>
      <c r="BZ2754" s="10">
        <v>-9.3567251000000004E-2</v>
      </c>
      <c r="CA2754" s="7">
        <v>45606</v>
      </c>
      <c r="CE2754">
        <v>43</v>
      </c>
      <c r="CF2754">
        <v>63</v>
      </c>
      <c r="CG2754">
        <v>49</v>
      </c>
      <c r="CI2754">
        <f t="shared" si="248"/>
        <v>2024</v>
      </c>
      <c r="CJ2754" t="str">
        <f t="shared" si="247"/>
        <v>6219_2024</v>
      </c>
    </row>
    <row r="2755" spans="1:88" x14ac:dyDescent="0.25">
      <c r="A2755" t="s">
        <v>111</v>
      </c>
      <c r="B2755" t="s">
        <v>301</v>
      </c>
      <c r="C2755">
        <v>6220</v>
      </c>
      <c r="D2755">
        <v>-38.182144999999998</v>
      </c>
      <c r="E2755">
        <v>145.15981300000001</v>
      </c>
      <c r="F2755">
        <v>4</v>
      </c>
      <c r="G2755" t="s">
        <v>401</v>
      </c>
      <c r="H2755">
        <v>32</v>
      </c>
      <c r="I2755">
        <v>212</v>
      </c>
      <c r="J2755">
        <v>134</v>
      </c>
      <c r="K2755">
        <v>314</v>
      </c>
      <c r="L2755">
        <v>205</v>
      </c>
      <c r="M2755">
        <v>25</v>
      </c>
      <c r="N2755">
        <v>314</v>
      </c>
      <c r="O2755">
        <v>134</v>
      </c>
      <c r="T2755">
        <v>4</v>
      </c>
      <c r="U2755">
        <v>38</v>
      </c>
      <c r="V2755">
        <v>1</v>
      </c>
      <c r="Y2755">
        <v>0</v>
      </c>
      <c r="Z2755">
        <v>3</v>
      </c>
      <c r="AA2755">
        <v>1</v>
      </c>
      <c r="AD2755">
        <v>45</v>
      </c>
      <c r="AE2755">
        <v>3</v>
      </c>
      <c r="AF2755">
        <v>2</v>
      </c>
      <c r="AI2755">
        <v>3</v>
      </c>
      <c r="AJ2755">
        <v>9</v>
      </c>
      <c r="AK2755">
        <v>4</v>
      </c>
      <c r="AX2755">
        <v>43</v>
      </c>
      <c r="AY2755">
        <v>48</v>
      </c>
      <c r="AZ2755">
        <v>91</v>
      </c>
      <c r="BA2755">
        <v>4</v>
      </c>
      <c r="BB2755">
        <v>16</v>
      </c>
      <c r="BC2755">
        <v>20</v>
      </c>
      <c r="BD2755">
        <v>50</v>
      </c>
      <c r="BE2755">
        <v>45</v>
      </c>
      <c r="BF2755">
        <v>95</v>
      </c>
      <c r="BG2755">
        <v>16</v>
      </c>
      <c r="BH2755">
        <v>4</v>
      </c>
      <c r="BI2755">
        <v>20</v>
      </c>
      <c r="BP2755">
        <v>71</v>
      </c>
      <c r="BQ2755">
        <v>16</v>
      </c>
      <c r="BR2755">
        <v>14</v>
      </c>
      <c r="BS2755">
        <v>7</v>
      </c>
      <c r="BT2755">
        <v>5</v>
      </c>
      <c r="BU2755">
        <v>0</v>
      </c>
      <c r="BV2755">
        <v>0</v>
      </c>
      <c r="BW2755">
        <v>113</v>
      </c>
      <c r="BX2755">
        <v>217</v>
      </c>
      <c r="BY2755">
        <v>-0.47926267299999997</v>
      </c>
      <c r="BZ2755" s="10">
        <v>-0.47926267299999997</v>
      </c>
      <c r="CA2755" s="7">
        <v>45606</v>
      </c>
      <c r="CE2755">
        <v>34</v>
      </c>
      <c r="CF2755">
        <v>39</v>
      </c>
      <c r="CG2755">
        <v>40</v>
      </c>
      <c r="CI2755">
        <f t="shared" si="248"/>
        <v>2024</v>
      </c>
      <c r="CJ2755" t="str">
        <f t="shared" ref="CJ2755:CJ2818" si="249">_xlfn.CONCAT(C2755,"_",CI2755)</f>
        <v>6220_2024</v>
      </c>
    </row>
    <row r="2756" spans="1:88" x14ac:dyDescent="0.25">
      <c r="A2756" t="s">
        <v>111</v>
      </c>
      <c r="B2756" t="s">
        <v>301</v>
      </c>
      <c r="C2756">
        <v>6825</v>
      </c>
      <c r="D2756">
        <v>-38.133527000000001</v>
      </c>
      <c r="E2756">
        <v>145.14454499999999</v>
      </c>
      <c r="F2756">
        <v>3</v>
      </c>
      <c r="G2756" t="s">
        <v>630</v>
      </c>
      <c r="H2756">
        <v>13</v>
      </c>
      <c r="I2756">
        <v>193</v>
      </c>
      <c r="J2756">
        <v>109</v>
      </c>
      <c r="K2756">
        <v>289</v>
      </c>
      <c r="L2756">
        <v>289</v>
      </c>
      <c r="M2756">
        <v>109</v>
      </c>
      <c r="T2756">
        <v>3</v>
      </c>
      <c r="U2756">
        <v>2</v>
      </c>
      <c r="Y2756">
        <v>2</v>
      </c>
      <c r="Z2756">
        <v>18</v>
      </c>
      <c r="AD2756">
        <v>10</v>
      </c>
      <c r="AE2756">
        <v>17</v>
      </c>
      <c r="AX2756">
        <v>5</v>
      </c>
      <c r="AY2756">
        <v>12</v>
      </c>
      <c r="AZ2756">
        <v>17</v>
      </c>
      <c r="BA2756">
        <v>20</v>
      </c>
      <c r="BB2756">
        <v>20</v>
      </c>
      <c r="BC2756">
        <v>40</v>
      </c>
      <c r="BD2756">
        <v>27</v>
      </c>
      <c r="BE2756">
        <v>20</v>
      </c>
      <c r="BF2756">
        <v>47</v>
      </c>
      <c r="BP2756">
        <v>3</v>
      </c>
      <c r="BQ2756">
        <v>7</v>
      </c>
      <c r="BR2756">
        <v>18</v>
      </c>
      <c r="BS2756">
        <v>7</v>
      </c>
      <c r="BT2756">
        <v>13</v>
      </c>
      <c r="BU2756">
        <v>3</v>
      </c>
      <c r="BV2756">
        <v>1</v>
      </c>
      <c r="BW2756">
        <v>52</v>
      </c>
      <c r="BX2756">
        <v>34</v>
      </c>
      <c r="BY2756">
        <v>0.52941176499999998</v>
      </c>
      <c r="BZ2756" s="10">
        <v>0.52941176499999998</v>
      </c>
      <c r="CA2756" s="7">
        <v>45606</v>
      </c>
      <c r="CE2756">
        <v>15</v>
      </c>
      <c r="CF2756">
        <v>18</v>
      </c>
      <c r="CG2756">
        <v>19</v>
      </c>
      <c r="CI2756">
        <f t="shared" si="248"/>
        <v>2024</v>
      </c>
      <c r="CJ2756" t="str">
        <f t="shared" si="249"/>
        <v>6825_2024</v>
      </c>
    </row>
    <row r="2757" spans="1:88" x14ac:dyDescent="0.25">
      <c r="A2757" t="s">
        <v>111</v>
      </c>
      <c r="B2757" t="s">
        <v>301</v>
      </c>
      <c r="C2757">
        <v>7536</v>
      </c>
      <c r="D2757">
        <v>-38.130288999999998</v>
      </c>
      <c r="E2757">
        <v>145.13162500000001</v>
      </c>
      <c r="F2757">
        <v>5</v>
      </c>
      <c r="G2757" t="s">
        <v>882</v>
      </c>
      <c r="H2757">
        <v>19</v>
      </c>
      <c r="I2757">
        <v>199</v>
      </c>
      <c r="J2757">
        <v>46</v>
      </c>
      <c r="K2757">
        <v>226</v>
      </c>
      <c r="L2757">
        <v>107</v>
      </c>
      <c r="M2757">
        <v>287</v>
      </c>
      <c r="N2757">
        <v>200</v>
      </c>
      <c r="O2757">
        <v>20</v>
      </c>
      <c r="P2757">
        <v>290</v>
      </c>
      <c r="Q2757">
        <v>110</v>
      </c>
      <c r="T2757">
        <v>0</v>
      </c>
      <c r="U2757">
        <v>2</v>
      </c>
      <c r="V2757">
        <v>35</v>
      </c>
      <c r="W2757">
        <v>1</v>
      </c>
      <c r="Y2757">
        <v>0</v>
      </c>
      <c r="Z2757">
        <v>1</v>
      </c>
      <c r="AA2757">
        <v>2</v>
      </c>
      <c r="AB2757">
        <v>0</v>
      </c>
      <c r="AD2757">
        <v>2</v>
      </c>
      <c r="AE2757">
        <v>3</v>
      </c>
      <c r="AF2757">
        <v>3</v>
      </c>
      <c r="AG2757">
        <v>6</v>
      </c>
      <c r="AI2757">
        <v>45</v>
      </c>
      <c r="AJ2757">
        <v>1</v>
      </c>
      <c r="AK2757">
        <v>5</v>
      </c>
      <c r="AL2757">
        <v>1</v>
      </c>
      <c r="AN2757">
        <v>0</v>
      </c>
      <c r="AO2757">
        <v>0</v>
      </c>
      <c r="AP2757">
        <v>1</v>
      </c>
      <c r="AQ2757">
        <v>6</v>
      </c>
      <c r="AX2757">
        <v>38</v>
      </c>
      <c r="AY2757">
        <v>47</v>
      </c>
      <c r="AZ2757">
        <v>85</v>
      </c>
      <c r="BA2757">
        <v>3</v>
      </c>
      <c r="BB2757">
        <v>4</v>
      </c>
      <c r="BC2757">
        <v>7</v>
      </c>
      <c r="BD2757">
        <v>14</v>
      </c>
      <c r="BE2757">
        <v>9</v>
      </c>
      <c r="BF2757">
        <v>23</v>
      </c>
      <c r="BG2757">
        <v>52</v>
      </c>
      <c r="BH2757">
        <v>46</v>
      </c>
      <c r="BI2757">
        <v>98</v>
      </c>
      <c r="BJ2757">
        <v>7</v>
      </c>
      <c r="BK2757">
        <v>8</v>
      </c>
      <c r="BL2757">
        <v>15</v>
      </c>
      <c r="BP2757">
        <v>71</v>
      </c>
      <c r="BQ2757">
        <v>19</v>
      </c>
      <c r="BR2757">
        <v>12</v>
      </c>
      <c r="BS2757">
        <v>7</v>
      </c>
      <c r="BT2757">
        <v>0</v>
      </c>
      <c r="BU2757">
        <v>1</v>
      </c>
      <c r="BV2757">
        <v>4</v>
      </c>
      <c r="BW2757">
        <v>114</v>
      </c>
      <c r="BX2757">
        <v>51</v>
      </c>
      <c r="BY2757">
        <v>1.2352941180000001</v>
      </c>
      <c r="BZ2757" s="10">
        <v>1.2352941180000001</v>
      </c>
      <c r="CA2757" s="7">
        <v>45606</v>
      </c>
      <c r="CE2757">
        <v>37</v>
      </c>
      <c r="CF2757">
        <v>43</v>
      </c>
      <c r="CG2757">
        <v>34</v>
      </c>
      <c r="CI2757">
        <f t="shared" si="248"/>
        <v>2024</v>
      </c>
      <c r="CJ2757" t="str">
        <f t="shared" si="249"/>
        <v>7536_2024</v>
      </c>
    </row>
    <row r="2758" spans="1:88" x14ac:dyDescent="0.25">
      <c r="A2758" t="s">
        <v>111</v>
      </c>
      <c r="B2758" t="s">
        <v>301</v>
      </c>
      <c r="C2758">
        <v>7537</v>
      </c>
      <c r="D2758">
        <v>-38.110553000000003</v>
      </c>
      <c r="E2758">
        <v>145.130258</v>
      </c>
      <c r="F2758">
        <v>4</v>
      </c>
      <c r="G2758" t="s">
        <v>883</v>
      </c>
      <c r="H2758">
        <v>96</v>
      </c>
      <c r="I2758">
        <v>276</v>
      </c>
      <c r="J2758">
        <v>147</v>
      </c>
      <c r="K2758">
        <v>327</v>
      </c>
      <c r="L2758">
        <v>280</v>
      </c>
      <c r="M2758">
        <v>100</v>
      </c>
      <c r="N2758">
        <v>330</v>
      </c>
      <c r="O2758">
        <v>150</v>
      </c>
      <c r="T2758">
        <v>3</v>
      </c>
      <c r="U2758">
        <v>0</v>
      </c>
      <c r="V2758">
        <v>5</v>
      </c>
      <c r="Y2758">
        <v>9</v>
      </c>
      <c r="Z2758">
        <v>6</v>
      </c>
      <c r="AA2758">
        <v>38</v>
      </c>
      <c r="AD2758">
        <v>0</v>
      </c>
      <c r="AE2758">
        <v>3</v>
      </c>
      <c r="AF2758">
        <v>63</v>
      </c>
      <c r="AI2758">
        <v>7</v>
      </c>
      <c r="AJ2758">
        <v>38</v>
      </c>
      <c r="AK2758">
        <v>32</v>
      </c>
      <c r="AX2758">
        <v>8</v>
      </c>
      <c r="AY2758">
        <v>16</v>
      </c>
      <c r="AZ2758">
        <v>24</v>
      </c>
      <c r="BA2758">
        <v>53</v>
      </c>
      <c r="BB2758">
        <v>44</v>
      </c>
      <c r="BC2758">
        <v>97</v>
      </c>
      <c r="BD2758">
        <v>66</v>
      </c>
      <c r="BE2758">
        <v>38</v>
      </c>
      <c r="BF2758">
        <v>104</v>
      </c>
      <c r="BG2758">
        <v>77</v>
      </c>
      <c r="BH2758">
        <v>106</v>
      </c>
      <c r="BI2758">
        <v>183</v>
      </c>
      <c r="BP2758">
        <v>116</v>
      </c>
      <c r="BQ2758">
        <v>6</v>
      </c>
      <c r="BR2758">
        <v>61</v>
      </c>
      <c r="BS2758">
        <v>7</v>
      </c>
      <c r="BT2758">
        <v>13</v>
      </c>
      <c r="BU2758">
        <v>1</v>
      </c>
      <c r="BV2758">
        <v>0</v>
      </c>
      <c r="BW2758">
        <v>204</v>
      </c>
      <c r="BX2758">
        <v>151</v>
      </c>
      <c r="BY2758">
        <v>0.350993377</v>
      </c>
      <c r="BZ2758" s="10">
        <v>0.350993377</v>
      </c>
      <c r="CA2758" s="7">
        <v>45606</v>
      </c>
      <c r="CE2758">
        <v>71</v>
      </c>
      <c r="CF2758">
        <v>66</v>
      </c>
      <c r="CG2758">
        <v>67</v>
      </c>
      <c r="CI2758">
        <f t="shared" si="248"/>
        <v>2024</v>
      </c>
      <c r="CJ2758" t="str">
        <f t="shared" si="249"/>
        <v>7537_2024</v>
      </c>
    </row>
    <row r="2759" spans="1:88" x14ac:dyDescent="0.25">
      <c r="A2759" t="s">
        <v>111</v>
      </c>
      <c r="B2759" t="s">
        <v>301</v>
      </c>
      <c r="C2759">
        <v>7635</v>
      </c>
      <c r="D2759">
        <v>-38.093307000000003</v>
      </c>
      <c r="E2759">
        <v>145.128028</v>
      </c>
      <c r="F2759">
        <v>4</v>
      </c>
      <c r="G2759" t="s">
        <v>896</v>
      </c>
      <c r="H2759">
        <v>74</v>
      </c>
      <c r="I2759">
        <v>254</v>
      </c>
      <c r="J2759">
        <v>180</v>
      </c>
      <c r="K2759">
        <v>360</v>
      </c>
      <c r="L2759">
        <v>210</v>
      </c>
      <c r="M2759">
        <v>30</v>
      </c>
      <c r="N2759">
        <v>340</v>
      </c>
      <c r="O2759">
        <v>160</v>
      </c>
      <c r="T2759">
        <v>22</v>
      </c>
      <c r="U2759">
        <v>11</v>
      </c>
      <c r="V2759">
        <v>13</v>
      </c>
      <c r="Y2759">
        <v>8</v>
      </c>
      <c r="Z2759">
        <v>2</v>
      </c>
      <c r="AA2759">
        <v>90</v>
      </c>
      <c r="AD2759">
        <v>19</v>
      </c>
      <c r="AE2759">
        <v>3</v>
      </c>
      <c r="AF2759">
        <v>1</v>
      </c>
      <c r="AI2759">
        <v>4</v>
      </c>
      <c r="AJ2759">
        <v>104</v>
      </c>
      <c r="AK2759">
        <v>3</v>
      </c>
      <c r="AX2759">
        <v>46</v>
      </c>
      <c r="AY2759">
        <v>31</v>
      </c>
      <c r="AZ2759">
        <v>77</v>
      </c>
      <c r="BA2759">
        <v>100</v>
      </c>
      <c r="BB2759">
        <v>129</v>
      </c>
      <c r="BC2759">
        <v>229</v>
      </c>
      <c r="BD2759">
        <v>23</v>
      </c>
      <c r="BE2759">
        <v>16</v>
      </c>
      <c r="BF2759">
        <v>39</v>
      </c>
      <c r="BG2759">
        <v>111</v>
      </c>
      <c r="BH2759">
        <v>104</v>
      </c>
      <c r="BI2759">
        <v>215</v>
      </c>
      <c r="BP2759">
        <v>141</v>
      </c>
      <c r="BQ2759">
        <v>16</v>
      </c>
      <c r="BR2759">
        <v>69</v>
      </c>
      <c r="BS2759">
        <v>23</v>
      </c>
      <c r="BT2759">
        <v>29</v>
      </c>
      <c r="BU2759">
        <v>2</v>
      </c>
      <c r="BV2759">
        <v>0</v>
      </c>
      <c r="BW2759">
        <v>280</v>
      </c>
      <c r="BX2759">
        <v>213</v>
      </c>
      <c r="BY2759">
        <v>0.31455399099999998</v>
      </c>
      <c r="BZ2759" s="10">
        <v>0.31455399099999998</v>
      </c>
      <c r="CA2759" s="7">
        <v>45606</v>
      </c>
      <c r="CE2759">
        <v>110</v>
      </c>
      <c r="CF2759">
        <v>94</v>
      </c>
      <c r="CG2759">
        <v>76</v>
      </c>
      <c r="CI2759">
        <f t="shared" si="248"/>
        <v>2024</v>
      </c>
      <c r="CJ2759" t="str">
        <f t="shared" si="249"/>
        <v>7635_2024</v>
      </c>
    </row>
    <row r="2760" spans="1:88" x14ac:dyDescent="0.25">
      <c r="A2760" t="s">
        <v>140</v>
      </c>
      <c r="B2760" t="s">
        <v>161</v>
      </c>
      <c r="C2760">
        <v>5069</v>
      </c>
      <c r="D2760">
        <v>-32.078121000000003</v>
      </c>
      <c r="E2760">
        <v>115.761205</v>
      </c>
      <c r="F2760">
        <v>4</v>
      </c>
      <c r="G2760" t="s">
        <v>162</v>
      </c>
      <c r="H2760">
        <v>3</v>
      </c>
      <c r="I2760">
        <v>183</v>
      </c>
      <c r="J2760">
        <v>120</v>
      </c>
      <c r="K2760">
        <v>300</v>
      </c>
      <c r="L2760">
        <v>180</v>
      </c>
      <c r="M2760">
        <v>360</v>
      </c>
      <c r="N2760">
        <v>278</v>
      </c>
      <c r="O2760">
        <v>98</v>
      </c>
      <c r="T2760">
        <v>13</v>
      </c>
      <c r="U2760">
        <v>9</v>
      </c>
      <c r="V2760">
        <v>11</v>
      </c>
      <c r="Y2760">
        <v>8</v>
      </c>
      <c r="Z2760">
        <v>3</v>
      </c>
      <c r="AA2760">
        <v>38</v>
      </c>
      <c r="AD2760">
        <v>18</v>
      </c>
      <c r="AE2760">
        <v>7</v>
      </c>
      <c r="AF2760">
        <v>15</v>
      </c>
      <c r="AI2760">
        <v>9</v>
      </c>
      <c r="AJ2760">
        <v>51</v>
      </c>
      <c r="AK2760">
        <v>9</v>
      </c>
      <c r="AX2760">
        <v>33</v>
      </c>
      <c r="AY2760">
        <v>35</v>
      </c>
      <c r="AZ2760">
        <v>68</v>
      </c>
      <c r="BA2760">
        <v>49</v>
      </c>
      <c r="BB2760">
        <v>71</v>
      </c>
      <c r="BC2760">
        <v>120</v>
      </c>
      <c r="BD2760">
        <v>40</v>
      </c>
      <c r="BE2760">
        <v>21</v>
      </c>
      <c r="BF2760">
        <v>61</v>
      </c>
      <c r="BG2760">
        <v>69</v>
      </c>
      <c r="BH2760">
        <v>64</v>
      </c>
      <c r="BI2760">
        <v>133</v>
      </c>
      <c r="BP2760">
        <v>80</v>
      </c>
      <c r="BQ2760">
        <v>15</v>
      </c>
      <c r="BR2760">
        <v>72</v>
      </c>
      <c r="BS2760">
        <v>2</v>
      </c>
      <c r="BT2760">
        <v>16</v>
      </c>
      <c r="BU2760">
        <v>6</v>
      </c>
      <c r="BV2760">
        <v>0</v>
      </c>
      <c r="BW2760">
        <v>191</v>
      </c>
      <c r="BZ2760" s="10"/>
      <c r="CA2760" s="7">
        <v>45606</v>
      </c>
      <c r="CE2760">
        <v>62</v>
      </c>
      <c r="CF2760">
        <v>70</v>
      </c>
      <c r="CG2760">
        <v>59</v>
      </c>
      <c r="CI2760">
        <f t="shared" si="248"/>
        <v>2024</v>
      </c>
      <c r="CJ2760" t="str">
        <f t="shared" si="249"/>
        <v>5069_2024</v>
      </c>
    </row>
    <row r="2761" spans="1:88" x14ac:dyDescent="0.25">
      <c r="A2761" t="s">
        <v>140</v>
      </c>
      <c r="B2761" t="s">
        <v>161</v>
      </c>
      <c r="C2761">
        <v>5071</v>
      </c>
      <c r="D2761">
        <v>-32.067117000000003</v>
      </c>
      <c r="E2761">
        <v>115.77982</v>
      </c>
      <c r="F2761">
        <v>4</v>
      </c>
      <c r="G2761" t="s">
        <v>163</v>
      </c>
      <c r="H2761">
        <v>2</v>
      </c>
      <c r="I2761">
        <v>182</v>
      </c>
      <c r="J2761">
        <v>90</v>
      </c>
      <c r="K2761">
        <v>270</v>
      </c>
      <c r="L2761">
        <v>180</v>
      </c>
      <c r="M2761">
        <v>360</v>
      </c>
      <c r="N2761">
        <v>269</v>
      </c>
      <c r="O2761">
        <v>89</v>
      </c>
      <c r="T2761">
        <v>0</v>
      </c>
      <c r="U2761">
        <v>10</v>
      </c>
      <c r="V2761">
        <v>4</v>
      </c>
      <c r="Y2761">
        <v>1</v>
      </c>
      <c r="Z2761">
        <v>2</v>
      </c>
      <c r="AA2761">
        <v>22</v>
      </c>
      <c r="AD2761">
        <v>8</v>
      </c>
      <c r="AE2761">
        <v>2</v>
      </c>
      <c r="AF2761">
        <v>24</v>
      </c>
      <c r="AI2761">
        <v>0</v>
      </c>
      <c r="AJ2761">
        <v>21</v>
      </c>
      <c r="AK2761">
        <v>13</v>
      </c>
      <c r="AX2761">
        <v>14</v>
      </c>
      <c r="AY2761">
        <v>9</v>
      </c>
      <c r="AZ2761">
        <v>23</v>
      </c>
      <c r="BA2761">
        <v>25</v>
      </c>
      <c r="BB2761">
        <v>23</v>
      </c>
      <c r="BC2761">
        <v>48</v>
      </c>
      <c r="BD2761">
        <v>34</v>
      </c>
      <c r="BE2761">
        <v>25</v>
      </c>
      <c r="BF2761">
        <v>59</v>
      </c>
      <c r="BG2761">
        <v>34</v>
      </c>
      <c r="BH2761">
        <v>50</v>
      </c>
      <c r="BI2761">
        <v>84</v>
      </c>
      <c r="BP2761">
        <v>27</v>
      </c>
      <c r="BQ2761">
        <v>18</v>
      </c>
      <c r="BR2761">
        <v>46</v>
      </c>
      <c r="BS2761">
        <v>5</v>
      </c>
      <c r="BT2761">
        <v>10</v>
      </c>
      <c r="BU2761">
        <v>1</v>
      </c>
      <c r="BV2761">
        <v>0</v>
      </c>
      <c r="BW2761">
        <v>107</v>
      </c>
      <c r="BZ2761" s="10"/>
      <c r="CA2761" s="7">
        <v>45606</v>
      </c>
      <c r="CE2761">
        <v>46</v>
      </c>
      <c r="CF2761">
        <v>39</v>
      </c>
      <c r="CG2761">
        <v>22</v>
      </c>
      <c r="CI2761">
        <f t="shared" si="248"/>
        <v>2024</v>
      </c>
      <c r="CJ2761" t="str">
        <f t="shared" si="249"/>
        <v>5071_2024</v>
      </c>
    </row>
    <row r="2762" spans="1:88" x14ac:dyDescent="0.25">
      <c r="A2762" t="s">
        <v>140</v>
      </c>
      <c r="B2762" t="s">
        <v>161</v>
      </c>
      <c r="C2762">
        <v>6305</v>
      </c>
      <c r="D2762">
        <v>-32.024839999999998</v>
      </c>
      <c r="E2762">
        <v>115.751306</v>
      </c>
      <c r="F2762">
        <v>2</v>
      </c>
      <c r="G2762" t="s">
        <v>488</v>
      </c>
      <c r="H2762">
        <v>8</v>
      </c>
      <c r="I2762">
        <v>188</v>
      </c>
      <c r="J2762">
        <v>184</v>
      </c>
      <c r="K2762">
        <v>4</v>
      </c>
      <c r="T2762">
        <v>351</v>
      </c>
      <c r="Y2762">
        <v>390</v>
      </c>
      <c r="AX2762">
        <v>351</v>
      </c>
      <c r="AY2762">
        <v>390</v>
      </c>
      <c r="AZ2762">
        <v>741</v>
      </c>
      <c r="BA2762">
        <v>390</v>
      </c>
      <c r="BB2762">
        <v>351</v>
      </c>
      <c r="BC2762">
        <v>741</v>
      </c>
      <c r="BP2762">
        <v>63</v>
      </c>
      <c r="BQ2762">
        <v>2</v>
      </c>
      <c r="BR2762">
        <v>410</v>
      </c>
      <c r="BS2762">
        <v>187</v>
      </c>
      <c r="BT2762">
        <v>77</v>
      </c>
      <c r="BU2762">
        <v>2</v>
      </c>
      <c r="BV2762">
        <v>0</v>
      </c>
      <c r="BW2762">
        <v>741</v>
      </c>
      <c r="BZ2762" s="10"/>
      <c r="CA2762" s="7">
        <v>45606</v>
      </c>
      <c r="CE2762">
        <v>325</v>
      </c>
      <c r="CF2762">
        <v>238</v>
      </c>
      <c r="CG2762">
        <v>178</v>
      </c>
      <c r="CI2762">
        <f t="shared" si="248"/>
        <v>2024</v>
      </c>
      <c r="CJ2762" t="str">
        <f t="shared" si="249"/>
        <v>6305_2024</v>
      </c>
    </row>
    <row r="2763" spans="1:88" x14ac:dyDescent="0.25">
      <c r="A2763" t="s">
        <v>140</v>
      </c>
      <c r="B2763" t="s">
        <v>161</v>
      </c>
      <c r="C2763">
        <v>6306</v>
      </c>
      <c r="D2763">
        <v>-32.044094000000001</v>
      </c>
      <c r="E2763">
        <v>115.753305</v>
      </c>
      <c r="F2763">
        <v>4</v>
      </c>
      <c r="G2763" t="s">
        <v>489</v>
      </c>
      <c r="H2763">
        <v>21</v>
      </c>
      <c r="I2763">
        <v>201</v>
      </c>
      <c r="J2763">
        <v>44</v>
      </c>
      <c r="K2763">
        <v>224</v>
      </c>
      <c r="L2763">
        <v>198</v>
      </c>
      <c r="M2763">
        <v>18</v>
      </c>
      <c r="N2763">
        <v>232</v>
      </c>
      <c r="O2763">
        <v>52</v>
      </c>
      <c r="T2763">
        <v>2</v>
      </c>
      <c r="U2763">
        <v>0</v>
      </c>
      <c r="V2763">
        <v>10</v>
      </c>
      <c r="Y2763">
        <v>0</v>
      </c>
      <c r="Z2763">
        <v>74</v>
      </c>
      <c r="AA2763">
        <v>107</v>
      </c>
      <c r="AD2763">
        <v>0</v>
      </c>
      <c r="AE2763">
        <v>112</v>
      </c>
      <c r="AF2763">
        <v>1</v>
      </c>
      <c r="AI2763">
        <v>8</v>
      </c>
      <c r="AJ2763">
        <v>107</v>
      </c>
      <c r="AK2763">
        <v>3</v>
      </c>
      <c r="AX2763">
        <v>12</v>
      </c>
      <c r="AY2763">
        <v>8</v>
      </c>
      <c r="AZ2763">
        <v>20</v>
      </c>
      <c r="BA2763">
        <v>181</v>
      </c>
      <c r="BB2763">
        <v>221</v>
      </c>
      <c r="BC2763">
        <v>402</v>
      </c>
      <c r="BD2763">
        <v>113</v>
      </c>
      <c r="BE2763">
        <v>77</v>
      </c>
      <c r="BF2763">
        <v>190</v>
      </c>
      <c r="BG2763">
        <v>118</v>
      </c>
      <c r="BH2763">
        <v>118</v>
      </c>
      <c r="BI2763">
        <v>236</v>
      </c>
      <c r="BP2763">
        <v>259</v>
      </c>
      <c r="BQ2763">
        <v>57</v>
      </c>
      <c r="BR2763">
        <v>89</v>
      </c>
      <c r="BS2763">
        <v>13</v>
      </c>
      <c r="BT2763">
        <v>4</v>
      </c>
      <c r="BU2763">
        <v>2</v>
      </c>
      <c r="BV2763">
        <v>0</v>
      </c>
      <c r="BW2763">
        <v>424</v>
      </c>
      <c r="BZ2763" s="10"/>
      <c r="CA2763" s="7">
        <v>45606</v>
      </c>
      <c r="CE2763">
        <v>153</v>
      </c>
      <c r="CF2763">
        <v>121</v>
      </c>
      <c r="CG2763">
        <v>150</v>
      </c>
      <c r="CI2763">
        <f t="shared" si="248"/>
        <v>2024</v>
      </c>
      <c r="CJ2763" t="str">
        <f t="shared" si="249"/>
        <v>6306_2024</v>
      </c>
    </row>
    <row r="2764" spans="1:88" x14ac:dyDescent="0.25">
      <c r="A2764" t="s">
        <v>140</v>
      </c>
      <c r="B2764" t="s">
        <v>161</v>
      </c>
      <c r="C2764">
        <v>6307</v>
      </c>
      <c r="D2764">
        <v>-32.073352</v>
      </c>
      <c r="E2764">
        <v>115.75166299999999</v>
      </c>
      <c r="F2764">
        <v>2</v>
      </c>
      <c r="G2764" t="s">
        <v>490</v>
      </c>
      <c r="H2764">
        <v>165</v>
      </c>
      <c r="I2764">
        <v>345</v>
      </c>
      <c r="J2764">
        <v>349</v>
      </c>
      <c r="K2764">
        <v>169</v>
      </c>
      <c r="T2764">
        <v>311</v>
      </c>
      <c r="Y2764">
        <v>303</v>
      </c>
      <c r="AX2764">
        <v>311</v>
      </c>
      <c r="AY2764">
        <v>303</v>
      </c>
      <c r="AZ2764">
        <v>614</v>
      </c>
      <c r="BA2764">
        <v>303</v>
      </c>
      <c r="BB2764">
        <v>311</v>
      </c>
      <c r="BC2764">
        <v>614</v>
      </c>
      <c r="BP2764">
        <v>209</v>
      </c>
      <c r="BQ2764">
        <v>48</v>
      </c>
      <c r="BR2764">
        <v>242</v>
      </c>
      <c r="BS2764">
        <v>72</v>
      </c>
      <c r="BT2764">
        <v>30</v>
      </c>
      <c r="BU2764">
        <v>11</v>
      </c>
      <c r="BV2764">
        <v>2</v>
      </c>
      <c r="BW2764">
        <v>614</v>
      </c>
      <c r="BZ2764" s="10"/>
      <c r="CA2764" s="7">
        <v>45606</v>
      </c>
      <c r="CE2764">
        <v>241</v>
      </c>
      <c r="CF2764">
        <v>217</v>
      </c>
      <c r="CG2764">
        <v>156</v>
      </c>
      <c r="CI2764">
        <f t="shared" si="248"/>
        <v>2024</v>
      </c>
      <c r="CJ2764" t="str">
        <f t="shared" si="249"/>
        <v>6307_2024</v>
      </c>
    </row>
    <row r="2765" spans="1:88" x14ac:dyDescent="0.25">
      <c r="A2765" t="s">
        <v>140</v>
      </c>
      <c r="B2765" t="s">
        <v>161</v>
      </c>
      <c r="C2765">
        <v>6308</v>
      </c>
      <c r="D2765">
        <v>-32.076627999999999</v>
      </c>
      <c r="E2765">
        <v>115.75349799999999</v>
      </c>
      <c r="F2765">
        <v>4</v>
      </c>
      <c r="G2765" t="s">
        <v>491</v>
      </c>
      <c r="H2765">
        <v>2</v>
      </c>
      <c r="I2765">
        <v>182</v>
      </c>
      <c r="J2765">
        <v>92</v>
      </c>
      <c r="K2765">
        <v>272</v>
      </c>
      <c r="L2765">
        <v>184</v>
      </c>
      <c r="M2765">
        <v>4</v>
      </c>
      <c r="N2765">
        <v>273</v>
      </c>
      <c r="O2765">
        <v>93</v>
      </c>
      <c r="T2765">
        <v>23</v>
      </c>
      <c r="U2765">
        <v>68</v>
      </c>
      <c r="V2765">
        <v>37</v>
      </c>
      <c r="Y2765">
        <v>7</v>
      </c>
      <c r="Z2765">
        <v>19</v>
      </c>
      <c r="AA2765">
        <v>106</v>
      </c>
      <c r="AD2765">
        <v>70</v>
      </c>
      <c r="AE2765">
        <v>25</v>
      </c>
      <c r="AF2765">
        <v>163</v>
      </c>
      <c r="AI2765">
        <v>29</v>
      </c>
      <c r="AJ2765">
        <v>134</v>
      </c>
      <c r="AK2765">
        <v>148</v>
      </c>
      <c r="AX2765">
        <v>128</v>
      </c>
      <c r="AY2765">
        <v>106</v>
      </c>
      <c r="AZ2765">
        <v>234</v>
      </c>
      <c r="BA2765">
        <v>132</v>
      </c>
      <c r="BB2765">
        <v>182</v>
      </c>
      <c r="BC2765">
        <v>314</v>
      </c>
      <c r="BD2765">
        <v>258</v>
      </c>
      <c r="BE2765">
        <v>235</v>
      </c>
      <c r="BF2765">
        <v>493</v>
      </c>
      <c r="BG2765">
        <v>311</v>
      </c>
      <c r="BH2765">
        <v>306</v>
      </c>
      <c r="BI2765">
        <v>617</v>
      </c>
      <c r="BP2765">
        <v>129</v>
      </c>
      <c r="BQ2765">
        <v>45</v>
      </c>
      <c r="BR2765">
        <v>526</v>
      </c>
      <c r="BS2765">
        <v>7</v>
      </c>
      <c r="BT2765">
        <v>113</v>
      </c>
      <c r="BU2765">
        <v>7</v>
      </c>
      <c r="BV2765">
        <v>2</v>
      </c>
      <c r="BW2765">
        <v>829</v>
      </c>
      <c r="BZ2765" s="10"/>
      <c r="CA2765" s="7">
        <v>45606</v>
      </c>
      <c r="CE2765">
        <v>304</v>
      </c>
      <c r="CF2765">
        <v>266</v>
      </c>
      <c r="CG2765">
        <v>259</v>
      </c>
      <c r="CI2765">
        <f t="shared" si="248"/>
        <v>2024</v>
      </c>
      <c r="CJ2765" t="str">
        <f t="shared" si="249"/>
        <v>6308_2024</v>
      </c>
    </row>
    <row r="2766" spans="1:88" x14ac:dyDescent="0.25">
      <c r="A2766" t="s">
        <v>140</v>
      </c>
      <c r="B2766" t="s">
        <v>161</v>
      </c>
      <c r="C2766">
        <v>6644</v>
      </c>
      <c r="D2766">
        <v>-32.073317000000003</v>
      </c>
      <c r="E2766">
        <v>115.75925700000001</v>
      </c>
      <c r="F2766">
        <v>3</v>
      </c>
      <c r="G2766" t="s">
        <v>594</v>
      </c>
      <c r="H2766">
        <v>142</v>
      </c>
      <c r="I2766">
        <v>322</v>
      </c>
      <c r="J2766">
        <v>267</v>
      </c>
      <c r="K2766">
        <v>87</v>
      </c>
      <c r="L2766">
        <v>326</v>
      </c>
      <c r="M2766">
        <v>146</v>
      </c>
      <c r="T2766">
        <v>18</v>
      </c>
      <c r="U2766">
        <v>27</v>
      </c>
      <c r="Y2766">
        <v>15</v>
      </c>
      <c r="Z2766">
        <v>20</v>
      </c>
      <c r="AD2766">
        <v>29</v>
      </c>
      <c r="AE2766">
        <v>47</v>
      </c>
      <c r="AX2766">
        <v>45</v>
      </c>
      <c r="AY2766">
        <v>44</v>
      </c>
      <c r="AZ2766">
        <v>89</v>
      </c>
      <c r="BA2766">
        <v>35</v>
      </c>
      <c r="BB2766">
        <v>65</v>
      </c>
      <c r="BC2766">
        <v>100</v>
      </c>
      <c r="BD2766">
        <v>76</v>
      </c>
      <c r="BE2766">
        <v>47</v>
      </c>
      <c r="BF2766">
        <v>123</v>
      </c>
      <c r="BP2766">
        <v>63</v>
      </c>
      <c r="BQ2766">
        <v>2</v>
      </c>
      <c r="BR2766">
        <v>73</v>
      </c>
      <c r="BS2766">
        <v>4</v>
      </c>
      <c r="BT2766">
        <v>10</v>
      </c>
      <c r="BU2766">
        <v>2</v>
      </c>
      <c r="BV2766">
        <v>2</v>
      </c>
      <c r="BW2766">
        <v>156</v>
      </c>
      <c r="BZ2766" s="10"/>
      <c r="CA2766" s="7">
        <v>45606</v>
      </c>
      <c r="CE2766">
        <v>53</v>
      </c>
      <c r="CF2766">
        <v>54</v>
      </c>
      <c r="CG2766">
        <v>49</v>
      </c>
      <c r="CI2766">
        <f t="shared" si="248"/>
        <v>2024</v>
      </c>
      <c r="CJ2766" t="str">
        <f t="shared" si="249"/>
        <v>6644_2024</v>
      </c>
    </row>
    <row r="2767" spans="1:88" x14ac:dyDescent="0.25">
      <c r="A2767" t="s">
        <v>140</v>
      </c>
      <c r="B2767" t="s">
        <v>161</v>
      </c>
      <c r="C2767">
        <v>6832</v>
      </c>
      <c r="D2767">
        <v>-32.047058</v>
      </c>
      <c r="E2767">
        <v>115.779472</v>
      </c>
      <c r="F2767">
        <v>4</v>
      </c>
      <c r="G2767" t="s">
        <v>631</v>
      </c>
      <c r="H2767">
        <v>1</v>
      </c>
      <c r="I2767">
        <v>181</v>
      </c>
      <c r="J2767">
        <v>89</v>
      </c>
      <c r="K2767">
        <v>269</v>
      </c>
      <c r="L2767">
        <v>181</v>
      </c>
      <c r="M2767">
        <v>1</v>
      </c>
      <c r="N2767">
        <v>268</v>
      </c>
      <c r="O2767">
        <v>88</v>
      </c>
      <c r="T2767">
        <v>6</v>
      </c>
      <c r="U2767">
        <v>14</v>
      </c>
      <c r="V2767">
        <v>3</v>
      </c>
      <c r="Y2767">
        <v>7</v>
      </c>
      <c r="Z2767">
        <v>1</v>
      </c>
      <c r="AA2767">
        <v>6</v>
      </c>
      <c r="AD2767">
        <v>17</v>
      </c>
      <c r="AE2767">
        <v>2</v>
      </c>
      <c r="AF2767">
        <v>8</v>
      </c>
      <c r="AI2767">
        <v>6</v>
      </c>
      <c r="AJ2767">
        <v>11</v>
      </c>
      <c r="AK2767">
        <v>7</v>
      </c>
      <c r="AX2767">
        <v>23</v>
      </c>
      <c r="AY2767">
        <v>30</v>
      </c>
      <c r="AZ2767">
        <v>53</v>
      </c>
      <c r="BA2767">
        <v>14</v>
      </c>
      <c r="BB2767">
        <v>19</v>
      </c>
      <c r="BC2767">
        <v>33</v>
      </c>
      <c r="BD2767">
        <v>27</v>
      </c>
      <c r="BE2767">
        <v>22</v>
      </c>
      <c r="BF2767">
        <v>49</v>
      </c>
      <c r="BG2767">
        <v>24</v>
      </c>
      <c r="BH2767">
        <v>17</v>
      </c>
      <c r="BI2767">
        <v>41</v>
      </c>
      <c r="BP2767">
        <v>21</v>
      </c>
      <c r="BQ2767">
        <v>1</v>
      </c>
      <c r="BR2767">
        <v>54</v>
      </c>
      <c r="BS2767">
        <v>3</v>
      </c>
      <c r="BT2767">
        <v>5</v>
      </c>
      <c r="BU2767">
        <v>4</v>
      </c>
      <c r="BV2767">
        <v>0</v>
      </c>
      <c r="BW2767">
        <v>88</v>
      </c>
      <c r="BZ2767" s="10"/>
      <c r="CA2767" s="7">
        <v>45606</v>
      </c>
      <c r="CE2767">
        <v>36</v>
      </c>
      <c r="CF2767">
        <v>28</v>
      </c>
      <c r="CG2767">
        <v>24</v>
      </c>
      <c r="CI2767">
        <f t="shared" si="248"/>
        <v>2024</v>
      </c>
      <c r="CJ2767" t="str">
        <f t="shared" si="249"/>
        <v>6832_2024</v>
      </c>
    </row>
    <row r="2768" spans="1:88" x14ac:dyDescent="0.25">
      <c r="A2768" t="s">
        <v>140</v>
      </c>
      <c r="B2768" t="s">
        <v>161</v>
      </c>
      <c r="C2768">
        <v>6834</v>
      </c>
      <c r="D2768">
        <v>-32.074756999999998</v>
      </c>
      <c r="E2768">
        <v>115.77982900000001</v>
      </c>
      <c r="F2768">
        <v>3</v>
      </c>
      <c r="G2768" t="s">
        <v>633</v>
      </c>
      <c r="H2768">
        <v>0</v>
      </c>
      <c r="I2768">
        <v>180</v>
      </c>
      <c r="J2768">
        <v>90</v>
      </c>
      <c r="K2768">
        <v>270</v>
      </c>
      <c r="L2768">
        <v>180</v>
      </c>
      <c r="M2768">
        <v>360</v>
      </c>
      <c r="T2768">
        <v>11</v>
      </c>
      <c r="U2768">
        <v>11</v>
      </c>
      <c r="Y2768">
        <v>11</v>
      </c>
      <c r="Z2768">
        <v>5</v>
      </c>
      <c r="AD2768">
        <v>15</v>
      </c>
      <c r="AE2768">
        <v>11</v>
      </c>
      <c r="AX2768">
        <v>22</v>
      </c>
      <c r="AY2768">
        <v>26</v>
      </c>
      <c r="AZ2768">
        <v>48</v>
      </c>
      <c r="BA2768">
        <v>16</v>
      </c>
      <c r="BB2768">
        <v>22</v>
      </c>
      <c r="BC2768">
        <v>38</v>
      </c>
      <c r="BD2768">
        <v>26</v>
      </c>
      <c r="BE2768">
        <v>16</v>
      </c>
      <c r="BF2768">
        <v>42</v>
      </c>
      <c r="BP2768">
        <v>20</v>
      </c>
      <c r="BQ2768">
        <v>7</v>
      </c>
      <c r="BR2768">
        <v>33</v>
      </c>
      <c r="BS2768">
        <v>2</v>
      </c>
      <c r="BT2768">
        <v>2</v>
      </c>
      <c r="BU2768">
        <v>0</v>
      </c>
      <c r="BV2768">
        <v>0</v>
      </c>
      <c r="BW2768">
        <v>64</v>
      </c>
      <c r="BZ2768" s="10"/>
      <c r="CA2768" s="7">
        <v>45606</v>
      </c>
      <c r="CE2768">
        <v>23</v>
      </c>
      <c r="CF2768">
        <v>24</v>
      </c>
      <c r="CG2768">
        <v>17</v>
      </c>
      <c r="CI2768">
        <f t="shared" si="248"/>
        <v>2024</v>
      </c>
      <c r="CJ2768" t="str">
        <f t="shared" si="249"/>
        <v>6834_2024</v>
      </c>
    </row>
    <row r="2769" spans="1:88" x14ac:dyDescent="0.25">
      <c r="A2769" t="s">
        <v>140</v>
      </c>
      <c r="B2769" t="s">
        <v>161</v>
      </c>
      <c r="C2769">
        <v>6835</v>
      </c>
      <c r="D2769">
        <v>-32.041276000000003</v>
      </c>
      <c r="E2769">
        <v>115.758017</v>
      </c>
      <c r="F2769">
        <v>3</v>
      </c>
      <c r="G2769" t="s">
        <v>634</v>
      </c>
      <c r="H2769">
        <v>87</v>
      </c>
      <c r="I2769">
        <v>267</v>
      </c>
      <c r="J2769">
        <v>178</v>
      </c>
      <c r="K2769">
        <v>358</v>
      </c>
      <c r="L2769">
        <v>251</v>
      </c>
      <c r="M2769">
        <v>71</v>
      </c>
      <c r="T2769">
        <v>76</v>
      </c>
      <c r="U2769">
        <v>140</v>
      </c>
      <c r="Y2769">
        <v>164</v>
      </c>
      <c r="Z2769">
        <v>22</v>
      </c>
      <c r="AD2769">
        <v>146</v>
      </c>
      <c r="AE2769">
        <v>25</v>
      </c>
      <c r="AX2769">
        <v>216</v>
      </c>
      <c r="AY2769">
        <v>310</v>
      </c>
      <c r="AZ2769">
        <v>526</v>
      </c>
      <c r="BA2769">
        <v>186</v>
      </c>
      <c r="BB2769">
        <v>101</v>
      </c>
      <c r="BC2769">
        <v>287</v>
      </c>
      <c r="BD2769">
        <v>171</v>
      </c>
      <c r="BE2769">
        <v>162</v>
      </c>
      <c r="BF2769">
        <v>333</v>
      </c>
      <c r="BP2769">
        <v>180</v>
      </c>
      <c r="BQ2769">
        <v>28</v>
      </c>
      <c r="BR2769">
        <v>277</v>
      </c>
      <c r="BS2769">
        <v>38</v>
      </c>
      <c r="BT2769">
        <v>44</v>
      </c>
      <c r="BU2769">
        <v>3</v>
      </c>
      <c r="BV2769">
        <v>3</v>
      </c>
      <c r="BW2769">
        <v>573</v>
      </c>
      <c r="BZ2769" s="10"/>
      <c r="CA2769" s="7">
        <v>45606</v>
      </c>
      <c r="CE2769">
        <v>262</v>
      </c>
      <c r="CF2769">
        <v>193</v>
      </c>
      <c r="CG2769">
        <v>118</v>
      </c>
      <c r="CI2769">
        <f t="shared" si="248"/>
        <v>2024</v>
      </c>
      <c r="CJ2769" t="str">
        <f t="shared" si="249"/>
        <v>6835_2024</v>
      </c>
    </row>
    <row r="2770" spans="1:88" x14ac:dyDescent="0.25">
      <c r="A2770" t="s">
        <v>140</v>
      </c>
      <c r="B2770" t="s">
        <v>161</v>
      </c>
      <c r="C2770">
        <v>7258</v>
      </c>
      <c r="D2770">
        <v>-32.056804</v>
      </c>
      <c r="E2770">
        <v>115.74948000000001</v>
      </c>
      <c r="F2770">
        <v>4</v>
      </c>
      <c r="G2770" t="s">
        <v>788</v>
      </c>
      <c r="H2770">
        <v>35</v>
      </c>
      <c r="I2770">
        <v>215</v>
      </c>
      <c r="J2770">
        <v>135</v>
      </c>
      <c r="K2770">
        <v>315</v>
      </c>
      <c r="L2770">
        <v>225</v>
      </c>
      <c r="M2770">
        <v>45</v>
      </c>
      <c r="N2770">
        <v>315</v>
      </c>
      <c r="O2770">
        <v>135</v>
      </c>
      <c r="T2770">
        <v>108</v>
      </c>
      <c r="U2770">
        <v>56</v>
      </c>
      <c r="V2770">
        <v>61</v>
      </c>
      <c r="Y2770">
        <v>36</v>
      </c>
      <c r="Z2770">
        <v>3</v>
      </c>
      <c r="AA2770">
        <v>310</v>
      </c>
      <c r="AD2770">
        <v>49</v>
      </c>
      <c r="AE2770">
        <v>1</v>
      </c>
      <c r="AF2770">
        <v>48</v>
      </c>
      <c r="AI2770">
        <v>45</v>
      </c>
      <c r="AJ2770">
        <v>310</v>
      </c>
      <c r="AK2770">
        <v>41</v>
      </c>
      <c r="AX2770">
        <v>225</v>
      </c>
      <c r="AY2770">
        <v>130</v>
      </c>
      <c r="AZ2770">
        <v>355</v>
      </c>
      <c r="BA2770">
        <v>349</v>
      </c>
      <c r="BB2770">
        <v>419</v>
      </c>
      <c r="BC2770">
        <v>768</v>
      </c>
      <c r="BD2770">
        <v>98</v>
      </c>
      <c r="BE2770">
        <v>100</v>
      </c>
      <c r="BF2770">
        <v>198</v>
      </c>
      <c r="BG2770">
        <v>396</v>
      </c>
      <c r="BH2770">
        <v>419</v>
      </c>
      <c r="BI2770">
        <v>815</v>
      </c>
      <c r="BP2770">
        <v>96</v>
      </c>
      <c r="BQ2770">
        <v>20</v>
      </c>
      <c r="BR2770">
        <v>906</v>
      </c>
      <c r="BS2770">
        <v>1</v>
      </c>
      <c r="BT2770">
        <v>39</v>
      </c>
      <c r="BU2770">
        <v>4</v>
      </c>
      <c r="BV2770">
        <v>2</v>
      </c>
      <c r="BW2770">
        <v>1068</v>
      </c>
      <c r="BZ2770" s="10"/>
      <c r="CA2770" s="7">
        <v>45606</v>
      </c>
      <c r="CE2770">
        <v>346</v>
      </c>
      <c r="CF2770">
        <v>376</v>
      </c>
      <c r="CG2770">
        <v>346</v>
      </c>
      <c r="CI2770">
        <f t="shared" si="248"/>
        <v>2024</v>
      </c>
      <c r="CJ2770" t="str">
        <f t="shared" si="249"/>
        <v>7258_2024</v>
      </c>
    </row>
    <row r="2771" spans="1:88" x14ac:dyDescent="0.25">
      <c r="A2771" t="s">
        <v>140</v>
      </c>
      <c r="B2771" t="s">
        <v>161</v>
      </c>
      <c r="C2771">
        <v>7259</v>
      </c>
      <c r="D2771">
        <v>-32.063499999999998</v>
      </c>
      <c r="E2771">
        <v>115.759444</v>
      </c>
      <c r="F2771">
        <v>4</v>
      </c>
      <c r="G2771" t="s">
        <v>789</v>
      </c>
      <c r="H2771">
        <v>88</v>
      </c>
      <c r="I2771">
        <v>268</v>
      </c>
      <c r="J2771">
        <v>180</v>
      </c>
      <c r="K2771">
        <v>360</v>
      </c>
      <c r="L2771">
        <v>268</v>
      </c>
      <c r="M2771">
        <v>88</v>
      </c>
      <c r="N2771">
        <v>350</v>
      </c>
      <c r="O2771">
        <v>170</v>
      </c>
      <c r="T2771">
        <v>4</v>
      </c>
      <c r="U2771">
        <v>18</v>
      </c>
      <c r="V2771">
        <v>19</v>
      </c>
      <c r="Y2771">
        <v>5</v>
      </c>
      <c r="Z2771">
        <v>8</v>
      </c>
      <c r="AA2771">
        <v>11</v>
      </c>
      <c r="AD2771">
        <v>18</v>
      </c>
      <c r="AE2771">
        <v>6</v>
      </c>
      <c r="AF2771">
        <v>3</v>
      </c>
      <c r="AI2771">
        <v>24</v>
      </c>
      <c r="AJ2771">
        <v>16</v>
      </c>
      <c r="AK2771">
        <v>4</v>
      </c>
      <c r="AX2771">
        <v>41</v>
      </c>
      <c r="AY2771">
        <v>47</v>
      </c>
      <c r="AZ2771">
        <v>88</v>
      </c>
      <c r="BA2771">
        <v>24</v>
      </c>
      <c r="BB2771">
        <v>26</v>
      </c>
      <c r="BC2771">
        <v>50</v>
      </c>
      <c r="BD2771">
        <v>27</v>
      </c>
      <c r="BE2771">
        <v>30</v>
      </c>
      <c r="BF2771">
        <v>57</v>
      </c>
      <c r="BG2771">
        <v>44</v>
      </c>
      <c r="BH2771">
        <v>33</v>
      </c>
      <c r="BI2771">
        <v>77</v>
      </c>
      <c r="BP2771">
        <v>31</v>
      </c>
      <c r="BQ2771">
        <v>13</v>
      </c>
      <c r="BR2771">
        <v>77</v>
      </c>
      <c r="BS2771">
        <v>2</v>
      </c>
      <c r="BT2771">
        <v>11</v>
      </c>
      <c r="BU2771">
        <v>2</v>
      </c>
      <c r="BV2771">
        <v>0</v>
      </c>
      <c r="BW2771">
        <v>136</v>
      </c>
      <c r="BZ2771" s="10"/>
      <c r="CA2771" s="7">
        <v>45606</v>
      </c>
      <c r="CE2771">
        <v>48</v>
      </c>
      <c r="CF2771">
        <v>50</v>
      </c>
      <c r="CG2771">
        <v>38</v>
      </c>
      <c r="CI2771">
        <f t="shared" si="248"/>
        <v>2024</v>
      </c>
      <c r="CJ2771" t="str">
        <f t="shared" si="249"/>
        <v>7259_2024</v>
      </c>
    </row>
    <row r="2772" spans="1:88" x14ac:dyDescent="0.25">
      <c r="A2772" t="s">
        <v>140</v>
      </c>
      <c r="B2772" t="s">
        <v>161</v>
      </c>
      <c r="C2772">
        <v>8312</v>
      </c>
      <c r="D2772">
        <v>-32.060102000000001</v>
      </c>
      <c r="E2772">
        <v>115.747995</v>
      </c>
      <c r="F2772">
        <v>3</v>
      </c>
      <c r="G2772" t="s">
        <v>1132</v>
      </c>
      <c r="H2772">
        <v>50</v>
      </c>
      <c r="I2772">
        <v>230</v>
      </c>
      <c r="J2772">
        <v>135</v>
      </c>
      <c r="K2772">
        <v>315</v>
      </c>
      <c r="L2772">
        <v>318</v>
      </c>
      <c r="M2772">
        <v>138</v>
      </c>
      <c r="T2772">
        <v>39</v>
      </c>
      <c r="U2772">
        <v>22</v>
      </c>
      <c r="Y2772">
        <v>32</v>
      </c>
      <c r="Z2772">
        <v>192</v>
      </c>
      <c r="AD2772">
        <v>33</v>
      </c>
      <c r="AE2772">
        <v>179</v>
      </c>
      <c r="AX2772">
        <v>61</v>
      </c>
      <c r="AY2772">
        <v>65</v>
      </c>
      <c r="AZ2772">
        <v>126</v>
      </c>
      <c r="BA2772">
        <v>224</v>
      </c>
      <c r="BB2772">
        <v>218</v>
      </c>
      <c r="BC2772">
        <v>442</v>
      </c>
      <c r="BD2772">
        <v>212</v>
      </c>
      <c r="BE2772">
        <v>214</v>
      </c>
      <c r="BF2772">
        <v>426</v>
      </c>
      <c r="BP2772">
        <v>212</v>
      </c>
      <c r="BQ2772">
        <v>40</v>
      </c>
      <c r="BR2772">
        <v>172</v>
      </c>
      <c r="BS2772">
        <v>48</v>
      </c>
      <c r="BT2772">
        <v>16</v>
      </c>
      <c r="BU2772">
        <v>9</v>
      </c>
      <c r="BV2772">
        <v>0</v>
      </c>
      <c r="BW2772">
        <v>497</v>
      </c>
      <c r="BZ2772" s="10"/>
      <c r="CA2772" s="7">
        <v>45606</v>
      </c>
      <c r="CE2772">
        <v>203</v>
      </c>
      <c r="CF2772">
        <v>182</v>
      </c>
      <c r="CG2772">
        <v>112</v>
      </c>
      <c r="CI2772">
        <f t="shared" si="248"/>
        <v>2024</v>
      </c>
      <c r="CJ2772" t="str">
        <f t="shared" si="249"/>
        <v>8312_2024</v>
      </c>
    </row>
    <row r="2773" spans="1:88" x14ac:dyDescent="0.25">
      <c r="A2773" t="s">
        <v>140</v>
      </c>
      <c r="B2773" t="s">
        <v>161</v>
      </c>
      <c r="C2773">
        <v>8313</v>
      </c>
      <c r="D2773">
        <v>-32.067731999999999</v>
      </c>
      <c r="E2773">
        <v>115.752486</v>
      </c>
      <c r="F2773">
        <v>3</v>
      </c>
      <c r="G2773" t="s">
        <v>1133</v>
      </c>
      <c r="H2773">
        <v>0</v>
      </c>
      <c r="I2773">
        <v>180</v>
      </c>
      <c r="J2773">
        <v>90</v>
      </c>
      <c r="K2773">
        <v>270</v>
      </c>
      <c r="L2773">
        <v>180</v>
      </c>
      <c r="M2773">
        <v>360</v>
      </c>
      <c r="T2773">
        <v>30</v>
      </c>
      <c r="U2773">
        <v>501</v>
      </c>
      <c r="Y2773">
        <v>38</v>
      </c>
      <c r="Z2773">
        <v>109</v>
      </c>
      <c r="AD2773">
        <v>515</v>
      </c>
      <c r="AE2773">
        <v>116</v>
      </c>
      <c r="AX2773">
        <v>531</v>
      </c>
      <c r="AY2773">
        <v>553</v>
      </c>
      <c r="AZ2773">
        <v>1084</v>
      </c>
      <c r="BA2773">
        <v>147</v>
      </c>
      <c r="BB2773">
        <v>146</v>
      </c>
      <c r="BC2773">
        <v>293</v>
      </c>
      <c r="BD2773">
        <v>631</v>
      </c>
      <c r="BE2773">
        <v>610</v>
      </c>
      <c r="BF2773">
        <v>1241</v>
      </c>
      <c r="BP2773">
        <v>125</v>
      </c>
      <c r="BQ2773">
        <v>26</v>
      </c>
      <c r="BR2773">
        <v>1029</v>
      </c>
      <c r="BS2773">
        <v>9</v>
      </c>
      <c r="BT2773">
        <v>115</v>
      </c>
      <c r="BU2773">
        <v>2</v>
      </c>
      <c r="BV2773">
        <v>3</v>
      </c>
      <c r="BW2773">
        <v>1309</v>
      </c>
      <c r="BZ2773" s="10"/>
      <c r="CA2773" s="7">
        <v>45606</v>
      </c>
      <c r="CE2773">
        <v>403</v>
      </c>
      <c r="CF2773">
        <v>517</v>
      </c>
      <c r="CG2773">
        <v>389</v>
      </c>
      <c r="CI2773">
        <f t="shared" si="248"/>
        <v>2024</v>
      </c>
      <c r="CJ2773" t="str">
        <f t="shared" si="249"/>
        <v>8313_2024</v>
      </c>
    </row>
    <row r="2774" spans="1:88" x14ac:dyDescent="0.25">
      <c r="A2774" t="s">
        <v>140</v>
      </c>
      <c r="B2774" t="s">
        <v>161</v>
      </c>
      <c r="C2774">
        <v>8314</v>
      </c>
      <c r="D2774">
        <v>-32.052931999999998</v>
      </c>
      <c r="E2774">
        <v>115.76595399999999</v>
      </c>
      <c r="F2774">
        <v>3</v>
      </c>
      <c r="G2774" t="s">
        <v>1134</v>
      </c>
      <c r="H2774">
        <v>0</v>
      </c>
      <c r="I2774">
        <v>180</v>
      </c>
      <c r="J2774">
        <v>180</v>
      </c>
      <c r="K2774">
        <v>360</v>
      </c>
      <c r="L2774">
        <v>270</v>
      </c>
      <c r="M2774">
        <v>90</v>
      </c>
      <c r="T2774">
        <v>55</v>
      </c>
      <c r="U2774">
        <v>14</v>
      </c>
      <c r="Y2774">
        <v>51</v>
      </c>
      <c r="Z2774">
        <v>32</v>
      </c>
      <c r="AD2774">
        <v>15</v>
      </c>
      <c r="AE2774">
        <v>30</v>
      </c>
      <c r="AX2774">
        <v>69</v>
      </c>
      <c r="AY2774">
        <v>66</v>
      </c>
      <c r="AZ2774">
        <v>135</v>
      </c>
      <c r="BA2774">
        <v>83</v>
      </c>
      <c r="BB2774">
        <v>85</v>
      </c>
      <c r="BC2774">
        <v>168</v>
      </c>
      <c r="BD2774">
        <v>45</v>
      </c>
      <c r="BE2774">
        <v>46</v>
      </c>
      <c r="BF2774">
        <v>91</v>
      </c>
      <c r="BP2774">
        <v>38</v>
      </c>
      <c r="BQ2774">
        <v>11</v>
      </c>
      <c r="BR2774">
        <v>127</v>
      </c>
      <c r="BS2774">
        <v>2</v>
      </c>
      <c r="BT2774">
        <v>19</v>
      </c>
      <c r="BU2774">
        <v>0</v>
      </c>
      <c r="BV2774">
        <v>0</v>
      </c>
      <c r="BW2774">
        <v>197</v>
      </c>
      <c r="BZ2774" s="10"/>
      <c r="CA2774" s="7">
        <v>45606</v>
      </c>
      <c r="CE2774">
        <v>72</v>
      </c>
      <c r="CF2774">
        <v>57</v>
      </c>
      <c r="CG2774">
        <v>68</v>
      </c>
      <c r="CI2774">
        <f t="shared" si="248"/>
        <v>2024</v>
      </c>
      <c r="CJ2774" t="str">
        <f t="shared" si="249"/>
        <v>8314_2024</v>
      </c>
    </row>
    <row r="2775" spans="1:88" x14ac:dyDescent="0.25">
      <c r="A2775" t="s">
        <v>140</v>
      </c>
      <c r="B2775" t="s">
        <v>161</v>
      </c>
      <c r="C2775">
        <v>8315</v>
      </c>
      <c r="D2775">
        <v>-32.025571999999997</v>
      </c>
      <c r="E2775">
        <v>115.755335</v>
      </c>
      <c r="F2775">
        <v>2</v>
      </c>
      <c r="G2775" t="s">
        <v>1135</v>
      </c>
      <c r="H2775">
        <v>30</v>
      </c>
      <c r="I2775">
        <v>210</v>
      </c>
      <c r="J2775">
        <v>217</v>
      </c>
      <c r="K2775">
        <v>37</v>
      </c>
      <c r="T2775">
        <v>95</v>
      </c>
      <c r="Y2775">
        <v>111</v>
      </c>
      <c r="AX2775">
        <v>95</v>
      </c>
      <c r="AY2775">
        <v>111</v>
      </c>
      <c r="AZ2775">
        <v>206</v>
      </c>
      <c r="BA2775">
        <v>111</v>
      </c>
      <c r="BB2775">
        <v>95</v>
      </c>
      <c r="BC2775">
        <v>206</v>
      </c>
      <c r="BP2775">
        <v>34</v>
      </c>
      <c r="BQ2775">
        <v>5</v>
      </c>
      <c r="BR2775">
        <v>102</v>
      </c>
      <c r="BS2775">
        <v>22</v>
      </c>
      <c r="BT2775">
        <v>43</v>
      </c>
      <c r="BU2775">
        <v>0</v>
      </c>
      <c r="BV2775">
        <v>0</v>
      </c>
      <c r="BW2775">
        <v>206</v>
      </c>
      <c r="BZ2775" s="10"/>
      <c r="CA2775" s="7">
        <v>45606</v>
      </c>
      <c r="CE2775">
        <v>70</v>
      </c>
      <c r="CF2775">
        <v>67</v>
      </c>
      <c r="CG2775">
        <v>69</v>
      </c>
      <c r="CI2775">
        <f t="shared" si="248"/>
        <v>2024</v>
      </c>
      <c r="CJ2775" t="str">
        <f t="shared" si="249"/>
        <v>8315_2024</v>
      </c>
    </row>
    <row r="2776" spans="1:88" x14ac:dyDescent="0.25">
      <c r="A2776" t="s">
        <v>140</v>
      </c>
      <c r="B2776" t="s">
        <v>161</v>
      </c>
      <c r="C2776">
        <v>8316</v>
      </c>
      <c r="D2776">
        <v>-32.034796999999998</v>
      </c>
      <c r="E2776">
        <v>115.754299</v>
      </c>
      <c r="F2776">
        <v>4</v>
      </c>
      <c r="G2776" t="s">
        <v>1136</v>
      </c>
      <c r="H2776">
        <v>44</v>
      </c>
      <c r="I2776">
        <v>224</v>
      </c>
      <c r="J2776">
        <v>134</v>
      </c>
      <c r="K2776">
        <v>314</v>
      </c>
      <c r="L2776">
        <v>228</v>
      </c>
      <c r="M2776">
        <v>48</v>
      </c>
      <c r="N2776">
        <v>315</v>
      </c>
      <c r="O2776">
        <v>135</v>
      </c>
      <c r="T2776">
        <v>16</v>
      </c>
      <c r="U2776">
        <v>1</v>
      </c>
      <c r="V2776">
        <v>90</v>
      </c>
      <c r="Y2776">
        <v>18</v>
      </c>
      <c r="Z2776">
        <v>2</v>
      </c>
      <c r="AA2776">
        <v>143</v>
      </c>
      <c r="AD2776">
        <v>1</v>
      </c>
      <c r="AE2776">
        <v>0</v>
      </c>
      <c r="AF2776">
        <v>2</v>
      </c>
      <c r="AI2776">
        <v>101</v>
      </c>
      <c r="AJ2776">
        <v>116</v>
      </c>
      <c r="AK2776">
        <v>7</v>
      </c>
      <c r="AX2776">
        <v>107</v>
      </c>
      <c r="AY2776">
        <v>120</v>
      </c>
      <c r="AZ2776">
        <v>227</v>
      </c>
      <c r="BA2776">
        <v>163</v>
      </c>
      <c r="BB2776">
        <v>132</v>
      </c>
      <c r="BC2776">
        <v>295</v>
      </c>
      <c r="BD2776">
        <v>3</v>
      </c>
      <c r="BE2776">
        <v>10</v>
      </c>
      <c r="BF2776">
        <v>13</v>
      </c>
      <c r="BG2776">
        <v>224</v>
      </c>
      <c r="BH2776">
        <v>235</v>
      </c>
      <c r="BI2776">
        <v>459</v>
      </c>
      <c r="BP2776">
        <v>81</v>
      </c>
      <c r="BQ2776">
        <v>17</v>
      </c>
      <c r="BR2776">
        <v>360</v>
      </c>
      <c r="BS2776">
        <v>6</v>
      </c>
      <c r="BT2776">
        <v>29</v>
      </c>
      <c r="BU2776">
        <v>4</v>
      </c>
      <c r="BV2776">
        <v>0</v>
      </c>
      <c r="BW2776">
        <v>497</v>
      </c>
      <c r="BZ2776" s="10"/>
      <c r="CA2776" s="7">
        <v>45606</v>
      </c>
      <c r="CE2776">
        <v>180</v>
      </c>
      <c r="CF2776">
        <v>182</v>
      </c>
      <c r="CG2776">
        <v>135</v>
      </c>
      <c r="CI2776">
        <f t="shared" si="248"/>
        <v>2024</v>
      </c>
      <c r="CJ2776" t="str">
        <f t="shared" si="249"/>
        <v>8316_2024</v>
      </c>
    </row>
    <row r="2777" spans="1:88" x14ac:dyDescent="0.25">
      <c r="A2777" t="s">
        <v>140</v>
      </c>
      <c r="B2777" t="s">
        <v>161</v>
      </c>
      <c r="C2777">
        <v>8317</v>
      </c>
      <c r="D2777">
        <v>-32.035055999999997</v>
      </c>
      <c r="E2777">
        <v>115.757138</v>
      </c>
      <c r="F2777">
        <v>3</v>
      </c>
      <c r="G2777" t="s">
        <v>1137</v>
      </c>
      <c r="H2777">
        <v>42</v>
      </c>
      <c r="I2777">
        <v>222</v>
      </c>
      <c r="J2777">
        <v>141</v>
      </c>
      <c r="K2777">
        <v>321</v>
      </c>
      <c r="L2777">
        <v>230</v>
      </c>
      <c r="M2777">
        <v>50</v>
      </c>
      <c r="T2777">
        <v>26</v>
      </c>
      <c r="U2777">
        <v>29</v>
      </c>
      <c r="Y2777">
        <v>24</v>
      </c>
      <c r="Z2777">
        <v>15</v>
      </c>
      <c r="AD2777">
        <v>24</v>
      </c>
      <c r="AE2777">
        <v>12</v>
      </c>
      <c r="AX2777">
        <v>55</v>
      </c>
      <c r="AY2777">
        <v>48</v>
      </c>
      <c r="AZ2777">
        <v>103</v>
      </c>
      <c r="BA2777">
        <v>39</v>
      </c>
      <c r="BB2777">
        <v>38</v>
      </c>
      <c r="BC2777">
        <v>77</v>
      </c>
      <c r="BD2777">
        <v>36</v>
      </c>
      <c r="BE2777">
        <v>44</v>
      </c>
      <c r="BF2777">
        <v>80</v>
      </c>
      <c r="BP2777">
        <v>40</v>
      </c>
      <c r="BQ2777">
        <v>6</v>
      </c>
      <c r="BR2777">
        <v>66</v>
      </c>
      <c r="BS2777">
        <v>4</v>
      </c>
      <c r="BT2777">
        <v>12</v>
      </c>
      <c r="BU2777">
        <v>0</v>
      </c>
      <c r="BV2777">
        <v>2</v>
      </c>
      <c r="BW2777">
        <v>130</v>
      </c>
      <c r="BZ2777" s="10"/>
      <c r="CA2777" s="7">
        <v>45606</v>
      </c>
      <c r="CE2777">
        <v>41</v>
      </c>
      <c r="CF2777">
        <v>42</v>
      </c>
      <c r="CG2777">
        <v>47</v>
      </c>
      <c r="CI2777">
        <f t="shared" si="248"/>
        <v>2024</v>
      </c>
      <c r="CJ2777" t="str">
        <f t="shared" si="249"/>
        <v>8317_2024</v>
      </c>
    </row>
    <row r="2778" spans="1:88" x14ac:dyDescent="0.25">
      <c r="A2778" t="s">
        <v>111</v>
      </c>
      <c r="B2778" t="s">
        <v>1138</v>
      </c>
      <c r="C2778">
        <v>5145</v>
      </c>
      <c r="D2778">
        <v>-36.403713000000003</v>
      </c>
      <c r="E2778">
        <v>145.394721</v>
      </c>
      <c r="F2778">
        <v>4</v>
      </c>
      <c r="G2778" t="s">
        <v>1139</v>
      </c>
      <c r="H2778">
        <v>10</v>
      </c>
      <c r="I2778">
        <v>190</v>
      </c>
      <c r="J2778">
        <v>130</v>
      </c>
      <c r="K2778">
        <v>310</v>
      </c>
      <c r="L2778">
        <v>190</v>
      </c>
      <c r="M2778">
        <v>10</v>
      </c>
      <c r="N2778">
        <v>300</v>
      </c>
      <c r="O2778">
        <v>120</v>
      </c>
      <c r="T2778">
        <v>11</v>
      </c>
      <c r="U2778">
        <v>41</v>
      </c>
      <c r="V2778">
        <v>3</v>
      </c>
      <c r="Y2778">
        <v>2</v>
      </c>
      <c r="Z2778">
        <v>1</v>
      </c>
      <c r="AA2778">
        <v>40</v>
      </c>
      <c r="AD2778">
        <v>21</v>
      </c>
      <c r="AE2778">
        <v>0</v>
      </c>
      <c r="AF2778">
        <v>11</v>
      </c>
      <c r="AI2778">
        <v>7</v>
      </c>
      <c r="AJ2778">
        <v>43</v>
      </c>
      <c r="AK2778">
        <v>3</v>
      </c>
      <c r="AX2778">
        <v>55</v>
      </c>
      <c r="AY2778">
        <v>30</v>
      </c>
      <c r="AZ2778">
        <v>85</v>
      </c>
      <c r="BA2778">
        <v>43</v>
      </c>
      <c r="BB2778">
        <v>54</v>
      </c>
      <c r="BC2778">
        <v>97</v>
      </c>
      <c r="BD2778">
        <v>32</v>
      </c>
      <c r="BE2778">
        <v>45</v>
      </c>
      <c r="BF2778">
        <v>77</v>
      </c>
      <c r="BG2778">
        <v>53</v>
      </c>
      <c r="BH2778">
        <v>54</v>
      </c>
      <c r="BI2778">
        <v>107</v>
      </c>
      <c r="BP2778">
        <v>54</v>
      </c>
      <c r="BQ2778">
        <v>6</v>
      </c>
      <c r="BR2778">
        <v>82</v>
      </c>
      <c r="BS2778">
        <v>16</v>
      </c>
      <c r="BT2778">
        <v>23</v>
      </c>
      <c r="BU2778">
        <v>0</v>
      </c>
      <c r="BV2778">
        <v>2</v>
      </c>
      <c r="BW2778">
        <v>183</v>
      </c>
      <c r="BZ2778" s="10"/>
      <c r="CA2778" s="7">
        <v>45606</v>
      </c>
      <c r="CE2778">
        <v>67</v>
      </c>
      <c r="CF2778">
        <v>73</v>
      </c>
      <c r="CG2778">
        <v>43</v>
      </c>
      <c r="CI2778">
        <f t="shared" si="248"/>
        <v>2024</v>
      </c>
      <c r="CJ2778" t="str">
        <f t="shared" si="249"/>
        <v>5145_2024</v>
      </c>
    </row>
    <row r="2779" spans="1:88" x14ac:dyDescent="0.25">
      <c r="A2779" t="s">
        <v>111</v>
      </c>
      <c r="B2779" t="s">
        <v>1138</v>
      </c>
      <c r="C2779">
        <v>8286</v>
      </c>
      <c r="D2779">
        <v>-36.399132999999999</v>
      </c>
      <c r="E2779">
        <v>145.380281</v>
      </c>
      <c r="F2779">
        <v>2</v>
      </c>
      <c r="G2779" t="s">
        <v>1140</v>
      </c>
      <c r="H2779">
        <v>15</v>
      </c>
      <c r="I2779">
        <v>195</v>
      </c>
      <c r="J2779">
        <v>295</v>
      </c>
      <c r="K2779">
        <v>115</v>
      </c>
      <c r="T2779">
        <v>45</v>
      </c>
      <c r="Y2779">
        <v>71</v>
      </c>
      <c r="AX2779">
        <v>45</v>
      </c>
      <c r="AY2779">
        <v>71</v>
      </c>
      <c r="AZ2779">
        <v>116</v>
      </c>
      <c r="BA2779">
        <v>71</v>
      </c>
      <c r="BB2779">
        <v>45</v>
      </c>
      <c r="BC2779">
        <v>116</v>
      </c>
      <c r="BP2779">
        <v>30</v>
      </c>
      <c r="BQ2779">
        <v>7</v>
      </c>
      <c r="BR2779">
        <v>53</v>
      </c>
      <c r="BS2779">
        <v>14</v>
      </c>
      <c r="BT2779">
        <v>9</v>
      </c>
      <c r="BU2779">
        <v>0</v>
      </c>
      <c r="BV2779">
        <v>3</v>
      </c>
      <c r="BW2779">
        <v>116</v>
      </c>
      <c r="BZ2779" s="10"/>
      <c r="CA2779" s="7">
        <v>45606</v>
      </c>
      <c r="CE2779">
        <v>38</v>
      </c>
      <c r="CF2779">
        <v>45</v>
      </c>
      <c r="CG2779">
        <v>33</v>
      </c>
      <c r="CI2779">
        <f t="shared" si="248"/>
        <v>2024</v>
      </c>
      <c r="CJ2779" t="str">
        <f t="shared" si="249"/>
        <v>8286_2024</v>
      </c>
    </row>
    <row r="2780" spans="1:88" x14ac:dyDescent="0.25">
      <c r="A2780" t="s">
        <v>111</v>
      </c>
      <c r="B2780" t="s">
        <v>1138</v>
      </c>
      <c r="C2780">
        <v>8288</v>
      </c>
      <c r="D2780">
        <v>-36.436190000000003</v>
      </c>
      <c r="E2780">
        <v>145.388518</v>
      </c>
      <c r="F2780">
        <v>3</v>
      </c>
      <c r="G2780" t="s">
        <v>1141</v>
      </c>
      <c r="H2780">
        <v>179</v>
      </c>
      <c r="I2780">
        <v>359</v>
      </c>
      <c r="J2780">
        <v>270</v>
      </c>
      <c r="K2780">
        <v>90</v>
      </c>
      <c r="L2780">
        <v>359</v>
      </c>
      <c r="M2780">
        <v>179</v>
      </c>
      <c r="T2780">
        <v>13</v>
      </c>
      <c r="U2780">
        <v>8</v>
      </c>
      <c r="Y2780">
        <v>15</v>
      </c>
      <c r="Z2780">
        <v>3</v>
      </c>
      <c r="AD2780">
        <v>11</v>
      </c>
      <c r="AE2780">
        <v>9</v>
      </c>
      <c r="AX2780">
        <v>21</v>
      </c>
      <c r="AY2780">
        <v>26</v>
      </c>
      <c r="AZ2780">
        <v>47</v>
      </c>
      <c r="BA2780">
        <v>18</v>
      </c>
      <c r="BB2780">
        <v>22</v>
      </c>
      <c r="BC2780">
        <v>40</v>
      </c>
      <c r="BD2780">
        <v>20</v>
      </c>
      <c r="BE2780">
        <v>11</v>
      </c>
      <c r="BF2780">
        <v>31</v>
      </c>
      <c r="BP2780">
        <v>9</v>
      </c>
      <c r="BQ2780">
        <v>0</v>
      </c>
      <c r="BR2780">
        <v>18</v>
      </c>
      <c r="BS2780">
        <v>2</v>
      </c>
      <c r="BT2780">
        <v>9</v>
      </c>
      <c r="BU2780">
        <v>0</v>
      </c>
      <c r="BV2780">
        <v>21</v>
      </c>
      <c r="BW2780">
        <v>59</v>
      </c>
      <c r="BZ2780" s="10"/>
      <c r="CA2780" s="7">
        <v>45606</v>
      </c>
      <c r="CE2780">
        <v>27</v>
      </c>
      <c r="CF2780">
        <v>21</v>
      </c>
      <c r="CG2780">
        <v>11</v>
      </c>
      <c r="CI2780">
        <f t="shared" si="248"/>
        <v>2024</v>
      </c>
      <c r="CJ2780" t="str">
        <f t="shared" si="249"/>
        <v>8288_2024</v>
      </c>
    </row>
    <row r="2781" spans="1:88" x14ac:dyDescent="0.25">
      <c r="A2781" t="s">
        <v>111</v>
      </c>
      <c r="B2781" t="s">
        <v>1138</v>
      </c>
      <c r="C2781">
        <v>8289</v>
      </c>
      <c r="D2781">
        <v>-36.385435999999999</v>
      </c>
      <c r="E2781">
        <v>145.39454599999999</v>
      </c>
      <c r="F2781">
        <v>2</v>
      </c>
      <c r="G2781" t="s">
        <v>1142</v>
      </c>
      <c r="H2781">
        <v>10</v>
      </c>
      <c r="I2781">
        <v>190</v>
      </c>
      <c r="J2781">
        <v>165</v>
      </c>
      <c r="K2781">
        <v>345</v>
      </c>
      <c r="T2781">
        <v>53</v>
      </c>
      <c r="Y2781">
        <v>26</v>
      </c>
      <c r="AX2781">
        <v>53</v>
      </c>
      <c r="AY2781">
        <v>26</v>
      </c>
      <c r="AZ2781">
        <v>79</v>
      </c>
      <c r="BA2781">
        <v>26</v>
      </c>
      <c r="BB2781">
        <v>53</v>
      </c>
      <c r="BC2781">
        <v>79</v>
      </c>
      <c r="BP2781">
        <v>36</v>
      </c>
      <c r="BQ2781">
        <v>2</v>
      </c>
      <c r="BR2781">
        <v>23</v>
      </c>
      <c r="BS2781">
        <v>18</v>
      </c>
      <c r="BT2781">
        <v>0</v>
      </c>
      <c r="BU2781">
        <v>0</v>
      </c>
      <c r="BV2781">
        <v>0</v>
      </c>
      <c r="BW2781">
        <v>79</v>
      </c>
      <c r="BZ2781" s="10"/>
      <c r="CA2781" s="7">
        <v>45606</v>
      </c>
      <c r="CE2781">
        <v>33</v>
      </c>
      <c r="CF2781">
        <v>33</v>
      </c>
      <c r="CG2781">
        <v>13</v>
      </c>
      <c r="CI2781">
        <f t="shared" si="248"/>
        <v>2024</v>
      </c>
      <c r="CJ2781" t="str">
        <f t="shared" si="249"/>
        <v>8289_2024</v>
      </c>
    </row>
    <row r="2782" spans="1:88" x14ac:dyDescent="0.25">
      <c r="A2782" t="s">
        <v>111</v>
      </c>
      <c r="B2782" t="s">
        <v>1138</v>
      </c>
      <c r="C2782">
        <v>8292</v>
      </c>
      <c r="D2782">
        <v>-36.615653000000002</v>
      </c>
      <c r="E2782">
        <v>145.197541</v>
      </c>
      <c r="F2782">
        <v>2</v>
      </c>
      <c r="G2782" t="s">
        <v>1143</v>
      </c>
      <c r="H2782">
        <v>110</v>
      </c>
      <c r="I2782">
        <v>290</v>
      </c>
      <c r="J2782">
        <v>290</v>
      </c>
      <c r="K2782">
        <v>110</v>
      </c>
      <c r="T2782">
        <v>0</v>
      </c>
      <c r="Y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Z2782" s="10"/>
      <c r="CA2782" s="7">
        <v>45606</v>
      </c>
      <c r="CE2782">
        <v>0</v>
      </c>
      <c r="CF2782">
        <v>0</v>
      </c>
      <c r="CG2782">
        <v>0</v>
      </c>
      <c r="CI2782">
        <f t="shared" si="248"/>
        <v>2024</v>
      </c>
      <c r="CJ2782" t="str">
        <f t="shared" si="249"/>
        <v>8292_2024</v>
      </c>
    </row>
    <row r="2783" spans="1:88" x14ac:dyDescent="0.25">
      <c r="A2783" t="s">
        <v>111</v>
      </c>
      <c r="B2783" t="s">
        <v>1138</v>
      </c>
      <c r="C2783">
        <v>8293</v>
      </c>
      <c r="D2783">
        <v>-36.328066</v>
      </c>
      <c r="E2783">
        <v>145.685014</v>
      </c>
      <c r="F2783">
        <v>4</v>
      </c>
      <c r="G2783" t="s">
        <v>1144</v>
      </c>
      <c r="H2783">
        <v>1</v>
      </c>
      <c r="I2783">
        <v>181</v>
      </c>
      <c r="J2783">
        <v>85</v>
      </c>
      <c r="K2783">
        <v>265</v>
      </c>
      <c r="L2783">
        <v>180</v>
      </c>
      <c r="M2783">
        <v>360</v>
      </c>
      <c r="N2783">
        <v>265</v>
      </c>
      <c r="O2783">
        <v>85</v>
      </c>
      <c r="T2783">
        <v>12</v>
      </c>
      <c r="U2783">
        <v>17</v>
      </c>
      <c r="V2783">
        <v>1</v>
      </c>
      <c r="Y2783">
        <v>8</v>
      </c>
      <c r="Z2783">
        <v>0</v>
      </c>
      <c r="AA2783">
        <v>30</v>
      </c>
      <c r="AD2783">
        <v>27</v>
      </c>
      <c r="AE2783">
        <v>1</v>
      </c>
      <c r="AF2783">
        <v>3</v>
      </c>
      <c r="AI2783">
        <v>3</v>
      </c>
      <c r="AJ2783">
        <v>23</v>
      </c>
      <c r="AK2783">
        <v>2</v>
      </c>
      <c r="AX2783">
        <v>30</v>
      </c>
      <c r="AY2783">
        <v>38</v>
      </c>
      <c r="AZ2783">
        <v>68</v>
      </c>
      <c r="BA2783">
        <v>38</v>
      </c>
      <c r="BB2783">
        <v>36</v>
      </c>
      <c r="BC2783">
        <v>74</v>
      </c>
      <c r="BD2783">
        <v>31</v>
      </c>
      <c r="BE2783">
        <v>19</v>
      </c>
      <c r="BF2783">
        <v>50</v>
      </c>
      <c r="BG2783">
        <v>28</v>
      </c>
      <c r="BH2783">
        <v>34</v>
      </c>
      <c r="BI2783">
        <v>62</v>
      </c>
      <c r="BP2783">
        <v>11</v>
      </c>
      <c r="BQ2783">
        <v>1</v>
      </c>
      <c r="BR2783">
        <v>89</v>
      </c>
      <c r="BS2783">
        <v>10</v>
      </c>
      <c r="BT2783">
        <v>8</v>
      </c>
      <c r="BU2783">
        <v>0</v>
      </c>
      <c r="BV2783">
        <v>8</v>
      </c>
      <c r="BW2783">
        <v>127</v>
      </c>
      <c r="BZ2783" s="10"/>
      <c r="CA2783" s="7">
        <v>45606</v>
      </c>
      <c r="CE2783">
        <v>29</v>
      </c>
      <c r="CF2783">
        <v>33</v>
      </c>
      <c r="CG2783">
        <v>65</v>
      </c>
      <c r="CI2783">
        <f t="shared" si="248"/>
        <v>2024</v>
      </c>
      <c r="CJ2783" t="str">
        <f t="shared" si="249"/>
        <v>8293_2024</v>
      </c>
    </row>
    <row r="2784" spans="1:88" x14ac:dyDescent="0.25">
      <c r="A2784" t="s">
        <v>111</v>
      </c>
      <c r="B2784" t="s">
        <v>1138</v>
      </c>
      <c r="C2784">
        <v>8294</v>
      </c>
      <c r="D2784">
        <v>-36.408825999999998</v>
      </c>
      <c r="E2784">
        <v>145.38338400000001</v>
      </c>
      <c r="F2784">
        <v>3</v>
      </c>
      <c r="G2784" t="s">
        <v>1145</v>
      </c>
      <c r="H2784">
        <v>90</v>
      </c>
      <c r="I2784">
        <v>270</v>
      </c>
      <c r="J2784">
        <v>180</v>
      </c>
      <c r="K2784">
        <v>360</v>
      </c>
      <c r="L2784">
        <v>273</v>
      </c>
      <c r="M2784">
        <v>93</v>
      </c>
      <c r="T2784">
        <v>1</v>
      </c>
      <c r="U2784">
        <v>8</v>
      </c>
      <c r="Y2784">
        <v>3</v>
      </c>
      <c r="Z2784">
        <v>11</v>
      </c>
      <c r="AD2784">
        <v>17</v>
      </c>
      <c r="AE2784">
        <v>20</v>
      </c>
      <c r="AX2784">
        <v>9</v>
      </c>
      <c r="AY2784">
        <v>20</v>
      </c>
      <c r="AZ2784">
        <v>29</v>
      </c>
      <c r="BA2784">
        <v>14</v>
      </c>
      <c r="BB2784">
        <v>21</v>
      </c>
      <c r="BC2784">
        <v>35</v>
      </c>
      <c r="BD2784">
        <v>37</v>
      </c>
      <c r="BE2784">
        <v>19</v>
      </c>
      <c r="BF2784">
        <v>56</v>
      </c>
      <c r="BP2784">
        <v>27</v>
      </c>
      <c r="BQ2784">
        <v>2</v>
      </c>
      <c r="BR2784">
        <v>7</v>
      </c>
      <c r="BS2784">
        <v>19</v>
      </c>
      <c r="BT2784">
        <v>5</v>
      </c>
      <c r="BU2784">
        <v>0</v>
      </c>
      <c r="BV2784">
        <v>0</v>
      </c>
      <c r="BW2784">
        <v>60</v>
      </c>
      <c r="BZ2784" s="10"/>
      <c r="CA2784" s="7">
        <v>45606</v>
      </c>
      <c r="CE2784">
        <v>32</v>
      </c>
      <c r="CF2784">
        <v>16</v>
      </c>
      <c r="CG2784">
        <v>12</v>
      </c>
      <c r="CI2784">
        <f t="shared" si="248"/>
        <v>2024</v>
      </c>
      <c r="CJ2784" t="str">
        <f t="shared" si="249"/>
        <v>8294_2024</v>
      </c>
    </row>
    <row r="2785" spans="1:88" x14ac:dyDescent="0.25">
      <c r="A2785" t="s">
        <v>111</v>
      </c>
      <c r="B2785" t="s">
        <v>1138</v>
      </c>
      <c r="C2785">
        <v>8296</v>
      </c>
      <c r="D2785">
        <v>-36.429904999999998</v>
      </c>
      <c r="E2785">
        <v>145.38066499999999</v>
      </c>
      <c r="F2785">
        <v>4</v>
      </c>
      <c r="G2785" t="s">
        <v>1146</v>
      </c>
      <c r="H2785">
        <v>10</v>
      </c>
      <c r="I2785">
        <v>190</v>
      </c>
      <c r="J2785">
        <v>95</v>
      </c>
      <c r="K2785">
        <v>275</v>
      </c>
      <c r="L2785">
        <v>210</v>
      </c>
      <c r="M2785">
        <v>30</v>
      </c>
      <c r="N2785">
        <v>345</v>
      </c>
      <c r="O2785">
        <v>165</v>
      </c>
      <c r="T2785">
        <v>0</v>
      </c>
      <c r="U2785">
        <v>3</v>
      </c>
      <c r="V2785">
        <v>1</v>
      </c>
      <c r="Y2785">
        <v>8</v>
      </c>
      <c r="Z2785">
        <v>0</v>
      </c>
      <c r="AA2785">
        <v>4</v>
      </c>
      <c r="AD2785">
        <v>0</v>
      </c>
      <c r="AE2785">
        <v>1</v>
      </c>
      <c r="AF2785">
        <v>6</v>
      </c>
      <c r="AI2785">
        <v>5</v>
      </c>
      <c r="AJ2785">
        <v>3</v>
      </c>
      <c r="AK2785">
        <v>13</v>
      </c>
      <c r="AX2785">
        <v>4</v>
      </c>
      <c r="AY2785">
        <v>13</v>
      </c>
      <c r="AZ2785">
        <v>17</v>
      </c>
      <c r="BA2785">
        <v>12</v>
      </c>
      <c r="BB2785">
        <v>4</v>
      </c>
      <c r="BC2785">
        <v>16</v>
      </c>
      <c r="BD2785">
        <v>7</v>
      </c>
      <c r="BE2785">
        <v>16</v>
      </c>
      <c r="BF2785">
        <v>23</v>
      </c>
      <c r="BG2785">
        <v>21</v>
      </c>
      <c r="BH2785">
        <v>11</v>
      </c>
      <c r="BI2785">
        <v>32</v>
      </c>
      <c r="BP2785">
        <v>16</v>
      </c>
      <c r="BQ2785">
        <v>0</v>
      </c>
      <c r="BR2785">
        <v>15</v>
      </c>
      <c r="BS2785">
        <v>4</v>
      </c>
      <c r="BT2785">
        <v>5</v>
      </c>
      <c r="BU2785">
        <v>0</v>
      </c>
      <c r="BV2785">
        <v>4</v>
      </c>
      <c r="BW2785">
        <v>44</v>
      </c>
      <c r="BZ2785" s="10"/>
      <c r="CA2785" s="7">
        <v>45606</v>
      </c>
      <c r="CE2785">
        <v>18</v>
      </c>
      <c r="CF2785">
        <v>17</v>
      </c>
      <c r="CG2785">
        <v>9</v>
      </c>
      <c r="CI2785">
        <f t="shared" si="248"/>
        <v>2024</v>
      </c>
      <c r="CJ2785" t="str">
        <f t="shared" si="249"/>
        <v>8296_2024</v>
      </c>
    </row>
    <row r="2786" spans="1:88" x14ac:dyDescent="0.25">
      <c r="A2786" t="s">
        <v>1006</v>
      </c>
      <c r="B2786" t="s">
        <v>1147</v>
      </c>
      <c r="C2786">
        <v>8299</v>
      </c>
      <c r="D2786">
        <v>-42.851578000000003</v>
      </c>
      <c r="E2786">
        <v>147.30113800000001</v>
      </c>
      <c r="F2786">
        <v>3</v>
      </c>
      <c r="G2786" t="s">
        <v>1148</v>
      </c>
      <c r="H2786">
        <v>129</v>
      </c>
      <c r="I2786">
        <v>309</v>
      </c>
      <c r="J2786">
        <v>236</v>
      </c>
      <c r="K2786">
        <v>56</v>
      </c>
      <c r="L2786">
        <v>313</v>
      </c>
      <c r="M2786">
        <v>133</v>
      </c>
      <c r="T2786">
        <v>18</v>
      </c>
      <c r="U2786">
        <v>118</v>
      </c>
      <c r="Y2786">
        <v>17</v>
      </c>
      <c r="Z2786">
        <v>8</v>
      </c>
      <c r="AD2786">
        <v>137</v>
      </c>
      <c r="AE2786">
        <v>2</v>
      </c>
      <c r="AX2786">
        <v>136</v>
      </c>
      <c r="AY2786">
        <v>154</v>
      </c>
      <c r="AZ2786">
        <v>290</v>
      </c>
      <c r="BA2786">
        <v>25</v>
      </c>
      <c r="BB2786">
        <v>20</v>
      </c>
      <c r="BC2786">
        <v>45</v>
      </c>
      <c r="BD2786">
        <v>139</v>
      </c>
      <c r="BE2786">
        <v>126</v>
      </c>
      <c r="BF2786">
        <v>265</v>
      </c>
      <c r="BP2786">
        <v>180</v>
      </c>
      <c r="BQ2786">
        <v>16</v>
      </c>
      <c r="BR2786">
        <v>45</v>
      </c>
      <c r="BS2786">
        <v>49</v>
      </c>
      <c r="BT2786">
        <v>5</v>
      </c>
      <c r="BU2786">
        <v>5</v>
      </c>
      <c r="BV2786">
        <v>0</v>
      </c>
      <c r="BW2786">
        <v>300</v>
      </c>
      <c r="BZ2786" s="10"/>
      <c r="CA2786" s="7">
        <v>45606</v>
      </c>
      <c r="CE2786">
        <v>87</v>
      </c>
      <c r="CF2786">
        <v>135</v>
      </c>
      <c r="CG2786">
        <v>78</v>
      </c>
      <c r="CI2786">
        <f t="shared" si="248"/>
        <v>2024</v>
      </c>
      <c r="CJ2786" t="str">
        <f t="shared" si="249"/>
        <v>8299_2024</v>
      </c>
    </row>
    <row r="2787" spans="1:88" x14ac:dyDescent="0.25">
      <c r="A2787" t="s">
        <v>1006</v>
      </c>
      <c r="B2787" t="s">
        <v>1147</v>
      </c>
      <c r="C2787">
        <v>8300</v>
      </c>
      <c r="D2787">
        <v>-42.875613999999999</v>
      </c>
      <c r="E2787">
        <v>147.335365</v>
      </c>
      <c r="F2787">
        <v>4</v>
      </c>
      <c r="G2787" t="s">
        <v>1149</v>
      </c>
      <c r="H2787">
        <v>42</v>
      </c>
      <c r="I2787">
        <v>222</v>
      </c>
      <c r="J2787">
        <v>240</v>
      </c>
      <c r="K2787">
        <v>60</v>
      </c>
      <c r="L2787">
        <v>320</v>
      </c>
      <c r="M2787">
        <v>140</v>
      </c>
      <c r="N2787">
        <v>347</v>
      </c>
      <c r="O2787">
        <v>167</v>
      </c>
      <c r="T2787">
        <v>13</v>
      </c>
      <c r="U2787">
        <v>6</v>
      </c>
      <c r="V2787">
        <v>56</v>
      </c>
      <c r="Y2787">
        <v>5</v>
      </c>
      <c r="Z2787">
        <v>3</v>
      </c>
      <c r="AA2787">
        <v>79</v>
      </c>
      <c r="AD2787">
        <v>4</v>
      </c>
      <c r="AE2787">
        <v>7</v>
      </c>
      <c r="AF2787">
        <v>9</v>
      </c>
      <c r="AI2787">
        <v>48</v>
      </c>
      <c r="AJ2787">
        <v>93</v>
      </c>
      <c r="AK2787">
        <v>8</v>
      </c>
      <c r="AX2787">
        <v>75</v>
      </c>
      <c r="AY2787">
        <v>57</v>
      </c>
      <c r="AZ2787">
        <v>132</v>
      </c>
      <c r="BA2787">
        <v>87</v>
      </c>
      <c r="BB2787">
        <v>113</v>
      </c>
      <c r="BC2787">
        <v>200</v>
      </c>
      <c r="BD2787">
        <v>20</v>
      </c>
      <c r="BE2787">
        <v>17</v>
      </c>
      <c r="BF2787">
        <v>37</v>
      </c>
      <c r="BG2787">
        <v>149</v>
      </c>
      <c r="BH2787">
        <v>144</v>
      </c>
      <c r="BI2787">
        <v>293</v>
      </c>
      <c r="BP2787">
        <v>217</v>
      </c>
      <c r="BQ2787">
        <v>29</v>
      </c>
      <c r="BR2787">
        <v>41</v>
      </c>
      <c r="BS2787">
        <v>36</v>
      </c>
      <c r="BT2787">
        <v>3</v>
      </c>
      <c r="BU2787">
        <v>5</v>
      </c>
      <c r="BV2787">
        <v>0</v>
      </c>
      <c r="BW2787">
        <v>331</v>
      </c>
      <c r="BZ2787" s="10"/>
      <c r="CA2787" s="7">
        <v>45606</v>
      </c>
      <c r="CE2787">
        <v>114</v>
      </c>
      <c r="CF2787">
        <v>118</v>
      </c>
      <c r="CG2787">
        <v>99</v>
      </c>
      <c r="CI2787">
        <f t="shared" si="248"/>
        <v>2024</v>
      </c>
      <c r="CJ2787" t="str">
        <f t="shared" si="249"/>
        <v>8300_2024</v>
      </c>
    </row>
    <row r="2788" spans="1:88" x14ac:dyDescent="0.25">
      <c r="A2788" t="s">
        <v>111</v>
      </c>
      <c r="B2788" t="s">
        <v>205</v>
      </c>
      <c r="C2788">
        <v>8301</v>
      </c>
      <c r="D2788">
        <v>-37.58437</v>
      </c>
      <c r="E2788">
        <v>144.74163999999999</v>
      </c>
      <c r="F2788">
        <v>3</v>
      </c>
      <c r="G2788" t="s">
        <v>1150</v>
      </c>
      <c r="H2788">
        <v>1</v>
      </c>
      <c r="I2788">
        <v>181</v>
      </c>
      <c r="J2788">
        <v>139</v>
      </c>
      <c r="K2788">
        <v>319</v>
      </c>
      <c r="L2788">
        <v>325</v>
      </c>
      <c r="M2788">
        <v>145</v>
      </c>
      <c r="T2788">
        <v>20</v>
      </c>
      <c r="U2788">
        <v>12</v>
      </c>
      <c r="Y2788">
        <v>16</v>
      </c>
      <c r="Z2788">
        <v>15</v>
      </c>
      <c r="AD2788">
        <v>1</v>
      </c>
      <c r="AE2788">
        <v>0</v>
      </c>
      <c r="AX2788">
        <v>32</v>
      </c>
      <c r="AY2788">
        <v>17</v>
      </c>
      <c r="AZ2788">
        <v>49</v>
      </c>
      <c r="BA2788">
        <v>31</v>
      </c>
      <c r="BB2788">
        <v>20</v>
      </c>
      <c r="BC2788">
        <v>51</v>
      </c>
      <c r="BD2788">
        <v>1</v>
      </c>
      <c r="BE2788">
        <v>27</v>
      </c>
      <c r="BF2788">
        <v>28</v>
      </c>
      <c r="BP2788">
        <v>15</v>
      </c>
      <c r="BQ2788">
        <v>0</v>
      </c>
      <c r="BR2788">
        <v>41</v>
      </c>
      <c r="BS2788">
        <v>7</v>
      </c>
      <c r="BT2788">
        <v>1</v>
      </c>
      <c r="BU2788">
        <v>0</v>
      </c>
      <c r="BV2788">
        <v>0</v>
      </c>
      <c r="BW2788">
        <v>64</v>
      </c>
      <c r="BZ2788" s="10"/>
      <c r="CA2788" s="7">
        <v>45606</v>
      </c>
      <c r="CE2788">
        <v>26</v>
      </c>
      <c r="CF2788">
        <v>20</v>
      </c>
      <c r="CG2788">
        <v>18</v>
      </c>
      <c r="CI2788">
        <f t="shared" si="248"/>
        <v>2024</v>
      </c>
      <c r="CJ2788" t="str">
        <f t="shared" si="249"/>
        <v>8301_2024</v>
      </c>
    </row>
    <row r="2789" spans="1:88" x14ac:dyDescent="0.25">
      <c r="A2789" t="s">
        <v>111</v>
      </c>
      <c r="B2789" t="s">
        <v>205</v>
      </c>
      <c r="C2789">
        <v>8303</v>
      </c>
      <c r="D2789">
        <v>-37.680599999999998</v>
      </c>
      <c r="E2789">
        <v>144.92824999999999</v>
      </c>
      <c r="F2789">
        <v>4</v>
      </c>
      <c r="G2789" t="s">
        <v>1151</v>
      </c>
      <c r="H2789">
        <v>10</v>
      </c>
      <c r="I2789">
        <v>190</v>
      </c>
      <c r="J2789">
        <v>100</v>
      </c>
      <c r="K2789">
        <v>280</v>
      </c>
      <c r="L2789">
        <v>185</v>
      </c>
      <c r="M2789">
        <v>5</v>
      </c>
      <c r="N2789">
        <v>275</v>
      </c>
      <c r="O2789">
        <v>95</v>
      </c>
      <c r="T2789">
        <v>1</v>
      </c>
      <c r="U2789">
        <v>9</v>
      </c>
      <c r="V2789">
        <v>3</v>
      </c>
      <c r="Y2789">
        <v>1</v>
      </c>
      <c r="Z2789">
        <v>5</v>
      </c>
      <c r="AA2789">
        <v>8</v>
      </c>
      <c r="AD2789">
        <v>7</v>
      </c>
      <c r="AE2789">
        <v>4</v>
      </c>
      <c r="AF2789">
        <v>8</v>
      </c>
      <c r="AI2789">
        <v>9</v>
      </c>
      <c r="AJ2789">
        <v>3</v>
      </c>
      <c r="AK2789">
        <v>3</v>
      </c>
      <c r="AX2789">
        <v>13</v>
      </c>
      <c r="AY2789">
        <v>17</v>
      </c>
      <c r="AZ2789">
        <v>30</v>
      </c>
      <c r="BA2789">
        <v>14</v>
      </c>
      <c r="BB2789">
        <v>8</v>
      </c>
      <c r="BC2789">
        <v>22</v>
      </c>
      <c r="BD2789">
        <v>19</v>
      </c>
      <c r="BE2789">
        <v>17</v>
      </c>
      <c r="BF2789">
        <v>36</v>
      </c>
      <c r="BG2789">
        <v>15</v>
      </c>
      <c r="BH2789">
        <v>19</v>
      </c>
      <c r="BI2789">
        <v>34</v>
      </c>
      <c r="BP2789">
        <v>7</v>
      </c>
      <c r="BQ2789">
        <v>1</v>
      </c>
      <c r="BR2789">
        <v>41</v>
      </c>
      <c r="BS2789">
        <v>0</v>
      </c>
      <c r="BT2789">
        <v>11</v>
      </c>
      <c r="BU2789">
        <v>0</v>
      </c>
      <c r="BV2789">
        <v>1</v>
      </c>
      <c r="BW2789">
        <v>61</v>
      </c>
      <c r="BZ2789" s="10"/>
      <c r="CA2789" s="7">
        <v>45606</v>
      </c>
      <c r="CE2789">
        <v>16</v>
      </c>
      <c r="CF2789">
        <v>23</v>
      </c>
      <c r="CG2789">
        <v>22</v>
      </c>
      <c r="CI2789">
        <f t="shared" si="248"/>
        <v>2024</v>
      </c>
      <c r="CJ2789" t="str">
        <f t="shared" si="249"/>
        <v>8303_2024</v>
      </c>
    </row>
    <row r="2790" spans="1:88" x14ac:dyDescent="0.25">
      <c r="A2790" t="s">
        <v>111</v>
      </c>
      <c r="B2790" t="s">
        <v>205</v>
      </c>
      <c r="C2790">
        <v>8304</v>
      </c>
      <c r="D2790">
        <v>-37.683839999999996</v>
      </c>
      <c r="E2790">
        <v>144.90300999999999</v>
      </c>
      <c r="F2790">
        <v>3</v>
      </c>
      <c r="G2790" t="s">
        <v>1152</v>
      </c>
      <c r="H2790">
        <v>75</v>
      </c>
      <c r="I2790">
        <v>255</v>
      </c>
      <c r="J2790">
        <v>165</v>
      </c>
      <c r="K2790">
        <v>345</v>
      </c>
      <c r="L2790">
        <v>335</v>
      </c>
      <c r="M2790">
        <v>155</v>
      </c>
      <c r="T2790">
        <v>25</v>
      </c>
      <c r="U2790">
        <v>30</v>
      </c>
      <c r="Y2790">
        <v>9</v>
      </c>
      <c r="Z2790">
        <v>17</v>
      </c>
      <c r="AD2790">
        <v>25</v>
      </c>
      <c r="AE2790">
        <v>26</v>
      </c>
      <c r="AX2790">
        <v>55</v>
      </c>
      <c r="AY2790">
        <v>34</v>
      </c>
      <c r="AZ2790">
        <v>89</v>
      </c>
      <c r="BA2790">
        <v>26</v>
      </c>
      <c r="BB2790">
        <v>51</v>
      </c>
      <c r="BC2790">
        <v>77</v>
      </c>
      <c r="BD2790">
        <v>51</v>
      </c>
      <c r="BE2790">
        <v>47</v>
      </c>
      <c r="BF2790">
        <v>98</v>
      </c>
      <c r="BP2790">
        <v>71</v>
      </c>
      <c r="BQ2790">
        <v>4</v>
      </c>
      <c r="BR2790">
        <v>21</v>
      </c>
      <c r="BS2790">
        <v>12</v>
      </c>
      <c r="BT2790">
        <v>22</v>
      </c>
      <c r="BU2790">
        <v>1</v>
      </c>
      <c r="BV2790">
        <v>1</v>
      </c>
      <c r="BW2790">
        <v>132</v>
      </c>
      <c r="BZ2790" s="10"/>
      <c r="CA2790" s="7">
        <v>45606</v>
      </c>
      <c r="CE2790">
        <v>42</v>
      </c>
      <c r="CF2790">
        <v>63</v>
      </c>
      <c r="CG2790">
        <v>27</v>
      </c>
      <c r="CI2790">
        <f t="shared" si="248"/>
        <v>2024</v>
      </c>
      <c r="CJ2790" t="str">
        <f t="shared" si="249"/>
        <v>8304_2024</v>
      </c>
    </row>
    <row r="2791" spans="1:88" x14ac:dyDescent="0.25">
      <c r="A2791" t="s">
        <v>111</v>
      </c>
      <c r="B2791" t="s">
        <v>205</v>
      </c>
      <c r="C2791">
        <v>8305</v>
      </c>
      <c r="D2791">
        <v>-37.534680000000002</v>
      </c>
      <c r="E2791">
        <v>144.96633</v>
      </c>
      <c r="F2791">
        <v>4</v>
      </c>
      <c r="G2791" t="s">
        <v>1153</v>
      </c>
      <c r="H2791">
        <v>57</v>
      </c>
      <c r="I2791">
        <v>237</v>
      </c>
      <c r="J2791">
        <v>104</v>
      </c>
      <c r="K2791">
        <v>284</v>
      </c>
      <c r="L2791">
        <v>212</v>
      </c>
      <c r="M2791">
        <v>32</v>
      </c>
      <c r="N2791">
        <v>277</v>
      </c>
      <c r="O2791">
        <v>97</v>
      </c>
      <c r="T2791">
        <v>0</v>
      </c>
      <c r="U2791">
        <v>4</v>
      </c>
      <c r="V2791">
        <v>14</v>
      </c>
      <c r="Y2791">
        <v>21</v>
      </c>
      <c r="Z2791">
        <v>7</v>
      </c>
      <c r="AA2791">
        <v>1</v>
      </c>
      <c r="AD2791">
        <v>5</v>
      </c>
      <c r="AE2791">
        <v>5</v>
      </c>
      <c r="AF2791">
        <v>0</v>
      </c>
      <c r="AI2791">
        <v>7</v>
      </c>
      <c r="AJ2791">
        <v>1</v>
      </c>
      <c r="AK2791">
        <v>3</v>
      </c>
      <c r="AX2791">
        <v>18</v>
      </c>
      <c r="AY2791">
        <v>33</v>
      </c>
      <c r="AZ2791">
        <v>51</v>
      </c>
      <c r="BA2791">
        <v>29</v>
      </c>
      <c r="BB2791">
        <v>6</v>
      </c>
      <c r="BC2791">
        <v>35</v>
      </c>
      <c r="BD2791">
        <v>10</v>
      </c>
      <c r="BE2791">
        <v>14</v>
      </c>
      <c r="BF2791">
        <v>24</v>
      </c>
      <c r="BG2791">
        <v>11</v>
      </c>
      <c r="BH2791">
        <v>15</v>
      </c>
      <c r="BI2791">
        <v>26</v>
      </c>
      <c r="BP2791">
        <v>19</v>
      </c>
      <c r="BQ2791">
        <v>0</v>
      </c>
      <c r="BR2791">
        <v>39</v>
      </c>
      <c r="BS2791">
        <v>2</v>
      </c>
      <c r="BT2791">
        <v>8</v>
      </c>
      <c r="BU2791">
        <v>0</v>
      </c>
      <c r="BV2791">
        <v>0</v>
      </c>
      <c r="BW2791">
        <v>68</v>
      </c>
      <c r="BZ2791" s="10"/>
      <c r="CA2791" s="7">
        <v>45606</v>
      </c>
      <c r="CE2791">
        <v>23</v>
      </c>
      <c r="CF2791">
        <v>21</v>
      </c>
      <c r="CG2791">
        <v>24</v>
      </c>
      <c r="CI2791">
        <f t="shared" si="248"/>
        <v>2024</v>
      </c>
      <c r="CJ2791" t="str">
        <f t="shared" si="249"/>
        <v>8305_2024</v>
      </c>
    </row>
    <row r="2792" spans="1:88" x14ac:dyDescent="0.25">
      <c r="A2792" t="s">
        <v>111</v>
      </c>
      <c r="B2792" t="s">
        <v>205</v>
      </c>
      <c r="C2792">
        <v>8306</v>
      </c>
      <c r="D2792">
        <v>-37.678879999999999</v>
      </c>
      <c r="E2792">
        <v>144.91813999999999</v>
      </c>
      <c r="F2792">
        <v>4</v>
      </c>
      <c r="G2792" t="s">
        <v>1154</v>
      </c>
      <c r="H2792">
        <v>34</v>
      </c>
      <c r="I2792">
        <v>214</v>
      </c>
      <c r="J2792">
        <v>112</v>
      </c>
      <c r="K2792">
        <v>292</v>
      </c>
      <c r="L2792">
        <v>216</v>
      </c>
      <c r="M2792">
        <v>36</v>
      </c>
      <c r="N2792">
        <v>275</v>
      </c>
      <c r="O2792">
        <v>95</v>
      </c>
      <c r="T2792">
        <v>9</v>
      </c>
      <c r="U2792">
        <v>1</v>
      </c>
      <c r="V2792">
        <v>0</v>
      </c>
      <c r="Y2792">
        <v>7</v>
      </c>
      <c r="Z2792">
        <v>6</v>
      </c>
      <c r="AA2792">
        <v>3</v>
      </c>
      <c r="AD2792">
        <v>8</v>
      </c>
      <c r="AE2792">
        <v>2</v>
      </c>
      <c r="AF2792">
        <v>0</v>
      </c>
      <c r="AI2792">
        <v>3</v>
      </c>
      <c r="AJ2792">
        <v>3</v>
      </c>
      <c r="AK2792">
        <v>0</v>
      </c>
      <c r="AX2792">
        <v>10</v>
      </c>
      <c r="AY2792">
        <v>18</v>
      </c>
      <c r="AZ2792">
        <v>28</v>
      </c>
      <c r="BA2792">
        <v>16</v>
      </c>
      <c r="BB2792">
        <v>14</v>
      </c>
      <c r="BC2792">
        <v>30</v>
      </c>
      <c r="BD2792">
        <v>10</v>
      </c>
      <c r="BE2792">
        <v>7</v>
      </c>
      <c r="BF2792">
        <v>17</v>
      </c>
      <c r="BG2792">
        <v>6</v>
      </c>
      <c r="BH2792">
        <v>3</v>
      </c>
      <c r="BI2792">
        <v>9</v>
      </c>
      <c r="BP2792">
        <v>5</v>
      </c>
      <c r="BQ2792">
        <v>1</v>
      </c>
      <c r="BR2792">
        <v>24</v>
      </c>
      <c r="BS2792">
        <v>4</v>
      </c>
      <c r="BT2792">
        <v>0</v>
      </c>
      <c r="BU2792">
        <v>1</v>
      </c>
      <c r="BV2792">
        <v>7</v>
      </c>
      <c r="BW2792">
        <v>42</v>
      </c>
      <c r="BZ2792" s="10"/>
      <c r="CA2792" s="7">
        <v>45606</v>
      </c>
      <c r="CE2792">
        <v>10</v>
      </c>
      <c r="CF2792">
        <v>17</v>
      </c>
      <c r="CG2792">
        <v>15</v>
      </c>
      <c r="CI2792">
        <f t="shared" si="248"/>
        <v>2024</v>
      </c>
      <c r="CJ2792" t="str">
        <f t="shared" si="249"/>
        <v>8306_2024</v>
      </c>
    </row>
    <row r="2793" spans="1:88" x14ac:dyDescent="0.25">
      <c r="A2793" t="s">
        <v>111</v>
      </c>
      <c r="B2793" t="s">
        <v>205</v>
      </c>
      <c r="C2793">
        <v>8307</v>
      </c>
      <c r="D2793">
        <v>-37.683599999999998</v>
      </c>
      <c r="E2793">
        <v>144.91956999999999</v>
      </c>
      <c r="F2793">
        <v>3</v>
      </c>
      <c r="G2793" t="s">
        <v>1155</v>
      </c>
      <c r="H2793">
        <v>25</v>
      </c>
      <c r="I2793">
        <v>205</v>
      </c>
      <c r="J2793">
        <v>141</v>
      </c>
      <c r="K2793">
        <v>321</v>
      </c>
      <c r="L2793">
        <v>240</v>
      </c>
      <c r="M2793">
        <v>60</v>
      </c>
      <c r="T2793">
        <v>9</v>
      </c>
      <c r="U2793">
        <v>122</v>
      </c>
      <c r="Y2793">
        <v>3</v>
      </c>
      <c r="Z2793">
        <v>116</v>
      </c>
      <c r="AD2793">
        <v>40</v>
      </c>
      <c r="AE2793">
        <v>37</v>
      </c>
      <c r="AX2793">
        <v>131</v>
      </c>
      <c r="AY2793">
        <v>43</v>
      </c>
      <c r="AZ2793">
        <v>174</v>
      </c>
      <c r="BA2793">
        <v>119</v>
      </c>
      <c r="BB2793">
        <v>46</v>
      </c>
      <c r="BC2793">
        <v>165</v>
      </c>
      <c r="BD2793">
        <v>77</v>
      </c>
      <c r="BE2793">
        <v>238</v>
      </c>
      <c r="BF2793">
        <v>315</v>
      </c>
      <c r="BP2793">
        <v>3</v>
      </c>
      <c r="BQ2793">
        <v>3</v>
      </c>
      <c r="BR2793">
        <v>301</v>
      </c>
      <c r="BS2793">
        <v>0</v>
      </c>
      <c r="BT2793">
        <v>6</v>
      </c>
      <c r="BU2793">
        <v>7</v>
      </c>
      <c r="BV2793">
        <v>7</v>
      </c>
      <c r="BW2793">
        <v>327</v>
      </c>
      <c r="BZ2793" s="10"/>
      <c r="CA2793" s="7">
        <v>45606</v>
      </c>
      <c r="CE2793">
        <v>65</v>
      </c>
      <c r="CF2793">
        <v>136</v>
      </c>
      <c r="CG2793">
        <v>126</v>
      </c>
      <c r="CI2793">
        <f t="shared" si="248"/>
        <v>2024</v>
      </c>
      <c r="CJ2793" t="str">
        <f t="shared" si="249"/>
        <v>8307_2024</v>
      </c>
    </row>
    <row r="2794" spans="1:88" x14ac:dyDescent="0.25">
      <c r="A2794" t="s">
        <v>111</v>
      </c>
      <c r="B2794" t="s">
        <v>205</v>
      </c>
      <c r="C2794">
        <v>8308</v>
      </c>
      <c r="D2794">
        <v>-37.676493999999998</v>
      </c>
      <c r="E2794">
        <v>144.88751999999999</v>
      </c>
      <c r="F2794">
        <v>4</v>
      </c>
      <c r="G2794" t="s">
        <v>1156</v>
      </c>
      <c r="H2794">
        <v>55</v>
      </c>
      <c r="I2794">
        <v>235</v>
      </c>
      <c r="J2794">
        <v>145</v>
      </c>
      <c r="K2794">
        <v>325</v>
      </c>
      <c r="L2794">
        <v>240</v>
      </c>
      <c r="M2794">
        <v>60</v>
      </c>
      <c r="N2794">
        <v>330</v>
      </c>
      <c r="O2794">
        <v>150</v>
      </c>
      <c r="T2794">
        <v>7</v>
      </c>
      <c r="U2794">
        <v>43</v>
      </c>
      <c r="V2794">
        <v>4</v>
      </c>
      <c r="Y2794">
        <v>2</v>
      </c>
      <c r="Z2794">
        <v>14</v>
      </c>
      <c r="AA2794">
        <v>23</v>
      </c>
      <c r="AD2794">
        <v>41</v>
      </c>
      <c r="AE2794">
        <v>11</v>
      </c>
      <c r="AF2794">
        <v>12</v>
      </c>
      <c r="AI2794">
        <v>3</v>
      </c>
      <c r="AJ2794">
        <v>23</v>
      </c>
      <c r="AK2794">
        <v>22</v>
      </c>
      <c r="AX2794">
        <v>54</v>
      </c>
      <c r="AY2794">
        <v>46</v>
      </c>
      <c r="AZ2794">
        <v>100</v>
      </c>
      <c r="BA2794">
        <v>39</v>
      </c>
      <c r="BB2794">
        <v>41</v>
      </c>
      <c r="BC2794">
        <v>80</v>
      </c>
      <c r="BD2794">
        <v>64</v>
      </c>
      <c r="BE2794">
        <v>79</v>
      </c>
      <c r="BF2794">
        <v>143</v>
      </c>
      <c r="BG2794">
        <v>48</v>
      </c>
      <c r="BH2794">
        <v>39</v>
      </c>
      <c r="BI2794">
        <v>87</v>
      </c>
      <c r="BP2794">
        <v>57</v>
      </c>
      <c r="BQ2794">
        <v>1</v>
      </c>
      <c r="BR2794">
        <v>126</v>
      </c>
      <c r="BS2794">
        <v>4</v>
      </c>
      <c r="BT2794">
        <v>16</v>
      </c>
      <c r="BU2794">
        <v>1</v>
      </c>
      <c r="BV2794">
        <v>0</v>
      </c>
      <c r="BW2794">
        <v>205</v>
      </c>
      <c r="BZ2794" s="10"/>
      <c r="CA2794" s="7">
        <v>45606</v>
      </c>
      <c r="CE2794">
        <v>67</v>
      </c>
      <c r="CF2794">
        <v>65</v>
      </c>
      <c r="CG2794">
        <v>73</v>
      </c>
      <c r="CI2794">
        <f t="shared" si="248"/>
        <v>2024</v>
      </c>
      <c r="CJ2794" t="str">
        <f t="shared" si="249"/>
        <v>8308_2024</v>
      </c>
    </row>
    <row r="2795" spans="1:88" x14ac:dyDescent="0.25">
      <c r="A2795" t="s">
        <v>111</v>
      </c>
      <c r="B2795" t="s">
        <v>205</v>
      </c>
      <c r="C2795">
        <v>8309</v>
      </c>
      <c r="D2795">
        <v>-37.63738</v>
      </c>
      <c r="E2795">
        <v>144.93451999999999</v>
      </c>
      <c r="F2795">
        <v>3</v>
      </c>
      <c r="G2795" t="s">
        <v>1157</v>
      </c>
      <c r="H2795">
        <v>102</v>
      </c>
      <c r="I2795">
        <v>282</v>
      </c>
      <c r="J2795">
        <v>196</v>
      </c>
      <c r="K2795">
        <v>16</v>
      </c>
      <c r="L2795">
        <v>300</v>
      </c>
      <c r="M2795">
        <v>120</v>
      </c>
      <c r="T2795">
        <v>22</v>
      </c>
      <c r="U2795">
        <v>6</v>
      </c>
      <c r="Y2795">
        <v>29</v>
      </c>
      <c r="Z2795">
        <v>4</v>
      </c>
      <c r="AD2795">
        <v>10</v>
      </c>
      <c r="AE2795">
        <v>7</v>
      </c>
      <c r="AX2795">
        <v>28</v>
      </c>
      <c r="AY2795">
        <v>39</v>
      </c>
      <c r="AZ2795">
        <v>67</v>
      </c>
      <c r="BA2795">
        <v>33</v>
      </c>
      <c r="BB2795">
        <v>29</v>
      </c>
      <c r="BC2795">
        <v>62</v>
      </c>
      <c r="BD2795">
        <v>17</v>
      </c>
      <c r="BE2795">
        <v>10</v>
      </c>
      <c r="BF2795">
        <v>27</v>
      </c>
      <c r="BP2795">
        <v>3</v>
      </c>
      <c r="BQ2795">
        <v>0</v>
      </c>
      <c r="BR2795">
        <v>61</v>
      </c>
      <c r="BS2795">
        <v>0</v>
      </c>
      <c r="BT2795">
        <v>3</v>
      </c>
      <c r="BU2795">
        <v>0</v>
      </c>
      <c r="BV2795">
        <v>11</v>
      </c>
      <c r="BW2795">
        <v>78</v>
      </c>
      <c r="BZ2795" s="10"/>
      <c r="CA2795" s="7">
        <v>45606</v>
      </c>
      <c r="CE2795">
        <v>26</v>
      </c>
      <c r="CF2795">
        <v>35</v>
      </c>
      <c r="CG2795">
        <v>17</v>
      </c>
      <c r="CI2795">
        <f t="shared" si="248"/>
        <v>2024</v>
      </c>
      <c r="CJ2795" t="str">
        <f t="shared" si="249"/>
        <v>8309_2024</v>
      </c>
    </row>
    <row r="2796" spans="1:88" x14ac:dyDescent="0.25">
      <c r="A2796" t="s">
        <v>111</v>
      </c>
      <c r="B2796" t="s">
        <v>205</v>
      </c>
      <c r="C2796">
        <v>8310</v>
      </c>
      <c r="D2796">
        <v>-37.601900000000001</v>
      </c>
      <c r="E2796">
        <v>144.94238000000001</v>
      </c>
      <c r="F2796">
        <v>4</v>
      </c>
      <c r="G2796" t="s">
        <v>1158</v>
      </c>
      <c r="H2796">
        <v>15</v>
      </c>
      <c r="I2796">
        <v>195</v>
      </c>
      <c r="J2796">
        <v>108</v>
      </c>
      <c r="K2796">
        <v>288</v>
      </c>
      <c r="L2796">
        <v>195</v>
      </c>
      <c r="M2796">
        <v>15</v>
      </c>
      <c r="N2796">
        <v>298</v>
      </c>
      <c r="O2796">
        <v>118</v>
      </c>
      <c r="T2796">
        <v>4</v>
      </c>
      <c r="U2796">
        <v>4</v>
      </c>
      <c r="V2796">
        <v>2</v>
      </c>
      <c r="Y2796">
        <v>13</v>
      </c>
      <c r="Z2796">
        <v>8</v>
      </c>
      <c r="AA2796">
        <v>7</v>
      </c>
      <c r="AD2796">
        <v>12</v>
      </c>
      <c r="AE2796">
        <v>15</v>
      </c>
      <c r="AF2796">
        <v>15</v>
      </c>
      <c r="AI2796">
        <v>0</v>
      </c>
      <c r="AJ2796">
        <v>14</v>
      </c>
      <c r="AK2796">
        <v>7</v>
      </c>
      <c r="AX2796">
        <v>10</v>
      </c>
      <c r="AY2796">
        <v>25</v>
      </c>
      <c r="AZ2796">
        <v>35</v>
      </c>
      <c r="BA2796">
        <v>28</v>
      </c>
      <c r="BB2796">
        <v>33</v>
      </c>
      <c r="BC2796">
        <v>61</v>
      </c>
      <c r="BD2796">
        <v>42</v>
      </c>
      <c r="BE2796">
        <v>19</v>
      </c>
      <c r="BF2796">
        <v>61</v>
      </c>
      <c r="BG2796">
        <v>21</v>
      </c>
      <c r="BH2796">
        <v>24</v>
      </c>
      <c r="BI2796">
        <v>45</v>
      </c>
      <c r="BP2796">
        <v>8</v>
      </c>
      <c r="BQ2796">
        <v>1</v>
      </c>
      <c r="BR2796">
        <v>88</v>
      </c>
      <c r="BS2796">
        <v>1</v>
      </c>
      <c r="BT2796">
        <v>2</v>
      </c>
      <c r="BU2796">
        <v>1</v>
      </c>
      <c r="BV2796">
        <v>0</v>
      </c>
      <c r="BW2796">
        <v>101</v>
      </c>
      <c r="BZ2796" s="10"/>
      <c r="CA2796" s="7">
        <v>45606</v>
      </c>
      <c r="CE2796">
        <v>31</v>
      </c>
      <c r="CF2796">
        <v>33</v>
      </c>
      <c r="CG2796">
        <v>37</v>
      </c>
      <c r="CI2796">
        <f t="shared" si="248"/>
        <v>2024</v>
      </c>
      <c r="CJ2796" t="str">
        <f t="shared" si="249"/>
        <v>8310_2024</v>
      </c>
    </row>
    <row r="2797" spans="1:88" x14ac:dyDescent="0.25">
      <c r="A2797" t="s">
        <v>111</v>
      </c>
      <c r="B2797" t="s">
        <v>205</v>
      </c>
      <c r="C2797">
        <v>8311</v>
      </c>
      <c r="D2797">
        <v>-37.675620000000002</v>
      </c>
      <c r="E2797">
        <v>144.89954</v>
      </c>
      <c r="F2797">
        <v>4</v>
      </c>
      <c r="G2797" t="s">
        <v>1159</v>
      </c>
      <c r="H2797">
        <v>5</v>
      </c>
      <c r="I2797">
        <v>185</v>
      </c>
      <c r="J2797">
        <v>100</v>
      </c>
      <c r="K2797">
        <v>280</v>
      </c>
      <c r="L2797">
        <v>197</v>
      </c>
      <c r="M2797">
        <v>17</v>
      </c>
      <c r="N2797">
        <v>280</v>
      </c>
      <c r="O2797">
        <v>100</v>
      </c>
      <c r="T2797">
        <v>5</v>
      </c>
      <c r="U2797">
        <v>1</v>
      </c>
      <c r="V2797">
        <v>0</v>
      </c>
      <c r="Y2797">
        <v>3</v>
      </c>
      <c r="Z2797">
        <v>2</v>
      </c>
      <c r="AA2797">
        <v>4</v>
      </c>
      <c r="AD2797">
        <v>2</v>
      </c>
      <c r="AE2797">
        <v>2</v>
      </c>
      <c r="AF2797">
        <v>6</v>
      </c>
      <c r="AI2797">
        <v>0</v>
      </c>
      <c r="AJ2797">
        <v>4</v>
      </c>
      <c r="AK2797">
        <v>1</v>
      </c>
      <c r="AX2797">
        <v>6</v>
      </c>
      <c r="AY2797">
        <v>5</v>
      </c>
      <c r="AZ2797">
        <v>11</v>
      </c>
      <c r="BA2797">
        <v>9</v>
      </c>
      <c r="BB2797">
        <v>11</v>
      </c>
      <c r="BC2797">
        <v>20</v>
      </c>
      <c r="BD2797">
        <v>10</v>
      </c>
      <c r="BE2797">
        <v>4</v>
      </c>
      <c r="BF2797">
        <v>14</v>
      </c>
      <c r="BG2797">
        <v>5</v>
      </c>
      <c r="BH2797">
        <v>10</v>
      </c>
      <c r="BI2797">
        <v>15</v>
      </c>
      <c r="BP2797">
        <v>0</v>
      </c>
      <c r="BQ2797">
        <v>1</v>
      </c>
      <c r="BR2797">
        <v>13</v>
      </c>
      <c r="BS2797">
        <v>2</v>
      </c>
      <c r="BT2797">
        <v>14</v>
      </c>
      <c r="BU2797">
        <v>0</v>
      </c>
      <c r="BV2797">
        <v>0</v>
      </c>
      <c r="BW2797">
        <v>30</v>
      </c>
      <c r="BZ2797" s="10"/>
      <c r="CA2797" s="7">
        <v>45606</v>
      </c>
      <c r="CE2797">
        <v>10</v>
      </c>
      <c r="CF2797">
        <v>10</v>
      </c>
      <c r="CG2797">
        <v>10</v>
      </c>
      <c r="CI2797">
        <f t="shared" si="248"/>
        <v>2024</v>
      </c>
      <c r="CJ2797" t="str">
        <f t="shared" si="249"/>
        <v>8311_2024</v>
      </c>
    </row>
    <row r="2798" spans="1:88" x14ac:dyDescent="0.25">
      <c r="A2798" t="s">
        <v>1006</v>
      </c>
      <c r="B2798" t="s">
        <v>1007</v>
      </c>
      <c r="C2798">
        <v>7876</v>
      </c>
      <c r="D2798">
        <v>-42.975020000000001</v>
      </c>
      <c r="E2798">
        <v>147.312794</v>
      </c>
      <c r="F2798">
        <v>4</v>
      </c>
      <c r="G2798" t="s">
        <v>1008</v>
      </c>
      <c r="H2798">
        <v>77</v>
      </c>
      <c r="I2798">
        <v>257</v>
      </c>
      <c r="J2798">
        <v>131</v>
      </c>
      <c r="K2798">
        <v>311</v>
      </c>
      <c r="L2798">
        <v>255</v>
      </c>
      <c r="M2798">
        <v>75</v>
      </c>
      <c r="N2798">
        <v>320</v>
      </c>
      <c r="O2798">
        <v>140</v>
      </c>
      <c r="T2798">
        <v>61</v>
      </c>
      <c r="U2798">
        <v>28</v>
      </c>
      <c r="V2798">
        <v>1</v>
      </c>
      <c r="Y2798">
        <v>28</v>
      </c>
      <c r="Z2798">
        <v>123</v>
      </c>
      <c r="AA2798">
        <v>17</v>
      </c>
      <c r="AD2798">
        <v>9</v>
      </c>
      <c r="AE2798">
        <v>99</v>
      </c>
      <c r="AF2798">
        <v>10</v>
      </c>
      <c r="AI2798">
        <v>0</v>
      </c>
      <c r="AJ2798">
        <v>11</v>
      </c>
      <c r="AK2798">
        <v>13</v>
      </c>
      <c r="AX2798">
        <v>90</v>
      </c>
      <c r="AY2798">
        <v>37</v>
      </c>
      <c r="AZ2798">
        <v>127</v>
      </c>
      <c r="BA2798">
        <v>168</v>
      </c>
      <c r="BB2798">
        <v>171</v>
      </c>
      <c r="BC2798">
        <v>339</v>
      </c>
      <c r="BD2798">
        <v>118</v>
      </c>
      <c r="BE2798">
        <v>164</v>
      </c>
      <c r="BF2798">
        <v>282</v>
      </c>
      <c r="BG2798">
        <v>24</v>
      </c>
      <c r="BH2798">
        <v>28</v>
      </c>
      <c r="BI2798">
        <v>52</v>
      </c>
      <c r="BP2798">
        <v>71</v>
      </c>
      <c r="BQ2798">
        <v>0</v>
      </c>
      <c r="BR2798">
        <v>286</v>
      </c>
      <c r="BS2798">
        <v>39</v>
      </c>
      <c r="BT2798">
        <v>4</v>
      </c>
      <c r="BU2798">
        <v>0</v>
      </c>
      <c r="BV2798">
        <v>0</v>
      </c>
      <c r="BW2798">
        <v>400</v>
      </c>
      <c r="BX2798">
        <v>303</v>
      </c>
      <c r="BY2798">
        <v>0.32013201299999999</v>
      </c>
      <c r="BZ2798" s="10">
        <v>0.32013201299999999</v>
      </c>
      <c r="CA2798" s="7">
        <v>45606</v>
      </c>
      <c r="CE2798">
        <v>200</v>
      </c>
      <c r="CF2798">
        <v>51</v>
      </c>
      <c r="CG2798">
        <v>149</v>
      </c>
      <c r="CI2798">
        <f t="shared" si="248"/>
        <v>2024</v>
      </c>
      <c r="CJ2798" t="str">
        <f t="shared" si="249"/>
        <v>7876_2024</v>
      </c>
    </row>
    <row r="2799" spans="1:88" x14ac:dyDescent="0.25">
      <c r="A2799" t="s">
        <v>1006</v>
      </c>
      <c r="B2799" t="s">
        <v>1007</v>
      </c>
      <c r="C2799">
        <v>7877</v>
      </c>
      <c r="D2799">
        <v>-42.980359999999997</v>
      </c>
      <c r="E2799">
        <v>147.321495</v>
      </c>
      <c r="F2799">
        <v>3</v>
      </c>
      <c r="G2799" t="s">
        <v>1009</v>
      </c>
      <c r="H2799">
        <v>40</v>
      </c>
      <c r="I2799">
        <v>220</v>
      </c>
      <c r="J2799">
        <v>117</v>
      </c>
      <c r="K2799">
        <v>297</v>
      </c>
      <c r="L2799">
        <v>301</v>
      </c>
      <c r="M2799">
        <v>121</v>
      </c>
      <c r="T2799">
        <v>112</v>
      </c>
      <c r="U2799">
        <v>28</v>
      </c>
      <c r="Y2799">
        <v>70</v>
      </c>
      <c r="Z2799">
        <v>83</v>
      </c>
      <c r="AD2799">
        <v>36</v>
      </c>
      <c r="AE2799">
        <v>94</v>
      </c>
      <c r="AX2799">
        <v>140</v>
      </c>
      <c r="AY2799">
        <v>106</v>
      </c>
      <c r="AZ2799">
        <v>246</v>
      </c>
      <c r="BA2799">
        <v>153</v>
      </c>
      <c r="BB2799">
        <v>206</v>
      </c>
      <c r="BC2799">
        <v>359</v>
      </c>
      <c r="BD2799">
        <v>130</v>
      </c>
      <c r="BE2799">
        <v>111</v>
      </c>
      <c r="BF2799">
        <v>241</v>
      </c>
      <c r="BP2799">
        <v>28</v>
      </c>
      <c r="BQ2799">
        <v>4</v>
      </c>
      <c r="BR2799">
        <v>300</v>
      </c>
      <c r="BS2799">
        <v>43</v>
      </c>
      <c r="BT2799">
        <v>47</v>
      </c>
      <c r="BU2799">
        <v>0</v>
      </c>
      <c r="BV2799">
        <v>1</v>
      </c>
      <c r="BW2799">
        <v>423</v>
      </c>
      <c r="BX2799">
        <v>425</v>
      </c>
      <c r="BY2799">
        <v>-4.7058819999999998E-3</v>
      </c>
      <c r="BZ2799" s="10">
        <v>-4.7058819999999998E-3</v>
      </c>
      <c r="CA2799" s="7">
        <v>45606</v>
      </c>
      <c r="CE2799">
        <v>107</v>
      </c>
      <c r="CF2799">
        <v>132</v>
      </c>
      <c r="CG2799">
        <v>184</v>
      </c>
      <c r="CI2799">
        <f t="shared" si="248"/>
        <v>2024</v>
      </c>
      <c r="CJ2799" t="str">
        <f t="shared" si="249"/>
        <v>7877_2024</v>
      </c>
    </row>
    <row r="2800" spans="1:88" x14ac:dyDescent="0.25">
      <c r="A2800" t="s">
        <v>1006</v>
      </c>
      <c r="B2800" t="s">
        <v>1007</v>
      </c>
      <c r="C2800">
        <v>7878</v>
      </c>
      <c r="D2800">
        <v>-42.971857</v>
      </c>
      <c r="E2800">
        <v>147.299826</v>
      </c>
      <c r="F2800">
        <v>3</v>
      </c>
      <c r="G2800" t="s">
        <v>1010</v>
      </c>
      <c r="H2800">
        <v>35</v>
      </c>
      <c r="I2800">
        <v>215</v>
      </c>
      <c r="J2800">
        <v>180</v>
      </c>
      <c r="K2800">
        <v>360</v>
      </c>
      <c r="L2800">
        <v>260</v>
      </c>
      <c r="M2800">
        <v>80</v>
      </c>
      <c r="T2800">
        <v>18</v>
      </c>
      <c r="U2800">
        <v>44</v>
      </c>
      <c r="Y2800">
        <v>21</v>
      </c>
      <c r="Z2800">
        <v>16</v>
      </c>
      <c r="AD2800">
        <v>58</v>
      </c>
      <c r="AE2800">
        <v>11</v>
      </c>
      <c r="AX2800">
        <v>62</v>
      </c>
      <c r="AY2800">
        <v>79</v>
      </c>
      <c r="AZ2800">
        <v>141</v>
      </c>
      <c r="BA2800">
        <v>37</v>
      </c>
      <c r="BB2800">
        <v>29</v>
      </c>
      <c r="BC2800">
        <v>66</v>
      </c>
      <c r="BD2800">
        <v>69</v>
      </c>
      <c r="BE2800">
        <v>60</v>
      </c>
      <c r="BF2800">
        <v>129</v>
      </c>
      <c r="BP2800">
        <v>12</v>
      </c>
      <c r="BQ2800">
        <v>1</v>
      </c>
      <c r="BR2800">
        <v>74</v>
      </c>
      <c r="BS2800">
        <v>69</v>
      </c>
      <c r="BT2800">
        <v>10</v>
      </c>
      <c r="BU2800">
        <v>0</v>
      </c>
      <c r="BV2800">
        <v>2</v>
      </c>
      <c r="BW2800">
        <v>168</v>
      </c>
      <c r="BX2800">
        <v>118</v>
      </c>
      <c r="BY2800">
        <v>0.42372881400000001</v>
      </c>
      <c r="BZ2800" s="10">
        <v>0.42372881400000001</v>
      </c>
      <c r="CA2800" s="7">
        <v>45606</v>
      </c>
      <c r="CE2800">
        <v>54</v>
      </c>
      <c r="CF2800">
        <v>56</v>
      </c>
      <c r="CG2800">
        <v>58</v>
      </c>
      <c r="CI2800">
        <f t="shared" si="248"/>
        <v>2024</v>
      </c>
      <c r="CJ2800" t="str">
        <f t="shared" si="249"/>
        <v>7878_2024</v>
      </c>
    </row>
    <row r="2801" spans="1:88" x14ac:dyDescent="0.25">
      <c r="A2801" t="s">
        <v>111</v>
      </c>
      <c r="B2801" t="s">
        <v>220</v>
      </c>
      <c r="C2801">
        <v>7443</v>
      </c>
      <c r="D2801">
        <v>-37.987482999999997</v>
      </c>
      <c r="E2801">
        <v>145.05565300000001</v>
      </c>
      <c r="F2801">
        <v>3</v>
      </c>
      <c r="G2801" t="s">
        <v>818</v>
      </c>
      <c r="H2801">
        <v>15</v>
      </c>
      <c r="I2801">
        <v>195</v>
      </c>
      <c r="J2801">
        <v>115</v>
      </c>
      <c r="K2801">
        <v>295</v>
      </c>
      <c r="L2801">
        <v>296</v>
      </c>
      <c r="M2801">
        <v>116</v>
      </c>
      <c r="T2801">
        <v>79</v>
      </c>
      <c r="U2801">
        <v>8</v>
      </c>
      <c r="Y2801">
        <v>31</v>
      </c>
      <c r="Z2801">
        <v>97</v>
      </c>
      <c r="AD2801">
        <v>8</v>
      </c>
      <c r="AE2801">
        <v>110</v>
      </c>
      <c r="AX2801">
        <v>87</v>
      </c>
      <c r="AY2801">
        <v>39</v>
      </c>
      <c r="AZ2801">
        <v>126</v>
      </c>
      <c r="BA2801">
        <v>128</v>
      </c>
      <c r="BB2801">
        <v>189</v>
      </c>
      <c r="BC2801">
        <v>317</v>
      </c>
      <c r="BD2801">
        <v>118</v>
      </c>
      <c r="BE2801">
        <v>105</v>
      </c>
      <c r="BF2801">
        <v>223</v>
      </c>
      <c r="BP2801">
        <v>0</v>
      </c>
      <c r="BQ2801">
        <v>0</v>
      </c>
      <c r="BR2801">
        <v>182</v>
      </c>
      <c r="BS2801">
        <v>78</v>
      </c>
      <c r="BT2801">
        <v>73</v>
      </c>
      <c r="BU2801">
        <v>0</v>
      </c>
      <c r="BV2801">
        <v>0</v>
      </c>
      <c r="BW2801">
        <v>333</v>
      </c>
      <c r="BX2801">
        <v>322</v>
      </c>
      <c r="BY2801">
        <v>3.4161491000000002E-2</v>
      </c>
      <c r="BZ2801" s="10">
        <v>3.4161491000000002E-2</v>
      </c>
      <c r="CA2801" s="7">
        <v>45606</v>
      </c>
      <c r="CC2801">
        <v>61</v>
      </c>
      <c r="CD2801">
        <v>130</v>
      </c>
      <c r="CE2801">
        <v>142</v>
      </c>
      <c r="CI2801">
        <f t="shared" si="248"/>
        <v>2024</v>
      </c>
      <c r="CJ2801" t="str">
        <f t="shared" si="249"/>
        <v>7443_2024</v>
      </c>
    </row>
    <row r="2802" spans="1:88" x14ac:dyDescent="0.25">
      <c r="A2802" t="s">
        <v>111</v>
      </c>
      <c r="B2802" t="s">
        <v>220</v>
      </c>
      <c r="C2802">
        <v>7445</v>
      </c>
      <c r="D2802">
        <v>-38.027048000000001</v>
      </c>
      <c r="E2802">
        <v>145.10201000000001</v>
      </c>
      <c r="F2802">
        <v>4</v>
      </c>
      <c r="G2802" t="s">
        <v>820</v>
      </c>
      <c r="H2802">
        <v>138</v>
      </c>
      <c r="I2802">
        <v>318</v>
      </c>
      <c r="J2802">
        <v>165</v>
      </c>
      <c r="K2802">
        <v>345</v>
      </c>
      <c r="L2802">
        <v>319</v>
      </c>
      <c r="M2802">
        <v>139</v>
      </c>
      <c r="N2802">
        <v>345</v>
      </c>
      <c r="O2802">
        <v>165</v>
      </c>
      <c r="T2802">
        <v>0</v>
      </c>
      <c r="U2802">
        <v>0</v>
      </c>
      <c r="V2802">
        <v>39</v>
      </c>
      <c r="Y2802">
        <v>0</v>
      </c>
      <c r="Z2802">
        <v>0</v>
      </c>
      <c r="AA2802">
        <v>0</v>
      </c>
      <c r="AD2802">
        <v>0</v>
      </c>
      <c r="AE2802">
        <v>0</v>
      </c>
      <c r="AF2802">
        <v>0</v>
      </c>
      <c r="AI2802">
        <v>72</v>
      </c>
      <c r="AJ2802">
        <v>0</v>
      </c>
      <c r="AK2802">
        <v>0</v>
      </c>
      <c r="AX2802">
        <v>39</v>
      </c>
      <c r="AY2802">
        <v>72</v>
      </c>
      <c r="AZ2802">
        <v>111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72</v>
      </c>
      <c r="BH2802">
        <v>39</v>
      </c>
      <c r="BI2802">
        <v>111</v>
      </c>
      <c r="BP2802">
        <v>108</v>
      </c>
      <c r="BQ2802">
        <v>3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111</v>
      </c>
      <c r="BX2802">
        <v>1025</v>
      </c>
      <c r="BY2802">
        <v>-0.89170731700000005</v>
      </c>
      <c r="BZ2802" s="10">
        <v>-0.89170731700000005</v>
      </c>
      <c r="CA2802" s="7">
        <v>45606</v>
      </c>
      <c r="CC2802">
        <v>33</v>
      </c>
      <c r="CD2802">
        <v>42</v>
      </c>
      <c r="CE2802">
        <v>36</v>
      </c>
      <c r="CI2802">
        <f t="shared" si="248"/>
        <v>2024</v>
      </c>
      <c r="CJ2802" t="str">
        <f t="shared" si="249"/>
        <v>7445_2024</v>
      </c>
    </row>
    <row r="2803" spans="1:88" x14ac:dyDescent="0.25">
      <c r="A2803" t="s">
        <v>111</v>
      </c>
      <c r="B2803" t="s">
        <v>232</v>
      </c>
      <c r="C2803">
        <v>7957</v>
      </c>
      <c r="D2803">
        <v>-37.740788999999999</v>
      </c>
      <c r="E2803">
        <v>145.136819</v>
      </c>
      <c r="F2803">
        <v>4</v>
      </c>
      <c r="G2803" t="s">
        <v>1011</v>
      </c>
      <c r="H2803">
        <v>30</v>
      </c>
      <c r="I2803">
        <v>210</v>
      </c>
      <c r="J2803">
        <v>105</v>
      </c>
      <c r="K2803">
        <v>285</v>
      </c>
      <c r="L2803">
        <v>175</v>
      </c>
      <c r="M2803">
        <v>355</v>
      </c>
      <c r="N2803">
        <v>255</v>
      </c>
      <c r="O2803">
        <v>75</v>
      </c>
      <c r="T2803">
        <v>5</v>
      </c>
      <c r="U2803">
        <v>18</v>
      </c>
      <c r="V2803">
        <v>62</v>
      </c>
      <c r="Y2803">
        <v>19</v>
      </c>
      <c r="Z2803">
        <v>10</v>
      </c>
      <c r="AA2803">
        <v>141</v>
      </c>
      <c r="AD2803">
        <v>21</v>
      </c>
      <c r="AE2803">
        <v>42</v>
      </c>
      <c r="AF2803">
        <v>14</v>
      </c>
      <c r="AI2803">
        <v>75</v>
      </c>
      <c r="AJ2803">
        <v>116</v>
      </c>
      <c r="AK2803">
        <v>30</v>
      </c>
      <c r="AX2803">
        <v>85</v>
      </c>
      <c r="AY2803">
        <v>115</v>
      </c>
      <c r="AZ2803">
        <v>200</v>
      </c>
      <c r="BA2803">
        <v>170</v>
      </c>
      <c r="BB2803">
        <v>163</v>
      </c>
      <c r="BC2803">
        <v>333</v>
      </c>
      <c r="BD2803">
        <v>77</v>
      </c>
      <c r="BE2803">
        <v>58</v>
      </c>
      <c r="BF2803">
        <v>135</v>
      </c>
      <c r="BG2803">
        <v>221</v>
      </c>
      <c r="BH2803">
        <v>217</v>
      </c>
      <c r="BI2803">
        <v>438</v>
      </c>
      <c r="BP2803">
        <v>301</v>
      </c>
      <c r="BQ2803">
        <v>22</v>
      </c>
      <c r="BR2803">
        <v>131</v>
      </c>
      <c r="BS2803">
        <v>61</v>
      </c>
      <c r="BT2803">
        <v>38</v>
      </c>
      <c r="BU2803">
        <v>0</v>
      </c>
      <c r="BV2803">
        <v>0</v>
      </c>
      <c r="BW2803">
        <v>553</v>
      </c>
      <c r="BX2803">
        <v>558</v>
      </c>
      <c r="BY2803">
        <v>-8.9605729999999995E-3</v>
      </c>
      <c r="BZ2803" s="10">
        <v>-8.9605729999999995E-3</v>
      </c>
      <c r="CA2803" s="7">
        <v>45606</v>
      </c>
      <c r="CE2803">
        <v>208</v>
      </c>
      <c r="CF2803">
        <v>181</v>
      </c>
      <c r="CG2803">
        <v>164</v>
      </c>
      <c r="CI2803">
        <f t="shared" si="248"/>
        <v>2024</v>
      </c>
      <c r="CJ2803" t="str">
        <f t="shared" si="249"/>
        <v>7957_2024</v>
      </c>
    </row>
    <row r="2804" spans="1:88" x14ac:dyDescent="0.25">
      <c r="A2804" t="s">
        <v>111</v>
      </c>
      <c r="B2804" t="s">
        <v>232</v>
      </c>
      <c r="C2804">
        <v>7958</v>
      </c>
      <c r="D2804">
        <v>-37.750202000000002</v>
      </c>
      <c r="E2804">
        <v>145.176287</v>
      </c>
      <c r="F2804">
        <v>2</v>
      </c>
      <c r="G2804" t="s">
        <v>1012</v>
      </c>
      <c r="H2804">
        <v>95</v>
      </c>
      <c r="I2804">
        <v>275</v>
      </c>
      <c r="J2804">
        <v>280</v>
      </c>
      <c r="K2804">
        <v>100</v>
      </c>
      <c r="T2804">
        <v>151</v>
      </c>
      <c r="Y2804">
        <v>169</v>
      </c>
      <c r="AX2804">
        <v>151</v>
      </c>
      <c r="AY2804">
        <v>169</v>
      </c>
      <c r="AZ2804">
        <v>320</v>
      </c>
      <c r="BA2804">
        <v>169</v>
      </c>
      <c r="BB2804">
        <v>151</v>
      </c>
      <c r="BC2804">
        <v>320</v>
      </c>
      <c r="BP2804">
        <v>144</v>
      </c>
      <c r="BQ2804">
        <v>10</v>
      </c>
      <c r="BR2804">
        <v>113</v>
      </c>
      <c r="BS2804">
        <v>36</v>
      </c>
      <c r="BT2804">
        <v>17</v>
      </c>
      <c r="BU2804">
        <v>0</v>
      </c>
      <c r="BV2804">
        <v>0</v>
      </c>
      <c r="BW2804">
        <v>320</v>
      </c>
      <c r="BX2804">
        <v>323</v>
      </c>
      <c r="BY2804">
        <v>-9.2879260000000002E-3</v>
      </c>
      <c r="BZ2804" s="10">
        <v>-9.2879260000000002E-3</v>
      </c>
      <c r="CA2804" s="7">
        <v>45606</v>
      </c>
      <c r="CE2804">
        <v>80</v>
      </c>
      <c r="CF2804">
        <v>127</v>
      </c>
      <c r="CG2804">
        <v>113</v>
      </c>
      <c r="CI2804">
        <f t="shared" si="248"/>
        <v>2024</v>
      </c>
      <c r="CJ2804" t="str">
        <f t="shared" si="249"/>
        <v>7958_2024</v>
      </c>
    </row>
    <row r="2805" spans="1:88" x14ac:dyDescent="0.25">
      <c r="A2805" t="s">
        <v>111</v>
      </c>
      <c r="B2805" t="s">
        <v>232</v>
      </c>
      <c r="C2805">
        <v>7959</v>
      </c>
      <c r="D2805">
        <v>-37.765537999999999</v>
      </c>
      <c r="E2805">
        <v>145.18333200000001</v>
      </c>
      <c r="F2805">
        <v>4</v>
      </c>
      <c r="G2805" t="s">
        <v>1013</v>
      </c>
      <c r="H2805">
        <v>88</v>
      </c>
      <c r="I2805">
        <v>268</v>
      </c>
      <c r="J2805">
        <v>127</v>
      </c>
      <c r="K2805">
        <v>307</v>
      </c>
      <c r="L2805">
        <v>265</v>
      </c>
      <c r="M2805">
        <v>85</v>
      </c>
      <c r="N2805">
        <v>284</v>
      </c>
      <c r="O2805">
        <v>104</v>
      </c>
      <c r="T2805">
        <v>1</v>
      </c>
      <c r="U2805">
        <v>2</v>
      </c>
      <c r="V2805">
        <v>1</v>
      </c>
      <c r="Y2805">
        <v>0</v>
      </c>
      <c r="Z2805">
        <v>99</v>
      </c>
      <c r="AA2805">
        <v>0</v>
      </c>
      <c r="AD2805">
        <v>1</v>
      </c>
      <c r="AE2805">
        <v>55</v>
      </c>
      <c r="AF2805">
        <v>0</v>
      </c>
      <c r="AI2805">
        <v>1</v>
      </c>
      <c r="AJ2805">
        <v>1</v>
      </c>
      <c r="AK2805">
        <v>2</v>
      </c>
      <c r="AX2805">
        <v>4</v>
      </c>
      <c r="AY2805">
        <v>2</v>
      </c>
      <c r="AZ2805">
        <v>6</v>
      </c>
      <c r="BA2805">
        <v>99</v>
      </c>
      <c r="BB2805">
        <v>57</v>
      </c>
      <c r="BC2805">
        <v>156</v>
      </c>
      <c r="BD2805">
        <v>56</v>
      </c>
      <c r="BE2805">
        <v>103</v>
      </c>
      <c r="BF2805">
        <v>159</v>
      </c>
      <c r="BG2805">
        <v>4</v>
      </c>
      <c r="BH2805">
        <v>1</v>
      </c>
      <c r="BI2805">
        <v>5</v>
      </c>
      <c r="BP2805">
        <v>83</v>
      </c>
      <c r="BQ2805">
        <v>5</v>
      </c>
      <c r="BR2805">
        <v>41</v>
      </c>
      <c r="BS2805">
        <v>25</v>
      </c>
      <c r="BT2805">
        <v>6</v>
      </c>
      <c r="BU2805">
        <v>0</v>
      </c>
      <c r="BV2805">
        <v>3</v>
      </c>
      <c r="BW2805">
        <v>163</v>
      </c>
      <c r="BX2805">
        <v>205</v>
      </c>
      <c r="BY2805">
        <v>-0.20487804900000001</v>
      </c>
      <c r="BZ2805" s="10">
        <v>-0.20487804900000001</v>
      </c>
      <c r="CA2805" s="7">
        <v>45606</v>
      </c>
      <c r="CE2805">
        <v>56</v>
      </c>
      <c r="CF2805">
        <v>61</v>
      </c>
      <c r="CG2805">
        <v>46</v>
      </c>
      <c r="CI2805">
        <f t="shared" si="248"/>
        <v>2024</v>
      </c>
      <c r="CJ2805" t="str">
        <f t="shared" si="249"/>
        <v>7959_2024</v>
      </c>
    </row>
    <row r="2806" spans="1:88" x14ac:dyDescent="0.25">
      <c r="A2806" t="s">
        <v>111</v>
      </c>
      <c r="B2806" t="s">
        <v>232</v>
      </c>
      <c r="C2806">
        <v>7962</v>
      </c>
      <c r="D2806">
        <v>-37.799807000000001</v>
      </c>
      <c r="E2806">
        <v>145.15294700000001</v>
      </c>
      <c r="F2806">
        <v>3</v>
      </c>
      <c r="G2806" t="s">
        <v>1016</v>
      </c>
      <c r="H2806">
        <v>106</v>
      </c>
      <c r="I2806">
        <v>286</v>
      </c>
      <c r="J2806">
        <v>257</v>
      </c>
      <c r="K2806">
        <v>77</v>
      </c>
      <c r="L2806">
        <v>296</v>
      </c>
      <c r="M2806">
        <v>116</v>
      </c>
      <c r="T2806">
        <v>157</v>
      </c>
      <c r="U2806">
        <v>19</v>
      </c>
      <c r="Y2806">
        <v>134</v>
      </c>
      <c r="Z2806">
        <v>16</v>
      </c>
      <c r="AD2806">
        <v>15</v>
      </c>
      <c r="AE2806">
        <v>29</v>
      </c>
      <c r="AX2806">
        <v>176</v>
      </c>
      <c r="AY2806">
        <v>149</v>
      </c>
      <c r="AZ2806">
        <v>325</v>
      </c>
      <c r="BA2806">
        <v>150</v>
      </c>
      <c r="BB2806">
        <v>186</v>
      </c>
      <c r="BC2806">
        <v>336</v>
      </c>
      <c r="BD2806">
        <v>44</v>
      </c>
      <c r="BE2806">
        <v>35</v>
      </c>
      <c r="BF2806">
        <v>79</v>
      </c>
      <c r="BP2806">
        <v>131</v>
      </c>
      <c r="BQ2806">
        <v>15</v>
      </c>
      <c r="BR2806">
        <v>112</v>
      </c>
      <c r="BS2806">
        <v>83</v>
      </c>
      <c r="BT2806">
        <v>28</v>
      </c>
      <c r="BU2806">
        <v>0</v>
      </c>
      <c r="BV2806">
        <v>1</v>
      </c>
      <c r="BW2806">
        <v>370</v>
      </c>
      <c r="BX2806">
        <v>368</v>
      </c>
      <c r="BY2806">
        <v>5.4347830000000003E-3</v>
      </c>
      <c r="BZ2806" s="10">
        <v>5.4347830000000003E-3</v>
      </c>
      <c r="CA2806" s="7">
        <v>45606</v>
      </c>
      <c r="CE2806">
        <v>153</v>
      </c>
      <c r="CF2806">
        <v>126</v>
      </c>
      <c r="CG2806">
        <v>91</v>
      </c>
      <c r="CI2806">
        <f t="shared" si="248"/>
        <v>2024</v>
      </c>
      <c r="CJ2806" t="str">
        <f t="shared" si="249"/>
        <v>7962_2024</v>
      </c>
    </row>
    <row r="2807" spans="1:88" x14ac:dyDescent="0.25">
      <c r="A2807" t="s">
        <v>111</v>
      </c>
      <c r="B2807" t="s">
        <v>232</v>
      </c>
      <c r="C2807">
        <v>7963</v>
      </c>
      <c r="D2807">
        <v>-37.756456999999997</v>
      </c>
      <c r="E2807">
        <v>145.12225100000001</v>
      </c>
      <c r="F2807">
        <v>2</v>
      </c>
      <c r="G2807" t="s">
        <v>1017</v>
      </c>
      <c r="H2807">
        <v>195</v>
      </c>
      <c r="I2807">
        <v>15</v>
      </c>
      <c r="J2807">
        <v>340</v>
      </c>
      <c r="K2807">
        <v>160</v>
      </c>
      <c r="T2807">
        <v>47</v>
      </c>
      <c r="Y2807">
        <v>51</v>
      </c>
      <c r="AX2807">
        <v>47</v>
      </c>
      <c r="AY2807">
        <v>51</v>
      </c>
      <c r="AZ2807">
        <v>98</v>
      </c>
      <c r="BA2807">
        <v>51</v>
      </c>
      <c r="BB2807">
        <v>47</v>
      </c>
      <c r="BC2807">
        <v>98</v>
      </c>
      <c r="BP2807">
        <v>28</v>
      </c>
      <c r="BQ2807">
        <v>1</v>
      </c>
      <c r="BR2807">
        <v>40</v>
      </c>
      <c r="BS2807">
        <v>10</v>
      </c>
      <c r="BT2807">
        <v>17</v>
      </c>
      <c r="BU2807">
        <v>1</v>
      </c>
      <c r="BV2807">
        <v>1</v>
      </c>
      <c r="BW2807">
        <v>98</v>
      </c>
      <c r="BX2807">
        <v>61</v>
      </c>
      <c r="BY2807">
        <v>0.60655737700000001</v>
      </c>
      <c r="BZ2807" s="10">
        <v>0.60655737700000001</v>
      </c>
      <c r="CA2807" s="7">
        <v>45606</v>
      </c>
      <c r="CE2807">
        <v>38</v>
      </c>
      <c r="CF2807">
        <v>24</v>
      </c>
      <c r="CG2807">
        <v>36</v>
      </c>
      <c r="CI2807">
        <f t="shared" si="248"/>
        <v>2024</v>
      </c>
      <c r="CJ2807" t="str">
        <f t="shared" si="249"/>
        <v>7963_2024</v>
      </c>
    </row>
    <row r="2808" spans="1:88" x14ac:dyDescent="0.25">
      <c r="A2808" t="s">
        <v>111</v>
      </c>
      <c r="B2808" t="s">
        <v>232</v>
      </c>
      <c r="C2808">
        <v>8280</v>
      </c>
      <c r="D2808">
        <v>-37.773158000000002</v>
      </c>
      <c r="E2808">
        <v>145.135041</v>
      </c>
      <c r="F2808">
        <v>3</v>
      </c>
      <c r="G2808" t="s">
        <v>1160</v>
      </c>
      <c r="H2808">
        <v>45</v>
      </c>
      <c r="I2808">
        <v>225</v>
      </c>
      <c r="J2808">
        <v>170</v>
      </c>
      <c r="K2808">
        <v>350</v>
      </c>
      <c r="L2808">
        <v>340</v>
      </c>
      <c r="M2808">
        <v>160</v>
      </c>
      <c r="T2808">
        <v>254</v>
      </c>
      <c r="U2808">
        <v>31</v>
      </c>
      <c r="Y2808">
        <v>176</v>
      </c>
      <c r="Z2808">
        <v>45</v>
      </c>
      <c r="AD2808">
        <v>41</v>
      </c>
      <c r="AE2808">
        <v>125</v>
      </c>
      <c r="AX2808">
        <v>285</v>
      </c>
      <c r="AY2808">
        <v>217</v>
      </c>
      <c r="AZ2808">
        <v>502</v>
      </c>
      <c r="BA2808">
        <v>221</v>
      </c>
      <c r="BB2808">
        <v>379</v>
      </c>
      <c r="BC2808">
        <v>600</v>
      </c>
      <c r="BD2808">
        <v>166</v>
      </c>
      <c r="BE2808">
        <v>76</v>
      </c>
      <c r="BF2808">
        <v>242</v>
      </c>
      <c r="BP2808">
        <v>36</v>
      </c>
      <c r="BQ2808">
        <v>1</v>
      </c>
      <c r="BR2808">
        <v>400</v>
      </c>
      <c r="BS2808">
        <v>96</v>
      </c>
      <c r="BT2808">
        <v>133</v>
      </c>
      <c r="BU2808">
        <v>3</v>
      </c>
      <c r="BV2808">
        <v>3</v>
      </c>
      <c r="BW2808">
        <v>672</v>
      </c>
      <c r="BZ2808" s="10"/>
      <c r="CA2808" s="7">
        <v>45606</v>
      </c>
      <c r="CE2808">
        <v>182</v>
      </c>
      <c r="CF2808">
        <v>198</v>
      </c>
      <c r="CG2808">
        <v>292</v>
      </c>
      <c r="CI2808">
        <f t="shared" si="248"/>
        <v>2024</v>
      </c>
      <c r="CJ2808" t="str">
        <f t="shared" si="249"/>
        <v>8280_2024</v>
      </c>
    </row>
    <row r="2809" spans="1:88" x14ac:dyDescent="0.25">
      <c r="A2809" t="s">
        <v>111</v>
      </c>
      <c r="B2809" t="s">
        <v>232</v>
      </c>
      <c r="C2809">
        <v>8281</v>
      </c>
      <c r="D2809">
        <v>-37.804991000000001</v>
      </c>
      <c r="E2809">
        <v>145.20486500000001</v>
      </c>
      <c r="F2809">
        <v>3</v>
      </c>
      <c r="G2809" t="s">
        <v>1161</v>
      </c>
      <c r="H2809">
        <v>8</v>
      </c>
      <c r="I2809">
        <v>188</v>
      </c>
      <c r="J2809">
        <v>90</v>
      </c>
      <c r="K2809">
        <v>270</v>
      </c>
      <c r="L2809">
        <v>180</v>
      </c>
      <c r="M2809">
        <v>360</v>
      </c>
      <c r="T2809">
        <v>33</v>
      </c>
      <c r="U2809">
        <v>87</v>
      </c>
      <c r="Y2809">
        <v>17</v>
      </c>
      <c r="Z2809">
        <v>77</v>
      </c>
      <c r="AD2809">
        <v>116</v>
      </c>
      <c r="AE2809">
        <v>55</v>
      </c>
      <c r="AX2809">
        <v>120</v>
      </c>
      <c r="AY2809">
        <v>133</v>
      </c>
      <c r="AZ2809">
        <v>253</v>
      </c>
      <c r="BA2809">
        <v>94</v>
      </c>
      <c r="BB2809">
        <v>88</v>
      </c>
      <c r="BC2809">
        <v>182</v>
      </c>
      <c r="BD2809">
        <v>171</v>
      </c>
      <c r="BE2809">
        <v>164</v>
      </c>
      <c r="BF2809">
        <v>335</v>
      </c>
      <c r="BP2809">
        <v>174</v>
      </c>
      <c r="BQ2809">
        <v>25</v>
      </c>
      <c r="BR2809">
        <v>108</v>
      </c>
      <c r="BS2809">
        <v>50</v>
      </c>
      <c r="BT2809">
        <v>27</v>
      </c>
      <c r="BU2809">
        <v>0</v>
      </c>
      <c r="BV2809">
        <v>1</v>
      </c>
      <c r="BW2809">
        <v>385</v>
      </c>
      <c r="BZ2809" s="10"/>
      <c r="CA2809" s="7">
        <v>45606</v>
      </c>
      <c r="CE2809">
        <v>149</v>
      </c>
      <c r="CF2809">
        <v>141</v>
      </c>
      <c r="CG2809">
        <v>95</v>
      </c>
      <c r="CI2809">
        <f t="shared" si="248"/>
        <v>2024</v>
      </c>
      <c r="CJ2809" t="str">
        <f t="shared" si="249"/>
        <v>8281_2024</v>
      </c>
    </row>
    <row r="2810" spans="1:88" x14ac:dyDescent="0.25">
      <c r="A2810" t="s">
        <v>111</v>
      </c>
      <c r="B2810" t="s">
        <v>232</v>
      </c>
      <c r="C2810">
        <v>8282</v>
      </c>
      <c r="D2810">
        <v>-37.796239999999997</v>
      </c>
      <c r="E2810">
        <v>145.13560000000001</v>
      </c>
      <c r="F2810">
        <v>3</v>
      </c>
      <c r="G2810" t="s">
        <v>1162</v>
      </c>
      <c r="H2810">
        <v>19</v>
      </c>
      <c r="I2810">
        <v>199</v>
      </c>
      <c r="J2810">
        <v>124</v>
      </c>
      <c r="K2810">
        <v>304</v>
      </c>
      <c r="L2810">
        <v>304</v>
      </c>
      <c r="M2810">
        <v>124</v>
      </c>
      <c r="T2810">
        <v>11</v>
      </c>
      <c r="U2810">
        <v>2</v>
      </c>
      <c r="Y2810">
        <v>12</v>
      </c>
      <c r="Z2810">
        <v>16</v>
      </c>
      <c r="AD2810">
        <v>7</v>
      </c>
      <c r="AE2810">
        <v>16</v>
      </c>
      <c r="AX2810">
        <v>13</v>
      </c>
      <c r="AY2810">
        <v>19</v>
      </c>
      <c r="AZ2810">
        <v>32</v>
      </c>
      <c r="BA2810">
        <v>28</v>
      </c>
      <c r="BB2810">
        <v>27</v>
      </c>
      <c r="BC2810">
        <v>55</v>
      </c>
      <c r="BD2810">
        <v>23</v>
      </c>
      <c r="BE2810">
        <v>18</v>
      </c>
      <c r="BF2810">
        <v>41</v>
      </c>
      <c r="BP2810">
        <v>2</v>
      </c>
      <c r="BQ2810">
        <v>1</v>
      </c>
      <c r="BR2810">
        <v>27</v>
      </c>
      <c r="BS2810">
        <v>24</v>
      </c>
      <c r="BT2810">
        <v>10</v>
      </c>
      <c r="BU2810">
        <v>0</v>
      </c>
      <c r="BV2810">
        <v>0</v>
      </c>
      <c r="BW2810">
        <v>64</v>
      </c>
      <c r="BZ2810" s="10"/>
      <c r="CA2810" s="7">
        <v>45606</v>
      </c>
      <c r="CE2810">
        <v>37</v>
      </c>
      <c r="CF2810">
        <v>27</v>
      </c>
      <c r="CG2810">
        <v>0</v>
      </c>
      <c r="CI2810">
        <f t="shared" si="248"/>
        <v>2024</v>
      </c>
      <c r="CJ2810" t="str">
        <f t="shared" si="249"/>
        <v>8282_2024</v>
      </c>
    </row>
    <row r="2811" spans="1:88" x14ac:dyDescent="0.25">
      <c r="A2811" t="s">
        <v>111</v>
      </c>
      <c r="B2811" t="s">
        <v>232</v>
      </c>
      <c r="C2811">
        <v>8283</v>
      </c>
      <c r="D2811">
        <v>-37.776415</v>
      </c>
      <c r="E2811">
        <v>145.18896799999999</v>
      </c>
      <c r="F2811">
        <v>2</v>
      </c>
      <c r="G2811" t="s">
        <v>1163</v>
      </c>
      <c r="H2811">
        <v>156</v>
      </c>
      <c r="I2811">
        <v>336</v>
      </c>
      <c r="J2811">
        <v>338</v>
      </c>
      <c r="K2811">
        <v>158</v>
      </c>
      <c r="T2811">
        <v>79</v>
      </c>
      <c r="Y2811">
        <v>85</v>
      </c>
      <c r="AX2811">
        <v>79</v>
      </c>
      <c r="AY2811">
        <v>85</v>
      </c>
      <c r="AZ2811">
        <v>164</v>
      </c>
      <c r="BA2811">
        <v>85</v>
      </c>
      <c r="BB2811">
        <v>79</v>
      </c>
      <c r="BC2811">
        <v>164</v>
      </c>
      <c r="BP2811">
        <v>74</v>
      </c>
      <c r="BQ2811">
        <v>20</v>
      </c>
      <c r="BR2811">
        <v>30</v>
      </c>
      <c r="BS2811">
        <v>28</v>
      </c>
      <c r="BT2811">
        <v>12</v>
      </c>
      <c r="BU2811">
        <v>0</v>
      </c>
      <c r="BV2811">
        <v>0</v>
      </c>
      <c r="BW2811">
        <v>164</v>
      </c>
      <c r="BZ2811" s="10"/>
      <c r="CA2811" s="7">
        <v>45606</v>
      </c>
      <c r="CE2811">
        <v>50</v>
      </c>
      <c r="CF2811">
        <v>65</v>
      </c>
      <c r="CG2811">
        <v>49</v>
      </c>
      <c r="CI2811">
        <f t="shared" si="248"/>
        <v>2024</v>
      </c>
      <c r="CJ2811" t="str">
        <f t="shared" si="249"/>
        <v>8283_2024</v>
      </c>
    </row>
    <row r="2812" spans="1:88" x14ac:dyDescent="0.25">
      <c r="A2812" t="s">
        <v>111</v>
      </c>
      <c r="B2812" t="s">
        <v>232</v>
      </c>
      <c r="C2812">
        <v>8284</v>
      </c>
      <c r="D2812">
        <v>-37.785587999999997</v>
      </c>
      <c r="E2812">
        <v>145.1199</v>
      </c>
      <c r="F2812">
        <v>3</v>
      </c>
      <c r="G2812" t="s">
        <v>1164</v>
      </c>
      <c r="H2812">
        <v>67</v>
      </c>
      <c r="I2812">
        <v>247</v>
      </c>
      <c r="J2812">
        <v>191</v>
      </c>
      <c r="K2812">
        <v>11</v>
      </c>
      <c r="L2812">
        <v>270</v>
      </c>
      <c r="M2812">
        <v>90</v>
      </c>
      <c r="T2812">
        <v>4</v>
      </c>
      <c r="U2812">
        <v>23</v>
      </c>
      <c r="Y2812">
        <v>4</v>
      </c>
      <c r="Z2812">
        <v>9</v>
      </c>
      <c r="AD2812">
        <v>61</v>
      </c>
      <c r="AE2812">
        <v>8</v>
      </c>
      <c r="AX2812">
        <v>27</v>
      </c>
      <c r="AY2812">
        <v>65</v>
      </c>
      <c r="AZ2812">
        <v>92</v>
      </c>
      <c r="BA2812">
        <v>13</v>
      </c>
      <c r="BB2812">
        <v>12</v>
      </c>
      <c r="BC2812">
        <v>25</v>
      </c>
      <c r="BD2812">
        <v>69</v>
      </c>
      <c r="BE2812">
        <v>32</v>
      </c>
      <c r="BF2812">
        <v>101</v>
      </c>
      <c r="BP2812">
        <v>11</v>
      </c>
      <c r="BQ2812">
        <v>1</v>
      </c>
      <c r="BR2812">
        <v>73</v>
      </c>
      <c r="BS2812">
        <v>6</v>
      </c>
      <c r="BT2812">
        <v>18</v>
      </c>
      <c r="BU2812">
        <v>0</v>
      </c>
      <c r="BV2812">
        <v>0</v>
      </c>
      <c r="BW2812">
        <v>109</v>
      </c>
      <c r="BZ2812" s="10"/>
      <c r="CA2812" s="7">
        <v>45606</v>
      </c>
      <c r="CE2812">
        <v>23</v>
      </c>
      <c r="CF2812">
        <v>46</v>
      </c>
      <c r="CG2812">
        <v>40</v>
      </c>
      <c r="CI2812">
        <f t="shared" ref="CI2812:CI2875" si="250">YEAR(CA2812)</f>
        <v>2024</v>
      </c>
      <c r="CJ2812" t="str">
        <f t="shared" si="249"/>
        <v>8284_2024</v>
      </c>
    </row>
    <row r="2813" spans="1:88" x14ac:dyDescent="0.25">
      <c r="A2813" t="s">
        <v>111</v>
      </c>
      <c r="B2813" t="s">
        <v>418</v>
      </c>
      <c r="C2813">
        <v>6984</v>
      </c>
      <c r="D2813">
        <v>-37.777645</v>
      </c>
      <c r="E2813">
        <v>144.89648</v>
      </c>
      <c r="F2813">
        <v>4</v>
      </c>
      <c r="G2813" t="s">
        <v>671</v>
      </c>
      <c r="H2813">
        <v>83</v>
      </c>
      <c r="I2813">
        <v>263</v>
      </c>
      <c r="J2813">
        <v>177</v>
      </c>
      <c r="K2813">
        <v>357</v>
      </c>
      <c r="L2813">
        <v>270</v>
      </c>
      <c r="M2813">
        <v>90</v>
      </c>
      <c r="N2813">
        <v>352</v>
      </c>
      <c r="O2813">
        <v>172</v>
      </c>
      <c r="T2813">
        <v>61</v>
      </c>
      <c r="U2813">
        <v>33</v>
      </c>
      <c r="V2813">
        <v>97</v>
      </c>
      <c r="Y2813">
        <v>64</v>
      </c>
      <c r="Z2813">
        <v>44</v>
      </c>
      <c r="AA2813">
        <v>385</v>
      </c>
      <c r="AD2813">
        <v>52</v>
      </c>
      <c r="AE2813">
        <v>45</v>
      </c>
      <c r="AF2813">
        <v>14</v>
      </c>
      <c r="AI2813">
        <v>130</v>
      </c>
      <c r="AJ2813">
        <v>320</v>
      </c>
      <c r="AK2813">
        <v>25</v>
      </c>
      <c r="AX2813">
        <v>191</v>
      </c>
      <c r="AY2813">
        <v>246</v>
      </c>
      <c r="AZ2813">
        <v>437</v>
      </c>
      <c r="BA2813">
        <v>493</v>
      </c>
      <c r="BB2813">
        <v>426</v>
      </c>
      <c r="BC2813">
        <v>919</v>
      </c>
      <c r="BD2813">
        <v>111</v>
      </c>
      <c r="BE2813">
        <v>102</v>
      </c>
      <c r="BF2813">
        <v>213</v>
      </c>
      <c r="BG2813">
        <v>475</v>
      </c>
      <c r="BH2813">
        <v>496</v>
      </c>
      <c r="BI2813">
        <v>971</v>
      </c>
      <c r="BP2813">
        <v>324</v>
      </c>
      <c r="BQ2813">
        <v>17</v>
      </c>
      <c r="BR2813">
        <v>490</v>
      </c>
      <c r="BS2813">
        <v>344</v>
      </c>
      <c r="BT2813">
        <v>92</v>
      </c>
      <c r="BU2813">
        <v>3</v>
      </c>
      <c r="BV2813">
        <v>0</v>
      </c>
      <c r="BW2813">
        <v>1270</v>
      </c>
      <c r="BX2813">
        <v>1131</v>
      </c>
      <c r="BY2813">
        <v>0.122900088</v>
      </c>
      <c r="BZ2813" s="10">
        <v>0.122900088</v>
      </c>
      <c r="CA2813" s="7">
        <v>45606</v>
      </c>
      <c r="CE2813">
        <v>428</v>
      </c>
      <c r="CF2813">
        <v>454</v>
      </c>
      <c r="CG2813">
        <v>388</v>
      </c>
      <c r="CI2813">
        <f t="shared" si="250"/>
        <v>2024</v>
      </c>
      <c r="CJ2813" t="str">
        <f t="shared" si="249"/>
        <v>6984_2024</v>
      </c>
    </row>
    <row r="2814" spans="1:88" x14ac:dyDescent="0.25">
      <c r="A2814" t="s">
        <v>111</v>
      </c>
      <c r="B2814" t="s">
        <v>418</v>
      </c>
      <c r="C2814">
        <v>7456</v>
      </c>
      <c r="D2814">
        <v>-37.776392000000001</v>
      </c>
      <c r="E2814">
        <v>144.86060000000001</v>
      </c>
      <c r="F2814">
        <v>3</v>
      </c>
      <c r="G2814" t="s">
        <v>832</v>
      </c>
      <c r="H2814">
        <v>64</v>
      </c>
      <c r="I2814">
        <v>244</v>
      </c>
      <c r="J2814">
        <v>245</v>
      </c>
      <c r="K2814">
        <v>65</v>
      </c>
      <c r="L2814">
        <v>278</v>
      </c>
      <c r="M2814">
        <v>98</v>
      </c>
      <c r="T2814">
        <v>24</v>
      </c>
      <c r="U2814">
        <v>15</v>
      </c>
      <c r="Y2814">
        <v>24</v>
      </c>
      <c r="Z2814">
        <v>25</v>
      </c>
      <c r="AD2814">
        <v>19</v>
      </c>
      <c r="AE2814">
        <v>24</v>
      </c>
      <c r="AX2814">
        <v>39</v>
      </c>
      <c r="AY2814">
        <v>43</v>
      </c>
      <c r="AZ2814">
        <v>82</v>
      </c>
      <c r="BA2814">
        <v>49</v>
      </c>
      <c r="BB2814">
        <v>48</v>
      </c>
      <c r="BC2814">
        <v>97</v>
      </c>
      <c r="BD2814">
        <v>43</v>
      </c>
      <c r="BE2814">
        <v>40</v>
      </c>
      <c r="BF2814">
        <v>83</v>
      </c>
      <c r="BP2814">
        <v>33</v>
      </c>
      <c r="BQ2814">
        <v>4</v>
      </c>
      <c r="BR2814">
        <v>48</v>
      </c>
      <c r="BS2814">
        <v>24</v>
      </c>
      <c r="BT2814">
        <v>21</v>
      </c>
      <c r="BU2814">
        <v>1</v>
      </c>
      <c r="BV2814">
        <v>0</v>
      </c>
      <c r="BW2814">
        <v>131</v>
      </c>
      <c r="BX2814">
        <v>131</v>
      </c>
      <c r="BY2814">
        <v>0</v>
      </c>
      <c r="BZ2814" s="10">
        <v>0</v>
      </c>
      <c r="CA2814" s="7">
        <v>45606</v>
      </c>
      <c r="CE2814">
        <v>57</v>
      </c>
      <c r="CF2814">
        <v>38</v>
      </c>
      <c r="CG2814">
        <v>36</v>
      </c>
      <c r="CI2814">
        <f t="shared" si="250"/>
        <v>2024</v>
      </c>
      <c r="CJ2814" t="str">
        <f t="shared" si="249"/>
        <v>7456_2024</v>
      </c>
    </row>
    <row r="2815" spans="1:88" x14ac:dyDescent="0.25">
      <c r="A2815" t="s">
        <v>111</v>
      </c>
      <c r="B2815" t="s">
        <v>418</v>
      </c>
      <c r="C2815">
        <v>7512</v>
      </c>
      <c r="D2815">
        <v>-37.801152000000002</v>
      </c>
      <c r="E2815">
        <v>144.88412500000001</v>
      </c>
      <c r="F2815">
        <v>3</v>
      </c>
      <c r="G2815" t="s">
        <v>859</v>
      </c>
      <c r="H2815">
        <v>97</v>
      </c>
      <c r="I2815">
        <v>277</v>
      </c>
      <c r="J2815">
        <v>137</v>
      </c>
      <c r="K2815">
        <v>317</v>
      </c>
      <c r="L2815">
        <v>277</v>
      </c>
      <c r="M2815">
        <v>97</v>
      </c>
      <c r="T2815">
        <v>5</v>
      </c>
      <c r="U2815">
        <v>140</v>
      </c>
      <c r="Y2815">
        <v>16</v>
      </c>
      <c r="Z2815">
        <v>5</v>
      </c>
      <c r="AD2815">
        <v>125</v>
      </c>
      <c r="AE2815">
        <v>7</v>
      </c>
      <c r="AX2815">
        <v>145</v>
      </c>
      <c r="AY2815">
        <v>141</v>
      </c>
      <c r="AZ2815">
        <v>286</v>
      </c>
      <c r="BA2815">
        <v>21</v>
      </c>
      <c r="BB2815">
        <v>12</v>
      </c>
      <c r="BC2815">
        <v>33</v>
      </c>
      <c r="BD2815">
        <v>132</v>
      </c>
      <c r="BE2815">
        <v>145</v>
      </c>
      <c r="BF2815">
        <v>277</v>
      </c>
      <c r="BP2815">
        <v>132</v>
      </c>
      <c r="BQ2815">
        <v>39</v>
      </c>
      <c r="BR2815">
        <v>49</v>
      </c>
      <c r="BS2815">
        <v>53</v>
      </c>
      <c r="BT2815">
        <v>19</v>
      </c>
      <c r="BU2815">
        <v>5</v>
      </c>
      <c r="BV2815">
        <v>1</v>
      </c>
      <c r="BW2815">
        <v>298</v>
      </c>
      <c r="BX2815">
        <v>259</v>
      </c>
      <c r="BY2815">
        <v>0.15057915099999999</v>
      </c>
      <c r="BZ2815" s="10">
        <v>0.15057915099999999</v>
      </c>
      <c r="CA2815" s="7">
        <v>45606</v>
      </c>
      <c r="CE2815">
        <v>105</v>
      </c>
      <c r="CF2815">
        <v>92</v>
      </c>
      <c r="CG2815">
        <v>101</v>
      </c>
      <c r="CI2815">
        <f t="shared" si="250"/>
        <v>2024</v>
      </c>
      <c r="CJ2815" t="str">
        <f t="shared" si="249"/>
        <v>7512_2024</v>
      </c>
    </row>
    <row r="2816" spans="1:88" x14ac:dyDescent="0.25">
      <c r="A2816" t="s">
        <v>111</v>
      </c>
      <c r="B2816" t="s">
        <v>418</v>
      </c>
      <c r="C2816">
        <v>7867</v>
      </c>
      <c r="D2816">
        <v>-37.819749999999999</v>
      </c>
      <c r="E2816">
        <v>144.87780599999999</v>
      </c>
      <c r="F2816">
        <v>5</v>
      </c>
      <c r="G2816" t="s">
        <v>1018</v>
      </c>
      <c r="H2816">
        <v>33</v>
      </c>
      <c r="I2816">
        <v>213</v>
      </c>
      <c r="J2816">
        <v>97</v>
      </c>
      <c r="K2816">
        <v>277</v>
      </c>
      <c r="L2816">
        <v>195</v>
      </c>
      <c r="M2816">
        <v>15</v>
      </c>
      <c r="N2816">
        <v>278</v>
      </c>
      <c r="O2816">
        <v>98</v>
      </c>
      <c r="P2816">
        <v>340</v>
      </c>
      <c r="Q2816">
        <v>160</v>
      </c>
      <c r="T2816">
        <v>12</v>
      </c>
      <c r="U2816">
        <v>14</v>
      </c>
      <c r="V2816">
        <v>5</v>
      </c>
      <c r="W2816">
        <v>61</v>
      </c>
      <c r="Y2816">
        <v>12</v>
      </c>
      <c r="Z2816">
        <v>3</v>
      </c>
      <c r="AA2816">
        <v>12</v>
      </c>
      <c r="AB2816">
        <v>6</v>
      </c>
      <c r="AD2816">
        <v>16</v>
      </c>
      <c r="AE2816">
        <v>9</v>
      </c>
      <c r="AF2816">
        <v>0</v>
      </c>
      <c r="AG2816">
        <v>19</v>
      </c>
      <c r="AI2816">
        <v>5</v>
      </c>
      <c r="AJ2816">
        <v>12</v>
      </c>
      <c r="AK2816">
        <v>1</v>
      </c>
      <c r="AL2816">
        <v>2</v>
      </c>
      <c r="AN2816">
        <v>59</v>
      </c>
      <c r="AO2816">
        <v>17</v>
      </c>
      <c r="AP2816">
        <v>19</v>
      </c>
      <c r="AQ2816">
        <v>5</v>
      </c>
      <c r="AX2816">
        <v>92</v>
      </c>
      <c r="AY2816">
        <v>92</v>
      </c>
      <c r="AZ2816">
        <v>184</v>
      </c>
      <c r="BA2816">
        <v>33</v>
      </c>
      <c r="BB2816">
        <v>50</v>
      </c>
      <c r="BC2816">
        <v>83</v>
      </c>
      <c r="BD2816">
        <v>44</v>
      </c>
      <c r="BE2816">
        <v>37</v>
      </c>
      <c r="BF2816">
        <v>81</v>
      </c>
      <c r="BG2816">
        <v>20</v>
      </c>
      <c r="BH2816">
        <v>22</v>
      </c>
      <c r="BI2816">
        <v>42</v>
      </c>
      <c r="BJ2816">
        <v>100</v>
      </c>
      <c r="BK2816">
        <v>88</v>
      </c>
      <c r="BL2816">
        <v>188</v>
      </c>
      <c r="BP2816">
        <v>23</v>
      </c>
      <c r="BQ2816">
        <v>1</v>
      </c>
      <c r="BR2816">
        <v>148</v>
      </c>
      <c r="BS2816">
        <v>47</v>
      </c>
      <c r="BT2816">
        <v>65</v>
      </c>
      <c r="BU2816">
        <v>5</v>
      </c>
      <c r="BV2816">
        <v>0</v>
      </c>
      <c r="BW2816">
        <v>289</v>
      </c>
      <c r="BX2816">
        <v>329</v>
      </c>
      <c r="BY2816">
        <v>-0.121580547</v>
      </c>
      <c r="BZ2816" s="10">
        <v>-0.121580547</v>
      </c>
      <c r="CA2816" s="7">
        <v>45606</v>
      </c>
      <c r="CE2816">
        <v>100</v>
      </c>
      <c r="CF2816">
        <v>93</v>
      </c>
      <c r="CG2816">
        <v>96</v>
      </c>
      <c r="CI2816">
        <f t="shared" si="250"/>
        <v>2024</v>
      </c>
      <c r="CJ2816" t="str">
        <f t="shared" si="249"/>
        <v>7867_2024</v>
      </c>
    </row>
    <row r="2817" spans="1:88" x14ac:dyDescent="0.25">
      <c r="A2817" t="s">
        <v>277</v>
      </c>
      <c r="B2817" t="s">
        <v>790</v>
      </c>
      <c r="C2817">
        <v>7261</v>
      </c>
      <c r="D2817">
        <v>-34.970635000000001</v>
      </c>
      <c r="E2817">
        <v>138.54842199999999</v>
      </c>
      <c r="F2817">
        <v>2</v>
      </c>
      <c r="G2817" t="s">
        <v>792</v>
      </c>
      <c r="H2817">
        <v>55</v>
      </c>
      <c r="I2817">
        <v>235</v>
      </c>
      <c r="J2817">
        <v>240</v>
      </c>
      <c r="K2817">
        <v>60</v>
      </c>
      <c r="T2817">
        <v>169</v>
      </c>
      <c r="Y2817">
        <v>142</v>
      </c>
      <c r="AX2817">
        <v>169</v>
      </c>
      <c r="AY2817">
        <v>142</v>
      </c>
      <c r="AZ2817">
        <v>311</v>
      </c>
      <c r="BA2817">
        <v>142</v>
      </c>
      <c r="BB2817">
        <v>169</v>
      </c>
      <c r="BC2817">
        <v>311</v>
      </c>
      <c r="BP2817">
        <v>214</v>
      </c>
      <c r="BQ2817">
        <v>9</v>
      </c>
      <c r="BR2817">
        <v>37</v>
      </c>
      <c r="BS2817">
        <v>38</v>
      </c>
      <c r="BT2817">
        <v>13</v>
      </c>
      <c r="BU2817">
        <v>0</v>
      </c>
      <c r="BV2817">
        <v>0</v>
      </c>
      <c r="BW2817">
        <v>311</v>
      </c>
      <c r="BX2817">
        <v>232</v>
      </c>
      <c r="BY2817">
        <v>0.34051724100000003</v>
      </c>
      <c r="BZ2817" s="10">
        <v>0.34051724100000003</v>
      </c>
      <c r="CA2817" s="7">
        <v>45606</v>
      </c>
      <c r="CE2817">
        <v>113</v>
      </c>
      <c r="CF2817">
        <v>101</v>
      </c>
      <c r="CG2817">
        <v>97</v>
      </c>
      <c r="CI2817">
        <f t="shared" si="250"/>
        <v>2024</v>
      </c>
      <c r="CJ2817" t="str">
        <f t="shared" si="249"/>
        <v>7261_2024</v>
      </c>
    </row>
    <row r="2818" spans="1:88" x14ac:dyDescent="0.25">
      <c r="A2818" t="s">
        <v>277</v>
      </c>
      <c r="B2818" t="s">
        <v>790</v>
      </c>
      <c r="C2818">
        <v>7482</v>
      </c>
      <c r="D2818">
        <v>-35.047204999999998</v>
      </c>
      <c r="E2818">
        <v>138.51098200000001</v>
      </c>
      <c r="F2818">
        <v>4</v>
      </c>
      <c r="G2818" t="s">
        <v>851</v>
      </c>
      <c r="H2818">
        <v>53</v>
      </c>
      <c r="I2818">
        <v>233</v>
      </c>
      <c r="J2818">
        <v>220</v>
      </c>
      <c r="K2818">
        <v>40</v>
      </c>
      <c r="L2818">
        <v>235</v>
      </c>
      <c r="M2818">
        <v>55</v>
      </c>
      <c r="N2818">
        <v>325</v>
      </c>
      <c r="O2818">
        <v>145</v>
      </c>
      <c r="T2818">
        <v>38</v>
      </c>
      <c r="U2818">
        <v>11</v>
      </c>
      <c r="V2818">
        <v>1</v>
      </c>
      <c r="Y2818">
        <v>65</v>
      </c>
      <c r="Z2818">
        <v>0</v>
      </c>
      <c r="AA2818">
        <v>0</v>
      </c>
      <c r="AD2818">
        <v>36</v>
      </c>
      <c r="AE2818">
        <v>0</v>
      </c>
      <c r="AF2818">
        <v>1</v>
      </c>
      <c r="AI2818">
        <v>5</v>
      </c>
      <c r="AJ2818">
        <v>4</v>
      </c>
      <c r="AK2818">
        <v>4</v>
      </c>
      <c r="AX2818">
        <v>50</v>
      </c>
      <c r="AY2818">
        <v>106</v>
      </c>
      <c r="AZ2818">
        <v>156</v>
      </c>
      <c r="BA2818">
        <v>65</v>
      </c>
      <c r="BB2818">
        <v>42</v>
      </c>
      <c r="BC2818">
        <v>107</v>
      </c>
      <c r="BD2818">
        <v>37</v>
      </c>
      <c r="BE2818">
        <v>15</v>
      </c>
      <c r="BF2818">
        <v>52</v>
      </c>
      <c r="BG2818">
        <v>13</v>
      </c>
      <c r="BH2818">
        <v>2</v>
      </c>
      <c r="BI2818">
        <v>15</v>
      </c>
      <c r="BP2818">
        <v>117</v>
      </c>
      <c r="BQ2818">
        <v>21</v>
      </c>
      <c r="BR2818">
        <v>20</v>
      </c>
      <c r="BS2818">
        <v>3</v>
      </c>
      <c r="BT2818">
        <v>4</v>
      </c>
      <c r="BU2818">
        <v>0</v>
      </c>
      <c r="BV2818">
        <v>0</v>
      </c>
      <c r="BW2818">
        <v>165</v>
      </c>
      <c r="BX2818">
        <v>141</v>
      </c>
      <c r="BY2818">
        <v>0.17021276599999999</v>
      </c>
      <c r="BZ2818" s="10">
        <v>0.17021276599999999</v>
      </c>
      <c r="CA2818" s="7">
        <v>45606</v>
      </c>
      <c r="CE2818">
        <v>63</v>
      </c>
      <c r="CF2818">
        <v>38</v>
      </c>
      <c r="CG2818">
        <v>64</v>
      </c>
      <c r="CI2818">
        <f t="shared" si="250"/>
        <v>2024</v>
      </c>
      <c r="CJ2818" t="str">
        <f t="shared" si="249"/>
        <v>7482_2024</v>
      </c>
    </row>
    <row r="2819" spans="1:88" x14ac:dyDescent="0.25">
      <c r="A2819" t="s">
        <v>277</v>
      </c>
      <c r="B2819" t="s">
        <v>790</v>
      </c>
      <c r="C2819">
        <v>7483</v>
      </c>
      <c r="D2819">
        <v>-35.077741000000003</v>
      </c>
      <c r="E2819">
        <v>138.536688</v>
      </c>
      <c r="F2819">
        <v>4</v>
      </c>
      <c r="G2819" t="s">
        <v>852</v>
      </c>
      <c r="H2819">
        <v>106</v>
      </c>
      <c r="I2819">
        <v>286</v>
      </c>
      <c r="J2819">
        <v>177</v>
      </c>
      <c r="K2819">
        <v>357</v>
      </c>
      <c r="L2819">
        <v>287</v>
      </c>
      <c r="M2819">
        <v>107</v>
      </c>
      <c r="N2819">
        <v>354</v>
      </c>
      <c r="O2819">
        <v>174</v>
      </c>
      <c r="T2819">
        <v>5</v>
      </c>
      <c r="U2819">
        <v>42</v>
      </c>
      <c r="V2819">
        <v>2</v>
      </c>
      <c r="Y2819">
        <v>4</v>
      </c>
      <c r="Z2819">
        <v>5</v>
      </c>
      <c r="AA2819">
        <v>11</v>
      </c>
      <c r="AD2819">
        <v>34</v>
      </c>
      <c r="AE2819">
        <v>7</v>
      </c>
      <c r="AF2819">
        <v>5</v>
      </c>
      <c r="AI2819">
        <v>2</v>
      </c>
      <c r="AJ2819">
        <v>6</v>
      </c>
      <c r="AK2819">
        <v>2</v>
      </c>
      <c r="AX2819">
        <v>49</v>
      </c>
      <c r="AY2819">
        <v>40</v>
      </c>
      <c r="AZ2819">
        <v>89</v>
      </c>
      <c r="BA2819">
        <v>20</v>
      </c>
      <c r="BB2819">
        <v>18</v>
      </c>
      <c r="BC2819">
        <v>38</v>
      </c>
      <c r="BD2819">
        <v>46</v>
      </c>
      <c r="BE2819">
        <v>49</v>
      </c>
      <c r="BF2819">
        <v>95</v>
      </c>
      <c r="BG2819">
        <v>10</v>
      </c>
      <c r="BH2819">
        <v>18</v>
      </c>
      <c r="BI2819">
        <v>28</v>
      </c>
      <c r="BP2819">
        <v>68</v>
      </c>
      <c r="BQ2819">
        <v>8</v>
      </c>
      <c r="BR2819">
        <v>26</v>
      </c>
      <c r="BS2819">
        <v>7</v>
      </c>
      <c r="BT2819">
        <v>13</v>
      </c>
      <c r="BU2819">
        <v>2</v>
      </c>
      <c r="BV2819">
        <v>1</v>
      </c>
      <c r="BW2819">
        <v>125</v>
      </c>
      <c r="BX2819">
        <v>112</v>
      </c>
      <c r="BY2819">
        <v>0.116071429</v>
      </c>
      <c r="BZ2819" s="10">
        <v>0.116071429</v>
      </c>
      <c r="CA2819" s="7">
        <v>45606</v>
      </c>
      <c r="CE2819">
        <v>43</v>
      </c>
      <c r="CF2819">
        <v>47</v>
      </c>
      <c r="CG2819">
        <v>35</v>
      </c>
      <c r="CI2819">
        <f t="shared" si="250"/>
        <v>2024</v>
      </c>
      <c r="CJ2819" t="str">
        <f t="shared" ref="CJ2819:CJ2882" si="251">_xlfn.CONCAT(C2819,"_",CI2819)</f>
        <v>7483_2024</v>
      </c>
    </row>
    <row r="2820" spans="1:88" x14ac:dyDescent="0.25">
      <c r="A2820" t="s">
        <v>277</v>
      </c>
      <c r="B2820" t="s">
        <v>790</v>
      </c>
      <c r="C2820">
        <v>7484</v>
      </c>
      <c r="D2820">
        <v>-34.992266999999998</v>
      </c>
      <c r="E2820">
        <v>138.559898</v>
      </c>
      <c r="F2820">
        <v>2</v>
      </c>
      <c r="G2820" t="s">
        <v>853</v>
      </c>
      <c r="H2820">
        <v>36</v>
      </c>
      <c r="I2820">
        <v>216</v>
      </c>
      <c r="J2820">
        <v>217</v>
      </c>
      <c r="K2820">
        <v>37</v>
      </c>
      <c r="T2820">
        <v>86</v>
      </c>
      <c r="Y2820">
        <v>82</v>
      </c>
      <c r="AX2820">
        <v>86</v>
      </c>
      <c r="AY2820">
        <v>82</v>
      </c>
      <c r="AZ2820">
        <v>168</v>
      </c>
      <c r="BA2820">
        <v>82</v>
      </c>
      <c r="BB2820">
        <v>86</v>
      </c>
      <c r="BC2820">
        <v>168</v>
      </c>
      <c r="BP2820">
        <v>123</v>
      </c>
      <c r="BQ2820">
        <v>8</v>
      </c>
      <c r="BR2820">
        <v>20</v>
      </c>
      <c r="BS2820">
        <v>13</v>
      </c>
      <c r="BT2820">
        <v>3</v>
      </c>
      <c r="BU2820">
        <v>1</v>
      </c>
      <c r="BV2820">
        <v>0</v>
      </c>
      <c r="BW2820">
        <v>168</v>
      </c>
      <c r="BX2820">
        <v>94</v>
      </c>
      <c r="BY2820">
        <v>0.78723404299999999</v>
      </c>
      <c r="BZ2820" s="10">
        <v>0.78723404299999999</v>
      </c>
      <c r="CA2820" s="7">
        <v>45606</v>
      </c>
      <c r="CE2820">
        <v>60</v>
      </c>
      <c r="CF2820">
        <v>52</v>
      </c>
      <c r="CG2820">
        <v>56</v>
      </c>
      <c r="CI2820">
        <f t="shared" si="250"/>
        <v>2024</v>
      </c>
      <c r="CJ2820" t="str">
        <f t="shared" si="251"/>
        <v>7484_2024</v>
      </c>
    </row>
    <row r="2821" spans="1:88" x14ac:dyDescent="0.25">
      <c r="A2821" t="s">
        <v>277</v>
      </c>
      <c r="B2821" t="s">
        <v>790</v>
      </c>
      <c r="C2821">
        <v>7504</v>
      </c>
      <c r="D2821">
        <v>-34.995392000000002</v>
      </c>
      <c r="E2821">
        <v>138.54557</v>
      </c>
      <c r="F2821">
        <v>4</v>
      </c>
      <c r="G2821" t="s">
        <v>856</v>
      </c>
      <c r="H2821">
        <v>15</v>
      </c>
      <c r="I2821">
        <v>195</v>
      </c>
      <c r="J2821">
        <v>84</v>
      </c>
      <c r="K2821">
        <v>264</v>
      </c>
      <c r="L2821">
        <v>180</v>
      </c>
      <c r="M2821">
        <v>360</v>
      </c>
      <c r="N2821">
        <v>265</v>
      </c>
      <c r="O2821">
        <v>85</v>
      </c>
      <c r="T2821">
        <v>3</v>
      </c>
      <c r="U2821">
        <v>71</v>
      </c>
      <c r="V2821">
        <v>17</v>
      </c>
      <c r="Y2821">
        <v>5</v>
      </c>
      <c r="Z2821">
        <v>9</v>
      </c>
      <c r="AA2821">
        <v>22</v>
      </c>
      <c r="AD2821">
        <v>88</v>
      </c>
      <c r="AE2821">
        <v>3</v>
      </c>
      <c r="AF2821">
        <v>16</v>
      </c>
      <c r="AI2821">
        <v>7</v>
      </c>
      <c r="AJ2821">
        <v>24</v>
      </c>
      <c r="AK2821">
        <v>23</v>
      </c>
      <c r="AX2821">
        <v>91</v>
      </c>
      <c r="AY2821">
        <v>100</v>
      </c>
      <c r="AZ2821">
        <v>191</v>
      </c>
      <c r="BA2821">
        <v>36</v>
      </c>
      <c r="BB2821">
        <v>30</v>
      </c>
      <c r="BC2821">
        <v>66</v>
      </c>
      <c r="BD2821">
        <v>107</v>
      </c>
      <c r="BE2821">
        <v>103</v>
      </c>
      <c r="BF2821">
        <v>210</v>
      </c>
      <c r="BG2821">
        <v>54</v>
      </c>
      <c r="BH2821">
        <v>55</v>
      </c>
      <c r="BI2821">
        <v>109</v>
      </c>
      <c r="BP2821">
        <v>120</v>
      </c>
      <c r="BQ2821">
        <v>3</v>
      </c>
      <c r="BR2821">
        <v>79</v>
      </c>
      <c r="BS2821">
        <v>51</v>
      </c>
      <c r="BT2821">
        <v>20</v>
      </c>
      <c r="BU2821">
        <v>10</v>
      </c>
      <c r="BV2821">
        <v>5</v>
      </c>
      <c r="BW2821">
        <v>288</v>
      </c>
      <c r="BX2821">
        <v>258</v>
      </c>
      <c r="BY2821">
        <v>0.11627907</v>
      </c>
      <c r="BZ2821" s="10">
        <v>0.11627907</v>
      </c>
      <c r="CA2821" s="7">
        <v>45606</v>
      </c>
      <c r="CE2821">
        <v>102</v>
      </c>
      <c r="CF2821">
        <v>95</v>
      </c>
      <c r="CG2821">
        <v>91</v>
      </c>
      <c r="CI2821">
        <f t="shared" si="250"/>
        <v>2024</v>
      </c>
      <c r="CJ2821" t="str">
        <f t="shared" si="251"/>
        <v>7504_2024</v>
      </c>
    </row>
    <row r="2822" spans="1:88" x14ac:dyDescent="0.25">
      <c r="A2822" t="s">
        <v>277</v>
      </c>
      <c r="B2822" t="s">
        <v>790</v>
      </c>
      <c r="C2822">
        <v>7703</v>
      </c>
      <c r="D2822">
        <v>-35.065986000000002</v>
      </c>
      <c r="E2822">
        <v>138.524</v>
      </c>
      <c r="F2822">
        <v>4</v>
      </c>
      <c r="G2822" t="s">
        <v>907</v>
      </c>
      <c r="H2822">
        <v>33</v>
      </c>
      <c r="I2822">
        <v>213</v>
      </c>
      <c r="J2822">
        <v>150</v>
      </c>
      <c r="K2822">
        <v>330</v>
      </c>
      <c r="L2822">
        <v>240</v>
      </c>
      <c r="M2822">
        <v>60</v>
      </c>
      <c r="N2822">
        <v>300</v>
      </c>
      <c r="O2822">
        <v>120</v>
      </c>
      <c r="T2822">
        <v>15</v>
      </c>
      <c r="U2822">
        <v>23</v>
      </c>
      <c r="V2822">
        <v>3</v>
      </c>
      <c r="Y2822">
        <v>18</v>
      </c>
      <c r="Z2822">
        <v>0</v>
      </c>
      <c r="AA2822">
        <v>1</v>
      </c>
      <c r="AD2822">
        <v>30</v>
      </c>
      <c r="AE2822">
        <v>0</v>
      </c>
      <c r="AF2822">
        <v>0</v>
      </c>
      <c r="AI2822">
        <v>6</v>
      </c>
      <c r="AJ2822">
        <v>0</v>
      </c>
      <c r="AK2822">
        <v>0</v>
      </c>
      <c r="AX2822">
        <v>41</v>
      </c>
      <c r="AY2822">
        <v>54</v>
      </c>
      <c r="AZ2822">
        <v>95</v>
      </c>
      <c r="BA2822">
        <v>19</v>
      </c>
      <c r="BB2822">
        <v>15</v>
      </c>
      <c r="BC2822">
        <v>34</v>
      </c>
      <c r="BD2822">
        <v>30</v>
      </c>
      <c r="BE2822">
        <v>23</v>
      </c>
      <c r="BF2822">
        <v>53</v>
      </c>
      <c r="BG2822">
        <v>6</v>
      </c>
      <c r="BH2822">
        <v>4</v>
      </c>
      <c r="BI2822">
        <v>10</v>
      </c>
      <c r="BP2822">
        <v>5</v>
      </c>
      <c r="BQ2822">
        <v>0</v>
      </c>
      <c r="BR2822">
        <v>48</v>
      </c>
      <c r="BS2822">
        <v>0</v>
      </c>
      <c r="BT2822">
        <v>42</v>
      </c>
      <c r="BU2822">
        <v>1</v>
      </c>
      <c r="BV2822">
        <v>0</v>
      </c>
      <c r="BW2822">
        <v>96</v>
      </c>
      <c r="BX2822">
        <v>67</v>
      </c>
      <c r="BY2822">
        <v>0.43283582100000001</v>
      </c>
      <c r="BZ2822" s="10">
        <v>0.43283582100000001</v>
      </c>
      <c r="CA2822" s="7">
        <v>45606</v>
      </c>
      <c r="CE2822">
        <v>44</v>
      </c>
      <c r="CF2822">
        <v>37</v>
      </c>
      <c r="CG2822">
        <v>15</v>
      </c>
      <c r="CI2822">
        <f t="shared" si="250"/>
        <v>2024</v>
      </c>
      <c r="CJ2822" t="str">
        <f t="shared" si="251"/>
        <v>7703_2024</v>
      </c>
    </row>
    <row r="2823" spans="1:88" x14ac:dyDescent="0.25">
      <c r="A2823" t="s">
        <v>111</v>
      </c>
      <c r="B2823" t="s">
        <v>133</v>
      </c>
      <c r="C2823">
        <v>6007</v>
      </c>
      <c r="D2823">
        <v>-37.812233999999997</v>
      </c>
      <c r="E2823">
        <v>145.21820500000001</v>
      </c>
      <c r="F2823">
        <v>3</v>
      </c>
      <c r="G2823" t="s">
        <v>346</v>
      </c>
      <c r="H2823">
        <v>55</v>
      </c>
      <c r="I2823">
        <v>235</v>
      </c>
      <c r="J2823">
        <v>216</v>
      </c>
      <c r="K2823">
        <v>36</v>
      </c>
      <c r="L2823">
        <v>267</v>
      </c>
      <c r="M2823">
        <v>87</v>
      </c>
      <c r="T2823">
        <v>33</v>
      </c>
      <c r="U2823">
        <v>75</v>
      </c>
      <c r="Y2823">
        <v>28</v>
      </c>
      <c r="Z2823">
        <v>43</v>
      </c>
      <c r="AD2823">
        <v>90</v>
      </c>
      <c r="AE2823">
        <v>42</v>
      </c>
      <c r="AX2823">
        <v>108</v>
      </c>
      <c r="AY2823">
        <v>118</v>
      </c>
      <c r="AZ2823">
        <v>226</v>
      </c>
      <c r="BA2823">
        <v>71</v>
      </c>
      <c r="BB2823">
        <v>75</v>
      </c>
      <c r="BC2823">
        <v>146</v>
      </c>
      <c r="BD2823">
        <v>132</v>
      </c>
      <c r="BE2823">
        <v>118</v>
      </c>
      <c r="BF2823">
        <v>250</v>
      </c>
      <c r="BP2823">
        <v>164</v>
      </c>
      <c r="BQ2823">
        <v>9</v>
      </c>
      <c r="BR2823">
        <v>77</v>
      </c>
      <c r="BS2823">
        <v>38</v>
      </c>
      <c r="BT2823">
        <v>22</v>
      </c>
      <c r="BU2823">
        <v>1</v>
      </c>
      <c r="BV2823">
        <v>0</v>
      </c>
      <c r="BW2823">
        <v>311</v>
      </c>
      <c r="BZ2823" s="10"/>
      <c r="CA2823" s="7">
        <v>45606</v>
      </c>
      <c r="CE2823">
        <v>115</v>
      </c>
      <c r="CF2823">
        <v>99</v>
      </c>
      <c r="CG2823">
        <v>97</v>
      </c>
      <c r="CI2823">
        <f t="shared" si="250"/>
        <v>2024</v>
      </c>
      <c r="CJ2823" t="str">
        <f t="shared" si="251"/>
        <v>6007_2024</v>
      </c>
    </row>
    <row r="2824" spans="1:88" x14ac:dyDescent="0.25">
      <c r="A2824" t="s">
        <v>111</v>
      </c>
      <c r="B2824" t="s">
        <v>133</v>
      </c>
      <c r="C2824">
        <v>6009</v>
      </c>
      <c r="D2824">
        <v>-37.836188</v>
      </c>
      <c r="E2824">
        <v>145.25617500000001</v>
      </c>
      <c r="F2824">
        <v>4</v>
      </c>
      <c r="G2824" t="s">
        <v>348</v>
      </c>
      <c r="H2824">
        <v>80</v>
      </c>
      <c r="I2824">
        <v>260</v>
      </c>
      <c r="J2824">
        <v>171</v>
      </c>
      <c r="K2824">
        <v>351</v>
      </c>
      <c r="L2824">
        <v>248</v>
      </c>
      <c r="M2824">
        <v>68</v>
      </c>
      <c r="N2824">
        <v>334</v>
      </c>
      <c r="O2824">
        <v>154</v>
      </c>
      <c r="T2824">
        <v>9</v>
      </c>
      <c r="U2824">
        <v>196</v>
      </c>
      <c r="V2824">
        <v>62</v>
      </c>
      <c r="Y2824">
        <v>17</v>
      </c>
      <c r="Z2824">
        <v>11</v>
      </c>
      <c r="AA2824">
        <v>19</v>
      </c>
      <c r="AD2824">
        <v>177</v>
      </c>
      <c r="AE2824">
        <v>9</v>
      </c>
      <c r="AF2824">
        <v>44</v>
      </c>
      <c r="AI2824">
        <v>71</v>
      </c>
      <c r="AJ2824">
        <v>31</v>
      </c>
      <c r="AK2824">
        <v>31</v>
      </c>
      <c r="AX2824">
        <v>267</v>
      </c>
      <c r="AY2824">
        <v>265</v>
      </c>
      <c r="AZ2824">
        <v>532</v>
      </c>
      <c r="BA2824">
        <v>47</v>
      </c>
      <c r="BB2824">
        <v>49</v>
      </c>
      <c r="BC2824">
        <v>96</v>
      </c>
      <c r="BD2824">
        <v>230</v>
      </c>
      <c r="BE2824">
        <v>238</v>
      </c>
      <c r="BF2824">
        <v>468</v>
      </c>
      <c r="BG2824">
        <v>133</v>
      </c>
      <c r="BH2824">
        <v>125</v>
      </c>
      <c r="BI2824">
        <v>258</v>
      </c>
      <c r="BP2824">
        <v>346</v>
      </c>
      <c r="BQ2824">
        <v>6</v>
      </c>
      <c r="BR2824">
        <v>154</v>
      </c>
      <c r="BS2824">
        <v>101</v>
      </c>
      <c r="BT2824">
        <v>48</v>
      </c>
      <c r="BU2824">
        <v>8</v>
      </c>
      <c r="BV2824">
        <v>14</v>
      </c>
      <c r="BW2824">
        <v>677</v>
      </c>
      <c r="BZ2824" s="10"/>
      <c r="CA2824" s="7">
        <v>45606</v>
      </c>
      <c r="CE2824">
        <v>237</v>
      </c>
      <c r="CF2824">
        <v>249</v>
      </c>
      <c r="CG2824">
        <v>191</v>
      </c>
      <c r="CI2824">
        <f t="shared" si="250"/>
        <v>2024</v>
      </c>
      <c r="CJ2824" t="str">
        <f t="shared" si="251"/>
        <v>6009_2024</v>
      </c>
    </row>
    <row r="2825" spans="1:88" x14ac:dyDescent="0.25">
      <c r="A2825" t="s">
        <v>111</v>
      </c>
      <c r="B2825" t="s">
        <v>133</v>
      </c>
      <c r="C2825">
        <v>6013</v>
      </c>
      <c r="D2825">
        <v>-37.795898999999999</v>
      </c>
      <c r="E2825">
        <v>145.25088199999999</v>
      </c>
      <c r="F2825">
        <v>4</v>
      </c>
      <c r="G2825" t="s">
        <v>352</v>
      </c>
      <c r="H2825">
        <v>67</v>
      </c>
      <c r="I2825">
        <v>247</v>
      </c>
      <c r="J2825">
        <v>122</v>
      </c>
      <c r="K2825">
        <v>302</v>
      </c>
      <c r="L2825">
        <v>211</v>
      </c>
      <c r="M2825">
        <v>31</v>
      </c>
      <c r="N2825">
        <v>283</v>
      </c>
      <c r="O2825">
        <v>103</v>
      </c>
      <c r="T2825">
        <v>1</v>
      </c>
      <c r="U2825">
        <v>106</v>
      </c>
      <c r="V2825">
        <v>2</v>
      </c>
      <c r="Y2825">
        <v>0</v>
      </c>
      <c r="Z2825">
        <v>1</v>
      </c>
      <c r="AA2825">
        <v>18</v>
      </c>
      <c r="AD2825">
        <v>123</v>
      </c>
      <c r="AE2825">
        <v>0</v>
      </c>
      <c r="AF2825">
        <v>17</v>
      </c>
      <c r="AI2825">
        <v>0</v>
      </c>
      <c r="AJ2825">
        <v>7</v>
      </c>
      <c r="AK2825">
        <v>8</v>
      </c>
      <c r="AX2825">
        <v>109</v>
      </c>
      <c r="AY2825">
        <v>123</v>
      </c>
      <c r="AZ2825">
        <v>232</v>
      </c>
      <c r="BA2825">
        <v>19</v>
      </c>
      <c r="BB2825">
        <v>8</v>
      </c>
      <c r="BC2825">
        <v>27</v>
      </c>
      <c r="BD2825">
        <v>140</v>
      </c>
      <c r="BE2825">
        <v>115</v>
      </c>
      <c r="BF2825">
        <v>255</v>
      </c>
      <c r="BG2825">
        <v>15</v>
      </c>
      <c r="BH2825">
        <v>37</v>
      </c>
      <c r="BI2825">
        <v>52</v>
      </c>
      <c r="BP2825">
        <v>88</v>
      </c>
      <c r="BQ2825">
        <v>9</v>
      </c>
      <c r="BR2825">
        <v>92</v>
      </c>
      <c r="BS2825">
        <v>52</v>
      </c>
      <c r="BT2825">
        <v>41</v>
      </c>
      <c r="BU2825">
        <v>1</v>
      </c>
      <c r="BV2825">
        <v>0</v>
      </c>
      <c r="BW2825">
        <v>283</v>
      </c>
      <c r="BZ2825" s="10"/>
      <c r="CA2825" s="7">
        <v>45606</v>
      </c>
      <c r="CE2825">
        <v>139</v>
      </c>
      <c r="CF2825">
        <v>89</v>
      </c>
      <c r="CG2825">
        <v>55</v>
      </c>
      <c r="CI2825">
        <f t="shared" si="250"/>
        <v>2024</v>
      </c>
      <c r="CJ2825" t="str">
        <f t="shared" si="251"/>
        <v>6013_2024</v>
      </c>
    </row>
    <row r="2826" spans="1:88" x14ac:dyDescent="0.25">
      <c r="A2826" t="s">
        <v>111</v>
      </c>
      <c r="B2826" t="s">
        <v>133</v>
      </c>
      <c r="C2826">
        <v>6357</v>
      </c>
      <c r="D2826">
        <v>-37.771980999999997</v>
      </c>
      <c r="E2826">
        <v>145.29944599999999</v>
      </c>
      <c r="F2826">
        <v>4</v>
      </c>
      <c r="G2826" t="s">
        <v>529</v>
      </c>
      <c r="H2826">
        <v>101</v>
      </c>
      <c r="I2826">
        <v>281</v>
      </c>
      <c r="J2826">
        <v>151</v>
      </c>
      <c r="K2826">
        <v>331</v>
      </c>
      <c r="L2826">
        <v>278</v>
      </c>
      <c r="M2826">
        <v>98</v>
      </c>
      <c r="N2826">
        <v>324</v>
      </c>
      <c r="O2826">
        <v>144</v>
      </c>
      <c r="T2826">
        <v>27</v>
      </c>
      <c r="U2826">
        <v>13</v>
      </c>
      <c r="V2826">
        <v>11</v>
      </c>
      <c r="Y2826">
        <v>17</v>
      </c>
      <c r="Z2826">
        <v>8</v>
      </c>
      <c r="AA2826">
        <v>13</v>
      </c>
      <c r="AD2826">
        <v>9</v>
      </c>
      <c r="AE2826">
        <v>13</v>
      </c>
      <c r="AF2826">
        <v>5</v>
      </c>
      <c r="AI2826">
        <v>9</v>
      </c>
      <c r="AJ2826">
        <v>15</v>
      </c>
      <c r="AK2826">
        <v>2</v>
      </c>
      <c r="AX2826">
        <v>51</v>
      </c>
      <c r="AY2826">
        <v>35</v>
      </c>
      <c r="AZ2826">
        <v>86</v>
      </c>
      <c r="BA2826">
        <v>38</v>
      </c>
      <c r="BB2826">
        <v>55</v>
      </c>
      <c r="BC2826">
        <v>93</v>
      </c>
      <c r="BD2826">
        <v>27</v>
      </c>
      <c r="BE2826">
        <v>23</v>
      </c>
      <c r="BF2826">
        <v>50</v>
      </c>
      <c r="BG2826">
        <v>26</v>
      </c>
      <c r="BH2826">
        <v>29</v>
      </c>
      <c r="BI2826">
        <v>55</v>
      </c>
      <c r="BP2826">
        <v>18</v>
      </c>
      <c r="BQ2826">
        <v>7</v>
      </c>
      <c r="BR2826">
        <v>57</v>
      </c>
      <c r="BS2826">
        <v>17</v>
      </c>
      <c r="BT2826">
        <v>37</v>
      </c>
      <c r="BU2826">
        <v>0</v>
      </c>
      <c r="BV2826">
        <v>6</v>
      </c>
      <c r="BW2826">
        <v>142</v>
      </c>
      <c r="BZ2826" s="10"/>
      <c r="CA2826" s="7">
        <v>45606</v>
      </c>
      <c r="CE2826">
        <v>34</v>
      </c>
      <c r="CF2826">
        <v>61</v>
      </c>
      <c r="CG2826">
        <v>47</v>
      </c>
      <c r="CI2826">
        <f t="shared" si="250"/>
        <v>2024</v>
      </c>
      <c r="CJ2826" t="str">
        <f t="shared" si="251"/>
        <v>6357_2024</v>
      </c>
    </row>
    <row r="2827" spans="1:88" x14ac:dyDescent="0.25">
      <c r="A2827" t="s">
        <v>111</v>
      </c>
      <c r="B2827" t="s">
        <v>133</v>
      </c>
      <c r="C2827">
        <v>6363</v>
      </c>
      <c r="D2827">
        <v>-37.811075000000002</v>
      </c>
      <c r="E2827">
        <v>145.27147400000001</v>
      </c>
      <c r="F2827">
        <v>4</v>
      </c>
      <c r="G2827" t="s">
        <v>1165</v>
      </c>
      <c r="H2827">
        <v>29</v>
      </c>
      <c r="I2827">
        <v>209</v>
      </c>
      <c r="J2827">
        <v>110</v>
      </c>
      <c r="K2827">
        <v>290</v>
      </c>
      <c r="L2827">
        <v>209</v>
      </c>
      <c r="M2827">
        <v>29</v>
      </c>
      <c r="N2827">
        <v>290</v>
      </c>
      <c r="O2827">
        <v>110</v>
      </c>
      <c r="T2827">
        <v>18</v>
      </c>
      <c r="U2827">
        <v>119</v>
      </c>
      <c r="V2827">
        <v>30</v>
      </c>
      <c r="Y2827">
        <v>30</v>
      </c>
      <c r="Z2827">
        <v>3</v>
      </c>
      <c r="AA2827">
        <v>20</v>
      </c>
      <c r="AD2827">
        <v>135</v>
      </c>
      <c r="AE2827">
        <v>0</v>
      </c>
      <c r="AF2827">
        <v>17</v>
      </c>
      <c r="AI2827">
        <v>78</v>
      </c>
      <c r="AJ2827">
        <v>16</v>
      </c>
      <c r="AK2827">
        <v>10</v>
      </c>
      <c r="AX2827">
        <v>167</v>
      </c>
      <c r="AY2827">
        <v>243</v>
      </c>
      <c r="AZ2827">
        <v>410</v>
      </c>
      <c r="BA2827">
        <v>53</v>
      </c>
      <c r="BB2827">
        <v>34</v>
      </c>
      <c r="BC2827">
        <v>87</v>
      </c>
      <c r="BD2827">
        <v>152</v>
      </c>
      <c r="BE2827">
        <v>132</v>
      </c>
      <c r="BF2827">
        <v>284</v>
      </c>
      <c r="BG2827">
        <v>104</v>
      </c>
      <c r="BH2827">
        <v>67</v>
      </c>
      <c r="BI2827">
        <v>171</v>
      </c>
      <c r="BP2827">
        <v>172</v>
      </c>
      <c r="BQ2827">
        <v>11</v>
      </c>
      <c r="BR2827">
        <v>212</v>
      </c>
      <c r="BS2827">
        <v>24</v>
      </c>
      <c r="BT2827">
        <v>54</v>
      </c>
      <c r="BU2827">
        <v>3</v>
      </c>
      <c r="BV2827">
        <v>0</v>
      </c>
      <c r="BW2827">
        <v>476</v>
      </c>
      <c r="BZ2827" s="10"/>
      <c r="CA2827" s="7">
        <v>45606</v>
      </c>
      <c r="CE2827">
        <v>155</v>
      </c>
      <c r="CF2827">
        <v>137</v>
      </c>
      <c r="CG2827">
        <v>184</v>
      </c>
      <c r="CI2827">
        <f t="shared" si="250"/>
        <v>2024</v>
      </c>
      <c r="CJ2827" t="str">
        <f t="shared" si="251"/>
        <v>6363_2024</v>
      </c>
    </row>
    <row r="2828" spans="1:88" x14ac:dyDescent="0.25">
      <c r="A2828" t="s">
        <v>111</v>
      </c>
      <c r="B2828" t="s">
        <v>133</v>
      </c>
      <c r="C2828">
        <v>6370</v>
      </c>
      <c r="D2828">
        <v>-37.830329999999996</v>
      </c>
      <c r="E2828">
        <v>145.26370800000001</v>
      </c>
      <c r="F2828">
        <v>4</v>
      </c>
      <c r="G2828" t="s">
        <v>1166</v>
      </c>
      <c r="H2828">
        <v>29</v>
      </c>
      <c r="I2828">
        <v>209</v>
      </c>
      <c r="J2828">
        <v>145</v>
      </c>
      <c r="K2828">
        <v>325</v>
      </c>
      <c r="L2828">
        <v>218</v>
      </c>
      <c r="M2828">
        <v>38</v>
      </c>
      <c r="N2828">
        <v>325</v>
      </c>
      <c r="O2828">
        <v>145</v>
      </c>
      <c r="T2828">
        <v>6</v>
      </c>
      <c r="U2828">
        <v>54</v>
      </c>
      <c r="V2828">
        <v>4</v>
      </c>
      <c r="Y2828">
        <v>17</v>
      </c>
      <c r="Z2828">
        <v>9</v>
      </c>
      <c r="AA2828">
        <v>6</v>
      </c>
      <c r="AD2828">
        <v>50</v>
      </c>
      <c r="AE2828">
        <v>4</v>
      </c>
      <c r="AF2828">
        <v>0</v>
      </c>
      <c r="AI2828">
        <v>10</v>
      </c>
      <c r="AJ2828">
        <v>12</v>
      </c>
      <c r="AK2828">
        <v>1</v>
      </c>
      <c r="AX2828">
        <v>64</v>
      </c>
      <c r="AY2828">
        <v>77</v>
      </c>
      <c r="AZ2828">
        <v>141</v>
      </c>
      <c r="BA2828">
        <v>32</v>
      </c>
      <c r="BB2828">
        <v>22</v>
      </c>
      <c r="BC2828">
        <v>54</v>
      </c>
      <c r="BD2828">
        <v>54</v>
      </c>
      <c r="BE2828">
        <v>64</v>
      </c>
      <c r="BF2828">
        <v>118</v>
      </c>
      <c r="BG2828">
        <v>23</v>
      </c>
      <c r="BH2828">
        <v>10</v>
      </c>
      <c r="BI2828">
        <v>33</v>
      </c>
      <c r="BP2828">
        <v>101</v>
      </c>
      <c r="BQ2828">
        <v>5</v>
      </c>
      <c r="BR2828">
        <v>38</v>
      </c>
      <c r="BS2828">
        <v>18</v>
      </c>
      <c r="BT2828">
        <v>10</v>
      </c>
      <c r="BU2828">
        <v>0</v>
      </c>
      <c r="BV2828">
        <v>1</v>
      </c>
      <c r="BW2828">
        <v>173</v>
      </c>
      <c r="BZ2828" s="10"/>
      <c r="CA2828" s="7">
        <v>45606</v>
      </c>
      <c r="CE2828">
        <v>54</v>
      </c>
      <c r="CF2828">
        <v>57</v>
      </c>
      <c r="CG2828">
        <v>62</v>
      </c>
      <c r="CI2828">
        <f t="shared" si="250"/>
        <v>2024</v>
      </c>
      <c r="CJ2828" t="str">
        <f t="shared" si="251"/>
        <v>6370_2024</v>
      </c>
    </row>
    <row r="2829" spans="1:88" x14ac:dyDescent="0.25">
      <c r="A2829" t="s">
        <v>111</v>
      </c>
      <c r="B2829" t="s">
        <v>133</v>
      </c>
      <c r="C2829">
        <v>8273</v>
      </c>
      <c r="D2829">
        <v>-37.768445999999997</v>
      </c>
      <c r="E2829">
        <v>145.298034</v>
      </c>
      <c r="F2829">
        <v>2</v>
      </c>
      <c r="G2829" t="s">
        <v>1167</v>
      </c>
      <c r="H2829">
        <v>47</v>
      </c>
      <c r="I2829">
        <v>227</v>
      </c>
      <c r="J2829">
        <v>275</v>
      </c>
      <c r="K2829">
        <v>95</v>
      </c>
      <c r="T2829">
        <v>10</v>
      </c>
      <c r="Y2829">
        <v>6</v>
      </c>
      <c r="AX2829">
        <v>10</v>
      </c>
      <c r="AY2829">
        <v>6</v>
      </c>
      <c r="AZ2829">
        <v>16</v>
      </c>
      <c r="BA2829">
        <v>6</v>
      </c>
      <c r="BB2829">
        <v>10</v>
      </c>
      <c r="BC2829">
        <v>16</v>
      </c>
      <c r="BP2829">
        <v>3</v>
      </c>
      <c r="BQ2829">
        <v>0</v>
      </c>
      <c r="BR2829">
        <v>10</v>
      </c>
      <c r="BS2829">
        <v>1</v>
      </c>
      <c r="BT2829">
        <v>2</v>
      </c>
      <c r="BU2829">
        <v>0</v>
      </c>
      <c r="BV2829">
        <v>0</v>
      </c>
      <c r="BW2829">
        <v>16</v>
      </c>
      <c r="BZ2829" s="10"/>
      <c r="CA2829" s="7">
        <v>45606</v>
      </c>
      <c r="CE2829">
        <v>6</v>
      </c>
      <c r="CF2829">
        <v>3</v>
      </c>
      <c r="CG2829">
        <v>7</v>
      </c>
      <c r="CI2829">
        <f t="shared" si="250"/>
        <v>2024</v>
      </c>
      <c r="CJ2829" t="str">
        <f t="shared" si="251"/>
        <v>8273_2024</v>
      </c>
    </row>
    <row r="2830" spans="1:88" x14ac:dyDescent="0.25">
      <c r="A2830" t="s">
        <v>111</v>
      </c>
      <c r="B2830" t="s">
        <v>133</v>
      </c>
      <c r="C2830">
        <v>8274</v>
      </c>
      <c r="D2830">
        <v>-37.816437000000001</v>
      </c>
      <c r="E2830">
        <v>145.23813899999999</v>
      </c>
      <c r="F2830">
        <v>4</v>
      </c>
      <c r="G2830" t="s">
        <v>1168</v>
      </c>
      <c r="H2830">
        <v>117</v>
      </c>
      <c r="I2830">
        <v>297</v>
      </c>
      <c r="J2830">
        <v>155</v>
      </c>
      <c r="K2830">
        <v>335</v>
      </c>
      <c r="L2830">
        <v>285</v>
      </c>
      <c r="M2830">
        <v>105</v>
      </c>
      <c r="N2830">
        <v>335</v>
      </c>
      <c r="O2830">
        <v>155</v>
      </c>
      <c r="T2830">
        <v>9</v>
      </c>
      <c r="U2830">
        <v>29</v>
      </c>
      <c r="V2830">
        <v>0</v>
      </c>
      <c r="Y2830">
        <v>5</v>
      </c>
      <c r="Z2830">
        <v>4</v>
      </c>
      <c r="AA2830">
        <v>27</v>
      </c>
      <c r="AD2830">
        <v>28</v>
      </c>
      <c r="AE2830">
        <v>21</v>
      </c>
      <c r="AF2830">
        <v>9</v>
      </c>
      <c r="AI2830">
        <v>8</v>
      </c>
      <c r="AJ2830">
        <v>16</v>
      </c>
      <c r="AK2830">
        <v>4</v>
      </c>
      <c r="AX2830">
        <v>38</v>
      </c>
      <c r="AY2830">
        <v>41</v>
      </c>
      <c r="AZ2830">
        <v>79</v>
      </c>
      <c r="BA2830">
        <v>36</v>
      </c>
      <c r="BB2830">
        <v>46</v>
      </c>
      <c r="BC2830">
        <v>82</v>
      </c>
      <c r="BD2830">
        <v>58</v>
      </c>
      <c r="BE2830">
        <v>37</v>
      </c>
      <c r="BF2830">
        <v>95</v>
      </c>
      <c r="BG2830">
        <v>28</v>
      </c>
      <c r="BH2830">
        <v>36</v>
      </c>
      <c r="BI2830">
        <v>64</v>
      </c>
      <c r="BP2830">
        <v>77</v>
      </c>
      <c r="BQ2830">
        <v>8</v>
      </c>
      <c r="BR2830">
        <v>50</v>
      </c>
      <c r="BS2830">
        <v>11</v>
      </c>
      <c r="BT2830">
        <v>14</v>
      </c>
      <c r="BU2830">
        <v>0</v>
      </c>
      <c r="BV2830">
        <v>0</v>
      </c>
      <c r="BW2830">
        <v>160</v>
      </c>
      <c r="BZ2830" s="10"/>
      <c r="CA2830" s="7">
        <v>45606</v>
      </c>
      <c r="CE2830">
        <v>61</v>
      </c>
      <c r="CF2830">
        <v>52</v>
      </c>
      <c r="CG2830">
        <v>47</v>
      </c>
      <c r="CI2830">
        <f t="shared" si="250"/>
        <v>2024</v>
      </c>
      <c r="CJ2830" t="str">
        <f t="shared" si="251"/>
        <v>8274_2024</v>
      </c>
    </row>
    <row r="2831" spans="1:88" x14ac:dyDescent="0.25">
      <c r="A2831" t="s">
        <v>111</v>
      </c>
      <c r="B2831" t="s">
        <v>186</v>
      </c>
      <c r="C2831">
        <v>5609</v>
      </c>
      <c r="D2831">
        <v>-37.806401000000001</v>
      </c>
      <c r="E2831">
        <v>144.90808999999999</v>
      </c>
      <c r="F2831">
        <v>3</v>
      </c>
      <c r="G2831" t="s">
        <v>187</v>
      </c>
      <c r="H2831">
        <v>16</v>
      </c>
      <c r="I2831">
        <v>196</v>
      </c>
      <c r="J2831">
        <v>111</v>
      </c>
      <c r="K2831">
        <v>291</v>
      </c>
      <c r="L2831">
        <v>292</v>
      </c>
      <c r="M2831">
        <v>112</v>
      </c>
      <c r="T2831">
        <v>2</v>
      </c>
      <c r="U2831">
        <v>4</v>
      </c>
      <c r="Y2831">
        <v>1</v>
      </c>
      <c r="Z2831">
        <v>137</v>
      </c>
      <c r="AD2831">
        <v>4</v>
      </c>
      <c r="AE2831">
        <v>169</v>
      </c>
      <c r="AX2831">
        <v>6</v>
      </c>
      <c r="AY2831">
        <v>5</v>
      </c>
      <c r="AZ2831">
        <v>11</v>
      </c>
      <c r="BA2831">
        <v>138</v>
      </c>
      <c r="BB2831">
        <v>171</v>
      </c>
      <c r="BC2831">
        <v>309</v>
      </c>
      <c r="BD2831">
        <v>173</v>
      </c>
      <c r="BE2831">
        <v>141</v>
      </c>
      <c r="BF2831">
        <v>314</v>
      </c>
      <c r="BP2831">
        <v>284</v>
      </c>
      <c r="BQ2831">
        <v>8</v>
      </c>
      <c r="BR2831">
        <v>5</v>
      </c>
      <c r="BS2831">
        <v>18</v>
      </c>
      <c r="BT2831">
        <v>0</v>
      </c>
      <c r="BU2831">
        <v>2</v>
      </c>
      <c r="BV2831">
        <v>0</v>
      </c>
      <c r="BW2831">
        <v>317</v>
      </c>
      <c r="BX2831">
        <v>176</v>
      </c>
      <c r="BY2831">
        <v>0.80113636399999999</v>
      </c>
      <c r="BZ2831" s="10">
        <v>0.80113636399999999</v>
      </c>
      <c r="CA2831" s="7">
        <v>45606</v>
      </c>
      <c r="CE2831">
        <v>112</v>
      </c>
      <c r="CF2831">
        <v>126</v>
      </c>
      <c r="CG2831">
        <v>79</v>
      </c>
      <c r="CI2831">
        <f t="shared" si="250"/>
        <v>2024</v>
      </c>
      <c r="CJ2831" t="str">
        <f t="shared" si="251"/>
        <v>5609_2024</v>
      </c>
    </row>
    <row r="2832" spans="1:88" x14ac:dyDescent="0.25">
      <c r="A2832" t="s">
        <v>111</v>
      </c>
      <c r="B2832" t="s">
        <v>186</v>
      </c>
      <c r="C2832">
        <v>5610</v>
      </c>
      <c r="D2832">
        <v>-37.809894999999997</v>
      </c>
      <c r="E2832">
        <v>144.935722</v>
      </c>
      <c r="F2832">
        <v>4</v>
      </c>
      <c r="G2832" t="s">
        <v>188</v>
      </c>
      <c r="H2832">
        <v>6</v>
      </c>
      <c r="I2832">
        <v>186</v>
      </c>
      <c r="J2832">
        <v>106</v>
      </c>
      <c r="K2832">
        <v>286</v>
      </c>
      <c r="L2832">
        <v>179</v>
      </c>
      <c r="M2832">
        <v>359</v>
      </c>
      <c r="N2832">
        <v>281</v>
      </c>
      <c r="O2832">
        <v>101</v>
      </c>
      <c r="T2832">
        <v>197</v>
      </c>
      <c r="U2832">
        <v>40</v>
      </c>
      <c r="V2832">
        <v>25</v>
      </c>
      <c r="Y2832">
        <v>108</v>
      </c>
      <c r="Z2832">
        <v>20</v>
      </c>
      <c r="AA2832">
        <v>153</v>
      </c>
      <c r="AD2832">
        <v>16</v>
      </c>
      <c r="AE2832">
        <v>25</v>
      </c>
      <c r="AF2832">
        <v>14</v>
      </c>
      <c r="AI2832">
        <v>23</v>
      </c>
      <c r="AJ2832">
        <v>136</v>
      </c>
      <c r="AK2832">
        <v>25</v>
      </c>
      <c r="AX2832">
        <v>262</v>
      </c>
      <c r="AY2832">
        <v>147</v>
      </c>
      <c r="AZ2832">
        <v>409</v>
      </c>
      <c r="BA2832">
        <v>281</v>
      </c>
      <c r="BB2832">
        <v>358</v>
      </c>
      <c r="BC2832">
        <v>639</v>
      </c>
      <c r="BD2832">
        <v>55</v>
      </c>
      <c r="BE2832">
        <v>85</v>
      </c>
      <c r="BF2832">
        <v>140</v>
      </c>
      <c r="BG2832">
        <v>184</v>
      </c>
      <c r="BH2832">
        <v>192</v>
      </c>
      <c r="BI2832">
        <v>376</v>
      </c>
      <c r="BP2832">
        <v>595</v>
      </c>
      <c r="BQ2832">
        <v>48</v>
      </c>
      <c r="BR2832">
        <v>83</v>
      </c>
      <c r="BS2832">
        <v>46</v>
      </c>
      <c r="BT2832">
        <v>0</v>
      </c>
      <c r="BU2832">
        <v>7</v>
      </c>
      <c r="BV2832">
        <v>3</v>
      </c>
      <c r="BW2832">
        <v>782</v>
      </c>
      <c r="BX2832">
        <v>588</v>
      </c>
      <c r="BY2832">
        <v>0.32993197299999999</v>
      </c>
      <c r="BZ2832" s="10">
        <v>0.32993197299999999</v>
      </c>
      <c r="CA2832" s="7">
        <v>45606</v>
      </c>
      <c r="CE2832">
        <v>260</v>
      </c>
      <c r="CF2832">
        <v>267</v>
      </c>
      <c r="CG2832">
        <v>255</v>
      </c>
      <c r="CI2832">
        <f t="shared" si="250"/>
        <v>2024</v>
      </c>
      <c r="CJ2832" t="str">
        <f t="shared" si="251"/>
        <v>5610_2024</v>
      </c>
    </row>
    <row r="2833" spans="1:88" x14ac:dyDescent="0.25">
      <c r="A2833" t="s">
        <v>111</v>
      </c>
      <c r="B2833" t="s">
        <v>186</v>
      </c>
      <c r="C2833">
        <v>5611</v>
      </c>
      <c r="D2833">
        <v>-37.823698999999998</v>
      </c>
      <c r="E2833">
        <v>144.95602600000001</v>
      </c>
      <c r="F2833">
        <v>4</v>
      </c>
      <c r="G2833" t="s">
        <v>189</v>
      </c>
      <c r="H2833">
        <v>57</v>
      </c>
      <c r="I2833">
        <v>237</v>
      </c>
      <c r="J2833">
        <v>157</v>
      </c>
      <c r="K2833">
        <v>337</v>
      </c>
      <c r="L2833">
        <v>233</v>
      </c>
      <c r="M2833">
        <v>53</v>
      </c>
      <c r="N2833">
        <v>343</v>
      </c>
      <c r="O2833">
        <v>163</v>
      </c>
      <c r="T2833">
        <v>43</v>
      </c>
      <c r="U2833">
        <v>198</v>
      </c>
      <c r="V2833">
        <v>8</v>
      </c>
      <c r="Y2833">
        <v>27</v>
      </c>
      <c r="Z2833">
        <v>42</v>
      </c>
      <c r="AA2833">
        <v>21</v>
      </c>
      <c r="AD2833">
        <v>173</v>
      </c>
      <c r="AE2833">
        <v>25</v>
      </c>
      <c r="AF2833">
        <v>4</v>
      </c>
      <c r="AI2833">
        <v>16</v>
      </c>
      <c r="AJ2833">
        <v>38</v>
      </c>
      <c r="AK2833">
        <v>14</v>
      </c>
      <c r="AX2833">
        <v>249</v>
      </c>
      <c r="AY2833">
        <v>216</v>
      </c>
      <c r="AZ2833">
        <v>465</v>
      </c>
      <c r="BA2833">
        <v>90</v>
      </c>
      <c r="BB2833">
        <v>106</v>
      </c>
      <c r="BC2833">
        <v>196</v>
      </c>
      <c r="BD2833">
        <v>202</v>
      </c>
      <c r="BE2833">
        <v>254</v>
      </c>
      <c r="BF2833">
        <v>456</v>
      </c>
      <c r="BG2833">
        <v>68</v>
      </c>
      <c r="BH2833">
        <v>33</v>
      </c>
      <c r="BI2833">
        <v>101</v>
      </c>
      <c r="BP2833">
        <v>518</v>
      </c>
      <c r="BQ2833">
        <v>61</v>
      </c>
      <c r="BR2833">
        <v>0</v>
      </c>
      <c r="BS2833">
        <v>0</v>
      </c>
      <c r="BT2833">
        <v>0</v>
      </c>
      <c r="BU2833">
        <v>30</v>
      </c>
      <c r="BV2833">
        <v>0</v>
      </c>
      <c r="BW2833">
        <v>609</v>
      </c>
      <c r="BX2833">
        <v>647</v>
      </c>
      <c r="BY2833">
        <v>-5.8732611999999997E-2</v>
      </c>
      <c r="BZ2833" s="10">
        <v>-5.8732611999999997E-2</v>
      </c>
      <c r="CA2833" s="7">
        <v>45606</v>
      </c>
      <c r="CE2833">
        <v>183</v>
      </c>
      <c r="CF2833">
        <v>203</v>
      </c>
      <c r="CG2833">
        <v>223</v>
      </c>
      <c r="CI2833">
        <f t="shared" si="250"/>
        <v>2024</v>
      </c>
      <c r="CJ2833" t="str">
        <f t="shared" si="251"/>
        <v>5611_2024</v>
      </c>
    </row>
    <row r="2834" spans="1:88" x14ac:dyDescent="0.25">
      <c r="A2834" t="s">
        <v>111</v>
      </c>
      <c r="B2834" t="s">
        <v>186</v>
      </c>
      <c r="C2834">
        <v>5612</v>
      </c>
      <c r="D2834">
        <v>-37.821176000000001</v>
      </c>
      <c r="E2834">
        <v>144.97603000000001</v>
      </c>
      <c r="F2834">
        <v>3</v>
      </c>
      <c r="G2834" t="s">
        <v>190</v>
      </c>
      <c r="H2834">
        <v>3</v>
      </c>
      <c r="I2834">
        <v>183</v>
      </c>
      <c r="J2834">
        <v>146</v>
      </c>
      <c r="K2834">
        <v>326</v>
      </c>
      <c r="L2834">
        <v>325</v>
      </c>
      <c r="M2834">
        <v>145</v>
      </c>
      <c r="T2834">
        <v>141</v>
      </c>
      <c r="U2834">
        <v>3</v>
      </c>
      <c r="Y2834">
        <v>169</v>
      </c>
      <c r="Z2834">
        <v>296</v>
      </c>
      <c r="AD2834">
        <v>9</v>
      </c>
      <c r="AE2834">
        <v>233</v>
      </c>
      <c r="AX2834">
        <v>144</v>
      </c>
      <c r="AY2834">
        <v>178</v>
      </c>
      <c r="AZ2834">
        <v>322</v>
      </c>
      <c r="BA2834">
        <v>465</v>
      </c>
      <c r="BB2834">
        <v>374</v>
      </c>
      <c r="BC2834">
        <v>839</v>
      </c>
      <c r="BD2834">
        <v>242</v>
      </c>
      <c r="BE2834">
        <v>299</v>
      </c>
      <c r="BF2834">
        <v>541</v>
      </c>
      <c r="BP2834">
        <v>209</v>
      </c>
      <c r="BQ2834">
        <v>21</v>
      </c>
      <c r="BR2834">
        <v>364</v>
      </c>
      <c r="BS2834">
        <v>240</v>
      </c>
      <c r="BT2834">
        <v>12</v>
      </c>
      <c r="BU2834">
        <v>5</v>
      </c>
      <c r="BV2834">
        <v>0</v>
      </c>
      <c r="BW2834">
        <v>851</v>
      </c>
      <c r="BX2834">
        <v>987</v>
      </c>
      <c r="BY2834">
        <v>-0.13779128700000001</v>
      </c>
      <c r="BZ2834" s="10">
        <v>-0.13779128700000001</v>
      </c>
      <c r="CA2834" s="7">
        <v>45606</v>
      </c>
      <c r="CE2834">
        <v>270</v>
      </c>
      <c r="CF2834">
        <v>317</v>
      </c>
      <c r="CG2834">
        <v>264</v>
      </c>
      <c r="CI2834">
        <f t="shared" si="250"/>
        <v>2024</v>
      </c>
      <c r="CJ2834" t="str">
        <f t="shared" si="251"/>
        <v>5612_2024</v>
      </c>
    </row>
    <row r="2835" spans="1:88" x14ac:dyDescent="0.25">
      <c r="A2835" t="s">
        <v>111</v>
      </c>
      <c r="B2835" t="s">
        <v>186</v>
      </c>
      <c r="C2835">
        <v>5614</v>
      </c>
      <c r="D2835">
        <v>-37.82714</v>
      </c>
      <c r="E2835">
        <v>144.98510899999999</v>
      </c>
      <c r="F2835">
        <v>4</v>
      </c>
      <c r="G2835" t="s">
        <v>192</v>
      </c>
      <c r="H2835">
        <v>10</v>
      </c>
      <c r="I2835">
        <v>190</v>
      </c>
      <c r="J2835">
        <v>117</v>
      </c>
      <c r="K2835">
        <v>297</v>
      </c>
      <c r="L2835">
        <v>190</v>
      </c>
      <c r="M2835">
        <v>10</v>
      </c>
      <c r="N2835">
        <v>289</v>
      </c>
      <c r="O2835">
        <v>109</v>
      </c>
      <c r="T2835">
        <v>18</v>
      </c>
      <c r="U2835">
        <v>383</v>
      </c>
      <c r="V2835">
        <v>48</v>
      </c>
      <c r="Y2835">
        <v>26</v>
      </c>
      <c r="Z2835">
        <v>237</v>
      </c>
      <c r="AA2835">
        <v>256</v>
      </c>
      <c r="AD2835">
        <v>374</v>
      </c>
      <c r="AE2835">
        <v>191</v>
      </c>
      <c r="AF2835">
        <v>87</v>
      </c>
      <c r="AI2835">
        <v>11</v>
      </c>
      <c r="AJ2835">
        <v>221</v>
      </c>
      <c r="AK2835">
        <v>51</v>
      </c>
      <c r="AX2835">
        <v>449</v>
      </c>
      <c r="AY2835">
        <v>411</v>
      </c>
      <c r="AZ2835">
        <v>860</v>
      </c>
      <c r="BA2835">
        <v>519</v>
      </c>
      <c r="BB2835">
        <v>430</v>
      </c>
      <c r="BC2835">
        <v>949</v>
      </c>
      <c r="BD2835">
        <v>652</v>
      </c>
      <c r="BE2835">
        <v>671</v>
      </c>
      <c r="BF2835">
        <v>1323</v>
      </c>
      <c r="BG2835">
        <v>283</v>
      </c>
      <c r="BH2835">
        <v>391</v>
      </c>
      <c r="BI2835">
        <v>674</v>
      </c>
      <c r="BP2835">
        <v>613</v>
      </c>
      <c r="BQ2835">
        <v>20</v>
      </c>
      <c r="BR2835">
        <v>696</v>
      </c>
      <c r="BS2835">
        <v>430</v>
      </c>
      <c r="BT2835">
        <v>124</v>
      </c>
      <c r="BU2835">
        <v>9</v>
      </c>
      <c r="BV2835">
        <v>11</v>
      </c>
      <c r="BW2835">
        <v>1903</v>
      </c>
      <c r="BX2835">
        <v>1820</v>
      </c>
      <c r="BY2835">
        <v>4.5604395999999998E-2</v>
      </c>
      <c r="BZ2835" s="10">
        <v>4.5604395999999998E-2</v>
      </c>
      <c r="CA2835" s="7">
        <v>45606</v>
      </c>
      <c r="CE2835">
        <v>591</v>
      </c>
      <c r="CF2835">
        <v>694</v>
      </c>
      <c r="CG2835">
        <v>618</v>
      </c>
      <c r="CI2835">
        <f t="shared" si="250"/>
        <v>2024</v>
      </c>
      <c r="CJ2835" t="str">
        <f t="shared" si="251"/>
        <v>5614_2024</v>
      </c>
    </row>
    <row r="2836" spans="1:88" x14ac:dyDescent="0.25">
      <c r="A2836" t="s">
        <v>111</v>
      </c>
      <c r="B2836" t="s">
        <v>186</v>
      </c>
      <c r="C2836">
        <v>5616</v>
      </c>
      <c r="D2836">
        <v>-37.830424000000001</v>
      </c>
      <c r="E2836">
        <v>145.014128</v>
      </c>
      <c r="F2836">
        <v>3</v>
      </c>
      <c r="G2836" t="s">
        <v>195</v>
      </c>
      <c r="H2836">
        <v>125</v>
      </c>
      <c r="I2836">
        <v>305</v>
      </c>
      <c r="J2836">
        <v>277</v>
      </c>
      <c r="K2836">
        <v>97</v>
      </c>
      <c r="L2836">
        <v>319</v>
      </c>
      <c r="M2836">
        <v>139</v>
      </c>
      <c r="T2836">
        <v>929</v>
      </c>
      <c r="U2836">
        <v>241</v>
      </c>
      <c r="Y2836">
        <v>744</v>
      </c>
      <c r="Z2836">
        <v>42</v>
      </c>
      <c r="AD2836">
        <v>387</v>
      </c>
      <c r="AE2836">
        <v>126</v>
      </c>
      <c r="AX2836">
        <v>1170</v>
      </c>
      <c r="AY2836">
        <v>1131</v>
      </c>
      <c r="AZ2836">
        <v>2301</v>
      </c>
      <c r="BA2836">
        <v>786</v>
      </c>
      <c r="BB2836">
        <v>1055</v>
      </c>
      <c r="BC2836">
        <v>1841</v>
      </c>
      <c r="BD2836">
        <v>513</v>
      </c>
      <c r="BE2836">
        <v>283</v>
      </c>
      <c r="BF2836">
        <v>796</v>
      </c>
      <c r="BP2836">
        <v>1191</v>
      </c>
      <c r="BQ2836">
        <v>28</v>
      </c>
      <c r="BR2836">
        <v>261</v>
      </c>
      <c r="BS2836">
        <v>936</v>
      </c>
      <c r="BT2836">
        <v>35</v>
      </c>
      <c r="BU2836">
        <v>10</v>
      </c>
      <c r="BV2836">
        <v>8</v>
      </c>
      <c r="BW2836">
        <v>2469</v>
      </c>
      <c r="BX2836">
        <v>1175</v>
      </c>
      <c r="BY2836">
        <v>1.1012765959999999</v>
      </c>
      <c r="BZ2836" s="10">
        <v>1.1012765959999999</v>
      </c>
      <c r="CA2836" s="7">
        <v>45606</v>
      </c>
      <c r="CE2836">
        <v>760</v>
      </c>
      <c r="CF2836">
        <v>954</v>
      </c>
      <c r="CG2836">
        <v>755</v>
      </c>
      <c r="CI2836">
        <f t="shared" si="250"/>
        <v>2024</v>
      </c>
      <c r="CJ2836" t="str">
        <f t="shared" si="251"/>
        <v>5616_2024</v>
      </c>
    </row>
    <row r="2837" spans="1:88" x14ac:dyDescent="0.25">
      <c r="A2837" t="s">
        <v>111</v>
      </c>
      <c r="B2837" t="s">
        <v>186</v>
      </c>
      <c r="C2837">
        <v>5621</v>
      </c>
      <c r="D2837">
        <v>-37.780118000000002</v>
      </c>
      <c r="E2837">
        <v>144.95722799999999</v>
      </c>
      <c r="F2837">
        <v>3</v>
      </c>
      <c r="G2837" t="s">
        <v>201</v>
      </c>
      <c r="H2837">
        <v>23</v>
      </c>
      <c r="I2837">
        <v>203</v>
      </c>
      <c r="J2837">
        <v>72</v>
      </c>
      <c r="K2837">
        <v>252</v>
      </c>
      <c r="L2837">
        <v>232</v>
      </c>
      <c r="M2837">
        <v>52</v>
      </c>
      <c r="T2837">
        <v>115</v>
      </c>
      <c r="U2837">
        <v>85</v>
      </c>
      <c r="Y2837">
        <v>82</v>
      </c>
      <c r="Z2837">
        <v>213</v>
      </c>
      <c r="AD2837">
        <v>97</v>
      </c>
      <c r="AE2837">
        <v>148</v>
      </c>
      <c r="AX2837">
        <v>200</v>
      </c>
      <c r="AY2837">
        <v>179</v>
      </c>
      <c r="AZ2837">
        <v>379</v>
      </c>
      <c r="BA2837">
        <v>295</v>
      </c>
      <c r="BB2837">
        <v>263</v>
      </c>
      <c r="BC2837">
        <v>558</v>
      </c>
      <c r="BD2837">
        <v>245</v>
      </c>
      <c r="BE2837">
        <v>298</v>
      </c>
      <c r="BF2837">
        <v>543</v>
      </c>
      <c r="BP2837">
        <v>412</v>
      </c>
      <c r="BQ2837">
        <v>16</v>
      </c>
      <c r="BR2837">
        <v>139</v>
      </c>
      <c r="BS2837">
        <v>151</v>
      </c>
      <c r="BT2837">
        <v>17</v>
      </c>
      <c r="BU2837">
        <v>2</v>
      </c>
      <c r="BV2837">
        <v>3</v>
      </c>
      <c r="BW2837">
        <v>740</v>
      </c>
      <c r="BX2837">
        <v>949</v>
      </c>
      <c r="BY2837">
        <v>-0.22023182299999999</v>
      </c>
      <c r="BZ2837" s="10">
        <v>-0.22023182299999999</v>
      </c>
      <c r="CA2837" s="7">
        <v>45606</v>
      </c>
      <c r="CE2837">
        <v>236</v>
      </c>
      <c r="CF2837">
        <v>254</v>
      </c>
      <c r="CG2837">
        <v>250</v>
      </c>
      <c r="CI2837">
        <f t="shared" si="250"/>
        <v>2024</v>
      </c>
      <c r="CJ2837" t="str">
        <f t="shared" si="251"/>
        <v>5621_2024</v>
      </c>
    </row>
    <row r="2838" spans="1:88" x14ac:dyDescent="0.25">
      <c r="A2838" t="s">
        <v>111</v>
      </c>
      <c r="B2838" t="s">
        <v>186</v>
      </c>
      <c r="C2838">
        <v>5642</v>
      </c>
      <c r="D2838">
        <v>-37.826073000000001</v>
      </c>
      <c r="E2838">
        <v>144.95590300000001</v>
      </c>
      <c r="F2838">
        <v>3</v>
      </c>
      <c r="G2838" t="s">
        <v>222</v>
      </c>
      <c r="H2838">
        <v>32</v>
      </c>
      <c r="I2838">
        <v>212</v>
      </c>
      <c r="J2838">
        <v>177</v>
      </c>
      <c r="K2838">
        <v>357</v>
      </c>
      <c r="L2838">
        <v>230</v>
      </c>
      <c r="M2838">
        <v>50</v>
      </c>
      <c r="T2838">
        <v>21</v>
      </c>
      <c r="U2838">
        <v>195</v>
      </c>
      <c r="Y2838">
        <v>36</v>
      </c>
      <c r="Z2838">
        <v>27</v>
      </c>
      <c r="AD2838">
        <v>185</v>
      </c>
      <c r="AE2838">
        <v>10</v>
      </c>
      <c r="AX2838">
        <v>216</v>
      </c>
      <c r="AY2838">
        <v>221</v>
      </c>
      <c r="AZ2838">
        <v>437</v>
      </c>
      <c r="BA2838">
        <v>63</v>
      </c>
      <c r="BB2838">
        <v>31</v>
      </c>
      <c r="BC2838">
        <v>94</v>
      </c>
      <c r="BD2838">
        <v>195</v>
      </c>
      <c r="BE2838">
        <v>222</v>
      </c>
      <c r="BF2838">
        <v>417</v>
      </c>
      <c r="BP2838">
        <v>183</v>
      </c>
      <c r="BQ2838">
        <v>48</v>
      </c>
      <c r="BR2838">
        <v>165</v>
      </c>
      <c r="BS2838">
        <v>47</v>
      </c>
      <c r="BT2838">
        <v>8</v>
      </c>
      <c r="BU2838">
        <v>17</v>
      </c>
      <c r="BV2838">
        <v>6</v>
      </c>
      <c r="BW2838">
        <v>474</v>
      </c>
      <c r="BX2838">
        <v>479</v>
      </c>
      <c r="BY2838">
        <v>-1.0438413000000001E-2</v>
      </c>
      <c r="BZ2838" s="10">
        <v>-1.0438413000000001E-2</v>
      </c>
      <c r="CA2838" s="7">
        <v>45606</v>
      </c>
      <c r="CE2838">
        <v>151</v>
      </c>
      <c r="CF2838">
        <v>159</v>
      </c>
      <c r="CG2838">
        <v>164</v>
      </c>
      <c r="CI2838">
        <f t="shared" si="250"/>
        <v>2024</v>
      </c>
      <c r="CJ2838" t="str">
        <f t="shared" si="251"/>
        <v>5642_2024</v>
      </c>
    </row>
    <row r="2839" spans="1:88" x14ac:dyDescent="0.25">
      <c r="A2839" t="s">
        <v>111</v>
      </c>
      <c r="B2839" t="s">
        <v>186</v>
      </c>
      <c r="C2839">
        <v>7818</v>
      </c>
      <c r="D2839">
        <v>-37.821168</v>
      </c>
      <c r="E2839">
        <v>144.95759799999999</v>
      </c>
      <c r="F2839">
        <v>2</v>
      </c>
      <c r="G2839" t="s">
        <v>1019</v>
      </c>
      <c r="H2839">
        <v>64</v>
      </c>
      <c r="I2839">
        <v>244</v>
      </c>
      <c r="J2839">
        <v>243</v>
      </c>
      <c r="K2839">
        <v>63</v>
      </c>
      <c r="T2839">
        <v>186</v>
      </c>
      <c r="Y2839">
        <v>308</v>
      </c>
      <c r="AX2839">
        <v>186</v>
      </c>
      <c r="AY2839">
        <v>308</v>
      </c>
      <c r="AZ2839">
        <v>494</v>
      </c>
      <c r="BA2839">
        <v>308</v>
      </c>
      <c r="BB2839">
        <v>186</v>
      </c>
      <c r="BC2839">
        <v>494</v>
      </c>
      <c r="BP2839">
        <v>52</v>
      </c>
      <c r="BQ2839">
        <v>18</v>
      </c>
      <c r="BR2839">
        <v>376</v>
      </c>
      <c r="BS2839">
        <v>32</v>
      </c>
      <c r="BT2839">
        <v>11</v>
      </c>
      <c r="BU2839">
        <v>5</v>
      </c>
      <c r="BV2839">
        <v>0</v>
      </c>
      <c r="BW2839">
        <v>494</v>
      </c>
      <c r="BX2839">
        <v>84</v>
      </c>
      <c r="BY2839">
        <v>4.8809523810000002</v>
      </c>
      <c r="BZ2839" s="10">
        <v>4.8809523810000002</v>
      </c>
      <c r="CA2839" s="7">
        <v>45606</v>
      </c>
      <c r="CE2839">
        <v>172</v>
      </c>
      <c r="CF2839">
        <v>167</v>
      </c>
      <c r="CG2839">
        <v>155</v>
      </c>
      <c r="CI2839">
        <f t="shared" si="250"/>
        <v>2024</v>
      </c>
      <c r="CJ2839" t="str">
        <f t="shared" si="251"/>
        <v>7818_2024</v>
      </c>
    </row>
    <row r="2840" spans="1:88" x14ac:dyDescent="0.25">
      <c r="A2840" t="s">
        <v>111</v>
      </c>
      <c r="B2840" t="s">
        <v>186</v>
      </c>
      <c r="C2840">
        <v>7819</v>
      </c>
      <c r="D2840">
        <v>-37.818432000000001</v>
      </c>
      <c r="E2840">
        <v>144.97391999999999</v>
      </c>
      <c r="F2840">
        <v>3</v>
      </c>
      <c r="G2840" t="s">
        <v>1020</v>
      </c>
      <c r="H2840">
        <v>78</v>
      </c>
      <c r="I2840">
        <v>258</v>
      </c>
      <c r="J2840">
        <v>93</v>
      </c>
      <c r="K2840">
        <v>273</v>
      </c>
      <c r="L2840">
        <v>272</v>
      </c>
      <c r="M2840">
        <v>92</v>
      </c>
      <c r="T2840">
        <v>5</v>
      </c>
      <c r="U2840">
        <v>96</v>
      </c>
      <c r="Y2840">
        <v>7</v>
      </c>
      <c r="Z2840">
        <v>178</v>
      </c>
      <c r="AD2840">
        <v>106</v>
      </c>
      <c r="AE2840">
        <v>187</v>
      </c>
      <c r="AX2840">
        <v>101</v>
      </c>
      <c r="AY2840">
        <v>113</v>
      </c>
      <c r="AZ2840">
        <v>214</v>
      </c>
      <c r="BA2840">
        <v>185</v>
      </c>
      <c r="BB2840">
        <v>192</v>
      </c>
      <c r="BC2840">
        <v>377</v>
      </c>
      <c r="BD2840">
        <v>293</v>
      </c>
      <c r="BE2840">
        <v>274</v>
      </c>
      <c r="BF2840">
        <v>567</v>
      </c>
      <c r="BP2840">
        <v>221</v>
      </c>
      <c r="BQ2840">
        <v>45</v>
      </c>
      <c r="BR2840">
        <v>208</v>
      </c>
      <c r="BS2840">
        <v>86</v>
      </c>
      <c r="BT2840">
        <v>10</v>
      </c>
      <c r="BU2840">
        <v>9</v>
      </c>
      <c r="BV2840">
        <v>0</v>
      </c>
      <c r="BW2840">
        <v>579</v>
      </c>
      <c r="BX2840">
        <v>602</v>
      </c>
      <c r="BY2840">
        <v>-3.820598E-2</v>
      </c>
      <c r="BZ2840" s="10">
        <v>-3.820598E-2</v>
      </c>
      <c r="CA2840" s="7">
        <v>45606</v>
      </c>
      <c r="CE2840">
        <v>161</v>
      </c>
      <c r="CF2840">
        <v>221</v>
      </c>
      <c r="CG2840">
        <v>197</v>
      </c>
      <c r="CI2840">
        <f t="shared" si="250"/>
        <v>2024</v>
      </c>
      <c r="CJ2840" t="str">
        <f t="shared" si="251"/>
        <v>7819_2024</v>
      </c>
    </row>
    <row r="2841" spans="1:88" x14ac:dyDescent="0.25">
      <c r="A2841" t="s">
        <v>111</v>
      </c>
      <c r="B2841" t="s">
        <v>186</v>
      </c>
      <c r="C2841">
        <v>7974</v>
      </c>
      <c r="D2841">
        <v>-37.828164000000001</v>
      </c>
      <c r="E2841">
        <v>144.984903</v>
      </c>
      <c r="F2841">
        <v>4</v>
      </c>
      <c r="G2841" t="s">
        <v>1022</v>
      </c>
      <c r="H2841">
        <v>13</v>
      </c>
      <c r="I2841">
        <v>193</v>
      </c>
      <c r="J2841">
        <v>103</v>
      </c>
      <c r="K2841">
        <v>283</v>
      </c>
      <c r="L2841">
        <v>188</v>
      </c>
      <c r="M2841">
        <v>8</v>
      </c>
      <c r="N2841">
        <v>275</v>
      </c>
      <c r="O2841">
        <v>95</v>
      </c>
      <c r="T2841">
        <v>74</v>
      </c>
      <c r="U2841">
        <v>272</v>
      </c>
      <c r="V2841">
        <v>222</v>
      </c>
      <c r="Y2841">
        <v>49</v>
      </c>
      <c r="Z2841">
        <v>37</v>
      </c>
      <c r="AA2841">
        <v>41</v>
      </c>
      <c r="AD2841">
        <v>349</v>
      </c>
      <c r="AE2841">
        <v>41</v>
      </c>
      <c r="AF2841">
        <v>74</v>
      </c>
      <c r="AI2841">
        <v>199</v>
      </c>
      <c r="AJ2841">
        <v>56</v>
      </c>
      <c r="AK2841">
        <v>95</v>
      </c>
      <c r="AX2841">
        <v>568</v>
      </c>
      <c r="AY2841">
        <v>597</v>
      </c>
      <c r="AZ2841">
        <v>1165</v>
      </c>
      <c r="BA2841">
        <v>127</v>
      </c>
      <c r="BB2841">
        <v>171</v>
      </c>
      <c r="BC2841">
        <v>298</v>
      </c>
      <c r="BD2841">
        <v>464</v>
      </c>
      <c r="BE2841">
        <v>404</v>
      </c>
      <c r="BF2841">
        <v>868</v>
      </c>
      <c r="BG2841">
        <v>350</v>
      </c>
      <c r="BH2841">
        <v>337</v>
      </c>
      <c r="BI2841">
        <v>687</v>
      </c>
      <c r="BP2841">
        <v>414</v>
      </c>
      <c r="BQ2841">
        <v>26</v>
      </c>
      <c r="BR2841">
        <v>609</v>
      </c>
      <c r="BS2841">
        <v>371</v>
      </c>
      <c r="BT2841">
        <v>84</v>
      </c>
      <c r="BU2841">
        <v>5</v>
      </c>
      <c r="BV2841">
        <v>0</v>
      </c>
      <c r="BW2841">
        <v>1509</v>
      </c>
      <c r="BX2841">
        <v>1579</v>
      </c>
      <c r="BY2841">
        <v>-4.4331856000000003E-2</v>
      </c>
      <c r="BZ2841" s="10">
        <v>-4.4331856000000003E-2</v>
      </c>
      <c r="CA2841" s="7">
        <v>45606</v>
      </c>
      <c r="CE2841">
        <v>627</v>
      </c>
      <c r="CF2841">
        <v>197</v>
      </c>
      <c r="CG2841">
        <v>685</v>
      </c>
      <c r="CI2841">
        <f t="shared" si="250"/>
        <v>2024</v>
      </c>
      <c r="CJ2841" t="str">
        <f t="shared" si="251"/>
        <v>7974_2024</v>
      </c>
    </row>
    <row r="2842" spans="1:88" x14ac:dyDescent="0.25">
      <c r="A2842" t="s">
        <v>111</v>
      </c>
      <c r="B2842" t="s">
        <v>186</v>
      </c>
      <c r="C2842">
        <v>7975</v>
      </c>
      <c r="D2842">
        <v>-37.827905999999999</v>
      </c>
      <c r="E2842">
        <v>144.984272</v>
      </c>
      <c r="F2842">
        <v>3</v>
      </c>
      <c r="G2842" t="s">
        <v>1023</v>
      </c>
      <c r="H2842">
        <v>96</v>
      </c>
      <c r="I2842">
        <v>276</v>
      </c>
      <c r="J2842">
        <v>113</v>
      </c>
      <c r="K2842">
        <v>293</v>
      </c>
      <c r="L2842">
        <v>284</v>
      </c>
      <c r="M2842">
        <v>104</v>
      </c>
      <c r="T2842">
        <v>208</v>
      </c>
      <c r="U2842">
        <v>213</v>
      </c>
      <c r="Y2842">
        <v>129</v>
      </c>
      <c r="Z2842">
        <v>174</v>
      </c>
      <c r="AD2842">
        <v>319</v>
      </c>
      <c r="AE2842">
        <v>157</v>
      </c>
      <c r="AX2842">
        <v>421</v>
      </c>
      <c r="AY2842">
        <v>448</v>
      </c>
      <c r="AZ2842">
        <v>869</v>
      </c>
      <c r="BA2842">
        <v>303</v>
      </c>
      <c r="BB2842">
        <v>365</v>
      </c>
      <c r="BC2842">
        <v>668</v>
      </c>
      <c r="BD2842">
        <v>476</v>
      </c>
      <c r="BE2842">
        <v>387</v>
      </c>
      <c r="BF2842">
        <v>863</v>
      </c>
      <c r="BP2842">
        <v>394</v>
      </c>
      <c r="BQ2842">
        <v>18</v>
      </c>
      <c r="BR2842">
        <v>459</v>
      </c>
      <c r="BS2842">
        <v>296</v>
      </c>
      <c r="BT2842">
        <v>22</v>
      </c>
      <c r="BU2842">
        <v>4</v>
      </c>
      <c r="BV2842">
        <v>7</v>
      </c>
      <c r="BW2842">
        <v>1200</v>
      </c>
      <c r="BX2842">
        <v>995</v>
      </c>
      <c r="BY2842">
        <v>0.20603015099999999</v>
      </c>
      <c r="BZ2842" s="10">
        <v>0.20603015099999999</v>
      </c>
      <c r="CA2842" s="7">
        <v>45606</v>
      </c>
      <c r="CE2842">
        <v>374</v>
      </c>
      <c r="CF2842">
        <v>472</v>
      </c>
      <c r="CG2842">
        <v>354</v>
      </c>
      <c r="CI2842">
        <f t="shared" si="250"/>
        <v>2024</v>
      </c>
      <c r="CJ2842" t="str">
        <f t="shared" si="251"/>
        <v>7975_2024</v>
      </c>
    </row>
    <row r="2843" spans="1:88" x14ac:dyDescent="0.25">
      <c r="A2843" t="s">
        <v>111</v>
      </c>
      <c r="B2843" t="s">
        <v>186</v>
      </c>
      <c r="C2843">
        <v>8255</v>
      </c>
      <c r="D2843">
        <v>-37.823796000000002</v>
      </c>
      <c r="E2843">
        <v>144.94755499999999</v>
      </c>
      <c r="F2843">
        <v>3</v>
      </c>
      <c r="G2843" t="s">
        <v>1169</v>
      </c>
      <c r="H2843">
        <v>99</v>
      </c>
      <c r="I2843">
        <v>279</v>
      </c>
      <c r="J2843">
        <v>189</v>
      </c>
      <c r="K2843">
        <v>9</v>
      </c>
      <c r="L2843">
        <v>276</v>
      </c>
      <c r="M2843">
        <v>96</v>
      </c>
      <c r="T2843">
        <v>320</v>
      </c>
      <c r="U2843">
        <v>294</v>
      </c>
      <c r="Y2843">
        <v>414</v>
      </c>
      <c r="Z2843">
        <v>265</v>
      </c>
      <c r="AD2843">
        <v>418</v>
      </c>
      <c r="AE2843">
        <v>287</v>
      </c>
      <c r="AX2843">
        <v>614</v>
      </c>
      <c r="AY2843">
        <v>832</v>
      </c>
      <c r="AZ2843">
        <v>1446</v>
      </c>
      <c r="BA2843">
        <v>679</v>
      </c>
      <c r="BB2843">
        <v>607</v>
      </c>
      <c r="BC2843">
        <v>1286</v>
      </c>
      <c r="BD2843">
        <v>705</v>
      </c>
      <c r="BE2843">
        <v>559</v>
      </c>
      <c r="BF2843">
        <v>1264</v>
      </c>
      <c r="BP2843">
        <v>478</v>
      </c>
      <c r="BQ2843">
        <v>95</v>
      </c>
      <c r="BR2843">
        <v>1167</v>
      </c>
      <c r="BS2843">
        <v>138</v>
      </c>
      <c r="BT2843">
        <v>78</v>
      </c>
      <c r="BU2843">
        <v>16</v>
      </c>
      <c r="BV2843">
        <v>26</v>
      </c>
      <c r="BW2843">
        <v>1998</v>
      </c>
      <c r="BZ2843" s="10"/>
      <c r="CA2843" s="7">
        <v>45606</v>
      </c>
      <c r="CE2843">
        <v>617</v>
      </c>
      <c r="CF2843">
        <v>691</v>
      </c>
      <c r="CG2843">
        <v>690</v>
      </c>
      <c r="CI2843">
        <f t="shared" si="250"/>
        <v>2024</v>
      </c>
      <c r="CJ2843" t="str">
        <f t="shared" si="251"/>
        <v>8255_2024</v>
      </c>
    </row>
    <row r="2844" spans="1:88" x14ac:dyDescent="0.25">
      <c r="A2844" t="s">
        <v>111</v>
      </c>
      <c r="B2844" t="s">
        <v>186</v>
      </c>
      <c r="C2844">
        <v>8402</v>
      </c>
      <c r="D2844">
        <v>-37.799421000000002</v>
      </c>
      <c r="E2844">
        <v>144.93620000000001</v>
      </c>
      <c r="F2844">
        <v>4</v>
      </c>
      <c r="G2844" t="s">
        <v>1170</v>
      </c>
      <c r="H2844">
        <v>13</v>
      </c>
      <c r="I2844">
        <v>193</v>
      </c>
      <c r="J2844">
        <v>102</v>
      </c>
      <c r="K2844">
        <v>282</v>
      </c>
      <c r="L2844">
        <v>185</v>
      </c>
      <c r="M2844">
        <v>5</v>
      </c>
      <c r="N2844">
        <v>277</v>
      </c>
      <c r="O2844">
        <v>97</v>
      </c>
      <c r="T2844">
        <v>18</v>
      </c>
      <c r="U2844">
        <v>195</v>
      </c>
      <c r="V2844">
        <v>14</v>
      </c>
      <c r="Y2844">
        <v>19</v>
      </c>
      <c r="Z2844">
        <v>23</v>
      </c>
      <c r="AA2844">
        <v>56</v>
      </c>
      <c r="AD2844">
        <v>152</v>
      </c>
      <c r="AE2844">
        <v>16</v>
      </c>
      <c r="AF2844">
        <v>7</v>
      </c>
      <c r="AI2844">
        <v>21</v>
      </c>
      <c r="AJ2844">
        <v>98</v>
      </c>
      <c r="AK2844">
        <v>12</v>
      </c>
      <c r="AX2844">
        <v>227</v>
      </c>
      <c r="AY2844">
        <v>192</v>
      </c>
      <c r="AZ2844">
        <v>419</v>
      </c>
      <c r="BA2844">
        <v>98</v>
      </c>
      <c r="BB2844">
        <v>132</v>
      </c>
      <c r="BC2844">
        <v>230</v>
      </c>
      <c r="BD2844">
        <v>175</v>
      </c>
      <c r="BE2844">
        <v>230</v>
      </c>
      <c r="BF2844">
        <v>405</v>
      </c>
      <c r="BG2844">
        <v>131</v>
      </c>
      <c r="BH2844">
        <v>77</v>
      </c>
      <c r="BI2844">
        <v>208</v>
      </c>
      <c r="BP2844">
        <v>427</v>
      </c>
      <c r="BQ2844">
        <v>39</v>
      </c>
      <c r="BR2844">
        <v>80</v>
      </c>
      <c r="BS2844">
        <v>74</v>
      </c>
      <c r="BT2844">
        <v>0</v>
      </c>
      <c r="BU2844">
        <v>5</v>
      </c>
      <c r="BV2844">
        <v>6</v>
      </c>
      <c r="BW2844">
        <v>631</v>
      </c>
      <c r="BZ2844" s="10"/>
      <c r="CA2844" s="7">
        <v>45606</v>
      </c>
      <c r="CE2844">
        <v>214</v>
      </c>
      <c r="CF2844">
        <v>212</v>
      </c>
      <c r="CG2844">
        <v>205</v>
      </c>
      <c r="CI2844">
        <f t="shared" si="250"/>
        <v>2024</v>
      </c>
      <c r="CJ2844" t="str">
        <f t="shared" si="251"/>
        <v>8402_2024</v>
      </c>
    </row>
    <row r="2845" spans="1:88" x14ac:dyDescent="0.25">
      <c r="A2845" t="s">
        <v>277</v>
      </c>
      <c r="B2845" t="s">
        <v>473</v>
      </c>
      <c r="C2845">
        <v>6291</v>
      </c>
      <c r="D2845">
        <v>-34.996676999999998</v>
      </c>
      <c r="E2845">
        <v>138.604997</v>
      </c>
      <c r="F2845">
        <v>2</v>
      </c>
      <c r="G2845" t="s">
        <v>474</v>
      </c>
      <c r="H2845">
        <v>34</v>
      </c>
      <c r="I2845">
        <v>214</v>
      </c>
      <c r="J2845">
        <v>215</v>
      </c>
      <c r="K2845">
        <v>35</v>
      </c>
      <c r="T2845">
        <v>39</v>
      </c>
      <c r="Y2845">
        <v>54</v>
      </c>
      <c r="AX2845">
        <v>39</v>
      </c>
      <c r="AY2845">
        <v>54</v>
      </c>
      <c r="AZ2845">
        <v>93</v>
      </c>
      <c r="BA2845">
        <v>54</v>
      </c>
      <c r="BB2845">
        <v>39</v>
      </c>
      <c r="BC2845">
        <v>93</v>
      </c>
      <c r="BP2845">
        <v>64</v>
      </c>
      <c r="BQ2845">
        <v>0</v>
      </c>
      <c r="BR2845">
        <v>14</v>
      </c>
      <c r="BS2845">
        <v>6</v>
      </c>
      <c r="BT2845">
        <v>9</v>
      </c>
      <c r="BU2845">
        <v>0</v>
      </c>
      <c r="BV2845">
        <v>0</v>
      </c>
      <c r="BW2845">
        <v>93</v>
      </c>
      <c r="BX2845">
        <v>94</v>
      </c>
      <c r="BY2845">
        <v>-1.0638297999999999E-2</v>
      </c>
      <c r="BZ2845" s="10">
        <v>-1.0638297999999999E-2</v>
      </c>
      <c r="CA2845" s="7">
        <v>45606</v>
      </c>
      <c r="CE2845">
        <v>31</v>
      </c>
      <c r="CF2845">
        <v>26</v>
      </c>
      <c r="CG2845">
        <v>36</v>
      </c>
      <c r="CI2845">
        <f t="shared" si="250"/>
        <v>2024</v>
      </c>
      <c r="CJ2845" t="str">
        <f t="shared" si="251"/>
        <v>6291_2024</v>
      </c>
    </row>
    <row r="2846" spans="1:88" x14ac:dyDescent="0.25">
      <c r="A2846" t="s">
        <v>277</v>
      </c>
      <c r="B2846" t="s">
        <v>473</v>
      </c>
      <c r="C2846">
        <v>6640</v>
      </c>
      <c r="D2846">
        <v>-35.010522000000002</v>
      </c>
      <c r="E2846">
        <v>138.60089600000001</v>
      </c>
      <c r="F2846">
        <v>5</v>
      </c>
      <c r="G2846" t="s">
        <v>591</v>
      </c>
      <c r="H2846">
        <v>50</v>
      </c>
      <c r="I2846">
        <v>230</v>
      </c>
      <c r="J2846">
        <v>180</v>
      </c>
      <c r="K2846">
        <v>360</v>
      </c>
      <c r="L2846">
        <v>229</v>
      </c>
      <c r="M2846">
        <v>49</v>
      </c>
      <c r="N2846">
        <v>270</v>
      </c>
      <c r="O2846">
        <v>90</v>
      </c>
      <c r="P2846">
        <v>345</v>
      </c>
      <c r="Q2846">
        <v>165</v>
      </c>
      <c r="T2846">
        <v>1</v>
      </c>
      <c r="U2846">
        <v>0</v>
      </c>
      <c r="V2846">
        <v>1</v>
      </c>
      <c r="W2846">
        <v>1</v>
      </c>
      <c r="Y2846">
        <v>0</v>
      </c>
      <c r="Z2846">
        <v>0</v>
      </c>
      <c r="AA2846">
        <v>0</v>
      </c>
      <c r="AB2846">
        <v>3</v>
      </c>
      <c r="AD2846">
        <v>1</v>
      </c>
      <c r="AE2846">
        <v>0</v>
      </c>
      <c r="AF2846">
        <v>0</v>
      </c>
      <c r="AG2846">
        <v>17</v>
      </c>
      <c r="AI2846">
        <v>0</v>
      </c>
      <c r="AJ2846">
        <v>2</v>
      </c>
      <c r="AK2846">
        <v>1</v>
      </c>
      <c r="AL2846">
        <v>3</v>
      </c>
      <c r="AN2846">
        <v>3</v>
      </c>
      <c r="AO2846">
        <v>1</v>
      </c>
      <c r="AP2846">
        <v>7</v>
      </c>
      <c r="AQ2846">
        <v>0</v>
      </c>
      <c r="AX2846">
        <v>3</v>
      </c>
      <c r="AY2846">
        <v>4</v>
      </c>
      <c r="AZ2846">
        <v>7</v>
      </c>
      <c r="BA2846">
        <v>3</v>
      </c>
      <c r="BB2846">
        <v>4</v>
      </c>
      <c r="BC2846">
        <v>7</v>
      </c>
      <c r="BD2846">
        <v>18</v>
      </c>
      <c r="BE2846">
        <v>8</v>
      </c>
      <c r="BF2846">
        <v>26</v>
      </c>
      <c r="BG2846">
        <v>6</v>
      </c>
      <c r="BH2846">
        <v>1</v>
      </c>
      <c r="BI2846">
        <v>7</v>
      </c>
      <c r="BJ2846">
        <v>11</v>
      </c>
      <c r="BK2846">
        <v>24</v>
      </c>
      <c r="BL2846">
        <v>35</v>
      </c>
      <c r="BP2846">
        <v>10</v>
      </c>
      <c r="BQ2846">
        <v>3</v>
      </c>
      <c r="BR2846">
        <v>8</v>
      </c>
      <c r="BS2846">
        <v>3</v>
      </c>
      <c r="BT2846">
        <v>17</v>
      </c>
      <c r="BU2846">
        <v>0</v>
      </c>
      <c r="BV2846">
        <v>0</v>
      </c>
      <c r="BW2846">
        <v>41</v>
      </c>
      <c r="BX2846">
        <v>92</v>
      </c>
      <c r="BY2846">
        <v>-0.55434782599999999</v>
      </c>
      <c r="BZ2846" s="10">
        <v>-0.55434782599999999</v>
      </c>
      <c r="CA2846" s="7">
        <v>45606</v>
      </c>
      <c r="CE2846">
        <v>16</v>
      </c>
      <c r="CF2846">
        <v>12</v>
      </c>
      <c r="CG2846">
        <v>13</v>
      </c>
      <c r="CI2846">
        <f t="shared" si="250"/>
        <v>2024</v>
      </c>
      <c r="CJ2846" t="str">
        <f t="shared" si="251"/>
        <v>6640_2024</v>
      </c>
    </row>
    <row r="2847" spans="1:88" x14ac:dyDescent="0.25">
      <c r="A2847" t="s">
        <v>277</v>
      </c>
      <c r="B2847" t="s">
        <v>473</v>
      </c>
      <c r="C2847">
        <v>6641</v>
      </c>
      <c r="D2847">
        <v>-35.030386999999997</v>
      </c>
      <c r="E2847">
        <v>138.606799</v>
      </c>
      <c r="F2847">
        <v>2</v>
      </c>
      <c r="G2847" t="s">
        <v>592</v>
      </c>
      <c r="H2847">
        <v>70</v>
      </c>
      <c r="I2847">
        <v>250</v>
      </c>
      <c r="J2847">
        <v>232</v>
      </c>
      <c r="K2847">
        <v>52</v>
      </c>
      <c r="T2847">
        <v>18</v>
      </c>
      <c r="Y2847">
        <v>22</v>
      </c>
      <c r="AX2847">
        <v>18</v>
      </c>
      <c r="AY2847">
        <v>22</v>
      </c>
      <c r="AZ2847">
        <v>40</v>
      </c>
      <c r="BA2847">
        <v>22</v>
      </c>
      <c r="BB2847">
        <v>18</v>
      </c>
      <c r="BC2847">
        <v>40</v>
      </c>
      <c r="BP2847">
        <v>15</v>
      </c>
      <c r="BQ2847">
        <v>0</v>
      </c>
      <c r="BR2847">
        <v>8</v>
      </c>
      <c r="BS2847">
        <v>4</v>
      </c>
      <c r="BT2847">
        <v>13</v>
      </c>
      <c r="BU2847">
        <v>0</v>
      </c>
      <c r="BV2847">
        <v>0</v>
      </c>
      <c r="BW2847">
        <v>40</v>
      </c>
      <c r="BX2847">
        <v>65</v>
      </c>
      <c r="BY2847">
        <v>-0.38461538499999998</v>
      </c>
      <c r="BZ2847" s="10">
        <v>-0.38461538499999998</v>
      </c>
      <c r="CA2847" s="7">
        <v>45606</v>
      </c>
      <c r="CE2847">
        <v>11</v>
      </c>
      <c r="CF2847">
        <v>11</v>
      </c>
      <c r="CG2847">
        <v>18</v>
      </c>
      <c r="CI2847">
        <f t="shared" si="250"/>
        <v>2024</v>
      </c>
      <c r="CJ2847" t="str">
        <f t="shared" si="251"/>
        <v>6641_2024</v>
      </c>
    </row>
    <row r="2848" spans="1:88" x14ac:dyDescent="0.25">
      <c r="A2848" t="s">
        <v>277</v>
      </c>
      <c r="B2848" t="s">
        <v>473</v>
      </c>
      <c r="C2848">
        <v>7139</v>
      </c>
      <c r="D2848">
        <v>-34.989798999999998</v>
      </c>
      <c r="E2848">
        <v>138.61510000000001</v>
      </c>
      <c r="F2848">
        <v>4</v>
      </c>
      <c r="G2848" t="s">
        <v>735</v>
      </c>
      <c r="H2848">
        <v>0</v>
      </c>
      <c r="I2848">
        <v>180</v>
      </c>
      <c r="J2848">
        <v>75</v>
      </c>
      <c r="K2848">
        <v>255</v>
      </c>
      <c r="L2848">
        <v>200</v>
      </c>
      <c r="M2848">
        <v>20</v>
      </c>
      <c r="N2848">
        <v>290</v>
      </c>
      <c r="O2848">
        <v>110</v>
      </c>
      <c r="T2848">
        <v>6</v>
      </c>
      <c r="U2848">
        <v>1</v>
      </c>
      <c r="V2848">
        <v>0</v>
      </c>
      <c r="Y2848">
        <v>11</v>
      </c>
      <c r="Z2848">
        <v>9</v>
      </c>
      <c r="AA2848">
        <v>10</v>
      </c>
      <c r="AD2848">
        <v>3</v>
      </c>
      <c r="AE2848">
        <v>2</v>
      </c>
      <c r="AF2848">
        <v>1</v>
      </c>
      <c r="AI2848">
        <v>0</v>
      </c>
      <c r="AJ2848">
        <v>15</v>
      </c>
      <c r="AK2848">
        <v>1</v>
      </c>
      <c r="AX2848">
        <v>7</v>
      </c>
      <c r="AY2848">
        <v>14</v>
      </c>
      <c r="AZ2848">
        <v>21</v>
      </c>
      <c r="BA2848">
        <v>30</v>
      </c>
      <c r="BB2848">
        <v>23</v>
      </c>
      <c r="BC2848">
        <v>53</v>
      </c>
      <c r="BD2848">
        <v>6</v>
      </c>
      <c r="BE2848">
        <v>11</v>
      </c>
      <c r="BF2848">
        <v>17</v>
      </c>
      <c r="BG2848">
        <v>16</v>
      </c>
      <c r="BH2848">
        <v>11</v>
      </c>
      <c r="BI2848">
        <v>27</v>
      </c>
      <c r="BP2848">
        <v>7</v>
      </c>
      <c r="BQ2848">
        <v>0</v>
      </c>
      <c r="BR2848">
        <v>30</v>
      </c>
      <c r="BS2848">
        <v>3</v>
      </c>
      <c r="BT2848">
        <v>19</v>
      </c>
      <c r="BU2848">
        <v>0</v>
      </c>
      <c r="BV2848">
        <v>0</v>
      </c>
      <c r="BW2848">
        <v>59</v>
      </c>
      <c r="BX2848">
        <v>58</v>
      </c>
      <c r="BY2848">
        <v>1.7241379000000001E-2</v>
      </c>
      <c r="BZ2848" s="10">
        <v>1.7241379000000001E-2</v>
      </c>
      <c r="CA2848" s="7">
        <v>45606</v>
      </c>
      <c r="CE2848">
        <v>13</v>
      </c>
      <c r="CF2848">
        <v>28</v>
      </c>
      <c r="CG2848">
        <v>18</v>
      </c>
      <c r="CI2848">
        <f t="shared" si="250"/>
        <v>2024</v>
      </c>
      <c r="CJ2848" t="str">
        <f t="shared" si="251"/>
        <v>7139_2024</v>
      </c>
    </row>
    <row r="2849" spans="1:88" x14ac:dyDescent="0.25">
      <c r="A2849" t="s">
        <v>277</v>
      </c>
      <c r="B2849" t="s">
        <v>473</v>
      </c>
      <c r="C2849">
        <v>7254</v>
      </c>
      <c r="D2849">
        <v>-34.982947000000003</v>
      </c>
      <c r="E2849">
        <v>138.62780000000001</v>
      </c>
      <c r="F2849">
        <v>4</v>
      </c>
      <c r="G2849" t="s">
        <v>784</v>
      </c>
      <c r="H2849">
        <v>90</v>
      </c>
      <c r="I2849">
        <v>270</v>
      </c>
      <c r="J2849">
        <v>170</v>
      </c>
      <c r="K2849">
        <v>350</v>
      </c>
      <c r="L2849">
        <v>240</v>
      </c>
      <c r="M2849">
        <v>60</v>
      </c>
      <c r="N2849">
        <v>350</v>
      </c>
      <c r="O2849">
        <v>170</v>
      </c>
      <c r="T2849">
        <v>53</v>
      </c>
      <c r="U2849">
        <v>18</v>
      </c>
      <c r="V2849">
        <v>16</v>
      </c>
      <c r="Y2849">
        <v>68</v>
      </c>
      <c r="Z2849">
        <v>14</v>
      </c>
      <c r="AA2849">
        <v>8</v>
      </c>
      <c r="AD2849">
        <v>22</v>
      </c>
      <c r="AE2849">
        <v>11</v>
      </c>
      <c r="AF2849">
        <v>7</v>
      </c>
      <c r="AI2849">
        <v>3</v>
      </c>
      <c r="AJ2849">
        <v>5</v>
      </c>
      <c r="AK2849">
        <v>6</v>
      </c>
      <c r="AX2849">
        <v>87</v>
      </c>
      <c r="AY2849">
        <v>93</v>
      </c>
      <c r="AZ2849">
        <v>180</v>
      </c>
      <c r="BA2849">
        <v>90</v>
      </c>
      <c r="BB2849">
        <v>69</v>
      </c>
      <c r="BC2849">
        <v>159</v>
      </c>
      <c r="BD2849">
        <v>40</v>
      </c>
      <c r="BE2849">
        <v>38</v>
      </c>
      <c r="BF2849">
        <v>78</v>
      </c>
      <c r="BG2849">
        <v>14</v>
      </c>
      <c r="BH2849">
        <v>31</v>
      </c>
      <c r="BI2849">
        <v>45</v>
      </c>
      <c r="BP2849">
        <v>8</v>
      </c>
      <c r="BQ2849">
        <v>0</v>
      </c>
      <c r="BR2849">
        <v>166</v>
      </c>
      <c r="BS2849">
        <v>18</v>
      </c>
      <c r="BT2849">
        <v>39</v>
      </c>
      <c r="BU2849">
        <v>0</v>
      </c>
      <c r="BV2849">
        <v>0</v>
      </c>
      <c r="BW2849">
        <v>231</v>
      </c>
      <c r="BX2849">
        <v>194</v>
      </c>
      <c r="BY2849">
        <v>0.19072164899999999</v>
      </c>
      <c r="BZ2849" s="10">
        <v>0.19072164899999999</v>
      </c>
      <c r="CA2849" s="7">
        <v>45606</v>
      </c>
      <c r="CE2849">
        <v>105</v>
      </c>
      <c r="CF2849">
        <v>79</v>
      </c>
      <c r="CG2849">
        <v>47</v>
      </c>
      <c r="CI2849">
        <f t="shared" si="250"/>
        <v>2024</v>
      </c>
      <c r="CJ2849" t="str">
        <f t="shared" si="251"/>
        <v>7254_2024</v>
      </c>
    </row>
    <row r="2850" spans="1:88" x14ac:dyDescent="0.25">
      <c r="A2850" t="s">
        <v>277</v>
      </c>
      <c r="B2850" t="s">
        <v>473</v>
      </c>
      <c r="C2850">
        <v>7256</v>
      </c>
      <c r="D2850">
        <v>-34.996262999999999</v>
      </c>
      <c r="E2850">
        <v>138.651036</v>
      </c>
      <c r="F2850">
        <v>2</v>
      </c>
      <c r="G2850" t="s">
        <v>786</v>
      </c>
      <c r="H2850">
        <v>11</v>
      </c>
      <c r="I2850">
        <v>191</v>
      </c>
      <c r="J2850">
        <v>190</v>
      </c>
      <c r="K2850">
        <v>10</v>
      </c>
      <c r="U2850">
        <v>9</v>
      </c>
      <c r="AD2850">
        <v>10</v>
      </c>
      <c r="AX2850">
        <v>9</v>
      </c>
      <c r="AY2850">
        <v>10</v>
      </c>
      <c r="AZ2850">
        <v>19</v>
      </c>
      <c r="BD2850">
        <v>10</v>
      </c>
      <c r="BE2850">
        <v>9</v>
      </c>
      <c r="BF2850">
        <v>19</v>
      </c>
      <c r="BP2850">
        <v>5</v>
      </c>
      <c r="BQ2850">
        <v>6</v>
      </c>
      <c r="BR2850">
        <v>3</v>
      </c>
      <c r="BS2850">
        <v>5</v>
      </c>
      <c r="BT2850">
        <v>0</v>
      </c>
      <c r="BU2850">
        <v>0</v>
      </c>
      <c r="BV2850">
        <v>0</v>
      </c>
      <c r="BW2850">
        <v>19</v>
      </c>
      <c r="BX2850">
        <v>21</v>
      </c>
      <c r="BY2850">
        <v>-9.5238094999999995E-2</v>
      </c>
      <c r="BZ2850" s="10">
        <v>-9.5238094999999995E-2</v>
      </c>
      <c r="CA2850" s="7">
        <v>45606</v>
      </c>
      <c r="CE2850">
        <v>6</v>
      </c>
      <c r="CF2850">
        <v>6</v>
      </c>
      <c r="CG2850">
        <v>7</v>
      </c>
      <c r="CI2850">
        <f t="shared" si="250"/>
        <v>2024</v>
      </c>
      <c r="CJ2850" t="str">
        <f t="shared" si="251"/>
        <v>7256_2024</v>
      </c>
    </row>
    <row r="2851" spans="1:88" x14ac:dyDescent="0.25">
      <c r="A2851" t="s">
        <v>277</v>
      </c>
      <c r="B2851" t="s">
        <v>473</v>
      </c>
      <c r="C2851">
        <v>7434</v>
      </c>
      <c r="D2851">
        <v>-35.036473999999998</v>
      </c>
      <c r="E2851">
        <v>138.602735</v>
      </c>
      <c r="F2851">
        <v>4</v>
      </c>
      <c r="G2851" t="s">
        <v>809</v>
      </c>
      <c r="H2851">
        <v>9</v>
      </c>
      <c r="I2851">
        <v>189</v>
      </c>
      <c r="J2851">
        <v>150</v>
      </c>
      <c r="K2851">
        <v>330</v>
      </c>
      <c r="L2851">
        <v>220</v>
      </c>
      <c r="M2851">
        <v>40</v>
      </c>
      <c r="N2851">
        <v>258</v>
      </c>
      <c r="O2851">
        <v>78</v>
      </c>
      <c r="T2851">
        <v>26</v>
      </c>
      <c r="U2851">
        <v>8</v>
      </c>
      <c r="V2851">
        <v>1</v>
      </c>
      <c r="Y2851">
        <v>27</v>
      </c>
      <c r="Z2851">
        <v>7</v>
      </c>
      <c r="AA2851">
        <v>3</v>
      </c>
      <c r="AD2851">
        <v>3</v>
      </c>
      <c r="AE2851">
        <v>0</v>
      </c>
      <c r="AF2851">
        <v>5</v>
      </c>
      <c r="AI2851">
        <v>20</v>
      </c>
      <c r="AJ2851">
        <v>16</v>
      </c>
      <c r="AK2851">
        <v>5</v>
      </c>
      <c r="AX2851">
        <v>35</v>
      </c>
      <c r="AY2851">
        <v>50</v>
      </c>
      <c r="AZ2851">
        <v>85</v>
      </c>
      <c r="BA2851">
        <v>37</v>
      </c>
      <c r="BB2851">
        <v>42</v>
      </c>
      <c r="BC2851">
        <v>79</v>
      </c>
      <c r="BD2851">
        <v>8</v>
      </c>
      <c r="BE2851">
        <v>20</v>
      </c>
      <c r="BF2851">
        <v>28</v>
      </c>
      <c r="BG2851">
        <v>41</v>
      </c>
      <c r="BH2851">
        <v>9</v>
      </c>
      <c r="BI2851">
        <v>50</v>
      </c>
      <c r="BP2851">
        <v>59</v>
      </c>
      <c r="BQ2851">
        <v>13</v>
      </c>
      <c r="BR2851">
        <v>18</v>
      </c>
      <c r="BS2851">
        <v>7</v>
      </c>
      <c r="BT2851">
        <v>24</v>
      </c>
      <c r="BU2851">
        <v>0</v>
      </c>
      <c r="BV2851">
        <v>0</v>
      </c>
      <c r="BW2851">
        <v>121</v>
      </c>
      <c r="BX2851">
        <v>80</v>
      </c>
      <c r="BY2851">
        <v>0.51249999999999996</v>
      </c>
      <c r="BZ2851" s="10">
        <v>0.51249999999999996</v>
      </c>
      <c r="CA2851" s="7">
        <v>45606</v>
      </c>
      <c r="CE2851">
        <v>45</v>
      </c>
      <c r="CF2851">
        <v>45</v>
      </c>
      <c r="CG2851">
        <v>31</v>
      </c>
      <c r="CI2851">
        <f t="shared" si="250"/>
        <v>2024</v>
      </c>
      <c r="CJ2851" t="str">
        <f t="shared" si="251"/>
        <v>7434_2024</v>
      </c>
    </row>
    <row r="2852" spans="1:88" x14ac:dyDescent="0.25">
      <c r="A2852" t="s">
        <v>277</v>
      </c>
      <c r="B2852" t="s">
        <v>473</v>
      </c>
      <c r="C2852">
        <v>7868</v>
      </c>
      <c r="D2852">
        <v>-35.012003</v>
      </c>
      <c r="E2852">
        <v>138.60810000000001</v>
      </c>
      <c r="F2852">
        <v>2</v>
      </c>
      <c r="G2852" t="s">
        <v>939</v>
      </c>
      <c r="H2852">
        <v>170</v>
      </c>
      <c r="I2852">
        <v>350</v>
      </c>
      <c r="J2852">
        <v>347</v>
      </c>
      <c r="K2852">
        <v>167</v>
      </c>
      <c r="T2852">
        <v>4</v>
      </c>
      <c r="Y2852">
        <v>7</v>
      </c>
      <c r="AX2852">
        <v>4</v>
      </c>
      <c r="AY2852">
        <v>7</v>
      </c>
      <c r="AZ2852">
        <v>11</v>
      </c>
      <c r="BA2852">
        <v>7</v>
      </c>
      <c r="BB2852">
        <v>4</v>
      </c>
      <c r="BC2852">
        <v>11</v>
      </c>
      <c r="BP2852">
        <v>1</v>
      </c>
      <c r="BQ2852">
        <v>0</v>
      </c>
      <c r="BR2852">
        <v>4</v>
      </c>
      <c r="BS2852">
        <v>3</v>
      </c>
      <c r="BT2852">
        <v>3</v>
      </c>
      <c r="BU2852">
        <v>0</v>
      </c>
      <c r="BV2852">
        <v>0</v>
      </c>
      <c r="BW2852">
        <v>11</v>
      </c>
      <c r="BX2852">
        <v>20</v>
      </c>
      <c r="BY2852">
        <v>-0.45</v>
      </c>
      <c r="BZ2852" s="10">
        <v>-0.45</v>
      </c>
      <c r="CA2852" s="7">
        <v>45606</v>
      </c>
      <c r="CE2852">
        <v>8</v>
      </c>
      <c r="CF2852">
        <v>3</v>
      </c>
      <c r="CG2852">
        <v>0</v>
      </c>
      <c r="CI2852">
        <f t="shared" si="250"/>
        <v>2024</v>
      </c>
      <c r="CJ2852" t="str">
        <f t="shared" si="251"/>
        <v>7868_2024</v>
      </c>
    </row>
    <row r="2853" spans="1:88" x14ac:dyDescent="0.25">
      <c r="A2853" t="s">
        <v>277</v>
      </c>
      <c r="B2853" t="s">
        <v>473</v>
      </c>
      <c r="C2853">
        <v>7869</v>
      </c>
      <c r="D2853">
        <v>-35.007582999999997</v>
      </c>
      <c r="E2853">
        <v>138.67875000000001</v>
      </c>
      <c r="F2853">
        <v>2</v>
      </c>
      <c r="G2853" t="s">
        <v>940</v>
      </c>
      <c r="H2853">
        <v>92</v>
      </c>
      <c r="I2853">
        <v>272</v>
      </c>
      <c r="J2853">
        <v>279</v>
      </c>
      <c r="K2853">
        <v>99</v>
      </c>
      <c r="T2853">
        <v>33</v>
      </c>
      <c r="Y2853">
        <v>89</v>
      </c>
      <c r="AX2853">
        <v>33</v>
      </c>
      <c r="AY2853">
        <v>89</v>
      </c>
      <c r="AZ2853">
        <v>122</v>
      </c>
      <c r="BA2853">
        <v>89</v>
      </c>
      <c r="BB2853">
        <v>33</v>
      </c>
      <c r="BC2853">
        <v>122</v>
      </c>
      <c r="BP2853">
        <v>46</v>
      </c>
      <c r="BQ2853">
        <v>22</v>
      </c>
      <c r="BR2853">
        <v>20</v>
      </c>
      <c r="BS2853">
        <v>20</v>
      </c>
      <c r="BT2853">
        <v>12</v>
      </c>
      <c r="BU2853">
        <v>0</v>
      </c>
      <c r="BV2853">
        <v>2</v>
      </c>
      <c r="BW2853">
        <v>122</v>
      </c>
      <c r="BX2853">
        <v>125</v>
      </c>
      <c r="BY2853">
        <v>-2.4E-2</v>
      </c>
      <c r="BZ2853" s="10">
        <v>-2.4E-2</v>
      </c>
      <c r="CA2853" s="7">
        <v>45606</v>
      </c>
      <c r="CE2853">
        <v>56</v>
      </c>
      <c r="CF2853">
        <v>42</v>
      </c>
      <c r="CG2853">
        <v>24</v>
      </c>
      <c r="CI2853">
        <f t="shared" si="250"/>
        <v>2024</v>
      </c>
      <c r="CJ2853" t="str">
        <f t="shared" si="251"/>
        <v>7869_2024</v>
      </c>
    </row>
    <row r="2854" spans="1:88" x14ac:dyDescent="0.25">
      <c r="A2854" t="s">
        <v>111</v>
      </c>
      <c r="B2854" t="s">
        <v>259</v>
      </c>
      <c r="C2854">
        <v>6015</v>
      </c>
      <c r="D2854">
        <v>-37.890625</v>
      </c>
      <c r="E2854">
        <v>145.093931</v>
      </c>
      <c r="F2854">
        <v>4</v>
      </c>
      <c r="G2854" t="s">
        <v>354</v>
      </c>
      <c r="H2854">
        <v>7</v>
      </c>
      <c r="I2854">
        <v>187</v>
      </c>
      <c r="J2854">
        <v>129</v>
      </c>
      <c r="K2854">
        <v>309</v>
      </c>
      <c r="L2854">
        <v>189</v>
      </c>
      <c r="M2854">
        <v>9</v>
      </c>
      <c r="N2854">
        <v>318</v>
      </c>
      <c r="O2854">
        <v>138</v>
      </c>
      <c r="T2854">
        <v>11</v>
      </c>
      <c r="U2854">
        <v>19</v>
      </c>
      <c r="V2854">
        <v>16</v>
      </c>
      <c r="Y2854">
        <v>14</v>
      </c>
      <c r="Z2854">
        <v>8</v>
      </c>
      <c r="AA2854">
        <v>114</v>
      </c>
      <c r="AD2854">
        <v>13</v>
      </c>
      <c r="AE2854">
        <v>9</v>
      </c>
      <c r="AF2854">
        <v>30</v>
      </c>
      <c r="AI2854">
        <v>52</v>
      </c>
      <c r="AJ2854">
        <v>97</v>
      </c>
      <c r="AK2854">
        <v>24</v>
      </c>
      <c r="AX2854">
        <v>46</v>
      </c>
      <c r="AY2854">
        <v>79</v>
      </c>
      <c r="AZ2854">
        <v>125</v>
      </c>
      <c r="BA2854">
        <v>136</v>
      </c>
      <c r="BB2854">
        <v>117</v>
      </c>
      <c r="BC2854">
        <v>253</v>
      </c>
      <c r="BD2854">
        <v>52</v>
      </c>
      <c r="BE2854">
        <v>51</v>
      </c>
      <c r="BF2854">
        <v>103</v>
      </c>
      <c r="BG2854">
        <v>173</v>
      </c>
      <c r="BH2854">
        <v>160</v>
      </c>
      <c r="BI2854">
        <v>333</v>
      </c>
      <c r="BP2854">
        <v>132</v>
      </c>
      <c r="BQ2854">
        <v>28</v>
      </c>
      <c r="BR2854">
        <v>170</v>
      </c>
      <c r="BS2854">
        <v>40</v>
      </c>
      <c r="BT2854">
        <v>35</v>
      </c>
      <c r="BU2854">
        <v>1</v>
      </c>
      <c r="BV2854">
        <v>1</v>
      </c>
      <c r="BW2854">
        <v>407</v>
      </c>
      <c r="BX2854">
        <v>471</v>
      </c>
      <c r="BY2854">
        <v>-0.135881104</v>
      </c>
      <c r="BZ2854" s="10">
        <v>-0.135881104</v>
      </c>
      <c r="CA2854" s="7">
        <v>45606</v>
      </c>
      <c r="CE2854">
        <v>140</v>
      </c>
      <c r="CF2854">
        <v>144</v>
      </c>
      <c r="CG2854">
        <v>123</v>
      </c>
      <c r="CI2854">
        <f t="shared" si="250"/>
        <v>2024</v>
      </c>
      <c r="CJ2854" t="str">
        <f t="shared" si="251"/>
        <v>6015_2024</v>
      </c>
    </row>
    <row r="2855" spans="1:88" x14ac:dyDescent="0.25">
      <c r="A2855" t="s">
        <v>111</v>
      </c>
      <c r="B2855" t="s">
        <v>259</v>
      </c>
      <c r="C2855">
        <v>6017</v>
      </c>
      <c r="D2855">
        <v>-37.884481000000001</v>
      </c>
      <c r="E2855">
        <v>145.14067700000001</v>
      </c>
      <c r="F2855">
        <v>4</v>
      </c>
      <c r="G2855" t="s">
        <v>356</v>
      </c>
      <c r="H2855">
        <v>17</v>
      </c>
      <c r="I2855">
        <v>197</v>
      </c>
      <c r="J2855">
        <v>87</v>
      </c>
      <c r="K2855">
        <v>267</v>
      </c>
      <c r="L2855">
        <v>194</v>
      </c>
      <c r="M2855">
        <v>14</v>
      </c>
      <c r="N2855">
        <v>261</v>
      </c>
      <c r="O2855">
        <v>81</v>
      </c>
      <c r="T2855">
        <v>9</v>
      </c>
      <c r="U2855">
        <v>12</v>
      </c>
      <c r="V2855">
        <v>19</v>
      </c>
      <c r="Y2855">
        <v>9</v>
      </c>
      <c r="Z2855">
        <v>2</v>
      </c>
      <c r="AA2855">
        <v>57</v>
      </c>
      <c r="AD2855">
        <v>3</v>
      </c>
      <c r="AE2855">
        <v>3</v>
      </c>
      <c r="AF2855">
        <v>0</v>
      </c>
      <c r="AI2855">
        <v>12</v>
      </c>
      <c r="AJ2855">
        <v>88</v>
      </c>
      <c r="AK2855">
        <v>2</v>
      </c>
      <c r="AX2855">
        <v>40</v>
      </c>
      <c r="AY2855">
        <v>24</v>
      </c>
      <c r="AZ2855">
        <v>64</v>
      </c>
      <c r="BA2855">
        <v>68</v>
      </c>
      <c r="BB2855">
        <v>100</v>
      </c>
      <c r="BC2855">
        <v>168</v>
      </c>
      <c r="BD2855">
        <v>6</v>
      </c>
      <c r="BE2855">
        <v>16</v>
      </c>
      <c r="BF2855">
        <v>22</v>
      </c>
      <c r="BG2855">
        <v>102</v>
      </c>
      <c r="BH2855">
        <v>76</v>
      </c>
      <c r="BI2855">
        <v>178</v>
      </c>
      <c r="BP2855">
        <v>79</v>
      </c>
      <c r="BQ2855">
        <v>7</v>
      </c>
      <c r="BR2855">
        <v>94</v>
      </c>
      <c r="BS2855">
        <v>24</v>
      </c>
      <c r="BT2855">
        <v>12</v>
      </c>
      <c r="BU2855">
        <v>0</v>
      </c>
      <c r="BV2855">
        <v>0</v>
      </c>
      <c r="BW2855">
        <v>216</v>
      </c>
      <c r="BX2855">
        <v>241</v>
      </c>
      <c r="BY2855">
        <v>-0.10373444</v>
      </c>
      <c r="BZ2855" s="10">
        <v>-0.10373444</v>
      </c>
      <c r="CA2855" s="7">
        <v>45606</v>
      </c>
      <c r="CE2855">
        <v>83</v>
      </c>
      <c r="CF2855">
        <v>65</v>
      </c>
      <c r="CG2855">
        <v>68</v>
      </c>
      <c r="CI2855">
        <f t="shared" si="250"/>
        <v>2024</v>
      </c>
      <c r="CJ2855" t="str">
        <f t="shared" si="251"/>
        <v>6017_2024</v>
      </c>
    </row>
    <row r="2856" spans="1:88" x14ac:dyDescent="0.25">
      <c r="A2856" t="s">
        <v>111</v>
      </c>
      <c r="B2856" t="s">
        <v>259</v>
      </c>
      <c r="C2856">
        <v>6019</v>
      </c>
      <c r="D2856">
        <v>-37.860430999999998</v>
      </c>
      <c r="E2856">
        <v>145.10162399999999</v>
      </c>
      <c r="F2856">
        <v>4</v>
      </c>
      <c r="G2856" t="s">
        <v>357</v>
      </c>
      <c r="H2856">
        <v>7</v>
      </c>
      <c r="I2856">
        <v>187</v>
      </c>
      <c r="J2856">
        <v>95</v>
      </c>
      <c r="K2856">
        <v>275</v>
      </c>
      <c r="L2856">
        <v>189</v>
      </c>
      <c r="M2856">
        <v>9</v>
      </c>
      <c r="N2856">
        <v>279</v>
      </c>
      <c r="O2856">
        <v>99</v>
      </c>
      <c r="T2856">
        <v>7</v>
      </c>
      <c r="U2856">
        <v>97</v>
      </c>
      <c r="V2856">
        <v>18</v>
      </c>
      <c r="Y2856">
        <v>2</v>
      </c>
      <c r="Z2856">
        <v>6</v>
      </c>
      <c r="AA2856">
        <v>22</v>
      </c>
      <c r="AD2856">
        <v>75</v>
      </c>
      <c r="AE2856">
        <v>17</v>
      </c>
      <c r="AF2856">
        <v>18</v>
      </c>
      <c r="AI2856">
        <v>19</v>
      </c>
      <c r="AJ2856">
        <v>20</v>
      </c>
      <c r="AK2856">
        <v>14</v>
      </c>
      <c r="AX2856">
        <v>122</v>
      </c>
      <c r="AY2856">
        <v>96</v>
      </c>
      <c r="AZ2856">
        <v>218</v>
      </c>
      <c r="BA2856">
        <v>30</v>
      </c>
      <c r="BB2856">
        <v>44</v>
      </c>
      <c r="BC2856">
        <v>74</v>
      </c>
      <c r="BD2856">
        <v>110</v>
      </c>
      <c r="BE2856">
        <v>117</v>
      </c>
      <c r="BF2856">
        <v>227</v>
      </c>
      <c r="BG2856">
        <v>53</v>
      </c>
      <c r="BH2856">
        <v>58</v>
      </c>
      <c r="BI2856">
        <v>111</v>
      </c>
      <c r="BP2856">
        <v>73</v>
      </c>
      <c r="BQ2856">
        <v>10</v>
      </c>
      <c r="BR2856">
        <v>122</v>
      </c>
      <c r="BS2856">
        <v>58</v>
      </c>
      <c r="BT2856">
        <v>50</v>
      </c>
      <c r="BU2856">
        <v>1</v>
      </c>
      <c r="BV2856">
        <v>1</v>
      </c>
      <c r="BW2856">
        <v>315</v>
      </c>
      <c r="BX2856">
        <v>134</v>
      </c>
      <c r="BY2856">
        <v>1.3507462690000001</v>
      </c>
      <c r="BZ2856" s="10">
        <v>1.3507462690000001</v>
      </c>
      <c r="CA2856" s="7">
        <v>45606</v>
      </c>
      <c r="CE2856">
        <v>122</v>
      </c>
      <c r="CF2856">
        <v>82</v>
      </c>
      <c r="CG2856">
        <v>111</v>
      </c>
      <c r="CI2856">
        <f t="shared" si="250"/>
        <v>2024</v>
      </c>
      <c r="CJ2856" t="str">
        <f t="shared" si="251"/>
        <v>6019_2024</v>
      </c>
    </row>
    <row r="2857" spans="1:88" x14ac:dyDescent="0.25">
      <c r="A2857" t="s">
        <v>111</v>
      </c>
      <c r="B2857" t="s">
        <v>259</v>
      </c>
      <c r="C2857">
        <v>6239</v>
      </c>
      <c r="D2857">
        <v>-37.872267999999998</v>
      </c>
      <c r="E2857">
        <v>145.09244000000001</v>
      </c>
      <c r="F2857">
        <v>4</v>
      </c>
      <c r="G2857" t="s">
        <v>421</v>
      </c>
      <c r="H2857">
        <v>41</v>
      </c>
      <c r="I2857">
        <v>221</v>
      </c>
      <c r="J2857">
        <v>126</v>
      </c>
      <c r="K2857">
        <v>306</v>
      </c>
      <c r="L2857">
        <v>235</v>
      </c>
      <c r="M2857">
        <v>55</v>
      </c>
      <c r="N2857">
        <v>334</v>
      </c>
      <c r="O2857">
        <v>154</v>
      </c>
      <c r="T2857">
        <v>15</v>
      </c>
      <c r="U2857">
        <v>2</v>
      </c>
      <c r="V2857">
        <v>76</v>
      </c>
      <c r="Y2857">
        <v>6</v>
      </c>
      <c r="Z2857">
        <v>11</v>
      </c>
      <c r="AA2857">
        <v>14</v>
      </c>
      <c r="AD2857">
        <v>2</v>
      </c>
      <c r="AE2857">
        <v>14</v>
      </c>
      <c r="AF2857">
        <v>2</v>
      </c>
      <c r="AI2857">
        <v>91</v>
      </c>
      <c r="AJ2857">
        <v>17</v>
      </c>
      <c r="AK2857">
        <v>6</v>
      </c>
      <c r="AX2857">
        <v>93</v>
      </c>
      <c r="AY2857">
        <v>99</v>
      </c>
      <c r="AZ2857">
        <v>192</v>
      </c>
      <c r="BA2857">
        <v>31</v>
      </c>
      <c r="BB2857">
        <v>46</v>
      </c>
      <c r="BC2857">
        <v>77</v>
      </c>
      <c r="BD2857">
        <v>18</v>
      </c>
      <c r="BE2857">
        <v>19</v>
      </c>
      <c r="BF2857">
        <v>37</v>
      </c>
      <c r="BG2857">
        <v>114</v>
      </c>
      <c r="BH2857">
        <v>92</v>
      </c>
      <c r="BI2857">
        <v>206</v>
      </c>
      <c r="BP2857">
        <v>104</v>
      </c>
      <c r="BQ2857">
        <v>16</v>
      </c>
      <c r="BR2857">
        <v>84</v>
      </c>
      <c r="BS2857">
        <v>29</v>
      </c>
      <c r="BT2857">
        <v>22</v>
      </c>
      <c r="BU2857">
        <v>1</v>
      </c>
      <c r="BV2857">
        <v>0</v>
      </c>
      <c r="BW2857">
        <v>256</v>
      </c>
      <c r="BX2857">
        <v>368</v>
      </c>
      <c r="BY2857">
        <v>-0.30434782599999999</v>
      </c>
      <c r="BZ2857" s="10">
        <v>-0.30434782599999999</v>
      </c>
      <c r="CA2857" s="7">
        <v>45606</v>
      </c>
      <c r="CE2857">
        <v>84</v>
      </c>
      <c r="CF2857">
        <v>75</v>
      </c>
      <c r="CG2857">
        <v>97</v>
      </c>
      <c r="CI2857">
        <f t="shared" si="250"/>
        <v>2024</v>
      </c>
      <c r="CJ2857" t="str">
        <f t="shared" si="251"/>
        <v>6239_2024</v>
      </c>
    </row>
    <row r="2858" spans="1:88" x14ac:dyDescent="0.25">
      <c r="A2858" t="s">
        <v>111</v>
      </c>
      <c r="B2858" t="s">
        <v>259</v>
      </c>
      <c r="C2858">
        <v>6615</v>
      </c>
      <c r="D2858">
        <v>-37.892198999999998</v>
      </c>
      <c r="E2858">
        <v>145.11489700000001</v>
      </c>
      <c r="F2858">
        <v>4</v>
      </c>
      <c r="G2858" t="s">
        <v>563</v>
      </c>
      <c r="H2858">
        <v>9</v>
      </c>
      <c r="I2858">
        <v>189</v>
      </c>
      <c r="J2858">
        <v>78</v>
      </c>
      <c r="K2858">
        <v>258</v>
      </c>
      <c r="L2858">
        <v>189</v>
      </c>
      <c r="M2858">
        <v>9</v>
      </c>
      <c r="N2858">
        <v>260</v>
      </c>
      <c r="O2858">
        <v>80</v>
      </c>
      <c r="T2858">
        <v>3</v>
      </c>
      <c r="U2858">
        <v>11</v>
      </c>
      <c r="V2858">
        <v>11</v>
      </c>
      <c r="Y2858">
        <v>0</v>
      </c>
      <c r="Z2858">
        <v>16</v>
      </c>
      <c r="AA2858">
        <v>90</v>
      </c>
      <c r="AD2858">
        <v>20</v>
      </c>
      <c r="AE2858">
        <v>18</v>
      </c>
      <c r="AF2858">
        <v>55</v>
      </c>
      <c r="AI2858">
        <v>15</v>
      </c>
      <c r="AJ2858">
        <v>110</v>
      </c>
      <c r="AK2858">
        <v>44</v>
      </c>
      <c r="AX2858">
        <v>25</v>
      </c>
      <c r="AY2858">
        <v>35</v>
      </c>
      <c r="AZ2858">
        <v>60</v>
      </c>
      <c r="BA2858">
        <v>106</v>
      </c>
      <c r="BB2858">
        <v>131</v>
      </c>
      <c r="BC2858">
        <v>237</v>
      </c>
      <c r="BD2858">
        <v>93</v>
      </c>
      <c r="BE2858">
        <v>71</v>
      </c>
      <c r="BF2858">
        <v>164</v>
      </c>
      <c r="BG2858">
        <v>169</v>
      </c>
      <c r="BH2858">
        <v>156</v>
      </c>
      <c r="BI2858">
        <v>325</v>
      </c>
      <c r="BP2858">
        <v>131</v>
      </c>
      <c r="BQ2858">
        <v>9</v>
      </c>
      <c r="BR2858">
        <v>166</v>
      </c>
      <c r="BS2858">
        <v>56</v>
      </c>
      <c r="BT2858">
        <v>31</v>
      </c>
      <c r="BU2858">
        <v>0</v>
      </c>
      <c r="BV2858">
        <v>0</v>
      </c>
      <c r="BW2858">
        <v>393</v>
      </c>
      <c r="BX2858">
        <v>483</v>
      </c>
      <c r="BY2858">
        <v>-0.18633540400000001</v>
      </c>
      <c r="BZ2858" s="10">
        <v>-0.18633540400000001</v>
      </c>
      <c r="CA2858" s="7">
        <v>45606</v>
      </c>
      <c r="CE2858">
        <v>137</v>
      </c>
      <c r="CF2858">
        <v>123</v>
      </c>
      <c r="CG2858">
        <v>133</v>
      </c>
      <c r="CI2858">
        <f t="shared" si="250"/>
        <v>2024</v>
      </c>
      <c r="CJ2858" t="str">
        <f t="shared" si="251"/>
        <v>6615_2024</v>
      </c>
    </row>
    <row r="2859" spans="1:88" x14ac:dyDescent="0.25">
      <c r="A2859" t="s">
        <v>111</v>
      </c>
      <c r="B2859" t="s">
        <v>259</v>
      </c>
      <c r="C2859">
        <v>7447</v>
      </c>
      <c r="D2859">
        <v>-37.927539000000003</v>
      </c>
      <c r="E2859">
        <v>145.124168</v>
      </c>
      <c r="F2859">
        <v>3</v>
      </c>
      <c r="G2859" t="s">
        <v>822</v>
      </c>
      <c r="H2859">
        <v>46</v>
      </c>
      <c r="I2859">
        <v>226</v>
      </c>
      <c r="J2859">
        <v>133</v>
      </c>
      <c r="K2859">
        <v>313</v>
      </c>
      <c r="L2859">
        <v>310</v>
      </c>
      <c r="M2859">
        <v>130</v>
      </c>
      <c r="T2859">
        <v>4</v>
      </c>
      <c r="U2859">
        <v>7</v>
      </c>
      <c r="Y2859">
        <v>5</v>
      </c>
      <c r="Z2859">
        <v>83</v>
      </c>
      <c r="AD2859">
        <v>2</v>
      </c>
      <c r="AE2859">
        <v>47</v>
      </c>
      <c r="AX2859">
        <v>11</v>
      </c>
      <c r="AY2859">
        <v>7</v>
      </c>
      <c r="AZ2859">
        <v>18</v>
      </c>
      <c r="BA2859">
        <v>88</v>
      </c>
      <c r="BB2859">
        <v>51</v>
      </c>
      <c r="BC2859">
        <v>139</v>
      </c>
      <c r="BD2859">
        <v>49</v>
      </c>
      <c r="BE2859">
        <v>90</v>
      </c>
      <c r="BF2859">
        <v>139</v>
      </c>
      <c r="BP2859">
        <v>81</v>
      </c>
      <c r="BQ2859">
        <v>22</v>
      </c>
      <c r="BR2859">
        <v>37</v>
      </c>
      <c r="BS2859">
        <v>3</v>
      </c>
      <c r="BT2859">
        <v>0</v>
      </c>
      <c r="BU2859">
        <v>3</v>
      </c>
      <c r="BV2859">
        <v>2</v>
      </c>
      <c r="BW2859">
        <v>148</v>
      </c>
      <c r="BX2859">
        <v>206</v>
      </c>
      <c r="BY2859">
        <v>-0.28155339800000001</v>
      </c>
      <c r="BZ2859" s="10">
        <v>-0.28155339800000001</v>
      </c>
      <c r="CA2859" s="7">
        <v>45606</v>
      </c>
      <c r="CE2859">
        <v>31</v>
      </c>
      <c r="CF2859">
        <v>58</v>
      </c>
      <c r="CG2859">
        <v>59</v>
      </c>
      <c r="CI2859">
        <f t="shared" si="250"/>
        <v>2024</v>
      </c>
      <c r="CJ2859" t="str">
        <f t="shared" si="251"/>
        <v>7447_2024</v>
      </c>
    </row>
    <row r="2860" spans="1:88" x14ac:dyDescent="0.25">
      <c r="A2860" t="s">
        <v>111</v>
      </c>
      <c r="B2860" t="s">
        <v>259</v>
      </c>
      <c r="C2860">
        <v>7450</v>
      </c>
      <c r="D2860">
        <v>-37.897944000000003</v>
      </c>
      <c r="E2860">
        <v>145.08422300000001</v>
      </c>
      <c r="F2860">
        <v>4</v>
      </c>
      <c r="G2860" t="s">
        <v>826</v>
      </c>
      <c r="H2860">
        <v>9</v>
      </c>
      <c r="I2860">
        <v>189</v>
      </c>
      <c r="J2860">
        <v>120</v>
      </c>
      <c r="K2860">
        <v>300</v>
      </c>
      <c r="L2860">
        <v>183</v>
      </c>
      <c r="M2860">
        <v>3</v>
      </c>
      <c r="N2860">
        <v>300</v>
      </c>
      <c r="O2860">
        <v>120</v>
      </c>
      <c r="T2860">
        <v>8</v>
      </c>
      <c r="U2860">
        <v>48</v>
      </c>
      <c r="V2860">
        <v>26</v>
      </c>
      <c r="Y2860">
        <v>6</v>
      </c>
      <c r="Z2860">
        <v>15</v>
      </c>
      <c r="AA2860">
        <v>114</v>
      </c>
      <c r="AD2860">
        <v>37</v>
      </c>
      <c r="AE2860">
        <v>5</v>
      </c>
      <c r="AF2860">
        <v>22</v>
      </c>
      <c r="AI2860">
        <v>30</v>
      </c>
      <c r="AJ2860">
        <v>131</v>
      </c>
      <c r="AK2860">
        <v>17</v>
      </c>
      <c r="AX2860">
        <v>82</v>
      </c>
      <c r="AY2860">
        <v>73</v>
      </c>
      <c r="AZ2860">
        <v>155</v>
      </c>
      <c r="BA2860">
        <v>135</v>
      </c>
      <c r="BB2860">
        <v>144</v>
      </c>
      <c r="BC2860">
        <v>279</v>
      </c>
      <c r="BD2860">
        <v>64</v>
      </c>
      <c r="BE2860">
        <v>80</v>
      </c>
      <c r="BF2860">
        <v>144</v>
      </c>
      <c r="BG2860">
        <v>178</v>
      </c>
      <c r="BH2860">
        <v>162</v>
      </c>
      <c r="BI2860">
        <v>340</v>
      </c>
      <c r="BP2860">
        <v>145</v>
      </c>
      <c r="BQ2860">
        <v>17</v>
      </c>
      <c r="BR2860">
        <v>215</v>
      </c>
      <c r="BS2860">
        <v>40</v>
      </c>
      <c r="BT2860">
        <v>38</v>
      </c>
      <c r="BU2860">
        <v>2</v>
      </c>
      <c r="BV2860">
        <v>2</v>
      </c>
      <c r="BW2860">
        <v>459</v>
      </c>
      <c r="BX2860">
        <v>513</v>
      </c>
      <c r="BY2860">
        <v>-0.105263158</v>
      </c>
      <c r="BZ2860" s="10">
        <v>-0.105263158</v>
      </c>
      <c r="CA2860" s="7">
        <v>45606</v>
      </c>
      <c r="CE2860">
        <v>177</v>
      </c>
      <c r="CF2860">
        <v>138</v>
      </c>
      <c r="CG2860">
        <v>144</v>
      </c>
      <c r="CI2860">
        <f t="shared" si="250"/>
        <v>2024</v>
      </c>
      <c r="CJ2860" t="str">
        <f t="shared" si="251"/>
        <v>7450_2024</v>
      </c>
    </row>
    <row r="2861" spans="1:88" x14ac:dyDescent="0.25">
      <c r="A2861" t="s">
        <v>111</v>
      </c>
      <c r="B2861" t="s">
        <v>259</v>
      </c>
      <c r="C2861">
        <v>7524</v>
      </c>
      <c r="D2861">
        <v>-37.899178999999997</v>
      </c>
      <c r="E2861">
        <v>145.19049000000001</v>
      </c>
      <c r="F2861">
        <v>4</v>
      </c>
      <c r="G2861" t="s">
        <v>872</v>
      </c>
      <c r="H2861">
        <v>9</v>
      </c>
      <c r="I2861">
        <v>189</v>
      </c>
      <c r="J2861">
        <v>102</v>
      </c>
      <c r="K2861">
        <v>282</v>
      </c>
      <c r="L2861">
        <v>187</v>
      </c>
      <c r="M2861">
        <v>7</v>
      </c>
      <c r="N2861">
        <v>277</v>
      </c>
      <c r="O2861">
        <v>97</v>
      </c>
      <c r="T2861">
        <v>3</v>
      </c>
      <c r="U2861">
        <v>21</v>
      </c>
      <c r="V2861">
        <v>2</v>
      </c>
      <c r="Y2861">
        <v>1</v>
      </c>
      <c r="Z2861">
        <v>13</v>
      </c>
      <c r="AA2861">
        <v>6</v>
      </c>
      <c r="AD2861">
        <v>18</v>
      </c>
      <c r="AE2861">
        <v>9</v>
      </c>
      <c r="AF2861">
        <v>3</v>
      </c>
      <c r="AI2861">
        <v>5</v>
      </c>
      <c r="AJ2861">
        <v>26</v>
      </c>
      <c r="AK2861">
        <v>4</v>
      </c>
      <c r="AX2861">
        <v>26</v>
      </c>
      <c r="AY2861">
        <v>24</v>
      </c>
      <c r="AZ2861">
        <v>50</v>
      </c>
      <c r="BA2861">
        <v>20</v>
      </c>
      <c r="BB2861">
        <v>38</v>
      </c>
      <c r="BC2861">
        <v>58</v>
      </c>
      <c r="BD2861">
        <v>30</v>
      </c>
      <c r="BE2861">
        <v>38</v>
      </c>
      <c r="BF2861">
        <v>68</v>
      </c>
      <c r="BG2861">
        <v>35</v>
      </c>
      <c r="BH2861">
        <v>11</v>
      </c>
      <c r="BI2861">
        <v>46</v>
      </c>
      <c r="BP2861">
        <v>34</v>
      </c>
      <c r="BQ2861">
        <v>0</v>
      </c>
      <c r="BR2861">
        <v>56</v>
      </c>
      <c r="BS2861">
        <v>2</v>
      </c>
      <c r="BT2861">
        <v>19</v>
      </c>
      <c r="BU2861">
        <v>0</v>
      </c>
      <c r="BV2861">
        <v>0</v>
      </c>
      <c r="BW2861">
        <v>111</v>
      </c>
      <c r="BZ2861" s="10"/>
      <c r="CA2861" s="7">
        <v>45606</v>
      </c>
      <c r="CE2861">
        <v>35</v>
      </c>
      <c r="CF2861">
        <v>45</v>
      </c>
      <c r="CG2861">
        <v>31</v>
      </c>
      <c r="CI2861">
        <f t="shared" si="250"/>
        <v>2024</v>
      </c>
      <c r="CJ2861" t="str">
        <f t="shared" si="251"/>
        <v>7524_2024</v>
      </c>
    </row>
    <row r="2862" spans="1:88" x14ac:dyDescent="0.25">
      <c r="A2862" t="s">
        <v>111</v>
      </c>
      <c r="B2862" t="s">
        <v>259</v>
      </c>
      <c r="C2862">
        <v>7525</v>
      </c>
      <c r="D2862">
        <v>-37.924593999999999</v>
      </c>
      <c r="E2862">
        <v>145.20524800000001</v>
      </c>
      <c r="F2862">
        <v>3</v>
      </c>
      <c r="G2862" t="s">
        <v>873</v>
      </c>
      <c r="H2862">
        <v>90</v>
      </c>
      <c r="I2862">
        <v>270</v>
      </c>
      <c r="J2862">
        <v>200</v>
      </c>
      <c r="K2862">
        <v>20</v>
      </c>
      <c r="L2862">
        <v>278</v>
      </c>
      <c r="M2862">
        <v>98</v>
      </c>
      <c r="T2862">
        <v>77</v>
      </c>
      <c r="U2862">
        <v>2</v>
      </c>
      <c r="Y2862">
        <v>69</v>
      </c>
      <c r="Z2862">
        <v>10</v>
      </c>
      <c r="AD2862">
        <v>2</v>
      </c>
      <c r="AE2862">
        <v>6</v>
      </c>
      <c r="AX2862">
        <v>79</v>
      </c>
      <c r="AY2862">
        <v>71</v>
      </c>
      <c r="AZ2862">
        <v>150</v>
      </c>
      <c r="BA2862">
        <v>79</v>
      </c>
      <c r="BB2862">
        <v>83</v>
      </c>
      <c r="BC2862">
        <v>162</v>
      </c>
      <c r="BD2862">
        <v>8</v>
      </c>
      <c r="BE2862">
        <v>12</v>
      </c>
      <c r="BF2862">
        <v>20</v>
      </c>
      <c r="BP2862">
        <v>123</v>
      </c>
      <c r="BQ2862">
        <v>13</v>
      </c>
      <c r="BR2862">
        <v>16</v>
      </c>
      <c r="BS2862">
        <v>11</v>
      </c>
      <c r="BT2862">
        <v>1</v>
      </c>
      <c r="BU2862">
        <v>2</v>
      </c>
      <c r="BV2862">
        <v>0</v>
      </c>
      <c r="BW2862">
        <v>166</v>
      </c>
      <c r="BZ2862" s="10"/>
      <c r="CA2862" s="7">
        <v>45606</v>
      </c>
      <c r="CE2862">
        <v>54</v>
      </c>
      <c r="CF2862">
        <v>47</v>
      </c>
      <c r="CG2862">
        <v>65</v>
      </c>
      <c r="CI2862">
        <f t="shared" si="250"/>
        <v>2024</v>
      </c>
      <c r="CJ2862" t="str">
        <f t="shared" si="251"/>
        <v>7525_2024</v>
      </c>
    </row>
    <row r="2863" spans="1:88" x14ac:dyDescent="0.25">
      <c r="A2863" t="s">
        <v>111</v>
      </c>
      <c r="B2863" t="s">
        <v>259</v>
      </c>
      <c r="C2863">
        <v>7701</v>
      </c>
      <c r="D2863">
        <v>-37.884635000000003</v>
      </c>
      <c r="E2863">
        <v>145.18988300000001</v>
      </c>
      <c r="F2863">
        <v>3</v>
      </c>
      <c r="G2863" t="s">
        <v>906</v>
      </c>
      <c r="H2863">
        <v>8</v>
      </c>
      <c r="I2863">
        <v>188</v>
      </c>
      <c r="J2863">
        <v>100</v>
      </c>
      <c r="K2863">
        <v>280</v>
      </c>
      <c r="L2863">
        <v>277</v>
      </c>
      <c r="M2863">
        <v>97</v>
      </c>
      <c r="T2863">
        <v>89</v>
      </c>
      <c r="U2863">
        <v>19</v>
      </c>
      <c r="Y2863">
        <v>58</v>
      </c>
      <c r="Z2863">
        <v>72</v>
      </c>
      <c r="AD2863">
        <v>20</v>
      </c>
      <c r="AE2863">
        <v>49</v>
      </c>
      <c r="AX2863">
        <v>108</v>
      </c>
      <c r="AY2863">
        <v>78</v>
      </c>
      <c r="AZ2863">
        <v>186</v>
      </c>
      <c r="BA2863">
        <v>130</v>
      </c>
      <c r="BB2863">
        <v>138</v>
      </c>
      <c r="BC2863">
        <v>268</v>
      </c>
      <c r="BD2863">
        <v>69</v>
      </c>
      <c r="BE2863">
        <v>91</v>
      </c>
      <c r="BF2863">
        <v>160</v>
      </c>
      <c r="BP2863">
        <v>74</v>
      </c>
      <c r="BQ2863">
        <v>10</v>
      </c>
      <c r="BR2863">
        <v>152</v>
      </c>
      <c r="BS2863">
        <v>49</v>
      </c>
      <c r="BT2863">
        <v>22</v>
      </c>
      <c r="BU2863">
        <v>0</v>
      </c>
      <c r="BV2863">
        <v>0</v>
      </c>
      <c r="BW2863">
        <v>307</v>
      </c>
      <c r="BX2863">
        <v>214</v>
      </c>
      <c r="BY2863">
        <v>0.43457943900000001</v>
      </c>
      <c r="BZ2863" s="10">
        <v>0.43457943900000001</v>
      </c>
      <c r="CA2863" s="7">
        <v>45606</v>
      </c>
      <c r="CE2863">
        <v>123</v>
      </c>
      <c r="CF2863">
        <v>114</v>
      </c>
      <c r="CG2863">
        <v>70</v>
      </c>
      <c r="CI2863">
        <f t="shared" si="250"/>
        <v>2024</v>
      </c>
      <c r="CJ2863" t="str">
        <f t="shared" si="251"/>
        <v>7701_2024</v>
      </c>
    </row>
    <row r="2864" spans="1:88" x14ac:dyDescent="0.25">
      <c r="A2864" t="s">
        <v>111</v>
      </c>
      <c r="B2864" t="s">
        <v>135</v>
      </c>
      <c r="C2864">
        <v>4457</v>
      </c>
      <c r="D2864">
        <v>-37.736722</v>
      </c>
      <c r="E2864">
        <v>144.92858100000001</v>
      </c>
      <c r="F2864">
        <v>5</v>
      </c>
      <c r="G2864" t="s">
        <v>136</v>
      </c>
      <c r="H2864">
        <v>85</v>
      </c>
      <c r="I2864">
        <v>265</v>
      </c>
      <c r="J2864">
        <v>157</v>
      </c>
      <c r="K2864">
        <v>337</v>
      </c>
      <c r="L2864">
        <v>218</v>
      </c>
      <c r="M2864">
        <v>38</v>
      </c>
      <c r="N2864">
        <v>297</v>
      </c>
      <c r="O2864">
        <v>117</v>
      </c>
      <c r="P2864">
        <v>355</v>
      </c>
      <c r="Q2864">
        <v>175</v>
      </c>
      <c r="T2864">
        <v>21</v>
      </c>
      <c r="U2864">
        <v>0</v>
      </c>
      <c r="V2864">
        <v>2</v>
      </c>
      <c r="W2864">
        <v>25</v>
      </c>
      <c r="Y2864">
        <v>15</v>
      </c>
      <c r="Z2864">
        <v>0</v>
      </c>
      <c r="AA2864">
        <v>13</v>
      </c>
      <c r="AB2864">
        <v>80</v>
      </c>
      <c r="AD2864">
        <v>0</v>
      </c>
      <c r="AE2864">
        <v>0</v>
      </c>
      <c r="AF2864">
        <v>0</v>
      </c>
      <c r="AG2864">
        <v>0</v>
      </c>
      <c r="AI2864">
        <v>4</v>
      </c>
      <c r="AJ2864">
        <v>9</v>
      </c>
      <c r="AK2864">
        <v>0</v>
      </c>
      <c r="AL2864">
        <v>3</v>
      </c>
      <c r="AN2864">
        <v>24</v>
      </c>
      <c r="AO2864">
        <v>80</v>
      </c>
      <c r="AP2864">
        <v>0</v>
      </c>
      <c r="AQ2864">
        <v>9</v>
      </c>
      <c r="AX2864">
        <v>48</v>
      </c>
      <c r="AY2864">
        <v>43</v>
      </c>
      <c r="AZ2864">
        <v>91</v>
      </c>
      <c r="BA2864">
        <v>108</v>
      </c>
      <c r="BB2864">
        <v>110</v>
      </c>
      <c r="BC2864">
        <v>218</v>
      </c>
      <c r="BD2864">
        <v>0</v>
      </c>
      <c r="BE2864">
        <v>0</v>
      </c>
      <c r="BF2864">
        <v>0</v>
      </c>
      <c r="BG2864">
        <v>16</v>
      </c>
      <c r="BH2864">
        <v>24</v>
      </c>
      <c r="BI2864">
        <v>40</v>
      </c>
      <c r="BJ2864">
        <v>113</v>
      </c>
      <c r="BK2864">
        <v>108</v>
      </c>
      <c r="BL2864">
        <v>221</v>
      </c>
      <c r="BP2864">
        <v>107</v>
      </c>
      <c r="BQ2864">
        <v>10</v>
      </c>
      <c r="BR2864">
        <v>87</v>
      </c>
      <c r="BS2864">
        <v>60</v>
      </c>
      <c r="BT2864">
        <v>18</v>
      </c>
      <c r="BU2864">
        <v>0</v>
      </c>
      <c r="BV2864">
        <v>3</v>
      </c>
      <c r="BW2864">
        <v>285</v>
      </c>
      <c r="BX2864">
        <v>242</v>
      </c>
      <c r="BY2864">
        <v>0.17768595000000001</v>
      </c>
      <c r="BZ2864" s="10">
        <v>0.17768595000000001</v>
      </c>
      <c r="CA2864" s="7">
        <v>45606</v>
      </c>
      <c r="CE2864">
        <v>93</v>
      </c>
      <c r="CF2864">
        <v>99</v>
      </c>
      <c r="CG2864">
        <v>93</v>
      </c>
      <c r="CI2864">
        <f t="shared" si="250"/>
        <v>2024</v>
      </c>
      <c r="CJ2864" t="str">
        <f t="shared" si="251"/>
        <v>4457_2024</v>
      </c>
    </row>
    <row r="2865" spans="1:88" x14ac:dyDescent="0.25">
      <c r="A2865" t="s">
        <v>111</v>
      </c>
      <c r="B2865" t="s">
        <v>135</v>
      </c>
      <c r="C2865">
        <v>4469</v>
      </c>
      <c r="D2865">
        <v>-37.778046000000003</v>
      </c>
      <c r="E2865">
        <v>144.936646</v>
      </c>
      <c r="F2865">
        <v>3</v>
      </c>
      <c r="G2865" t="s">
        <v>137</v>
      </c>
      <c r="H2865">
        <v>0</v>
      </c>
      <c r="I2865">
        <v>180</v>
      </c>
      <c r="J2865">
        <v>170</v>
      </c>
      <c r="K2865">
        <v>350</v>
      </c>
      <c r="L2865">
        <v>290</v>
      </c>
      <c r="M2865">
        <v>110</v>
      </c>
      <c r="T2865">
        <v>172</v>
      </c>
      <c r="U2865">
        <v>4</v>
      </c>
      <c r="Y2865">
        <v>95</v>
      </c>
      <c r="Z2865">
        <v>7</v>
      </c>
      <c r="AD2865">
        <v>6</v>
      </c>
      <c r="AE2865">
        <v>4</v>
      </c>
      <c r="AX2865">
        <v>176</v>
      </c>
      <c r="AY2865">
        <v>101</v>
      </c>
      <c r="AZ2865">
        <v>277</v>
      </c>
      <c r="BA2865">
        <v>102</v>
      </c>
      <c r="BB2865">
        <v>176</v>
      </c>
      <c r="BC2865">
        <v>278</v>
      </c>
      <c r="BD2865">
        <v>10</v>
      </c>
      <c r="BE2865">
        <v>11</v>
      </c>
      <c r="BF2865">
        <v>21</v>
      </c>
      <c r="BP2865">
        <v>129</v>
      </c>
      <c r="BQ2865">
        <v>17</v>
      </c>
      <c r="BR2865">
        <v>60</v>
      </c>
      <c r="BS2865">
        <v>46</v>
      </c>
      <c r="BT2865">
        <v>36</v>
      </c>
      <c r="BU2865">
        <v>0</v>
      </c>
      <c r="BV2865">
        <v>0</v>
      </c>
      <c r="BW2865">
        <v>288</v>
      </c>
      <c r="BX2865">
        <v>282</v>
      </c>
      <c r="BY2865">
        <v>2.1276595999999998E-2</v>
      </c>
      <c r="BZ2865" s="10">
        <v>2.1276595999999998E-2</v>
      </c>
      <c r="CA2865" s="7">
        <v>45606</v>
      </c>
      <c r="CE2865">
        <v>110</v>
      </c>
      <c r="CF2865">
        <v>87</v>
      </c>
      <c r="CG2865">
        <v>91</v>
      </c>
      <c r="CI2865">
        <f t="shared" si="250"/>
        <v>2024</v>
      </c>
      <c r="CJ2865" t="str">
        <f t="shared" si="251"/>
        <v>4469_2024</v>
      </c>
    </row>
    <row r="2866" spans="1:88" x14ac:dyDescent="0.25">
      <c r="A2866" t="s">
        <v>111</v>
      </c>
      <c r="B2866" t="s">
        <v>135</v>
      </c>
      <c r="C2866">
        <v>6985</v>
      </c>
      <c r="D2866">
        <v>-37.764290000000003</v>
      </c>
      <c r="E2866">
        <v>144.89924300000001</v>
      </c>
      <c r="F2866">
        <v>2</v>
      </c>
      <c r="G2866" t="s">
        <v>672</v>
      </c>
      <c r="H2866">
        <v>106</v>
      </c>
      <c r="I2866">
        <v>286</v>
      </c>
      <c r="J2866">
        <v>266</v>
      </c>
      <c r="K2866">
        <v>86</v>
      </c>
      <c r="T2866">
        <v>1019</v>
      </c>
      <c r="Y2866">
        <v>534</v>
      </c>
      <c r="AX2866">
        <v>1019</v>
      </c>
      <c r="AY2866">
        <v>534</v>
      </c>
      <c r="AZ2866">
        <v>1553</v>
      </c>
      <c r="BA2866">
        <v>534</v>
      </c>
      <c r="BB2866">
        <v>1019</v>
      </c>
      <c r="BC2866">
        <v>1553</v>
      </c>
      <c r="BP2866">
        <v>85</v>
      </c>
      <c r="BQ2866">
        <v>11</v>
      </c>
      <c r="BR2866">
        <v>977</v>
      </c>
      <c r="BS2866">
        <v>339</v>
      </c>
      <c r="BT2866">
        <v>123</v>
      </c>
      <c r="BU2866">
        <v>2</v>
      </c>
      <c r="BV2866">
        <v>16</v>
      </c>
      <c r="BW2866">
        <v>1553</v>
      </c>
      <c r="BX2866">
        <v>1239</v>
      </c>
      <c r="BY2866">
        <v>0.253430186</v>
      </c>
      <c r="BZ2866" s="10">
        <v>0.253430186</v>
      </c>
      <c r="CA2866" s="7">
        <v>45606</v>
      </c>
      <c r="CE2866">
        <v>470</v>
      </c>
      <c r="CF2866">
        <v>611</v>
      </c>
      <c r="CG2866">
        <v>472</v>
      </c>
      <c r="CI2866">
        <f t="shared" si="250"/>
        <v>2024</v>
      </c>
      <c r="CJ2866" t="str">
        <f t="shared" si="251"/>
        <v>6985_2024</v>
      </c>
    </row>
    <row r="2867" spans="1:88" x14ac:dyDescent="0.25">
      <c r="A2867" t="s">
        <v>111</v>
      </c>
      <c r="B2867" t="s">
        <v>135</v>
      </c>
      <c r="C2867">
        <v>6987</v>
      </c>
      <c r="D2867">
        <v>-37.747836</v>
      </c>
      <c r="E2867">
        <v>144.88106999999999</v>
      </c>
      <c r="F2867">
        <v>4</v>
      </c>
      <c r="G2867" t="s">
        <v>674</v>
      </c>
      <c r="H2867">
        <v>97</v>
      </c>
      <c r="I2867">
        <v>277</v>
      </c>
      <c r="J2867">
        <v>194</v>
      </c>
      <c r="K2867">
        <v>14</v>
      </c>
      <c r="L2867">
        <v>278</v>
      </c>
      <c r="M2867">
        <v>98</v>
      </c>
      <c r="N2867">
        <v>357</v>
      </c>
      <c r="O2867">
        <v>177</v>
      </c>
      <c r="T2867">
        <v>2</v>
      </c>
      <c r="U2867">
        <v>4</v>
      </c>
      <c r="V2867">
        <v>12</v>
      </c>
      <c r="Y2867">
        <v>0</v>
      </c>
      <c r="Z2867">
        <v>4</v>
      </c>
      <c r="AA2867">
        <v>67</v>
      </c>
      <c r="AD2867">
        <v>10</v>
      </c>
      <c r="AE2867">
        <v>4</v>
      </c>
      <c r="AF2867">
        <v>9</v>
      </c>
      <c r="AI2867">
        <v>10</v>
      </c>
      <c r="AJ2867">
        <v>72</v>
      </c>
      <c r="AK2867">
        <v>3</v>
      </c>
      <c r="AX2867">
        <v>18</v>
      </c>
      <c r="AY2867">
        <v>20</v>
      </c>
      <c r="AZ2867">
        <v>38</v>
      </c>
      <c r="BA2867">
        <v>71</v>
      </c>
      <c r="BB2867">
        <v>78</v>
      </c>
      <c r="BC2867">
        <v>149</v>
      </c>
      <c r="BD2867">
        <v>23</v>
      </c>
      <c r="BE2867">
        <v>11</v>
      </c>
      <c r="BF2867">
        <v>34</v>
      </c>
      <c r="BG2867">
        <v>85</v>
      </c>
      <c r="BH2867">
        <v>88</v>
      </c>
      <c r="BI2867">
        <v>173</v>
      </c>
      <c r="BP2867">
        <v>57</v>
      </c>
      <c r="BQ2867">
        <v>6</v>
      </c>
      <c r="BR2867">
        <v>78</v>
      </c>
      <c r="BS2867">
        <v>22</v>
      </c>
      <c r="BT2867">
        <v>32</v>
      </c>
      <c r="BU2867">
        <v>2</v>
      </c>
      <c r="BV2867">
        <v>0</v>
      </c>
      <c r="BW2867">
        <v>197</v>
      </c>
      <c r="BX2867">
        <v>194</v>
      </c>
      <c r="BY2867">
        <v>1.5463918E-2</v>
      </c>
      <c r="BZ2867" s="10">
        <v>1.5463918E-2</v>
      </c>
      <c r="CA2867" s="7">
        <v>45606</v>
      </c>
      <c r="CE2867">
        <v>74</v>
      </c>
      <c r="CF2867">
        <v>58</v>
      </c>
      <c r="CG2867">
        <v>65</v>
      </c>
      <c r="CI2867">
        <f t="shared" si="250"/>
        <v>2024</v>
      </c>
      <c r="CJ2867" t="str">
        <f t="shared" si="251"/>
        <v>6987_2024</v>
      </c>
    </row>
    <row r="2868" spans="1:88" x14ac:dyDescent="0.25">
      <c r="A2868" t="s">
        <v>111</v>
      </c>
      <c r="B2868" t="s">
        <v>135</v>
      </c>
      <c r="C2868">
        <v>7461</v>
      </c>
      <c r="D2868">
        <v>-37.768354000000002</v>
      </c>
      <c r="E2868">
        <v>144.87202300000001</v>
      </c>
      <c r="F2868">
        <v>3</v>
      </c>
      <c r="G2868" t="s">
        <v>838</v>
      </c>
      <c r="H2868">
        <v>112</v>
      </c>
      <c r="I2868">
        <v>292</v>
      </c>
      <c r="J2868">
        <v>198</v>
      </c>
      <c r="K2868">
        <v>18</v>
      </c>
      <c r="L2868">
        <v>330</v>
      </c>
      <c r="M2868">
        <v>150</v>
      </c>
      <c r="T2868">
        <v>1</v>
      </c>
      <c r="U2868">
        <v>92</v>
      </c>
      <c r="Y2868">
        <v>2</v>
      </c>
      <c r="Z2868">
        <v>0</v>
      </c>
      <c r="AD2868">
        <v>78</v>
      </c>
      <c r="AE2868">
        <v>0</v>
      </c>
      <c r="AX2868">
        <v>93</v>
      </c>
      <c r="AY2868">
        <v>80</v>
      </c>
      <c r="AZ2868">
        <v>173</v>
      </c>
      <c r="BA2868">
        <v>2</v>
      </c>
      <c r="BB2868">
        <v>1</v>
      </c>
      <c r="BC2868">
        <v>3</v>
      </c>
      <c r="BD2868">
        <v>78</v>
      </c>
      <c r="BE2868">
        <v>92</v>
      </c>
      <c r="BF2868">
        <v>170</v>
      </c>
      <c r="BP2868">
        <v>81</v>
      </c>
      <c r="BQ2868">
        <v>5</v>
      </c>
      <c r="BR2868">
        <v>26</v>
      </c>
      <c r="BS2868">
        <v>57</v>
      </c>
      <c r="BT2868">
        <v>3</v>
      </c>
      <c r="BU2868">
        <v>0</v>
      </c>
      <c r="BV2868">
        <v>1</v>
      </c>
      <c r="BW2868">
        <v>173</v>
      </c>
      <c r="BX2868">
        <v>239</v>
      </c>
      <c r="BY2868">
        <v>-0.27615062800000001</v>
      </c>
      <c r="BZ2868" s="10">
        <v>-0.27615062800000001</v>
      </c>
      <c r="CA2868" s="7">
        <v>45606</v>
      </c>
      <c r="CE2868">
        <v>71</v>
      </c>
      <c r="CF2868">
        <v>38</v>
      </c>
      <c r="CG2868">
        <v>64</v>
      </c>
      <c r="CI2868">
        <f t="shared" si="250"/>
        <v>2024</v>
      </c>
      <c r="CJ2868" t="str">
        <f t="shared" si="251"/>
        <v>7461_2024</v>
      </c>
    </row>
    <row r="2869" spans="1:88" x14ac:dyDescent="0.25">
      <c r="A2869" t="s">
        <v>111</v>
      </c>
      <c r="B2869" t="s">
        <v>135</v>
      </c>
      <c r="C2869">
        <v>7462</v>
      </c>
      <c r="D2869">
        <v>-37.72119</v>
      </c>
      <c r="E2869">
        <v>144.88718900000001</v>
      </c>
      <c r="F2869">
        <v>4</v>
      </c>
      <c r="G2869" t="s">
        <v>839</v>
      </c>
      <c r="H2869">
        <v>39</v>
      </c>
      <c r="I2869">
        <v>219</v>
      </c>
      <c r="J2869">
        <v>97</v>
      </c>
      <c r="K2869">
        <v>277</v>
      </c>
      <c r="L2869">
        <v>201</v>
      </c>
      <c r="M2869">
        <v>21</v>
      </c>
      <c r="N2869">
        <v>277</v>
      </c>
      <c r="O2869">
        <v>97</v>
      </c>
      <c r="T2869">
        <v>1</v>
      </c>
      <c r="U2869">
        <v>80</v>
      </c>
      <c r="V2869">
        <v>0</v>
      </c>
      <c r="Y2869">
        <v>7</v>
      </c>
      <c r="Z2869">
        <v>4</v>
      </c>
      <c r="AA2869">
        <v>7</v>
      </c>
      <c r="AD2869">
        <v>73</v>
      </c>
      <c r="AE2869">
        <v>3</v>
      </c>
      <c r="AF2869">
        <v>0</v>
      </c>
      <c r="AI2869">
        <v>3</v>
      </c>
      <c r="AJ2869">
        <v>2</v>
      </c>
      <c r="AK2869">
        <v>1</v>
      </c>
      <c r="AX2869">
        <v>81</v>
      </c>
      <c r="AY2869">
        <v>83</v>
      </c>
      <c r="AZ2869">
        <v>164</v>
      </c>
      <c r="BA2869">
        <v>18</v>
      </c>
      <c r="BB2869">
        <v>6</v>
      </c>
      <c r="BC2869">
        <v>24</v>
      </c>
      <c r="BD2869">
        <v>76</v>
      </c>
      <c r="BE2869">
        <v>85</v>
      </c>
      <c r="BF2869">
        <v>161</v>
      </c>
      <c r="BG2869">
        <v>6</v>
      </c>
      <c r="BH2869">
        <v>7</v>
      </c>
      <c r="BI2869">
        <v>13</v>
      </c>
      <c r="BP2869">
        <v>17</v>
      </c>
      <c r="BQ2869">
        <v>2</v>
      </c>
      <c r="BR2869">
        <v>100</v>
      </c>
      <c r="BS2869">
        <v>15</v>
      </c>
      <c r="BT2869">
        <v>45</v>
      </c>
      <c r="BU2869">
        <v>2</v>
      </c>
      <c r="BV2869">
        <v>0</v>
      </c>
      <c r="BW2869">
        <v>181</v>
      </c>
      <c r="BX2869">
        <v>152</v>
      </c>
      <c r="BY2869">
        <v>0.19078947399999999</v>
      </c>
      <c r="BZ2869" s="10">
        <v>0.19078947399999999</v>
      </c>
      <c r="CA2869" s="7">
        <v>45606</v>
      </c>
      <c r="CE2869">
        <v>80</v>
      </c>
      <c r="CF2869">
        <v>50</v>
      </c>
      <c r="CG2869">
        <v>51</v>
      </c>
      <c r="CI2869">
        <f t="shared" si="250"/>
        <v>2024</v>
      </c>
      <c r="CJ2869" t="str">
        <f t="shared" si="251"/>
        <v>7462_2024</v>
      </c>
    </row>
    <row r="2870" spans="1:88" x14ac:dyDescent="0.25">
      <c r="A2870" t="s">
        <v>111</v>
      </c>
      <c r="B2870" t="s">
        <v>1024</v>
      </c>
      <c r="C2870">
        <v>7928</v>
      </c>
      <c r="D2870">
        <v>-38.345432029999998</v>
      </c>
      <c r="E2870">
        <v>144.7450116</v>
      </c>
      <c r="F2870">
        <v>2</v>
      </c>
      <c r="G2870" t="s">
        <v>1025</v>
      </c>
      <c r="H2870">
        <v>52</v>
      </c>
      <c r="I2870">
        <v>232</v>
      </c>
      <c r="J2870">
        <v>227</v>
      </c>
      <c r="K2870">
        <v>47</v>
      </c>
      <c r="T2870">
        <v>29</v>
      </c>
      <c r="Y2870">
        <v>46</v>
      </c>
      <c r="AX2870">
        <v>29</v>
      </c>
      <c r="AY2870">
        <v>46</v>
      </c>
      <c r="AZ2870">
        <v>75</v>
      </c>
      <c r="BA2870">
        <v>46</v>
      </c>
      <c r="BB2870">
        <v>29</v>
      </c>
      <c r="BC2870">
        <v>75</v>
      </c>
      <c r="BP2870">
        <v>2</v>
      </c>
      <c r="BQ2870">
        <v>2</v>
      </c>
      <c r="BR2870">
        <v>50</v>
      </c>
      <c r="BS2870">
        <v>3</v>
      </c>
      <c r="BT2870">
        <v>12</v>
      </c>
      <c r="BU2870">
        <v>1</v>
      </c>
      <c r="BV2870">
        <v>5</v>
      </c>
      <c r="BW2870">
        <v>75</v>
      </c>
      <c r="BX2870">
        <v>124</v>
      </c>
      <c r="BY2870">
        <v>-0.39516129</v>
      </c>
      <c r="BZ2870" s="10">
        <v>-0.39516129</v>
      </c>
      <c r="CA2870" s="7">
        <v>45606</v>
      </c>
      <c r="CE2870">
        <v>29</v>
      </c>
      <c r="CF2870">
        <v>28</v>
      </c>
      <c r="CG2870">
        <v>18</v>
      </c>
      <c r="CI2870">
        <f t="shared" si="250"/>
        <v>2024</v>
      </c>
      <c r="CJ2870" t="str">
        <f t="shared" si="251"/>
        <v>7928_2024</v>
      </c>
    </row>
    <row r="2871" spans="1:88" x14ac:dyDescent="0.25">
      <c r="A2871" t="s">
        <v>111</v>
      </c>
      <c r="B2871" t="s">
        <v>1024</v>
      </c>
      <c r="C2871">
        <v>7929</v>
      </c>
      <c r="D2871">
        <v>-38.312103</v>
      </c>
      <c r="E2871">
        <v>144.994698</v>
      </c>
      <c r="F2871">
        <v>4</v>
      </c>
      <c r="G2871" t="s">
        <v>1026</v>
      </c>
      <c r="H2871">
        <v>25</v>
      </c>
      <c r="I2871">
        <v>205</v>
      </c>
      <c r="J2871">
        <v>115</v>
      </c>
      <c r="K2871">
        <v>295</v>
      </c>
      <c r="L2871">
        <v>154</v>
      </c>
      <c r="M2871">
        <v>334</v>
      </c>
      <c r="N2871">
        <v>296</v>
      </c>
      <c r="O2871">
        <v>116</v>
      </c>
      <c r="T2871">
        <v>1</v>
      </c>
      <c r="U2871">
        <v>4</v>
      </c>
      <c r="V2871">
        <v>11</v>
      </c>
      <c r="Y2871">
        <v>1</v>
      </c>
      <c r="Z2871">
        <v>3</v>
      </c>
      <c r="AA2871">
        <v>40</v>
      </c>
      <c r="AD2871">
        <v>2</v>
      </c>
      <c r="AE2871">
        <v>1</v>
      </c>
      <c r="AF2871">
        <v>15</v>
      </c>
      <c r="AI2871">
        <v>18</v>
      </c>
      <c r="AJ2871">
        <v>39</v>
      </c>
      <c r="AK2871">
        <v>8</v>
      </c>
      <c r="AX2871">
        <v>16</v>
      </c>
      <c r="AY2871">
        <v>21</v>
      </c>
      <c r="AZ2871">
        <v>37</v>
      </c>
      <c r="BA2871">
        <v>44</v>
      </c>
      <c r="BB2871">
        <v>41</v>
      </c>
      <c r="BC2871">
        <v>85</v>
      </c>
      <c r="BD2871">
        <v>18</v>
      </c>
      <c r="BE2871">
        <v>15</v>
      </c>
      <c r="BF2871">
        <v>33</v>
      </c>
      <c r="BG2871">
        <v>65</v>
      </c>
      <c r="BH2871">
        <v>66</v>
      </c>
      <c r="BI2871">
        <v>131</v>
      </c>
      <c r="BP2871">
        <v>22</v>
      </c>
      <c r="BQ2871">
        <v>0</v>
      </c>
      <c r="BR2871">
        <v>81</v>
      </c>
      <c r="BS2871">
        <v>5</v>
      </c>
      <c r="BT2871">
        <v>35</v>
      </c>
      <c r="BU2871">
        <v>0</v>
      </c>
      <c r="BV2871">
        <v>0</v>
      </c>
      <c r="BW2871">
        <v>143</v>
      </c>
      <c r="BX2871">
        <v>123</v>
      </c>
      <c r="BY2871">
        <v>0.162601626</v>
      </c>
      <c r="BZ2871" s="10">
        <v>0.162601626</v>
      </c>
      <c r="CA2871" s="7">
        <v>45606</v>
      </c>
      <c r="CE2871">
        <v>42</v>
      </c>
      <c r="CF2871">
        <v>72</v>
      </c>
      <c r="CG2871">
        <v>29</v>
      </c>
      <c r="CI2871">
        <f t="shared" si="250"/>
        <v>2024</v>
      </c>
      <c r="CJ2871" t="str">
        <f t="shared" si="251"/>
        <v>7929_2024</v>
      </c>
    </row>
    <row r="2872" spans="1:88" x14ac:dyDescent="0.25">
      <c r="A2872" t="s">
        <v>111</v>
      </c>
      <c r="B2872" t="s">
        <v>1024</v>
      </c>
      <c r="C2872">
        <v>7930</v>
      </c>
      <c r="D2872">
        <v>-38.3849236</v>
      </c>
      <c r="E2872">
        <v>145.1250258</v>
      </c>
      <c r="F2872">
        <v>2</v>
      </c>
      <c r="G2872" t="s">
        <v>1027</v>
      </c>
      <c r="H2872">
        <v>7</v>
      </c>
      <c r="I2872">
        <v>187</v>
      </c>
      <c r="J2872">
        <v>186</v>
      </c>
      <c r="K2872">
        <v>6</v>
      </c>
      <c r="T2872">
        <v>30</v>
      </c>
      <c r="Y2872">
        <v>33</v>
      </c>
      <c r="AX2872">
        <v>30</v>
      </c>
      <c r="AY2872">
        <v>33</v>
      </c>
      <c r="AZ2872">
        <v>63</v>
      </c>
      <c r="BA2872">
        <v>33</v>
      </c>
      <c r="BB2872">
        <v>30</v>
      </c>
      <c r="BC2872">
        <v>63</v>
      </c>
      <c r="BP2872">
        <v>18</v>
      </c>
      <c r="BQ2872">
        <v>8</v>
      </c>
      <c r="BR2872">
        <v>28</v>
      </c>
      <c r="BS2872">
        <v>3</v>
      </c>
      <c r="BT2872">
        <v>5</v>
      </c>
      <c r="BU2872">
        <v>0</v>
      </c>
      <c r="BV2872">
        <v>1</v>
      </c>
      <c r="BW2872">
        <v>63</v>
      </c>
      <c r="BX2872">
        <v>54</v>
      </c>
      <c r="BY2872">
        <v>0.16666666699999999</v>
      </c>
      <c r="BZ2872" s="10">
        <v>0.16666666699999999</v>
      </c>
      <c r="CA2872" s="7">
        <v>45606</v>
      </c>
      <c r="CE2872">
        <v>20</v>
      </c>
      <c r="CF2872">
        <v>20</v>
      </c>
      <c r="CG2872">
        <v>23</v>
      </c>
      <c r="CI2872">
        <f t="shared" si="250"/>
        <v>2024</v>
      </c>
      <c r="CJ2872" t="str">
        <f t="shared" si="251"/>
        <v>7930_2024</v>
      </c>
    </row>
    <row r="2873" spans="1:88" x14ac:dyDescent="0.25">
      <c r="A2873" t="s">
        <v>111</v>
      </c>
      <c r="B2873" t="s">
        <v>1024</v>
      </c>
      <c r="C2873">
        <v>7932</v>
      </c>
      <c r="D2873">
        <v>-38.178285330000001</v>
      </c>
      <c r="E2873">
        <v>145.0851207</v>
      </c>
      <c r="F2873">
        <v>2</v>
      </c>
      <c r="G2873" t="s">
        <v>1029</v>
      </c>
      <c r="H2873">
        <v>148</v>
      </c>
      <c r="I2873">
        <v>328</v>
      </c>
      <c r="J2873">
        <v>328</v>
      </c>
      <c r="K2873">
        <v>148</v>
      </c>
      <c r="T2873">
        <v>6</v>
      </c>
      <c r="Y2873">
        <v>5</v>
      </c>
      <c r="AX2873">
        <v>6</v>
      </c>
      <c r="AY2873">
        <v>5</v>
      </c>
      <c r="AZ2873">
        <v>11</v>
      </c>
      <c r="BA2873">
        <v>5</v>
      </c>
      <c r="BB2873">
        <v>6</v>
      </c>
      <c r="BC2873">
        <v>11</v>
      </c>
      <c r="BP2873">
        <v>3</v>
      </c>
      <c r="BQ2873">
        <v>1</v>
      </c>
      <c r="BR2873">
        <v>1</v>
      </c>
      <c r="BS2873">
        <v>2</v>
      </c>
      <c r="BT2873">
        <v>2</v>
      </c>
      <c r="BU2873">
        <v>2</v>
      </c>
      <c r="BV2873">
        <v>0</v>
      </c>
      <c r="BW2873">
        <v>11</v>
      </c>
      <c r="BX2873">
        <v>71</v>
      </c>
      <c r="BY2873">
        <v>-0.84507042300000002</v>
      </c>
      <c r="BZ2873" s="10">
        <v>-0.84507042300000002</v>
      </c>
      <c r="CA2873" s="7">
        <v>45606</v>
      </c>
      <c r="CE2873">
        <v>5</v>
      </c>
      <c r="CF2873">
        <v>4</v>
      </c>
      <c r="CG2873">
        <v>2</v>
      </c>
      <c r="CI2873">
        <f t="shared" si="250"/>
        <v>2024</v>
      </c>
      <c r="CJ2873" t="str">
        <f t="shared" si="251"/>
        <v>7932_2024</v>
      </c>
    </row>
    <row r="2874" spans="1:88" x14ac:dyDescent="0.25">
      <c r="A2874" t="s">
        <v>111</v>
      </c>
      <c r="B2874" t="s">
        <v>1024</v>
      </c>
      <c r="C2874">
        <v>8272</v>
      </c>
      <c r="D2874">
        <v>-38.345354</v>
      </c>
      <c r="E2874">
        <v>144.98715799999999</v>
      </c>
      <c r="F2874">
        <v>3</v>
      </c>
      <c r="G2874" t="s">
        <v>1171</v>
      </c>
      <c r="H2874">
        <v>9</v>
      </c>
      <c r="I2874">
        <v>189</v>
      </c>
      <c r="J2874">
        <v>102</v>
      </c>
      <c r="K2874">
        <v>282</v>
      </c>
      <c r="L2874">
        <v>278</v>
      </c>
      <c r="M2874">
        <v>98</v>
      </c>
      <c r="T2874">
        <v>0</v>
      </c>
      <c r="U2874">
        <v>7</v>
      </c>
      <c r="Y2874">
        <v>1</v>
      </c>
      <c r="Z2874">
        <v>8</v>
      </c>
      <c r="AD2874">
        <v>0</v>
      </c>
      <c r="AE2874">
        <v>12</v>
      </c>
      <c r="AX2874">
        <v>7</v>
      </c>
      <c r="AY2874">
        <v>1</v>
      </c>
      <c r="AZ2874">
        <v>8</v>
      </c>
      <c r="BA2874">
        <v>9</v>
      </c>
      <c r="BB2874">
        <v>12</v>
      </c>
      <c r="BC2874">
        <v>21</v>
      </c>
      <c r="BD2874">
        <v>12</v>
      </c>
      <c r="BE2874">
        <v>15</v>
      </c>
      <c r="BF2874">
        <v>27</v>
      </c>
      <c r="BP2874">
        <v>25</v>
      </c>
      <c r="BQ2874">
        <v>2</v>
      </c>
      <c r="BR2874">
        <v>0</v>
      </c>
      <c r="BS2874">
        <v>1</v>
      </c>
      <c r="BT2874">
        <v>0</v>
      </c>
      <c r="BU2874">
        <v>0</v>
      </c>
      <c r="BV2874">
        <v>0</v>
      </c>
      <c r="BW2874">
        <v>28</v>
      </c>
      <c r="BZ2874" s="10"/>
      <c r="CA2874" s="7">
        <v>45606</v>
      </c>
      <c r="CE2874">
        <v>13</v>
      </c>
      <c r="CF2874">
        <v>6</v>
      </c>
      <c r="CG2874">
        <v>9</v>
      </c>
      <c r="CI2874">
        <f t="shared" si="250"/>
        <v>2024</v>
      </c>
      <c r="CJ2874" t="str">
        <f t="shared" si="251"/>
        <v>8272_2024</v>
      </c>
    </row>
    <row r="2875" spans="1:88" x14ac:dyDescent="0.25">
      <c r="A2875" t="s">
        <v>111</v>
      </c>
      <c r="B2875" t="s">
        <v>1024</v>
      </c>
      <c r="C2875">
        <v>8285</v>
      </c>
      <c r="D2875">
        <v>-38.232971999999997</v>
      </c>
      <c r="E2875">
        <v>145.10849999999999</v>
      </c>
      <c r="F2875">
        <v>4</v>
      </c>
      <c r="G2875" t="s">
        <v>1172</v>
      </c>
      <c r="H2875">
        <v>10</v>
      </c>
      <c r="I2875">
        <v>190</v>
      </c>
      <c r="J2875">
        <v>90</v>
      </c>
      <c r="K2875">
        <v>270</v>
      </c>
      <c r="L2875">
        <v>191</v>
      </c>
      <c r="M2875">
        <v>11</v>
      </c>
      <c r="N2875">
        <v>283</v>
      </c>
      <c r="O2875">
        <v>103</v>
      </c>
      <c r="T2875">
        <v>0</v>
      </c>
      <c r="U2875">
        <v>17</v>
      </c>
      <c r="V2875">
        <v>0</v>
      </c>
      <c r="Y2875">
        <v>0</v>
      </c>
      <c r="Z2875">
        <v>0</v>
      </c>
      <c r="AA2875">
        <v>0</v>
      </c>
      <c r="AD2875">
        <v>27</v>
      </c>
      <c r="AE2875">
        <v>0</v>
      </c>
      <c r="AF2875">
        <v>1</v>
      </c>
      <c r="AI2875">
        <v>0</v>
      </c>
      <c r="AJ2875">
        <v>0</v>
      </c>
      <c r="AK2875">
        <v>0</v>
      </c>
      <c r="AX2875">
        <v>17</v>
      </c>
      <c r="AY2875">
        <v>27</v>
      </c>
      <c r="AZ2875">
        <v>44</v>
      </c>
      <c r="BA2875">
        <v>0</v>
      </c>
      <c r="BB2875">
        <v>0</v>
      </c>
      <c r="BC2875">
        <v>0</v>
      </c>
      <c r="BD2875">
        <v>28</v>
      </c>
      <c r="BE2875">
        <v>17</v>
      </c>
      <c r="BF2875">
        <v>45</v>
      </c>
      <c r="BG2875">
        <v>0</v>
      </c>
      <c r="BH2875">
        <v>1</v>
      </c>
      <c r="BI2875">
        <v>1</v>
      </c>
      <c r="BP2875">
        <v>40</v>
      </c>
      <c r="BQ2875">
        <v>1</v>
      </c>
      <c r="BR2875">
        <v>0</v>
      </c>
      <c r="BS2875">
        <v>4</v>
      </c>
      <c r="BT2875">
        <v>0</v>
      </c>
      <c r="BU2875">
        <v>0</v>
      </c>
      <c r="BV2875">
        <v>0</v>
      </c>
      <c r="BW2875">
        <v>45</v>
      </c>
      <c r="BZ2875" s="10"/>
      <c r="CA2875" s="7">
        <v>45606</v>
      </c>
      <c r="CE2875">
        <v>21</v>
      </c>
      <c r="CF2875">
        <v>19</v>
      </c>
      <c r="CG2875">
        <v>5</v>
      </c>
      <c r="CI2875">
        <f t="shared" si="250"/>
        <v>2024</v>
      </c>
      <c r="CJ2875" t="str">
        <f t="shared" si="251"/>
        <v>8285_2024</v>
      </c>
    </row>
    <row r="2876" spans="1:88" x14ac:dyDescent="0.25">
      <c r="A2876" t="s">
        <v>79</v>
      </c>
      <c r="B2876" t="s">
        <v>1031</v>
      </c>
      <c r="C2876">
        <v>7936</v>
      </c>
      <c r="D2876">
        <v>-32.909824999999998</v>
      </c>
      <c r="E2876">
        <v>151.69630000000001</v>
      </c>
      <c r="F2876">
        <v>3</v>
      </c>
      <c r="G2876" t="s">
        <v>1032</v>
      </c>
      <c r="H2876">
        <v>125</v>
      </c>
      <c r="I2876">
        <v>305</v>
      </c>
      <c r="J2876">
        <v>260</v>
      </c>
      <c r="K2876">
        <v>80</v>
      </c>
      <c r="L2876">
        <v>305</v>
      </c>
      <c r="M2876">
        <v>125</v>
      </c>
      <c r="T2876">
        <v>12</v>
      </c>
      <c r="U2876">
        <v>39</v>
      </c>
      <c r="Y2876">
        <v>5</v>
      </c>
      <c r="Z2876">
        <v>5</v>
      </c>
      <c r="AD2876">
        <v>40</v>
      </c>
      <c r="AE2876">
        <v>3</v>
      </c>
      <c r="AX2876">
        <v>51</v>
      </c>
      <c r="AY2876">
        <v>45</v>
      </c>
      <c r="AZ2876">
        <v>96</v>
      </c>
      <c r="BA2876">
        <v>10</v>
      </c>
      <c r="BB2876">
        <v>15</v>
      </c>
      <c r="BC2876">
        <v>25</v>
      </c>
      <c r="BD2876">
        <v>43</v>
      </c>
      <c r="BE2876">
        <v>44</v>
      </c>
      <c r="BF2876">
        <v>87</v>
      </c>
      <c r="BP2876">
        <v>42</v>
      </c>
      <c r="BQ2876">
        <v>12</v>
      </c>
      <c r="BR2876">
        <v>32</v>
      </c>
      <c r="BS2876">
        <v>0</v>
      </c>
      <c r="BT2876">
        <v>12</v>
      </c>
      <c r="BU2876">
        <v>4</v>
      </c>
      <c r="BV2876">
        <v>2</v>
      </c>
      <c r="BW2876">
        <v>104</v>
      </c>
      <c r="BZ2876" s="10"/>
      <c r="CA2876" s="7">
        <v>45606</v>
      </c>
      <c r="CE2876">
        <v>26</v>
      </c>
      <c r="CF2876">
        <v>48</v>
      </c>
      <c r="CG2876">
        <v>30</v>
      </c>
      <c r="CI2876">
        <f t="shared" ref="CI2876:CI2939" si="252">YEAR(CA2876)</f>
        <v>2024</v>
      </c>
      <c r="CJ2876" t="str">
        <f t="shared" si="251"/>
        <v>7936_2024</v>
      </c>
    </row>
    <row r="2877" spans="1:88" x14ac:dyDescent="0.25">
      <c r="A2877" t="s">
        <v>79</v>
      </c>
      <c r="B2877" t="s">
        <v>1031</v>
      </c>
      <c r="C2877">
        <v>7937</v>
      </c>
      <c r="D2877">
        <v>-32.919953999999997</v>
      </c>
      <c r="E2877">
        <v>151.72416899999999</v>
      </c>
      <c r="F2877">
        <v>4</v>
      </c>
      <c r="G2877" t="s">
        <v>1033</v>
      </c>
      <c r="H2877">
        <v>5</v>
      </c>
      <c r="I2877">
        <v>185</v>
      </c>
      <c r="J2877">
        <v>134</v>
      </c>
      <c r="K2877">
        <v>314</v>
      </c>
      <c r="L2877">
        <v>203</v>
      </c>
      <c r="M2877">
        <v>23</v>
      </c>
      <c r="N2877">
        <v>250</v>
      </c>
      <c r="O2877">
        <v>70</v>
      </c>
      <c r="T2877">
        <v>12</v>
      </c>
      <c r="U2877">
        <v>22</v>
      </c>
      <c r="V2877">
        <v>5</v>
      </c>
      <c r="Y2877">
        <v>3</v>
      </c>
      <c r="Z2877">
        <v>47</v>
      </c>
      <c r="AA2877">
        <v>46</v>
      </c>
      <c r="AD2877">
        <v>15</v>
      </c>
      <c r="AE2877">
        <v>43</v>
      </c>
      <c r="AF2877">
        <v>22</v>
      </c>
      <c r="AI2877">
        <v>13</v>
      </c>
      <c r="AJ2877">
        <v>41</v>
      </c>
      <c r="AK2877">
        <v>16</v>
      </c>
      <c r="AX2877">
        <v>39</v>
      </c>
      <c r="AY2877">
        <v>31</v>
      </c>
      <c r="AZ2877">
        <v>70</v>
      </c>
      <c r="BA2877">
        <v>96</v>
      </c>
      <c r="BB2877">
        <v>96</v>
      </c>
      <c r="BC2877">
        <v>192</v>
      </c>
      <c r="BD2877">
        <v>80</v>
      </c>
      <c r="BE2877">
        <v>85</v>
      </c>
      <c r="BF2877">
        <v>165</v>
      </c>
      <c r="BG2877">
        <v>70</v>
      </c>
      <c r="BH2877">
        <v>73</v>
      </c>
      <c r="BI2877">
        <v>143</v>
      </c>
      <c r="BP2877">
        <v>158</v>
      </c>
      <c r="BQ2877">
        <v>68</v>
      </c>
      <c r="BR2877">
        <v>32</v>
      </c>
      <c r="BS2877">
        <v>17</v>
      </c>
      <c r="BT2877">
        <v>6</v>
      </c>
      <c r="BU2877">
        <v>2</v>
      </c>
      <c r="BV2877">
        <v>2</v>
      </c>
      <c r="BW2877">
        <v>285</v>
      </c>
      <c r="BZ2877" s="10"/>
      <c r="CA2877" s="7">
        <v>45606</v>
      </c>
      <c r="CE2877">
        <v>121</v>
      </c>
      <c r="CF2877">
        <v>82</v>
      </c>
      <c r="CG2877">
        <v>82</v>
      </c>
      <c r="CI2877">
        <f t="shared" si="252"/>
        <v>2024</v>
      </c>
      <c r="CJ2877" t="str">
        <f t="shared" si="251"/>
        <v>7937_2024</v>
      </c>
    </row>
    <row r="2878" spans="1:88" x14ac:dyDescent="0.25">
      <c r="A2878" t="s">
        <v>79</v>
      </c>
      <c r="B2878" t="s">
        <v>1031</v>
      </c>
      <c r="C2878">
        <v>7938</v>
      </c>
      <c r="D2878">
        <v>-32.924295399999998</v>
      </c>
      <c r="E2878">
        <v>151.76333109999999</v>
      </c>
      <c r="F2878">
        <v>2</v>
      </c>
      <c r="G2878" t="s">
        <v>1034</v>
      </c>
      <c r="H2878">
        <v>138</v>
      </c>
      <c r="I2878">
        <v>318</v>
      </c>
      <c r="J2878">
        <v>327</v>
      </c>
      <c r="K2878">
        <v>147</v>
      </c>
      <c r="T2878">
        <v>597</v>
      </c>
      <c r="Y2878">
        <v>519</v>
      </c>
      <c r="AX2878">
        <v>597</v>
      </c>
      <c r="AY2878">
        <v>519</v>
      </c>
      <c r="AZ2878">
        <v>1116</v>
      </c>
      <c r="BA2878">
        <v>519</v>
      </c>
      <c r="BB2878">
        <v>597</v>
      </c>
      <c r="BC2878">
        <v>1116</v>
      </c>
      <c r="BP2878">
        <v>374</v>
      </c>
      <c r="BQ2878">
        <v>142</v>
      </c>
      <c r="BR2878">
        <v>461</v>
      </c>
      <c r="BS2878">
        <v>60</v>
      </c>
      <c r="BT2878">
        <v>58</v>
      </c>
      <c r="BU2878">
        <v>10</v>
      </c>
      <c r="BV2878">
        <v>11</v>
      </c>
      <c r="BW2878">
        <v>1116</v>
      </c>
      <c r="BZ2878" s="10"/>
      <c r="CA2878" s="7">
        <v>45606</v>
      </c>
      <c r="CE2878">
        <v>401</v>
      </c>
      <c r="CF2878">
        <v>365</v>
      </c>
      <c r="CG2878">
        <v>350</v>
      </c>
      <c r="CI2878">
        <f t="shared" si="252"/>
        <v>2024</v>
      </c>
      <c r="CJ2878" t="str">
        <f t="shared" si="251"/>
        <v>7938_2024</v>
      </c>
    </row>
    <row r="2879" spans="1:88" x14ac:dyDescent="0.25">
      <c r="A2879" t="s">
        <v>79</v>
      </c>
      <c r="B2879" t="s">
        <v>1031</v>
      </c>
      <c r="C2879">
        <v>7942</v>
      </c>
      <c r="D2879">
        <v>-32.926984300000001</v>
      </c>
      <c r="E2879">
        <v>151.7368769</v>
      </c>
      <c r="F2879">
        <v>5</v>
      </c>
      <c r="G2879" t="s">
        <v>1036</v>
      </c>
      <c r="H2879">
        <v>6</v>
      </c>
      <c r="I2879">
        <v>186</v>
      </c>
      <c r="J2879">
        <v>70</v>
      </c>
      <c r="K2879">
        <v>250</v>
      </c>
      <c r="L2879">
        <v>190</v>
      </c>
      <c r="M2879">
        <v>10</v>
      </c>
      <c r="N2879">
        <v>220</v>
      </c>
      <c r="O2879">
        <v>40</v>
      </c>
      <c r="P2879">
        <v>305</v>
      </c>
      <c r="Q2879">
        <v>125</v>
      </c>
      <c r="T2879">
        <v>3</v>
      </c>
      <c r="U2879">
        <v>12</v>
      </c>
      <c r="V2879">
        <v>5</v>
      </c>
      <c r="W2879">
        <v>0</v>
      </c>
      <c r="Y2879">
        <v>7</v>
      </c>
      <c r="Z2879">
        <v>33</v>
      </c>
      <c r="AA2879">
        <v>26</v>
      </c>
      <c r="AB2879">
        <v>12</v>
      </c>
      <c r="AD2879">
        <v>9</v>
      </c>
      <c r="AE2879">
        <v>9</v>
      </c>
      <c r="AF2879">
        <v>1</v>
      </c>
      <c r="AG2879">
        <v>3</v>
      </c>
      <c r="AI2879">
        <v>4</v>
      </c>
      <c r="AJ2879">
        <v>21</v>
      </c>
      <c r="AK2879">
        <v>4</v>
      </c>
      <c r="AL2879">
        <v>6</v>
      </c>
      <c r="AN2879">
        <v>1</v>
      </c>
      <c r="AO2879">
        <v>9</v>
      </c>
      <c r="AP2879">
        <v>3</v>
      </c>
      <c r="AQ2879">
        <v>6</v>
      </c>
      <c r="AX2879">
        <v>20</v>
      </c>
      <c r="AY2879">
        <v>21</v>
      </c>
      <c r="AZ2879">
        <v>41</v>
      </c>
      <c r="BA2879">
        <v>78</v>
      </c>
      <c r="BB2879">
        <v>42</v>
      </c>
      <c r="BC2879">
        <v>120</v>
      </c>
      <c r="BD2879">
        <v>22</v>
      </c>
      <c r="BE2879">
        <v>52</v>
      </c>
      <c r="BF2879">
        <v>74</v>
      </c>
      <c r="BG2879">
        <v>35</v>
      </c>
      <c r="BH2879">
        <v>38</v>
      </c>
      <c r="BI2879">
        <v>73</v>
      </c>
      <c r="BJ2879">
        <v>19</v>
      </c>
      <c r="BK2879">
        <v>21</v>
      </c>
      <c r="BL2879">
        <v>40</v>
      </c>
      <c r="BP2879">
        <v>100</v>
      </c>
      <c r="BQ2879">
        <v>8</v>
      </c>
      <c r="BR2879">
        <v>33</v>
      </c>
      <c r="BS2879">
        <v>11</v>
      </c>
      <c r="BT2879">
        <v>11</v>
      </c>
      <c r="BU2879">
        <v>7</v>
      </c>
      <c r="BV2879">
        <v>4</v>
      </c>
      <c r="BW2879">
        <v>174</v>
      </c>
      <c r="BZ2879" s="10"/>
      <c r="CA2879" s="7">
        <v>45606</v>
      </c>
      <c r="CE2879">
        <v>63</v>
      </c>
      <c r="CF2879">
        <v>70</v>
      </c>
      <c r="CG2879">
        <v>41</v>
      </c>
      <c r="CI2879">
        <f t="shared" si="252"/>
        <v>2024</v>
      </c>
      <c r="CJ2879" t="str">
        <f t="shared" si="251"/>
        <v>7942_2024</v>
      </c>
    </row>
    <row r="2880" spans="1:88" x14ac:dyDescent="0.25">
      <c r="A2880" t="s">
        <v>79</v>
      </c>
      <c r="B2880" t="s">
        <v>1031</v>
      </c>
      <c r="C2880">
        <v>7943</v>
      </c>
      <c r="D2880">
        <v>-32.929423100000001</v>
      </c>
      <c r="E2880">
        <v>151.77016649999999</v>
      </c>
      <c r="F2880">
        <v>3</v>
      </c>
      <c r="G2880" t="s">
        <v>1037</v>
      </c>
      <c r="H2880">
        <v>83</v>
      </c>
      <c r="I2880">
        <v>263</v>
      </c>
      <c r="J2880">
        <v>183</v>
      </c>
      <c r="K2880">
        <v>3</v>
      </c>
      <c r="L2880">
        <v>268</v>
      </c>
      <c r="M2880">
        <v>88</v>
      </c>
      <c r="T2880">
        <v>33</v>
      </c>
      <c r="U2880">
        <v>38</v>
      </c>
      <c r="Y2880">
        <v>47</v>
      </c>
      <c r="Z2880">
        <v>12</v>
      </c>
      <c r="AD2880">
        <v>61</v>
      </c>
      <c r="AE2880">
        <v>16</v>
      </c>
      <c r="AX2880">
        <v>71</v>
      </c>
      <c r="AY2880">
        <v>108</v>
      </c>
      <c r="AZ2880">
        <v>179</v>
      </c>
      <c r="BA2880">
        <v>59</v>
      </c>
      <c r="BB2880">
        <v>49</v>
      </c>
      <c r="BC2880">
        <v>108</v>
      </c>
      <c r="BD2880">
        <v>77</v>
      </c>
      <c r="BE2880">
        <v>50</v>
      </c>
      <c r="BF2880">
        <v>127</v>
      </c>
      <c r="BP2880">
        <v>39</v>
      </c>
      <c r="BQ2880">
        <v>14</v>
      </c>
      <c r="BR2880">
        <v>111</v>
      </c>
      <c r="BS2880">
        <v>1</v>
      </c>
      <c r="BT2880">
        <v>41</v>
      </c>
      <c r="BU2880">
        <v>1</v>
      </c>
      <c r="BV2880">
        <v>0</v>
      </c>
      <c r="BW2880">
        <v>207</v>
      </c>
      <c r="BZ2880" s="10"/>
      <c r="CA2880" s="7">
        <v>45606</v>
      </c>
      <c r="CE2880">
        <v>88</v>
      </c>
      <c r="CF2880">
        <v>76</v>
      </c>
      <c r="CG2880">
        <v>43</v>
      </c>
      <c r="CI2880">
        <f t="shared" si="252"/>
        <v>2024</v>
      </c>
      <c r="CJ2880" t="str">
        <f t="shared" si="251"/>
        <v>7943_2024</v>
      </c>
    </row>
    <row r="2881" spans="1:88" x14ac:dyDescent="0.25">
      <c r="A2881" t="s">
        <v>79</v>
      </c>
      <c r="B2881" t="s">
        <v>1031</v>
      </c>
      <c r="C2881">
        <v>7946</v>
      </c>
      <c r="D2881">
        <v>-32.932035399999997</v>
      </c>
      <c r="E2881">
        <v>151.71891980000001</v>
      </c>
      <c r="F2881">
        <v>4</v>
      </c>
      <c r="G2881" t="s">
        <v>1038</v>
      </c>
      <c r="H2881">
        <v>69</v>
      </c>
      <c r="I2881">
        <v>249</v>
      </c>
      <c r="J2881">
        <v>130</v>
      </c>
      <c r="K2881">
        <v>310</v>
      </c>
      <c r="L2881">
        <v>234</v>
      </c>
      <c r="M2881">
        <v>54</v>
      </c>
      <c r="N2881">
        <v>315</v>
      </c>
      <c r="O2881">
        <v>135</v>
      </c>
      <c r="T2881">
        <v>34</v>
      </c>
      <c r="U2881">
        <v>27</v>
      </c>
      <c r="V2881">
        <v>9</v>
      </c>
      <c r="Y2881">
        <v>30</v>
      </c>
      <c r="Z2881">
        <v>8</v>
      </c>
      <c r="AA2881">
        <v>50</v>
      </c>
      <c r="AD2881">
        <v>13</v>
      </c>
      <c r="AE2881">
        <v>7</v>
      </c>
      <c r="AF2881">
        <v>7</v>
      </c>
      <c r="AI2881">
        <v>12</v>
      </c>
      <c r="AJ2881">
        <v>35</v>
      </c>
      <c r="AK2881">
        <v>6</v>
      </c>
      <c r="AX2881">
        <v>70</v>
      </c>
      <c r="AY2881">
        <v>55</v>
      </c>
      <c r="AZ2881">
        <v>125</v>
      </c>
      <c r="BA2881">
        <v>88</v>
      </c>
      <c r="BB2881">
        <v>76</v>
      </c>
      <c r="BC2881">
        <v>164</v>
      </c>
      <c r="BD2881">
        <v>27</v>
      </c>
      <c r="BE2881">
        <v>41</v>
      </c>
      <c r="BF2881">
        <v>68</v>
      </c>
      <c r="BG2881">
        <v>53</v>
      </c>
      <c r="BH2881">
        <v>66</v>
      </c>
      <c r="BI2881">
        <v>119</v>
      </c>
      <c r="BP2881">
        <v>129</v>
      </c>
      <c r="BQ2881">
        <v>27</v>
      </c>
      <c r="BR2881">
        <v>44</v>
      </c>
      <c r="BS2881">
        <v>13</v>
      </c>
      <c r="BT2881">
        <v>18</v>
      </c>
      <c r="BU2881">
        <v>2</v>
      </c>
      <c r="BV2881">
        <v>5</v>
      </c>
      <c r="BW2881">
        <v>238</v>
      </c>
      <c r="BZ2881" s="10"/>
      <c r="CA2881" s="7">
        <v>45606</v>
      </c>
      <c r="CE2881">
        <v>100</v>
      </c>
      <c r="CF2881">
        <v>80</v>
      </c>
      <c r="CG2881">
        <v>58</v>
      </c>
      <c r="CI2881">
        <f t="shared" si="252"/>
        <v>2024</v>
      </c>
      <c r="CJ2881" t="str">
        <f t="shared" si="251"/>
        <v>7946_2024</v>
      </c>
    </row>
    <row r="2882" spans="1:88" x14ac:dyDescent="0.25">
      <c r="A2882" t="s">
        <v>79</v>
      </c>
      <c r="B2882" t="s">
        <v>1031</v>
      </c>
      <c r="C2882">
        <v>7947</v>
      </c>
      <c r="D2882">
        <v>-32.947772100000002</v>
      </c>
      <c r="E2882">
        <v>151.75715880000001</v>
      </c>
      <c r="F2882">
        <v>4</v>
      </c>
      <c r="G2882" t="s">
        <v>1039</v>
      </c>
      <c r="H2882">
        <v>50</v>
      </c>
      <c r="I2882">
        <v>230</v>
      </c>
      <c r="J2882">
        <v>215</v>
      </c>
      <c r="K2882">
        <v>35</v>
      </c>
      <c r="L2882">
        <v>240</v>
      </c>
      <c r="M2882">
        <v>60</v>
      </c>
      <c r="N2882">
        <v>350</v>
      </c>
      <c r="O2882">
        <v>170</v>
      </c>
      <c r="T2882">
        <v>348</v>
      </c>
      <c r="U2882">
        <v>34</v>
      </c>
      <c r="V2882">
        <v>13</v>
      </c>
      <c r="Y2882">
        <v>294</v>
      </c>
      <c r="Z2882">
        <v>18</v>
      </c>
      <c r="AA2882">
        <v>150</v>
      </c>
      <c r="AD2882">
        <v>83</v>
      </c>
      <c r="AE2882">
        <v>58</v>
      </c>
      <c r="AF2882">
        <v>7</v>
      </c>
      <c r="AI2882">
        <v>36</v>
      </c>
      <c r="AJ2882">
        <v>134</v>
      </c>
      <c r="AK2882">
        <v>19</v>
      </c>
      <c r="AX2882">
        <v>395</v>
      </c>
      <c r="AY2882">
        <v>413</v>
      </c>
      <c r="AZ2882">
        <v>808</v>
      </c>
      <c r="BA2882">
        <v>462</v>
      </c>
      <c r="BB2882">
        <v>540</v>
      </c>
      <c r="BC2882">
        <v>1002</v>
      </c>
      <c r="BD2882">
        <v>148</v>
      </c>
      <c r="BE2882">
        <v>71</v>
      </c>
      <c r="BF2882">
        <v>219</v>
      </c>
      <c r="BG2882">
        <v>189</v>
      </c>
      <c r="BH2882">
        <v>170</v>
      </c>
      <c r="BI2882">
        <v>359</v>
      </c>
      <c r="BP2882">
        <v>101</v>
      </c>
      <c r="BQ2882">
        <v>45</v>
      </c>
      <c r="BR2882">
        <v>769</v>
      </c>
      <c r="BS2882">
        <v>75</v>
      </c>
      <c r="BT2882">
        <v>200</v>
      </c>
      <c r="BU2882">
        <v>4</v>
      </c>
      <c r="BV2882">
        <v>0</v>
      </c>
      <c r="BW2882">
        <v>1194</v>
      </c>
      <c r="BZ2882" s="10"/>
      <c r="CA2882" s="7">
        <v>45606</v>
      </c>
      <c r="CE2882">
        <v>486</v>
      </c>
      <c r="CF2882">
        <v>360</v>
      </c>
      <c r="CG2882">
        <v>348</v>
      </c>
      <c r="CI2882">
        <f t="shared" si="252"/>
        <v>2024</v>
      </c>
      <c r="CJ2882" t="str">
        <f t="shared" si="251"/>
        <v>7947_2024</v>
      </c>
    </row>
    <row r="2883" spans="1:88" x14ac:dyDescent="0.25">
      <c r="A2883" t="s">
        <v>79</v>
      </c>
      <c r="B2883" t="s">
        <v>1031</v>
      </c>
      <c r="C2883">
        <v>7949</v>
      </c>
      <c r="D2883">
        <v>-32.910442400000001</v>
      </c>
      <c r="E2883">
        <v>151.74227569999999</v>
      </c>
      <c r="F2883">
        <v>4</v>
      </c>
      <c r="G2883" t="s">
        <v>1041</v>
      </c>
      <c r="H2883">
        <v>44</v>
      </c>
      <c r="I2883">
        <v>224</v>
      </c>
      <c r="J2883">
        <v>140</v>
      </c>
      <c r="K2883">
        <v>320</v>
      </c>
      <c r="L2883">
        <v>230</v>
      </c>
      <c r="M2883">
        <v>50</v>
      </c>
      <c r="N2883">
        <v>318</v>
      </c>
      <c r="O2883">
        <v>138</v>
      </c>
      <c r="T2883">
        <v>5</v>
      </c>
      <c r="U2883">
        <v>19</v>
      </c>
      <c r="V2883">
        <v>9</v>
      </c>
      <c r="Y2883">
        <v>1</v>
      </c>
      <c r="Z2883">
        <v>0</v>
      </c>
      <c r="AA2883">
        <v>13</v>
      </c>
      <c r="AD2883">
        <v>20</v>
      </c>
      <c r="AE2883">
        <v>3</v>
      </c>
      <c r="AF2883">
        <v>34</v>
      </c>
      <c r="AI2883">
        <v>5</v>
      </c>
      <c r="AJ2883">
        <v>28</v>
      </c>
      <c r="AK2883">
        <v>45</v>
      </c>
      <c r="AX2883">
        <v>33</v>
      </c>
      <c r="AY2883">
        <v>26</v>
      </c>
      <c r="AZ2883">
        <v>59</v>
      </c>
      <c r="BA2883">
        <v>14</v>
      </c>
      <c r="BB2883">
        <v>36</v>
      </c>
      <c r="BC2883">
        <v>50</v>
      </c>
      <c r="BD2883">
        <v>57</v>
      </c>
      <c r="BE2883">
        <v>64</v>
      </c>
      <c r="BF2883">
        <v>121</v>
      </c>
      <c r="BG2883">
        <v>78</v>
      </c>
      <c r="BH2883">
        <v>56</v>
      </c>
      <c r="BI2883">
        <v>134</v>
      </c>
      <c r="BP2883">
        <v>106</v>
      </c>
      <c r="BQ2883">
        <v>36</v>
      </c>
      <c r="BR2883">
        <v>27</v>
      </c>
      <c r="BS2883">
        <v>7</v>
      </c>
      <c r="BT2883">
        <v>5</v>
      </c>
      <c r="BU2883">
        <v>1</v>
      </c>
      <c r="BV2883">
        <v>0</v>
      </c>
      <c r="BW2883">
        <v>182</v>
      </c>
      <c r="BZ2883" s="10"/>
      <c r="CA2883" s="7">
        <v>45606</v>
      </c>
      <c r="CE2883">
        <v>80</v>
      </c>
      <c r="CF2883">
        <v>54</v>
      </c>
      <c r="CG2883">
        <v>48</v>
      </c>
      <c r="CI2883">
        <f t="shared" si="252"/>
        <v>2024</v>
      </c>
      <c r="CJ2883" t="str">
        <f t="shared" ref="CJ2883:CJ2946" si="253">_xlfn.CONCAT(C2883,"_",CI2883)</f>
        <v>7949_2024</v>
      </c>
    </row>
    <row r="2884" spans="1:88" x14ac:dyDescent="0.25">
      <c r="A2884" t="s">
        <v>79</v>
      </c>
      <c r="B2884" t="s">
        <v>1031</v>
      </c>
      <c r="C2884">
        <v>7950</v>
      </c>
      <c r="D2884">
        <v>-32.926722699999999</v>
      </c>
      <c r="E2884">
        <v>151.7640327</v>
      </c>
      <c r="F2884">
        <v>4</v>
      </c>
      <c r="G2884" t="s">
        <v>1042</v>
      </c>
      <c r="H2884">
        <v>15</v>
      </c>
      <c r="I2884">
        <v>195</v>
      </c>
      <c r="J2884">
        <v>105</v>
      </c>
      <c r="K2884">
        <v>285</v>
      </c>
      <c r="L2884">
        <v>195</v>
      </c>
      <c r="M2884">
        <v>15</v>
      </c>
      <c r="N2884">
        <v>280</v>
      </c>
      <c r="O2884">
        <v>100</v>
      </c>
      <c r="T2884">
        <v>22</v>
      </c>
      <c r="U2884">
        <v>78</v>
      </c>
      <c r="V2884">
        <v>45</v>
      </c>
      <c r="Y2884">
        <v>11</v>
      </c>
      <c r="Z2884">
        <v>60</v>
      </c>
      <c r="AA2884">
        <v>60</v>
      </c>
      <c r="AD2884">
        <v>74</v>
      </c>
      <c r="AE2884">
        <v>56</v>
      </c>
      <c r="AF2884">
        <v>28</v>
      </c>
      <c r="AI2884">
        <v>60</v>
      </c>
      <c r="AJ2884">
        <v>62</v>
      </c>
      <c r="AK2884">
        <v>41</v>
      </c>
      <c r="AX2884">
        <v>145</v>
      </c>
      <c r="AY2884">
        <v>145</v>
      </c>
      <c r="AZ2884">
        <v>290</v>
      </c>
      <c r="BA2884">
        <v>131</v>
      </c>
      <c r="BB2884">
        <v>140</v>
      </c>
      <c r="BC2884">
        <v>271</v>
      </c>
      <c r="BD2884">
        <v>158</v>
      </c>
      <c r="BE2884">
        <v>179</v>
      </c>
      <c r="BF2884">
        <v>337</v>
      </c>
      <c r="BG2884">
        <v>163</v>
      </c>
      <c r="BH2884">
        <v>133</v>
      </c>
      <c r="BI2884">
        <v>296</v>
      </c>
      <c r="BP2884">
        <v>62</v>
      </c>
      <c r="BQ2884">
        <v>13</v>
      </c>
      <c r="BR2884">
        <v>505</v>
      </c>
      <c r="BS2884">
        <v>1</v>
      </c>
      <c r="BT2884">
        <v>8</v>
      </c>
      <c r="BU2884">
        <v>2</v>
      </c>
      <c r="BV2884">
        <v>6</v>
      </c>
      <c r="BW2884">
        <v>597</v>
      </c>
      <c r="BZ2884" s="10"/>
      <c r="CA2884" s="7">
        <v>45606</v>
      </c>
      <c r="CE2884">
        <v>198</v>
      </c>
      <c r="CF2884">
        <v>190</v>
      </c>
      <c r="CG2884">
        <v>209</v>
      </c>
      <c r="CI2884">
        <f t="shared" si="252"/>
        <v>2024</v>
      </c>
      <c r="CJ2884" t="str">
        <f t="shared" si="253"/>
        <v>7950_2024</v>
      </c>
    </row>
    <row r="2885" spans="1:88" x14ac:dyDescent="0.25">
      <c r="A2885" t="s">
        <v>79</v>
      </c>
      <c r="B2885" t="s">
        <v>1031</v>
      </c>
      <c r="C2885">
        <v>8270</v>
      </c>
      <c r="D2885">
        <v>-32.941178999999998</v>
      </c>
      <c r="E2885">
        <v>151.76731899999999</v>
      </c>
      <c r="F2885">
        <v>4</v>
      </c>
      <c r="G2885" t="s">
        <v>1173</v>
      </c>
      <c r="H2885">
        <v>58</v>
      </c>
      <c r="I2885">
        <v>238</v>
      </c>
      <c r="J2885">
        <v>144</v>
      </c>
      <c r="K2885">
        <v>324</v>
      </c>
      <c r="L2885">
        <v>240</v>
      </c>
      <c r="M2885">
        <v>60</v>
      </c>
      <c r="N2885">
        <v>333</v>
      </c>
      <c r="O2885">
        <v>153</v>
      </c>
      <c r="T2885">
        <v>2</v>
      </c>
      <c r="U2885">
        <v>391</v>
      </c>
      <c r="V2885">
        <v>195</v>
      </c>
      <c r="Y2885">
        <v>0</v>
      </c>
      <c r="Z2885">
        <v>0</v>
      </c>
      <c r="AA2885">
        <v>0</v>
      </c>
      <c r="AD2885">
        <v>385</v>
      </c>
      <c r="AE2885">
        <v>0</v>
      </c>
      <c r="AF2885">
        <v>1</v>
      </c>
      <c r="AI2885">
        <v>257</v>
      </c>
      <c r="AJ2885">
        <v>0</v>
      </c>
      <c r="AK2885">
        <v>0</v>
      </c>
      <c r="AX2885">
        <v>588</v>
      </c>
      <c r="AY2885">
        <v>642</v>
      </c>
      <c r="AZ2885">
        <v>1230</v>
      </c>
      <c r="BA2885">
        <v>0</v>
      </c>
      <c r="BB2885">
        <v>2</v>
      </c>
      <c r="BC2885">
        <v>2</v>
      </c>
      <c r="BD2885">
        <v>386</v>
      </c>
      <c r="BE2885">
        <v>391</v>
      </c>
      <c r="BF2885">
        <v>777</v>
      </c>
      <c r="BG2885">
        <v>257</v>
      </c>
      <c r="BH2885">
        <v>196</v>
      </c>
      <c r="BI2885">
        <v>453</v>
      </c>
      <c r="BP2885">
        <v>19</v>
      </c>
      <c r="BQ2885">
        <v>35</v>
      </c>
      <c r="BR2885">
        <v>1055</v>
      </c>
      <c r="BS2885">
        <v>32</v>
      </c>
      <c r="BT2885">
        <v>80</v>
      </c>
      <c r="BU2885">
        <v>6</v>
      </c>
      <c r="BV2885">
        <v>4</v>
      </c>
      <c r="BW2885">
        <v>1231</v>
      </c>
      <c r="BZ2885" s="10"/>
      <c r="CA2885" s="7">
        <v>45606</v>
      </c>
      <c r="CE2885">
        <v>404</v>
      </c>
      <c r="CF2885">
        <v>276</v>
      </c>
      <c r="CG2885">
        <v>551</v>
      </c>
      <c r="CI2885">
        <f t="shared" si="252"/>
        <v>2024</v>
      </c>
      <c r="CJ2885" t="str">
        <f t="shared" si="253"/>
        <v>8270_2024</v>
      </c>
    </row>
    <row r="2886" spans="1:88" x14ac:dyDescent="0.25">
      <c r="A2886" t="s">
        <v>79</v>
      </c>
      <c r="B2886" t="s">
        <v>1031</v>
      </c>
      <c r="C2886">
        <v>8271</v>
      </c>
      <c r="D2886">
        <v>-32.932336999999997</v>
      </c>
      <c r="E2886">
        <v>151.78089600000001</v>
      </c>
      <c r="F2886">
        <v>3</v>
      </c>
      <c r="G2886" t="s">
        <v>1174</v>
      </c>
      <c r="H2886">
        <v>71</v>
      </c>
      <c r="I2886">
        <v>251</v>
      </c>
      <c r="J2886">
        <v>183</v>
      </c>
      <c r="K2886">
        <v>3</v>
      </c>
      <c r="L2886">
        <v>260</v>
      </c>
      <c r="M2886">
        <v>80</v>
      </c>
      <c r="T2886">
        <v>63</v>
      </c>
      <c r="U2886">
        <v>64</v>
      </c>
      <c r="Y2886">
        <v>67</v>
      </c>
      <c r="Z2886">
        <v>17</v>
      </c>
      <c r="AD2886">
        <v>64</v>
      </c>
      <c r="AE2886">
        <v>26</v>
      </c>
      <c r="AX2886">
        <v>127</v>
      </c>
      <c r="AY2886">
        <v>131</v>
      </c>
      <c r="AZ2886">
        <v>258</v>
      </c>
      <c r="BA2886">
        <v>84</v>
      </c>
      <c r="BB2886">
        <v>89</v>
      </c>
      <c r="BC2886">
        <v>173</v>
      </c>
      <c r="BD2886">
        <v>90</v>
      </c>
      <c r="BE2886">
        <v>81</v>
      </c>
      <c r="BF2886">
        <v>171</v>
      </c>
      <c r="BP2886">
        <v>34</v>
      </c>
      <c r="BQ2886">
        <v>18</v>
      </c>
      <c r="BR2886">
        <v>208</v>
      </c>
      <c r="BS2886">
        <v>15</v>
      </c>
      <c r="BT2886">
        <v>25</v>
      </c>
      <c r="BU2886">
        <v>1</v>
      </c>
      <c r="BV2886">
        <v>0</v>
      </c>
      <c r="BW2886">
        <v>301</v>
      </c>
      <c r="BZ2886" s="10"/>
      <c r="CA2886" s="7">
        <v>45606</v>
      </c>
      <c r="CE2886">
        <v>132</v>
      </c>
      <c r="CF2886">
        <v>97</v>
      </c>
      <c r="CG2886">
        <v>72</v>
      </c>
      <c r="CI2886">
        <f t="shared" si="252"/>
        <v>2024</v>
      </c>
      <c r="CJ2886" t="str">
        <f t="shared" si="253"/>
        <v>8271_2024</v>
      </c>
    </row>
    <row r="2887" spans="1:88" x14ac:dyDescent="0.25">
      <c r="A2887" t="s">
        <v>79</v>
      </c>
      <c r="B2887" t="s">
        <v>1031</v>
      </c>
      <c r="C2887">
        <v>8405</v>
      </c>
      <c r="D2887">
        <v>-32.919486999999997</v>
      </c>
      <c r="E2887">
        <v>151.7825</v>
      </c>
      <c r="F2887">
        <v>4</v>
      </c>
      <c r="G2887" t="s">
        <v>1175</v>
      </c>
      <c r="H2887">
        <v>26</v>
      </c>
      <c r="I2887">
        <v>206</v>
      </c>
      <c r="J2887">
        <v>120</v>
      </c>
      <c r="K2887">
        <v>300</v>
      </c>
      <c r="L2887">
        <v>190</v>
      </c>
      <c r="M2887">
        <v>10</v>
      </c>
      <c r="N2887">
        <v>295</v>
      </c>
      <c r="O2887">
        <v>115</v>
      </c>
      <c r="T2887">
        <v>13</v>
      </c>
      <c r="U2887">
        <v>118</v>
      </c>
      <c r="V2887">
        <v>5</v>
      </c>
      <c r="Y2887">
        <v>16</v>
      </c>
      <c r="Z2887">
        <v>27</v>
      </c>
      <c r="AA2887">
        <v>75</v>
      </c>
      <c r="AD2887">
        <v>79</v>
      </c>
      <c r="AE2887">
        <v>12</v>
      </c>
      <c r="AF2887">
        <v>3</v>
      </c>
      <c r="AI2887">
        <v>15</v>
      </c>
      <c r="AJ2887">
        <v>64</v>
      </c>
      <c r="AK2887">
        <v>28</v>
      </c>
      <c r="AX2887">
        <v>136</v>
      </c>
      <c r="AY2887">
        <v>110</v>
      </c>
      <c r="AZ2887">
        <v>246</v>
      </c>
      <c r="BA2887">
        <v>118</v>
      </c>
      <c r="BB2887">
        <v>89</v>
      </c>
      <c r="BC2887">
        <v>207</v>
      </c>
      <c r="BD2887">
        <v>94</v>
      </c>
      <c r="BE2887">
        <v>173</v>
      </c>
      <c r="BF2887">
        <v>267</v>
      </c>
      <c r="BG2887">
        <v>107</v>
      </c>
      <c r="BH2887">
        <v>83</v>
      </c>
      <c r="BI2887">
        <v>190</v>
      </c>
      <c r="BP2887">
        <v>87</v>
      </c>
      <c r="BQ2887">
        <v>44</v>
      </c>
      <c r="BR2887">
        <v>282</v>
      </c>
      <c r="BS2887">
        <v>5</v>
      </c>
      <c r="BT2887">
        <v>25</v>
      </c>
      <c r="BU2887">
        <v>5</v>
      </c>
      <c r="BV2887">
        <v>7</v>
      </c>
      <c r="BW2887">
        <v>455</v>
      </c>
      <c r="BZ2887" s="10"/>
      <c r="CA2887" s="7">
        <v>45606</v>
      </c>
      <c r="CE2887">
        <v>152</v>
      </c>
      <c r="CF2887">
        <v>171</v>
      </c>
      <c r="CG2887">
        <v>132</v>
      </c>
      <c r="CI2887">
        <f t="shared" si="252"/>
        <v>2024</v>
      </c>
      <c r="CJ2887" t="str">
        <f t="shared" si="253"/>
        <v>8405_2024</v>
      </c>
    </row>
    <row r="2888" spans="1:88" x14ac:dyDescent="0.25">
      <c r="A2888" t="s">
        <v>111</v>
      </c>
      <c r="B2888" t="s">
        <v>138</v>
      </c>
      <c r="C2888">
        <v>4524</v>
      </c>
      <c r="D2888">
        <v>-37.688476999999999</v>
      </c>
      <c r="E2888">
        <v>145.15609900000001</v>
      </c>
      <c r="F2888">
        <v>3</v>
      </c>
      <c r="G2888" t="s">
        <v>139</v>
      </c>
      <c r="H2888">
        <v>100</v>
      </c>
      <c r="I2888">
        <v>280</v>
      </c>
      <c r="J2888">
        <v>200</v>
      </c>
      <c r="K2888">
        <v>20</v>
      </c>
      <c r="L2888">
        <v>280</v>
      </c>
      <c r="M2888">
        <v>100</v>
      </c>
      <c r="T2888">
        <v>13</v>
      </c>
      <c r="U2888">
        <v>20</v>
      </c>
      <c r="Y2888">
        <v>2</v>
      </c>
      <c r="Z2888">
        <v>148</v>
      </c>
      <c r="AD2888">
        <v>27</v>
      </c>
      <c r="AE2888">
        <v>146</v>
      </c>
      <c r="AX2888">
        <v>33</v>
      </c>
      <c r="AY2888">
        <v>29</v>
      </c>
      <c r="AZ2888">
        <v>62</v>
      </c>
      <c r="BA2888">
        <v>150</v>
      </c>
      <c r="BB2888">
        <v>159</v>
      </c>
      <c r="BC2888">
        <v>309</v>
      </c>
      <c r="BD2888">
        <v>173</v>
      </c>
      <c r="BE2888">
        <v>168</v>
      </c>
      <c r="BF2888">
        <v>341</v>
      </c>
      <c r="BP2888">
        <v>153</v>
      </c>
      <c r="BQ2888">
        <v>15</v>
      </c>
      <c r="BR2888">
        <v>78</v>
      </c>
      <c r="BS2888">
        <v>53</v>
      </c>
      <c r="BT2888">
        <v>55</v>
      </c>
      <c r="BU2888">
        <v>2</v>
      </c>
      <c r="BV2888">
        <v>0</v>
      </c>
      <c r="BW2888">
        <v>356</v>
      </c>
      <c r="BZ2888" s="10"/>
      <c r="CA2888" s="7">
        <v>45606</v>
      </c>
      <c r="CE2888">
        <v>112</v>
      </c>
      <c r="CF2888">
        <v>132</v>
      </c>
      <c r="CG2888">
        <v>112</v>
      </c>
      <c r="CI2888">
        <f t="shared" si="252"/>
        <v>2024</v>
      </c>
      <c r="CJ2888" t="str">
        <f t="shared" si="253"/>
        <v>4524_2024</v>
      </c>
    </row>
    <row r="2889" spans="1:88" x14ac:dyDescent="0.25">
      <c r="A2889" t="s">
        <v>111</v>
      </c>
      <c r="B2889" t="s">
        <v>138</v>
      </c>
      <c r="C2889">
        <v>5652</v>
      </c>
      <c r="D2889">
        <v>-37.718601999999997</v>
      </c>
      <c r="E2889">
        <v>145.14361500000001</v>
      </c>
      <c r="F2889">
        <v>3</v>
      </c>
      <c r="G2889" t="s">
        <v>234</v>
      </c>
      <c r="H2889">
        <v>22</v>
      </c>
      <c r="I2889">
        <v>202</v>
      </c>
      <c r="J2889">
        <v>60</v>
      </c>
      <c r="K2889">
        <v>240</v>
      </c>
      <c r="L2889">
        <v>189</v>
      </c>
      <c r="M2889">
        <v>9</v>
      </c>
      <c r="T2889">
        <v>25</v>
      </c>
      <c r="U2889">
        <v>174</v>
      </c>
      <c r="Y2889">
        <v>14</v>
      </c>
      <c r="Z2889">
        <v>53</v>
      </c>
      <c r="AD2889">
        <v>168</v>
      </c>
      <c r="AE2889">
        <v>57</v>
      </c>
      <c r="AX2889">
        <v>199</v>
      </c>
      <c r="AY2889">
        <v>182</v>
      </c>
      <c r="AZ2889">
        <v>381</v>
      </c>
      <c r="BA2889">
        <v>67</v>
      </c>
      <c r="BB2889">
        <v>82</v>
      </c>
      <c r="BC2889">
        <v>149</v>
      </c>
      <c r="BD2889">
        <v>225</v>
      </c>
      <c r="BE2889">
        <v>227</v>
      </c>
      <c r="BF2889">
        <v>452</v>
      </c>
      <c r="BP2889">
        <v>131</v>
      </c>
      <c r="BQ2889">
        <v>15</v>
      </c>
      <c r="BR2889">
        <v>239</v>
      </c>
      <c r="BS2889">
        <v>47</v>
      </c>
      <c r="BT2889">
        <v>59</v>
      </c>
      <c r="BU2889">
        <v>0</v>
      </c>
      <c r="BV2889">
        <v>0</v>
      </c>
      <c r="BW2889">
        <v>491</v>
      </c>
      <c r="BZ2889" s="10"/>
      <c r="CA2889" s="7">
        <v>45606</v>
      </c>
      <c r="CE2889">
        <v>165</v>
      </c>
      <c r="CF2889">
        <v>186</v>
      </c>
      <c r="CG2889">
        <v>140</v>
      </c>
      <c r="CI2889">
        <f t="shared" si="252"/>
        <v>2024</v>
      </c>
      <c r="CJ2889" t="str">
        <f t="shared" si="253"/>
        <v>5652_2024</v>
      </c>
    </row>
    <row r="2890" spans="1:88" x14ac:dyDescent="0.25">
      <c r="A2890" t="s">
        <v>111</v>
      </c>
      <c r="B2890" t="s">
        <v>138</v>
      </c>
      <c r="C2890">
        <v>5653</v>
      </c>
      <c r="D2890">
        <v>-37.703468999999998</v>
      </c>
      <c r="E2890">
        <v>145.15346099999999</v>
      </c>
      <c r="F2890">
        <v>4</v>
      </c>
      <c r="G2890" t="s">
        <v>235</v>
      </c>
      <c r="H2890">
        <v>36</v>
      </c>
      <c r="I2890">
        <v>216</v>
      </c>
      <c r="J2890">
        <v>139</v>
      </c>
      <c r="K2890">
        <v>319</v>
      </c>
      <c r="L2890">
        <v>229</v>
      </c>
      <c r="M2890">
        <v>49</v>
      </c>
      <c r="N2890">
        <v>319</v>
      </c>
      <c r="O2890">
        <v>139</v>
      </c>
      <c r="T2890">
        <v>34</v>
      </c>
      <c r="U2890">
        <v>119</v>
      </c>
      <c r="V2890">
        <v>1</v>
      </c>
      <c r="Y2890">
        <v>43</v>
      </c>
      <c r="Z2890">
        <v>26</v>
      </c>
      <c r="AA2890">
        <v>4</v>
      </c>
      <c r="AD2890">
        <v>131</v>
      </c>
      <c r="AE2890">
        <v>15</v>
      </c>
      <c r="AF2890">
        <v>2</v>
      </c>
      <c r="AI2890">
        <v>19</v>
      </c>
      <c r="AJ2890">
        <v>13</v>
      </c>
      <c r="AK2890">
        <v>3</v>
      </c>
      <c r="AX2890">
        <v>154</v>
      </c>
      <c r="AY2890">
        <v>193</v>
      </c>
      <c r="AZ2890">
        <v>347</v>
      </c>
      <c r="BA2890">
        <v>73</v>
      </c>
      <c r="BB2890">
        <v>62</v>
      </c>
      <c r="BC2890">
        <v>135</v>
      </c>
      <c r="BD2890">
        <v>148</v>
      </c>
      <c r="BE2890">
        <v>148</v>
      </c>
      <c r="BF2890">
        <v>296</v>
      </c>
      <c r="BG2890">
        <v>35</v>
      </c>
      <c r="BH2890">
        <v>7</v>
      </c>
      <c r="BI2890">
        <v>42</v>
      </c>
      <c r="BP2890">
        <v>174</v>
      </c>
      <c r="BQ2890">
        <v>10</v>
      </c>
      <c r="BR2890">
        <v>145</v>
      </c>
      <c r="BS2890">
        <v>41</v>
      </c>
      <c r="BT2890">
        <v>39</v>
      </c>
      <c r="BU2890">
        <v>1</v>
      </c>
      <c r="BV2890">
        <v>0</v>
      </c>
      <c r="BW2890">
        <v>410</v>
      </c>
      <c r="BZ2890" s="10"/>
      <c r="CA2890" s="7">
        <v>45606</v>
      </c>
      <c r="CE2890">
        <v>136</v>
      </c>
      <c r="CF2890">
        <v>139</v>
      </c>
      <c r="CG2890">
        <v>135</v>
      </c>
      <c r="CI2890">
        <f t="shared" si="252"/>
        <v>2024</v>
      </c>
      <c r="CJ2890" t="str">
        <f t="shared" si="253"/>
        <v>5653_2024</v>
      </c>
    </row>
    <row r="2891" spans="1:88" x14ac:dyDescent="0.25">
      <c r="A2891" t="s">
        <v>111</v>
      </c>
      <c r="B2891" t="s">
        <v>138</v>
      </c>
      <c r="C2891">
        <v>6040</v>
      </c>
      <c r="D2891">
        <v>-37.692225000000001</v>
      </c>
      <c r="E2891">
        <v>145.098176</v>
      </c>
      <c r="F2891">
        <v>3</v>
      </c>
      <c r="G2891" t="s">
        <v>375</v>
      </c>
      <c r="H2891">
        <v>19</v>
      </c>
      <c r="I2891">
        <v>199</v>
      </c>
      <c r="J2891">
        <v>88</v>
      </c>
      <c r="K2891">
        <v>268</v>
      </c>
      <c r="L2891">
        <v>268</v>
      </c>
      <c r="M2891">
        <v>88</v>
      </c>
      <c r="T2891">
        <v>3</v>
      </c>
      <c r="U2891">
        <v>9</v>
      </c>
      <c r="Y2891">
        <v>1</v>
      </c>
      <c r="Z2891">
        <v>36</v>
      </c>
      <c r="AD2891">
        <v>4</v>
      </c>
      <c r="AE2891">
        <v>14</v>
      </c>
      <c r="AX2891">
        <v>12</v>
      </c>
      <c r="AY2891">
        <v>5</v>
      </c>
      <c r="AZ2891">
        <v>17</v>
      </c>
      <c r="BA2891">
        <v>37</v>
      </c>
      <c r="BB2891">
        <v>17</v>
      </c>
      <c r="BC2891">
        <v>54</v>
      </c>
      <c r="BD2891">
        <v>18</v>
      </c>
      <c r="BE2891">
        <v>45</v>
      </c>
      <c r="BF2891">
        <v>63</v>
      </c>
      <c r="BP2891">
        <v>53</v>
      </c>
      <c r="BQ2891">
        <v>2</v>
      </c>
      <c r="BR2891">
        <v>10</v>
      </c>
      <c r="BS2891">
        <v>1</v>
      </c>
      <c r="BT2891">
        <v>1</v>
      </c>
      <c r="BU2891">
        <v>0</v>
      </c>
      <c r="BV2891">
        <v>0</v>
      </c>
      <c r="BW2891">
        <v>67</v>
      </c>
      <c r="BZ2891" s="10"/>
      <c r="CA2891" s="7">
        <v>45606</v>
      </c>
      <c r="CE2891">
        <v>23</v>
      </c>
      <c r="CF2891">
        <v>28</v>
      </c>
      <c r="CG2891">
        <v>16</v>
      </c>
      <c r="CI2891">
        <f t="shared" si="252"/>
        <v>2024</v>
      </c>
      <c r="CJ2891" t="str">
        <f t="shared" si="253"/>
        <v>6040_2024</v>
      </c>
    </row>
    <row r="2892" spans="1:88" x14ac:dyDescent="0.25">
      <c r="A2892" t="s">
        <v>111</v>
      </c>
      <c r="B2892" t="s">
        <v>138</v>
      </c>
      <c r="C2892">
        <v>6346</v>
      </c>
      <c r="D2892">
        <v>-37.674106000000002</v>
      </c>
      <c r="E2892">
        <v>145.152681</v>
      </c>
      <c r="F2892">
        <v>3</v>
      </c>
      <c r="G2892" t="s">
        <v>527</v>
      </c>
      <c r="H2892">
        <v>51</v>
      </c>
      <c r="I2892">
        <v>231</v>
      </c>
      <c r="J2892">
        <v>132</v>
      </c>
      <c r="K2892">
        <v>312</v>
      </c>
      <c r="L2892">
        <v>344</v>
      </c>
      <c r="M2892">
        <v>164</v>
      </c>
      <c r="T2892">
        <v>154</v>
      </c>
      <c r="U2892">
        <v>72</v>
      </c>
      <c r="Y2892">
        <v>125</v>
      </c>
      <c r="Z2892">
        <v>64</v>
      </c>
      <c r="AD2892">
        <v>76</v>
      </c>
      <c r="AE2892">
        <v>71</v>
      </c>
      <c r="AX2892">
        <v>226</v>
      </c>
      <c r="AY2892">
        <v>201</v>
      </c>
      <c r="AZ2892">
        <v>427</v>
      </c>
      <c r="BA2892">
        <v>189</v>
      </c>
      <c r="BB2892">
        <v>225</v>
      </c>
      <c r="BC2892">
        <v>414</v>
      </c>
      <c r="BD2892">
        <v>147</v>
      </c>
      <c r="BE2892">
        <v>136</v>
      </c>
      <c r="BF2892">
        <v>283</v>
      </c>
      <c r="BP2892">
        <v>114</v>
      </c>
      <c r="BQ2892">
        <v>6</v>
      </c>
      <c r="BR2892">
        <v>249</v>
      </c>
      <c r="BS2892">
        <v>51</v>
      </c>
      <c r="BT2892">
        <v>109</v>
      </c>
      <c r="BU2892">
        <v>2</v>
      </c>
      <c r="BV2892">
        <v>31</v>
      </c>
      <c r="BW2892">
        <v>562</v>
      </c>
      <c r="BZ2892" s="10"/>
      <c r="CA2892" s="7">
        <v>45606</v>
      </c>
      <c r="CE2892">
        <v>198</v>
      </c>
      <c r="CF2892">
        <v>186</v>
      </c>
      <c r="CG2892">
        <v>178</v>
      </c>
      <c r="CI2892">
        <f t="shared" si="252"/>
        <v>2024</v>
      </c>
      <c r="CJ2892" t="str">
        <f t="shared" si="253"/>
        <v>6346_2024</v>
      </c>
    </row>
    <row r="2893" spans="1:88" x14ac:dyDescent="0.25">
      <c r="A2893" t="s">
        <v>111</v>
      </c>
      <c r="B2893" t="s">
        <v>1176</v>
      </c>
      <c r="C2893">
        <v>8406</v>
      </c>
      <c r="D2893">
        <v>-37.141793</v>
      </c>
      <c r="E2893">
        <v>142.51883100000001</v>
      </c>
      <c r="F2893">
        <v>4</v>
      </c>
      <c r="G2893" t="s">
        <v>1177</v>
      </c>
      <c r="H2893">
        <v>15</v>
      </c>
      <c r="I2893">
        <v>195</v>
      </c>
      <c r="J2893">
        <v>170</v>
      </c>
      <c r="K2893">
        <v>350</v>
      </c>
      <c r="L2893">
        <v>190</v>
      </c>
      <c r="M2893">
        <v>10</v>
      </c>
      <c r="N2893">
        <v>355</v>
      </c>
      <c r="O2893">
        <v>175</v>
      </c>
      <c r="T2893">
        <v>34</v>
      </c>
      <c r="U2893">
        <v>0</v>
      </c>
      <c r="V2893">
        <v>0</v>
      </c>
      <c r="Y2893">
        <v>21</v>
      </c>
      <c r="Z2893">
        <v>0</v>
      </c>
      <c r="AA2893">
        <v>0</v>
      </c>
      <c r="AD2893">
        <v>0</v>
      </c>
      <c r="AE2893">
        <v>0</v>
      </c>
      <c r="AF2893">
        <v>52</v>
      </c>
      <c r="AI2893">
        <v>0</v>
      </c>
      <c r="AJ2893">
        <v>0</v>
      </c>
      <c r="AK2893">
        <v>44</v>
      </c>
      <c r="AX2893">
        <v>34</v>
      </c>
      <c r="AY2893">
        <v>21</v>
      </c>
      <c r="AZ2893">
        <v>55</v>
      </c>
      <c r="BA2893">
        <v>21</v>
      </c>
      <c r="BB2893">
        <v>34</v>
      </c>
      <c r="BC2893">
        <v>55</v>
      </c>
      <c r="BD2893">
        <v>52</v>
      </c>
      <c r="BE2893">
        <v>44</v>
      </c>
      <c r="BF2893">
        <v>96</v>
      </c>
      <c r="BG2893">
        <v>44</v>
      </c>
      <c r="BH2893">
        <v>52</v>
      </c>
      <c r="BI2893">
        <v>96</v>
      </c>
      <c r="BP2893">
        <v>24</v>
      </c>
      <c r="BQ2893">
        <v>12</v>
      </c>
      <c r="BR2893">
        <v>97</v>
      </c>
      <c r="BS2893">
        <v>4</v>
      </c>
      <c r="BT2893">
        <v>4</v>
      </c>
      <c r="BU2893">
        <v>8</v>
      </c>
      <c r="BV2893">
        <v>2</v>
      </c>
      <c r="BW2893">
        <v>151</v>
      </c>
      <c r="BZ2893" s="10"/>
      <c r="CA2893" s="7">
        <v>45606</v>
      </c>
      <c r="CE2893">
        <v>52</v>
      </c>
      <c r="CF2893">
        <v>59</v>
      </c>
      <c r="CG2893">
        <v>40</v>
      </c>
      <c r="CI2893">
        <f t="shared" si="252"/>
        <v>2024</v>
      </c>
      <c r="CJ2893" t="str">
        <f t="shared" si="253"/>
        <v>8406_2024</v>
      </c>
    </row>
    <row r="2894" spans="1:88" x14ac:dyDescent="0.25">
      <c r="A2894" t="s">
        <v>140</v>
      </c>
      <c r="B2894" t="s">
        <v>141</v>
      </c>
      <c r="C2894">
        <v>4726</v>
      </c>
      <c r="D2894">
        <v>-31.958725999999999</v>
      </c>
      <c r="E2894">
        <v>115.85833700000001</v>
      </c>
      <c r="F2894">
        <v>3</v>
      </c>
      <c r="G2894" t="s">
        <v>142</v>
      </c>
      <c r="H2894">
        <v>22</v>
      </c>
      <c r="I2894">
        <v>202</v>
      </c>
      <c r="J2894">
        <v>114</v>
      </c>
      <c r="K2894">
        <v>294</v>
      </c>
      <c r="L2894">
        <v>267</v>
      </c>
      <c r="M2894">
        <v>87</v>
      </c>
      <c r="T2894">
        <v>195</v>
      </c>
      <c r="U2894">
        <v>78</v>
      </c>
      <c r="Y2894">
        <v>113</v>
      </c>
      <c r="Z2894">
        <v>326</v>
      </c>
      <c r="AD2894">
        <v>39</v>
      </c>
      <c r="AE2894">
        <v>217</v>
      </c>
      <c r="AX2894">
        <v>273</v>
      </c>
      <c r="AY2894">
        <v>152</v>
      </c>
      <c r="AZ2894">
        <v>425</v>
      </c>
      <c r="BA2894">
        <v>439</v>
      </c>
      <c r="BB2894">
        <v>412</v>
      </c>
      <c r="BC2894">
        <v>851</v>
      </c>
      <c r="BD2894">
        <v>256</v>
      </c>
      <c r="BE2894">
        <v>404</v>
      </c>
      <c r="BF2894">
        <v>660</v>
      </c>
      <c r="BP2894">
        <v>263</v>
      </c>
      <c r="BQ2894">
        <v>180</v>
      </c>
      <c r="BR2894">
        <v>417</v>
      </c>
      <c r="BS2894">
        <v>37</v>
      </c>
      <c r="BT2894">
        <v>15</v>
      </c>
      <c r="BU2894">
        <v>41</v>
      </c>
      <c r="BV2894">
        <v>15</v>
      </c>
      <c r="BW2894">
        <v>968</v>
      </c>
      <c r="BX2894">
        <v>1252</v>
      </c>
      <c r="BY2894">
        <v>-0.22683706100000001</v>
      </c>
      <c r="BZ2894" s="10">
        <v>-0.22683706100000001</v>
      </c>
      <c r="CA2894" s="7">
        <v>45606</v>
      </c>
      <c r="CE2894">
        <v>315</v>
      </c>
      <c r="CF2894">
        <v>365</v>
      </c>
      <c r="CG2894">
        <v>288</v>
      </c>
      <c r="CI2894">
        <f t="shared" si="252"/>
        <v>2024</v>
      </c>
      <c r="CJ2894" t="str">
        <f t="shared" si="253"/>
        <v>4726_2024</v>
      </c>
    </row>
    <row r="2895" spans="1:88" x14ac:dyDescent="0.25">
      <c r="A2895" t="s">
        <v>140</v>
      </c>
      <c r="B2895" t="s">
        <v>141</v>
      </c>
      <c r="C2895">
        <v>5325</v>
      </c>
      <c r="D2895">
        <v>-31.959361000000001</v>
      </c>
      <c r="E2895">
        <v>115.8646</v>
      </c>
      <c r="F2895">
        <v>4</v>
      </c>
      <c r="G2895" t="s">
        <v>166</v>
      </c>
      <c r="H2895">
        <v>21</v>
      </c>
      <c r="I2895">
        <v>201</v>
      </c>
      <c r="J2895">
        <v>110</v>
      </c>
      <c r="K2895">
        <v>290</v>
      </c>
      <c r="L2895">
        <v>200</v>
      </c>
      <c r="M2895">
        <v>20</v>
      </c>
      <c r="N2895">
        <v>294</v>
      </c>
      <c r="O2895">
        <v>114</v>
      </c>
      <c r="T2895">
        <v>19</v>
      </c>
      <c r="U2895">
        <v>84</v>
      </c>
      <c r="V2895">
        <v>23</v>
      </c>
      <c r="Y2895">
        <v>65</v>
      </c>
      <c r="Z2895">
        <v>29</v>
      </c>
      <c r="AA2895">
        <v>68</v>
      </c>
      <c r="AD2895">
        <v>70</v>
      </c>
      <c r="AE2895">
        <v>30</v>
      </c>
      <c r="AF2895">
        <v>1</v>
      </c>
      <c r="AI2895">
        <v>26</v>
      </c>
      <c r="AJ2895">
        <v>26</v>
      </c>
      <c r="AK2895">
        <v>6</v>
      </c>
      <c r="AX2895">
        <v>126</v>
      </c>
      <c r="AY2895">
        <v>161</v>
      </c>
      <c r="AZ2895">
        <v>287</v>
      </c>
      <c r="BA2895">
        <v>162</v>
      </c>
      <c r="BB2895">
        <v>75</v>
      </c>
      <c r="BC2895">
        <v>237</v>
      </c>
      <c r="BD2895">
        <v>101</v>
      </c>
      <c r="BE2895">
        <v>119</v>
      </c>
      <c r="BF2895">
        <v>220</v>
      </c>
      <c r="BG2895">
        <v>58</v>
      </c>
      <c r="BH2895">
        <v>92</v>
      </c>
      <c r="BI2895">
        <v>150</v>
      </c>
      <c r="BP2895">
        <v>39</v>
      </c>
      <c r="BQ2895">
        <v>0</v>
      </c>
      <c r="BR2895">
        <v>372</v>
      </c>
      <c r="BS2895">
        <v>8</v>
      </c>
      <c r="BT2895">
        <v>8</v>
      </c>
      <c r="BU2895">
        <v>20</v>
      </c>
      <c r="BV2895">
        <v>0</v>
      </c>
      <c r="BW2895">
        <v>447</v>
      </c>
      <c r="BX2895">
        <v>482</v>
      </c>
      <c r="BY2895">
        <v>-7.2614107999999997E-2</v>
      </c>
      <c r="BZ2895" s="10">
        <v>-7.2614107999999997E-2</v>
      </c>
      <c r="CA2895" s="7">
        <v>45606</v>
      </c>
      <c r="CE2895">
        <v>149</v>
      </c>
      <c r="CF2895">
        <v>132</v>
      </c>
      <c r="CG2895">
        <v>166</v>
      </c>
      <c r="CI2895">
        <f t="shared" si="252"/>
        <v>2024</v>
      </c>
      <c r="CJ2895" t="str">
        <f t="shared" si="253"/>
        <v>5325_2024</v>
      </c>
    </row>
    <row r="2896" spans="1:88" x14ac:dyDescent="0.25">
      <c r="A2896" t="s">
        <v>140</v>
      </c>
      <c r="B2896" t="s">
        <v>141</v>
      </c>
      <c r="C2896">
        <v>5362</v>
      </c>
      <c r="D2896">
        <v>-31.959026000000001</v>
      </c>
      <c r="E2896">
        <v>115.851686</v>
      </c>
      <c r="F2896">
        <v>3</v>
      </c>
      <c r="G2896" t="s">
        <v>167</v>
      </c>
      <c r="H2896">
        <v>70</v>
      </c>
      <c r="I2896">
        <v>250</v>
      </c>
      <c r="J2896">
        <v>222</v>
      </c>
      <c r="K2896">
        <v>42</v>
      </c>
      <c r="L2896">
        <v>292</v>
      </c>
      <c r="M2896">
        <v>112</v>
      </c>
      <c r="T2896">
        <v>332</v>
      </c>
      <c r="U2896">
        <v>249</v>
      </c>
      <c r="Y2896">
        <v>230</v>
      </c>
      <c r="Z2896">
        <v>25</v>
      </c>
      <c r="AD2896">
        <v>204</v>
      </c>
      <c r="AE2896">
        <v>19</v>
      </c>
      <c r="AX2896">
        <v>581</v>
      </c>
      <c r="AY2896">
        <v>434</v>
      </c>
      <c r="AZ2896">
        <v>1015</v>
      </c>
      <c r="BA2896">
        <v>255</v>
      </c>
      <c r="BB2896">
        <v>351</v>
      </c>
      <c r="BC2896">
        <v>606</v>
      </c>
      <c r="BD2896">
        <v>223</v>
      </c>
      <c r="BE2896">
        <v>274</v>
      </c>
      <c r="BF2896">
        <v>497</v>
      </c>
      <c r="BP2896">
        <v>506</v>
      </c>
      <c r="BQ2896">
        <v>70</v>
      </c>
      <c r="BR2896">
        <v>329</v>
      </c>
      <c r="BS2896">
        <v>115</v>
      </c>
      <c r="BT2896">
        <v>12</v>
      </c>
      <c r="BU2896">
        <v>20</v>
      </c>
      <c r="BV2896">
        <v>7</v>
      </c>
      <c r="BW2896">
        <v>1059</v>
      </c>
      <c r="BX2896">
        <v>717</v>
      </c>
      <c r="BY2896">
        <v>0.47698744799999998</v>
      </c>
      <c r="BZ2896" s="10">
        <v>0.47698744799999998</v>
      </c>
      <c r="CA2896" s="7">
        <v>45606</v>
      </c>
      <c r="CE2896">
        <v>422</v>
      </c>
      <c r="CF2896">
        <v>332</v>
      </c>
      <c r="CG2896">
        <v>305</v>
      </c>
      <c r="CI2896">
        <f t="shared" si="252"/>
        <v>2024</v>
      </c>
      <c r="CJ2896" t="str">
        <f t="shared" si="253"/>
        <v>5362_2024</v>
      </c>
    </row>
    <row r="2897" spans="1:88" x14ac:dyDescent="0.25">
      <c r="A2897" t="s">
        <v>140</v>
      </c>
      <c r="B2897" t="s">
        <v>141</v>
      </c>
      <c r="C2897">
        <v>7046</v>
      </c>
      <c r="D2897">
        <v>-31.957643999999998</v>
      </c>
      <c r="E2897">
        <v>115.88421</v>
      </c>
      <c r="F2897">
        <v>2</v>
      </c>
      <c r="G2897" t="s">
        <v>704</v>
      </c>
      <c r="H2897">
        <v>176</v>
      </c>
      <c r="I2897">
        <v>356</v>
      </c>
      <c r="J2897">
        <v>339</v>
      </c>
      <c r="K2897">
        <v>159</v>
      </c>
      <c r="T2897">
        <v>313</v>
      </c>
      <c r="Y2897">
        <v>361</v>
      </c>
      <c r="AX2897">
        <v>313</v>
      </c>
      <c r="AY2897">
        <v>361</v>
      </c>
      <c r="AZ2897">
        <v>674</v>
      </c>
      <c r="BA2897">
        <v>361</v>
      </c>
      <c r="BB2897">
        <v>313</v>
      </c>
      <c r="BC2897">
        <v>674</v>
      </c>
      <c r="BP2897">
        <v>270</v>
      </c>
      <c r="BQ2897">
        <v>58</v>
      </c>
      <c r="BR2897">
        <v>230</v>
      </c>
      <c r="BS2897">
        <v>70</v>
      </c>
      <c r="BT2897">
        <v>17</v>
      </c>
      <c r="BU2897">
        <v>26</v>
      </c>
      <c r="BV2897">
        <v>3</v>
      </c>
      <c r="BW2897">
        <v>674</v>
      </c>
      <c r="BX2897">
        <v>456</v>
      </c>
      <c r="BY2897">
        <v>0.47807017499999999</v>
      </c>
      <c r="BZ2897" s="10">
        <v>0.47807017499999999</v>
      </c>
      <c r="CA2897" s="7">
        <v>45606</v>
      </c>
      <c r="CE2897">
        <v>246</v>
      </c>
      <c r="CF2897">
        <v>248</v>
      </c>
      <c r="CG2897">
        <v>180</v>
      </c>
      <c r="CI2897">
        <f t="shared" si="252"/>
        <v>2024</v>
      </c>
      <c r="CJ2897" t="str">
        <f t="shared" si="253"/>
        <v>7046_2024</v>
      </c>
    </row>
    <row r="2898" spans="1:88" x14ac:dyDescent="0.25">
      <c r="A2898" t="s">
        <v>140</v>
      </c>
      <c r="B2898" t="s">
        <v>141</v>
      </c>
      <c r="C2898">
        <v>7047</v>
      </c>
      <c r="D2898">
        <v>-31.964219</v>
      </c>
      <c r="E2898">
        <v>115.87494</v>
      </c>
      <c r="F2898">
        <v>2</v>
      </c>
      <c r="G2898" t="s">
        <v>718</v>
      </c>
      <c r="H2898">
        <v>88</v>
      </c>
      <c r="I2898">
        <v>268</v>
      </c>
      <c r="J2898">
        <v>281</v>
      </c>
      <c r="K2898">
        <v>101</v>
      </c>
      <c r="T2898">
        <v>398</v>
      </c>
      <c r="Y2898">
        <v>398</v>
      </c>
      <c r="AX2898">
        <v>398</v>
      </c>
      <c r="AY2898">
        <v>398</v>
      </c>
      <c r="AZ2898">
        <v>796</v>
      </c>
      <c r="BA2898">
        <v>398</v>
      </c>
      <c r="BB2898">
        <v>398</v>
      </c>
      <c r="BC2898">
        <v>796</v>
      </c>
      <c r="BP2898">
        <v>343</v>
      </c>
      <c r="BQ2898">
        <v>37</v>
      </c>
      <c r="BR2898">
        <v>288</v>
      </c>
      <c r="BS2898">
        <v>93</v>
      </c>
      <c r="BT2898">
        <v>0</v>
      </c>
      <c r="BU2898">
        <v>30</v>
      </c>
      <c r="BV2898">
        <v>5</v>
      </c>
      <c r="BW2898">
        <v>796</v>
      </c>
      <c r="BX2898">
        <v>718</v>
      </c>
      <c r="BY2898">
        <v>0.108635097</v>
      </c>
      <c r="BZ2898" s="10">
        <v>0.108635097</v>
      </c>
      <c r="CA2898" s="7">
        <v>45606</v>
      </c>
      <c r="CE2898">
        <v>335</v>
      </c>
      <c r="CF2898">
        <v>284</v>
      </c>
      <c r="CG2898">
        <v>177</v>
      </c>
      <c r="CI2898">
        <f t="shared" si="252"/>
        <v>2024</v>
      </c>
      <c r="CJ2898" t="str">
        <f t="shared" si="253"/>
        <v>7047_2024</v>
      </c>
    </row>
    <row r="2899" spans="1:88" x14ac:dyDescent="0.25">
      <c r="A2899" t="s">
        <v>140</v>
      </c>
      <c r="B2899" t="s">
        <v>141</v>
      </c>
      <c r="C2899">
        <v>7048</v>
      </c>
      <c r="D2899">
        <v>-31.980248</v>
      </c>
      <c r="E2899">
        <v>115.82082</v>
      </c>
      <c r="F2899">
        <v>2</v>
      </c>
      <c r="G2899" t="s">
        <v>704</v>
      </c>
      <c r="H2899">
        <v>179</v>
      </c>
      <c r="I2899">
        <v>359</v>
      </c>
      <c r="J2899">
        <v>355</v>
      </c>
      <c r="K2899">
        <v>175</v>
      </c>
      <c r="T2899">
        <v>381</v>
      </c>
      <c r="Y2899">
        <v>371</v>
      </c>
      <c r="AX2899">
        <v>381</v>
      </c>
      <c r="AY2899">
        <v>371</v>
      </c>
      <c r="AZ2899">
        <v>752</v>
      </c>
      <c r="BA2899">
        <v>371</v>
      </c>
      <c r="BB2899">
        <v>381</v>
      </c>
      <c r="BC2899">
        <v>752</v>
      </c>
      <c r="BP2899">
        <v>87</v>
      </c>
      <c r="BQ2899">
        <v>24</v>
      </c>
      <c r="BR2899">
        <v>519</v>
      </c>
      <c r="BS2899">
        <v>46</v>
      </c>
      <c r="BT2899">
        <v>69</v>
      </c>
      <c r="BU2899">
        <v>1</v>
      </c>
      <c r="BV2899">
        <v>6</v>
      </c>
      <c r="BW2899">
        <v>752</v>
      </c>
      <c r="BX2899">
        <v>688</v>
      </c>
      <c r="BY2899">
        <v>9.3023255999999999E-2</v>
      </c>
      <c r="BZ2899" s="10">
        <v>9.3023255999999999E-2</v>
      </c>
      <c r="CA2899" s="7">
        <v>45606</v>
      </c>
      <c r="CE2899">
        <v>217</v>
      </c>
      <c r="CF2899">
        <v>270</v>
      </c>
      <c r="CG2899">
        <v>265</v>
      </c>
      <c r="CI2899">
        <f t="shared" si="252"/>
        <v>2024</v>
      </c>
      <c r="CJ2899" t="str">
        <f t="shared" si="253"/>
        <v>7048_2024</v>
      </c>
    </row>
    <row r="2900" spans="1:88" x14ac:dyDescent="0.25">
      <c r="A2900" t="s">
        <v>140</v>
      </c>
      <c r="B2900" t="s">
        <v>141</v>
      </c>
      <c r="C2900">
        <v>7049</v>
      </c>
      <c r="D2900">
        <v>-31.966073000000002</v>
      </c>
      <c r="E2900">
        <v>115.83986</v>
      </c>
      <c r="F2900">
        <v>2</v>
      </c>
      <c r="G2900" t="s">
        <v>719</v>
      </c>
      <c r="H2900">
        <v>50</v>
      </c>
      <c r="I2900">
        <v>230</v>
      </c>
      <c r="J2900">
        <v>215</v>
      </c>
      <c r="K2900">
        <v>35</v>
      </c>
      <c r="T2900">
        <v>374</v>
      </c>
      <c r="Y2900">
        <v>293</v>
      </c>
      <c r="AX2900">
        <v>374</v>
      </c>
      <c r="AY2900">
        <v>293</v>
      </c>
      <c r="AZ2900">
        <v>667</v>
      </c>
      <c r="BA2900">
        <v>293</v>
      </c>
      <c r="BB2900">
        <v>374</v>
      </c>
      <c r="BC2900">
        <v>667</v>
      </c>
      <c r="BP2900">
        <v>442</v>
      </c>
      <c r="BQ2900">
        <v>44</v>
      </c>
      <c r="BR2900">
        <v>111</v>
      </c>
      <c r="BS2900">
        <v>63</v>
      </c>
      <c r="BT2900">
        <v>1</v>
      </c>
      <c r="BU2900">
        <v>6</v>
      </c>
      <c r="BV2900">
        <v>0</v>
      </c>
      <c r="BW2900">
        <v>667</v>
      </c>
      <c r="BX2900">
        <v>396</v>
      </c>
      <c r="BY2900">
        <v>0.68434343399999997</v>
      </c>
      <c r="BZ2900" s="10">
        <v>0.68434343399999997</v>
      </c>
      <c r="CA2900" s="7">
        <v>45606</v>
      </c>
      <c r="CE2900">
        <v>240</v>
      </c>
      <c r="CF2900">
        <v>273</v>
      </c>
      <c r="CG2900">
        <v>154</v>
      </c>
      <c r="CI2900">
        <f t="shared" si="252"/>
        <v>2024</v>
      </c>
      <c r="CJ2900" t="str">
        <f t="shared" si="253"/>
        <v>7049_2024</v>
      </c>
    </row>
    <row r="2901" spans="1:88" x14ac:dyDescent="0.25">
      <c r="A2901" t="s">
        <v>140</v>
      </c>
      <c r="B2901" t="s">
        <v>141</v>
      </c>
      <c r="C2901">
        <v>7050</v>
      </c>
      <c r="D2901">
        <v>-31.954967</v>
      </c>
      <c r="E2901">
        <v>115.84549</v>
      </c>
      <c r="F2901">
        <v>4</v>
      </c>
      <c r="G2901" t="s">
        <v>721</v>
      </c>
      <c r="H2901">
        <v>68</v>
      </c>
      <c r="I2901">
        <v>248</v>
      </c>
      <c r="J2901">
        <v>158</v>
      </c>
      <c r="K2901">
        <v>338</v>
      </c>
      <c r="L2901">
        <v>213</v>
      </c>
      <c r="M2901">
        <v>33</v>
      </c>
      <c r="N2901">
        <v>334</v>
      </c>
      <c r="O2901">
        <v>154</v>
      </c>
      <c r="T2901">
        <v>67</v>
      </c>
      <c r="U2901">
        <v>152</v>
      </c>
      <c r="V2901">
        <v>29</v>
      </c>
      <c r="Y2901">
        <v>60</v>
      </c>
      <c r="Z2901">
        <v>129</v>
      </c>
      <c r="AA2901">
        <v>41</v>
      </c>
      <c r="AD2901">
        <v>211</v>
      </c>
      <c r="AE2901">
        <v>75</v>
      </c>
      <c r="AF2901">
        <v>22</v>
      </c>
      <c r="AI2901">
        <v>45</v>
      </c>
      <c r="AJ2901">
        <v>32</v>
      </c>
      <c r="AK2901">
        <v>18</v>
      </c>
      <c r="AX2901">
        <v>248</v>
      </c>
      <c r="AY2901">
        <v>316</v>
      </c>
      <c r="AZ2901">
        <v>564</v>
      </c>
      <c r="BA2901">
        <v>230</v>
      </c>
      <c r="BB2901">
        <v>174</v>
      </c>
      <c r="BC2901">
        <v>404</v>
      </c>
      <c r="BD2901">
        <v>308</v>
      </c>
      <c r="BE2901">
        <v>299</v>
      </c>
      <c r="BF2901">
        <v>607</v>
      </c>
      <c r="BG2901">
        <v>95</v>
      </c>
      <c r="BH2901">
        <v>92</v>
      </c>
      <c r="BI2901">
        <v>187</v>
      </c>
      <c r="BP2901">
        <v>67</v>
      </c>
      <c r="BQ2901">
        <v>12</v>
      </c>
      <c r="BR2901">
        <v>747</v>
      </c>
      <c r="BS2901">
        <v>30</v>
      </c>
      <c r="BT2901">
        <v>12</v>
      </c>
      <c r="BU2901">
        <v>4</v>
      </c>
      <c r="BV2901">
        <v>9</v>
      </c>
      <c r="BW2901">
        <v>881</v>
      </c>
      <c r="BX2901">
        <v>614</v>
      </c>
      <c r="BY2901">
        <v>0.43485341999999999</v>
      </c>
      <c r="BZ2901" s="10">
        <v>0.43485341999999999</v>
      </c>
      <c r="CA2901" s="7">
        <v>45606</v>
      </c>
      <c r="CE2901">
        <v>299</v>
      </c>
      <c r="CF2901">
        <v>312</v>
      </c>
      <c r="CG2901">
        <v>270</v>
      </c>
      <c r="CI2901">
        <f t="shared" si="252"/>
        <v>2024</v>
      </c>
      <c r="CJ2901" t="str">
        <f t="shared" si="253"/>
        <v>7050_2024</v>
      </c>
    </row>
    <row r="2902" spans="1:88" x14ac:dyDescent="0.25">
      <c r="A2902" t="s">
        <v>140</v>
      </c>
      <c r="B2902" t="s">
        <v>141</v>
      </c>
      <c r="C2902">
        <v>7051</v>
      </c>
      <c r="D2902">
        <v>-31.962365999999999</v>
      </c>
      <c r="E2902">
        <v>115.87385</v>
      </c>
      <c r="F2902">
        <v>4</v>
      </c>
      <c r="G2902" t="s">
        <v>722</v>
      </c>
      <c r="H2902">
        <v>22</v>
      </c>
      <c r="I2902">
        <v>202</v>
      </c>
      <c r="J2902">
        <v>169</v>
      </c>
      <c r="K2902">
        <v>349</v>
      </c>
      <c r="L2902">
        <v>200</v>
      </c>
      <c r="M2902">
        <v>20</v>
      </c>
      <c r="N2902">
        <v>293</v>
      </c>
      <c r="O2902">
        <v>113</v>
      </c>
      <c r="T2902">
        <v>52</v>
      </c>
      <c r="U2902">
        <v>36</v>
      </c>
      <c r="V2902">
        <v>131</v>
      </c>
      <c r="Y2902">
        <v>49</v>
      </c>
      <c r="Z2902">
        <v>0</v>
      </c>
      <c r="AA2902">
        <v>13</v>
      </c>
      <c r="AD2902">
        <v>22</v>
      </c>
      <c r="AE2902">
        <v>0</v>
      </c>
      <c r="AF2902">
        <v>28</v>
      </c>
      <c r="AI2902">
        <v>122</v>
      </c>
      <c r="AJ2902">
        <v>19</v>
      </c>
      <c r="AK2902">
        <v>21</v>
      </c>
      <c r="AX2902">
        <v>219</v>
      </c>
      <c r="AY2902">
        <v>193</v>
      </c>
      <c r="AZ2902">
        <v>412</v>
      </c>
      <c r="BA2902">
        <v>62</v>
      </c>
      <c r="BB2902">
        <v>71</v>
      </c>
      <c r="BC2902">
        <v>133</v>
      </c>
      <c r="BD2902">
        <v>50</v>
      </c>
      <c r="BE2902">
        <v>57</v>
      </c>
      <c r="BF2902">
        <v>107</v>
      </c>
      <c r="BG2902">
        <v>162</v>
      </c>
      <c r="BH2902">
        <v>172</v>
      </c>
      <c r="BI2902">
        <v>334</v>
      </c>
      <c r="BP2902">
        <v>39</v>
      </c>
      <c r="BQ2902">
        <v>12</v>
      </c>
      <c r="BR2902">
        <v>384</v>
      </c>
      <c r="BS2902">
        <v>15</v>
      </c>
      <c r="BT2902">
        <v>25</v>
      </c>
      <c r="BU2902">
        <v>14</v>
      </c>
      <c r="BV2902">
        <v>4</v>
      </c>
      <c r="BW2902">
        <v>493</v>
      </c>
      <c r="BX2902">
        <v>260</v>
      </c>
      <c r="BY2902">
        <v>0.89615384600000003</v>
      </c>
      <c r="BZ2902" s="10">
        <v>0.89615384600000003</v>
      </c>
      <c r="CA2902" s="7">
        <v>45606</v>
      </c>
      <c r="CE2902">
        <v>181</v>
      </c>
      <c r="CF2902">
        <v>161</v>
      </c>
      <c r="CG2902">
        <v>151</v>
      </c>
      <c r="CI2902">
        <f t="shared" si="252"/>
        <v>2024</v>
      </c>
      <c r="CJ2902" t="str">
        <f t="shared" si="253"/>
        <v>7051_2024</v>
      </c>
    </row>
    <row r="2903" spans="1:88" x14ac:dyDescent="0.25">
      <c r="A2903" t="s">
        <v>140</v>
      </c>
      <c r="B2903" t="s">
        <v>141</v>
      </c>
      <c r="C2903">
        <v>7053</v>
      </c>
      <c r="D2903">
        <v>-31.950009999999999</v>
      </c>
      <c r="E2903">
        <v>115.881766</v>
      </c>
      <c r="F2903">
        <v>3</v>
      </c>
      <c r="G2903" t="s">
        <v>724</v>
      </c>
      <c r="H2903">
        <v>179</v>
      </c>
      <c r="I2903">
        <v>359</v>
      </c>
      <c r="J2903">
        <v>272</v>
      </c>
      <c r="K2903">
        <v>92</v>
      </c>
      <c r="L2903">
        <v>344</v>
      </c>
      <c r="M2903">
        <v>164</v>
      </c>
      <c r="T2903">
        <v>7</v>
      </c>
      <c r="U2903">
        <v>305</v>
      </c>
      <c r="Y2903">
        <v>8</v>
      </c>
      <c r="Z2903">
        <v>4</v>
      </c>
      <c r="AD2903">
        <v>391</v>
      </c>
      <c r="AE2903">
        <v>1</v>
      </c>
      <c r="AX2903">
        <v>312</v>
      </c>
      <c r="AY2903">
        <v>399</v>
      </c>
      <c r="AZ2903">
        <v>711</v>
      </c>
      <c r="BA2903">
        <v>12</v>
      </c>
      <c r="BB2903">
        <v>8</v>
      </c>
      <c r="BC2903">
        <v>20</v>
      </c>
      <c r="BD2903">
        <v>392</v>
      </c>
      <c r="BE2903">
        <v>309</v>
      </c>
      <c r="BF2903">
        <v>701</v>
      </c>
      <c r="BP2903">
        <v>186</v>
      </c>
      <c r="BQ2903">
        <v>23</v>
      </c>
      <c r="BR2903">
        <v>350</v>
      </c>
      <c r="BS2903">
        <v>72</v>
      </c>
      <c r="BT2903">
        <v>66</v>
      </c>
      <c r="BU2903">
        <v>11</v>
      </c>
      <c r="BV2903">
        <v>8</v>
      </c>
      <c r="BW2903">
        <v>716</v>
      </c>
      <c r="BX2903">
        <v>492</v>
      </c>
      <c r="BY2903">
        <v>0.45528455299999998</v>
      </c>
      <c r="BZ2903" s="10">
        <v>0.45528455299999998</v>
      </c>
      <c r="CA2903" s="7">
        <v>45606</v>
      </c>
      <c r="CE2903">
        <v>219</v>
      </c>
      <c r="CF2903">
        <v>244</v>
      </c>
      <c r="CG2903">
        <v>253</v>
      </c>
      <c r="CI2903">
        <f t="shared" si="252"/>
        <v>2024</v>
      </c>
      <c r="CJ2903" t="str">
        <f t="shared" si="253"/>
        <v>7053_2024</v>
      </c>
    </row>
    <row r="2904" spans="1:88" x14ac:dyDescent="0.25">
      <c r="A2904" t="s">
        <v>140</v>
      </c>
      <c r="B2904" t="s">
        <v>141</v>
      </c>
      <c r="C2904">
        <v>7860</v>
      </c>
      <c r="D2904">
        <v>-31.951391000000001</v>
      </c>
      <c r="E2904">
        <v>115.86166799999999</v>
      </c>
      <c r="F2904">
        <v>4</v>
      </c>
      <c r="G2904" t="s">
        <v>1043</v>
      </c>
      <c r="H2904">
        <v>15</v>
      </c>
      <c r="I2904">
        <v>195</v>
      </c>
      <c r="J2904">
        <v>120</v>
      </c>
      <c r="K2904">
        <v>300</v>
      </c>
      <c r="L2904">
        <v>185</v>
      </c>
      <c r="M2904">
        <v>5</v>
      </c>
      <c r="N2904">
        <v>290</v>
      </c>
      <c r="O2904">
        <v>110</v>
      </c>
      <c r="T2904">
        <v>10</v>
      </c>
      <c r="U2904">
        <v>300</v>
      </c>
      <c r="V2904">
        <v>28</v>
      </c>
      <c r="Y2904">
        <v>10</v>
      </c>
      <c r="Z2904">
        <v>658</v>
      </c>
      <c r="AA2904">
        <v>374</v>
      </c>
      <c r="AD2904">
        <v>284</v>
      </c>
      <c r="AE2904">
        <v>294</v>
      </c>
      <c r="AF2904">
        <v>82</v>
      </c>
      <c r="AI2904">
        <v>44</v>
      </c>
      <c r="AJ2904">
        <v>146</v>
      </c>
      <c r="AK2904">
        <v>36</v>
      </c>
      <c r="AX2904">
        <v>338</v>
      </c>
      <c r="AY2904">
        <v>338</v>
      </c>
      <c r="AZ2904">
        <v>676</v>
      </c>
      <c r="BA2904">
        <v>1042</v>
      </c>
      <c r="BB2904">
        <v>450</v>
      </c>
      <c r="BC2904">
        <v>1492</v>
      </c>
      <c r="BD2904">
        <v>660</v>
      </c>
      <c r="BE2904">
        <v>994</v>
      </c>
      <c r="BF2904">
        <v>1654</v>
      </c>
      <c r="BG2904">
        <v>226</v>
      </c>
      <c r="BH2904">
        <v>484</v>
      </c>
      <c r="BI2904">
        <v>710</v>
      </c>
      <c r="BP2904">
        <v>616</v>
      </c>
      <c r="BQ2904">
        <v>91</v>
      </c>
      <c r="BR2904">
        <v>1443</v>
      </c>
      <c r="BS2904">
        <v>20</v>
      </c>
      <c r="BT2904">
        <v>0</v>
      </c>
      <c r="BU2904">
        <v>78</v>
      </c>
      <c r="BV2904">
        <v>18</v>
      </c>
      <c r="BW2904">
        <v>2266</v>
      </c>
      <c r="BX2904">
        <v>1046</v>
      </c>
      <c r="BY2904">
        <v>1.1663479919999999</v>
      </c>
      <c r="BZ2904" s="10">
        <v>1.1663479919999999</v>
      </c>
      <c r="CA2904" s="7">
        <v>45606</v>
      </c>
      <c r="CE2904">
        <v>672</v>
      </c>
      <c r="CF2904">
        <v>710</v>
      </c>
      <c r="CG2904">
        <v>884</v>
      </c>
      <c r="CI2904">
        <f t="shared" si="252"/>
        <v>2024</v>
      </c>
      <c r="CJ2904" t="str">
        <f t="shared" si="253"/>
        <v>7860_2024</v>
      </c>
    </row>
    <row r="2905" spans="1:88" x14ac:dyDescent="0.25">
      <c r="A2905" t="s">
        <v>140</v>
      </c>
      <c r="B2905" t="s">
        <v>141</v>
      </c>
      <c r="C2905">
        <v>7861</v>
      </c>
      <c r="D2905">
        <v>-31.951702999999998</v>
      </c>
      <c r="E2905">
        <v>115.8626</v>
      </c>
      <c r="F2905">
        <v>3</v>
      </c>
      <c r="G2905" t="s">
        <v>1044</v>
      </c>
      <c r="H2905">
        <v>45</v>
      </c>
      <c r="I2905">
        <v>225</v>
      </c>
      <c r="J2905">
        <v>165</v>
      </c>
      <c r="K2905">
        <v>345</v>
      </c>
      <c r="L2905">
        <v>265</v>
      </c>
      <c r="M2905">
        <v>85</v>
      </c>
      <c r="T2905">
        <v>25</v>
      </c>
      <c r="U2905">
        <v>299</v>
      </c>
      <c r="Y2905">
        <v>71</v>
      </c>
      <c r="Z2905">
        <v>197</v>
      </c>
      <c r="AD2905">
        <v>143</v>
      </c>
      <c r="AE2905">
        <v>130</v>
      </c>
      <c r="AX2905">
        <v>324</v>
      </c>
      <c r="AY2905">
        <v>214</v>
      </c>
      <c r="AZ2905">
        <v>538</v>
      </c>
      <c r="BA2905">
        <v>268</v>
      </c>
      <c r="BB2905">
        <v>155</v>
      </c>
      <c r="BC2905">
        <v>423</v>
      </c>
      <c r="BD2905">
        <v>273</v>
      </c>
      <c r="BE2905">
        <v>496</v>
      </c>
      <c r="BF2905">
        <v>769</v>
      </c>
      <c r="BP2905">
        <v>245</v>
      </c>
      <c r="BQ2905">
        <v>28</v>
      </c>
      <c r="BR2905">
        <v>551</v>
      </c>
      <c r="BS2905">
        <v>5</v>
      </c>
      <c r="BT2905">
        <v>1</v>
      </c>
      <c r="BU2905">
        <v>24</v>
      </c>
      <c r="BV2905">
        <v>11</v>
      </c>
      <c r="BW2905">
        <v>865</v>
      </c>
      <c r="BX2905">
        <v>649</v>
      </c>
      <c r="BY2905">
        <v>0.33281972300000001</v>
      </c>
      <c r="BZ2905" s="10">
        <v>0.33281972300000001</v>
      </c>
      <c r="CA2905" s="7">
        <v>45606</v>
      </c>
      <c r="CE2905">
        <v>260</v>
      </c>
      <c r="CF2905">
        <v>280</v>
      </c>
      <c r="CG2905">
        <v>325</v>
      </c>
      <c r="CI2905">
        <f t="shared" si="252"/>
        <v>2024</v>
      </c>
      <c r="CJ2905" t="str">
        <f t="shared" si="253"/>
        <v>7861_2024</v>
      </c>
    </row>
    <row r="2906" spans="1:88" x14ac:dyDescent="0.25">
      <c r="A2906" t="s">
        <v>140</v>
      </c>
      <c r="B2906" t="s">
        <v>141</v>
      </c>
      <c r="C2906">
        <v>7862</v>
      </c>
      <c r="D2906">
        <v>-31.943328999999999</v>
      </c>
      <c r="E2906">
        <v>115.84196799999999</v>
      </c>
      <c r="F2906">
        <v>4</v>
      </c>
      <c r="G2906" t="s">
        <v>1045</v>
      </c>
      <c r="H2906">
        <v>45</v>
      </c>
      <c r="I2906">
        <v>225</v>
      </c>
      <c r="J2906">
        <v>116</v>
      </c>
      <c r="K2906">
        <v>296</v>
      </c>
      <c r="L2906">
        <v>225</v>
      </c>
      <c r="M2906">
        <v>45</v>
      </c>
      <c r="N2906">
        <v>287</v>
      </c>
      <c r="O2906">
        <v>107</v>
      </c>
      <c r="T2906">
        <v>8</v>
      </c>
      <c r="U2906">
        <v>12</v>
      </c>
      <c r="V2906">
        <v>10</v>
      </c>
      <c r="Y2906">
        <v>14</v>
      </c>
      <c r="Z2906">
        <v>1</v>
      </c>
      <c r="AA2906">
        <v>139</v>
      </c>
      <c r="AD2906">
        <v>23</v>
      </c>
      <c r="AE2906">
        <v>0</v>
      </c>
      <c r="AF2906">
        <v>0</v>
      </c>
      <c r="AI2906">
        <v>1</v>
      </c>
      <c r="AJ2906">
        <v>114</v>
      </c>
      <c r="AK2906">
        <v>0</v>
      </c>
      <c r="AX2906">
        <v>30</v>
      </c>
      <c r="AY2906">
        <v>38</v>
      </c>
      <c r="AZ2906">
        <v>68</v>
      </c>
      <c r="BA2906">
        <v>154</v>
      </c>
      <c r="BB2906">
        <v>122</v>
      </c>
      <c r="BC2906">
        <v>276</v>
      </c>
      <c r="BD2906">
        <v>23</v>
      </c>
      <c r="BE2906">
        <v>13</v>
      </c>
      <c r="BF2906">
        <v>36</v>
      </c>
      <c r="BG2906">
        <v>115</v>
      </c>
      <c r="BH2906">
        <v>149</v>
      </c>
      <c r="BI2906">
        <v>264</v>
      </c>
      <c r="BP2906">
        <v>263</v>
      </c>
      <c r="BQ2906">
        <v>20</v>
      </c>
      <c r="BR2906">
        <v>17</v>
      </c>
      <c r="BS2906">
        <v>11</v>
      </c>
      <c r="BT2906">
        <v>4</v>
      </c>
      <c r="BU2906">
        <v>6</v>
      </c>
      <c r="BV2906">
        <v>1</v>
      </c>
      <c r="BW2906">
        <v>322</v>
      </c>
      <c r="BX2906">
        <v>202</v>
      </c>
      <c r="BY2906">
        <v>0.59405940599999996</v>
      </c>
      <c r="BZ2906" s="10">
        <v>0.59405940599999996</v>
      </c>
      <c r="CA2906" s="7">
        <v>45606</v>
      </c>
      <c r="CE2906">
        <v>121</v>
      </c>
      <c r="CF2906">
        <v>96</v>
      </c>
      <c r="CG2906">
        <v>105</v>
      </c>
      <c r="CI2906">
        <f t="shared" si="252"/>
        <v>2024</v>
      </c>
      <c r="CJ2906" t="str">
        <f t="shared" si="253"/>
        <v>7862_2024</v>
      </c>
    </row>
    <row r="2907" spans="1:88" x14ac:dyDescent="0.25">
      <c r="A2907" t="s">
        <v>140</v>
      </c>
      <c r="B2907" t="s">
        <v>141</v>
      </c>
      <c r="C2907">
        <v>7863</v>
      </c>
      <c r="D2907">
        <v>-31.946083000000002</v>
      </c>
      <c r="E2907">
        <v>115.857944</v>
      </c>
      <c r="F2907">
        <v>4</v>
      </c>
      <c r="G2907" t="s">
        <v>1046</v>
      </c>
      <c r="H2907">
        <v>28</v>
      </c>
      <c r="I2907">
        <v>208</v>
      </c>
      <c r="J2907">
        <v>115</v>
      </c>
      <c r="K2907">
        <v>295</v>
      </c>
      <c r="L2907">
        <v>207</v>
      </c>
      <c r="M2907">
        <v>27</v>
      </c>
      <c r="N2907">
        <v>300</v>
      </c>
      <c r="O2907">
        <v>120</v>
      </c>
      <c r="T2907">
        <v>35</v>
      </c>
      <c r="U2907">
        <v>152</v>
      </c>
      <c r="V2907">
        <v>55</v>
      </c>
      <c r="Y2907">
        <v>12</v>
      </c>
      <c r="Z2907">
        <v>50</v>
      </c>
      <c r="AA2907">
        <v>82</v>
      </c>
      <c r="AD2907">
        <v>86</v>
      </c>
      <c r="AE2907">
        <v>36</v>
      </c>
      <c r="AF2907">
        <v>28</v>
      </c>
      <c r="AI2907">
        <v>28</v>
      </c>
      <c r="AJ2907">
        <v>57</v>
      </c>
      <c r="AK2907">
        <v>36</v>
      </c>
      <c r="AX2907">
        <v>242</v>
      </c>
      <c r="AY2907">
        <v>126</v>
      </c>
      <c r="AZ2907">
        <v>368</v>
      </c>
      <c r="BA2907">
        <v>144</v>
      </c>
      <c r="BB2907">
        <v>128</v>
      </c>
      <c r="BC2907">
        <v>272</v>
      </c>
      <c r="BD2907">
        <v>150</v>
      </c>
      <c r="BE2907">
        <v>238</v>
      </c>
      <c r="BF2907">
        <v>388</v>
      </c>
      <c r="BG2907">
        <v>121</v>
      </c>
      <c r="BH2907">
        <v>165</v>
      </c>
      <c r="BI2907">
        <v>286</v>
      </c>
      <c r="BP2907">
        <v>108</v>
      </c>
      <c r="BQ2907">
        <v>16</v>
      </c>
      <c r="BR2907">
        <v>510</v>
      </c>
      <c r="BS2907">
        <v>6</v>
      </c>
      <c r="BT2907">
        <v>7</v>
      </c>
      <c r="BU2907">
        <v>10</v>
      </c>
      <c r="BV2907">
        <v>0</v>
      </c>
      <c r="BW2907">
        <v>657</v>
      </c>
      <c r="BX2907">
        <v>629</v>
      </c>
      <c r="BY2907">
        <v>4.4515103E-2</v>
      </c>
      <c r="BZ2907" s="10">
        <v>4.4515103E-2</v>
      </c>
      <c r="CA2907" s="7">
        <v>45606</v>
      </c>
      <c r="CE2907">
        <v>161</v>
      </c>
      <c r="CF2907">
        <v>243</v>
      </c>
      <c r="CG2907">
        <v>253</v>
      </c>
      <c r="CI2907">
        <f t="shared" si="252"/>
        <v>2024</v>
      </c>
      <c r="CJ2907" t="str">
        <f t="shared" si="253"/>
        <v>7863_2024</v>
      </c>
    </row>
    <row r="2908" spans="1:88" x14ac:dyDescent="0.25">
      <c r="A2908" t="s">
        <v>140</v>
      </c>
      <c r="B2908" t="s">
        <v>141</v>
      </c>
      <c r="C2908">
        <v>7864</v>
      </c>
      <c r="D2908">
        <v>-31.949051000000001</v>
      </c>
      <c r="E2908">
        <v>115.86444899999999</v>
      </c>
      <c r="F2908">
        <v>4</v>
      </c>
      <c r="G2908" t="s">
        <v>1047</v>
      </c>
      <c r="H2908">
        <v>30</v>
      </c>
      <c r="I2908">
        <v>210</v>
      </c>
      <c r="J2908">
        <v>120</v>
      </c>
      <c r="K2908">
        <v>300</v>
      </c>
      <c r="L2908">
        <v>210</v>
      </c>
      <c r="M2908">
        <v>30</v>
      </c>
      <c r="N2908">
        <v>295</v>
      </c>
      <c r="O2908">
        <v>115</v>
      </c>
      <c r="T2908">
        <v>86</v>
      </c>
      <c r="U2908">
        <v>89</v>
      </c>
      <c r="V2908">
        <v>19</v>
      </c>
      <c r="Y2908">
        <v>44</v>
      </c>
      <c r="Z2908">
        <v>18</v>
      </c>
      <c r="AA2908">
        <v>36</v>
      </c>
      <c r="AD2908">
        <v>63</v>
      </c>
      <c r="AE2908">
        <v>15</v>
      </c>
      <c r="AF2908">
        <v>8</v>
      </c>
      <c r="AI2908">
        <v>36</v>
      </c>
      <c r="AJ2908">
        <v>80</v>
      </c>
      <c r="AK2908">
        <v>8</v>
      </c>
      <c r="AX2908">
        <v>194</v>
      </c>
      <c r="AY2908">
        <v>143</v>
      </c>
      <c r="AZ2908">
        <v>337</v>
      </c>
      <c r="BA2908">
        <v>98</v>
      </c>
      <c r="BB2908">
        <v>181</v>
      </c>
      <c r="BC2908">
        <v>279</v>
      </c>
      <c r="BD2908">
        <v>86</v>
      </c>
      <c r="BE2908">
        <v>115</v>
      </c>
      <c r="BF2908">
        <v>201</v>
      </c>
      <c r="BG2908">
        <v>124</v>
      </c>
      <c r="BH2908">
        <v>63</v>
      </c>
      <c r="BI2908">
        <v>187</v>
      </c>
      <c r="BP2908">
        <v>82</v>
      </c>
      <c r="BQ2908">
        <v>2</v>
      </c>
      <c r="BR2908">
        <v>396</v>
      </c>
      <c r="BS2908">
        <v>0</v>
      </c>
      <c r="BT2908">
        <v>10</v>
      </c>
      <c r="BU2908">
        <v>12</v>
      </c>
      <c r="BV2908">
        <v>0</v>
      </c>
      <c r="BW2908">
        <v>502</v>
      </c>
      <c r="BX2908">
        <v>487</v>
      </c>
      <c r="BY2908">
        <v>3.0800820999999999E-2</v>
      </c>
      <c r="BZ2908" s="10">
        <v>3.0800820999999999E-2</v>
      </c>
      <c r="CA2908" s="7">
        <v>45606</v>
      </c>
      <c r="CE2908">
        <v>164</v>
      </c>
      <c r="CF2908">
        <v>144</v>
      </c>
      <c r="CG2908">
        <v>194</v>
      </c>
      <c r="CI2908">
        <f t="shared" si="252"/>
        <v>2024</v>
      </c>
      <c r="CJ2908" t="str">
        <f t="shared" si="253"/>
        <v>7864_2024</v>
      </c>
    </row>
    <row r="2909" spans="1:88" x14ac:dyDescent="0.25">
      <c r="A2909" t="s">
        <v>140</v>
      </c>
      <c r="B2909" t="s">
        <v>141</v>
      </c>
      <c r="C2909">
        <v>7865</v>
      </c>
      <c r="D2909">
        <v>-31.944078000000001</v>
      </c>
      <c r="E2909">
        <v>115.85361</v>
      </c>
      <c r="F2909">
        <v>4</v>
      </c>
      <c r="G2909" t="s">
        <v>1048</v>
      </c>
      <c r="H2909">
        <v>28</v>
      </c>
      <c r="I2909">
        <v>208</v>
      </c>
      <c r="J2909">
        <v>116</v>
      </c>
      <c r="K2909">
        <v>296</v>
      </c>
      <c r="L2909">
        <v>207</v>
      </c>
      <c r="M2909">
        <v>27</v>
      </c>
      <c r="N2909">
        <v>298</v>
      </c>
      <c r="O2909">
        <v>118</v>
      </c>
      <c r="T2909">
        <v>18</v>
      </c>
      <c r="U2909">
        <v>41</v>
      </c>
      <c r="V2909">
        <v>4</v>
      </c>
      <c r="Y2909">
        <v>5</v>
      </c>
      <c r="Z2909">
        <v>7</v>
      </c>
      <c r="AA2909">
        <v>70</v>
      </c>
      <c r="AD2909">
        <v>30</v>
      </c>
      <c r="AE2909">
        <v>2</v>
      </c>
      <c r="AF2909">
        <v>12</v>
      </c>
      <c r="AI2909">
        <v>9</v>
      </c>
      <c r="AJ2909">
        <v>33</v>
      </c>
      <c r="AK2909">
        <v>8</v>
      </c>
      <c r="AX2909">
        <v>63</v>
      </c>
      <c r="AY2909">
        <v>44</v>
      </c>
      <c r="AZ2909">
        <v>107</v>
      </c>
      <c r="BA2909">
        <v>82</v>
      </c>
      <c r="BB2909">
        <v>53</v>
      </c>
      <c r="BC2909">
        <v>135</v>
      </c>
      <c r="BD2909">
        <v>44</v>
      </c>
      <c r="BE2909">
        <v>56</v>
      </c>
      <c r="BF2909">
        <v>100</v>
      </c>
      <c r="BG2909">
        <v>50</v>
      </c>
      <c r="BH2909">
        <v>86</v>
      </c>
      <c r="BI2909">
        <v>136</v>
      </c>
      <c r="BP2909">
        <v>136</v>
      </c>
      <c r="BQ2909">
        <v>8</v>
      </c>
      <c r="BR2909">
        <v>81</v>
      </c>
      <c r="BS2909">
        <v>6</v>
      </c>
      <c r="BT2909">
        <v>2</v>
      </c>
      <c r="BU2909">
        <v>4</v>
      </c>
      <c r="BV2909">
        <v>2</v>
      </c>
      <c r="BW2909">
        <v>239</v>
      </c>
      <c r="BX2909">
        <v>225</v>
      </c>
      <c r="BY2909">
        <v>6.2222222000000001E-2</v>
      </c>
      <c r="BZ2909" s="10">
        <v>6.2222222000000001E-2</v>
      </c>
      <c r="CA2909" s="7">
        <v>45606</v>
      </c>
      <c r="CE2909">
        <v>92</v>
      </c>
      <c r="CF2909">
        <v>85</v>
      </c>
      <c r="CG2909">
        <v>62</v>
      </c>
      <c r="CI2909">
        <f t="shared" si="252"/>
        <v>2024</v>
      </c>
      <c r="CJ2909" t="str">
        <f t="shared" si="253"/>
        <v>7865_2024</v>
      </c>
    </row>
    <row r="2910" spans="1:88" x14ac:dyDescent="0.25">
      <c r="A2910" t="s">
        <v>140</v>
      </c>
      <c r="B2910" t="s">
        <v>141</v>
      </c>
      <c r="C2910">
        <v>7866</v>
      </c>
      <c r="D2910">
        <v>-31.964621999999999</v>
      </c>
      <c r="E2910">
        <v>115.81819900000001</v>
      </c>
      <c r="F2910">
        <v>4</v>
      </c>
      <c r="G2910" t="s">
        <v>1049</v>
      </c>
      <c r="H2910">
        <v>22</v>
      </c>
      <c r="I2910">
        <v>202</v>
      </c>
      <c r="J2910">
        <v>85</v>
      </c>
      <c r="K2910">
        <v>265</v>
      </c>
      <c r="L2910">
        <v>189</v>
      </c>
      <c r="M2910">
        <v>9</v>
      </c>
      <c r="N2910">
        <v>284</v>
      </c>
      <c r="O2910">
        <v>104</v>
      </c>
      <c r="T2910">
        <v>6</v>
      </c>
      <c r="U2910">
        <v>23</v>
      </c>
      <c r="V2910">
        <v>7</v>
      </c>
      <c r="Y2910">
        <v>8</v>
      </c>
      <c r="Z2910">
        <v>3</v>
      </c>
      <c r="AA2910">
        <v>23</v>
      </c>
      <c r="AD2910">
        <v>15</v>
      </c>
      <c r="AE2910">
        <v>17</v>
      </c>
      <c r="AF2910">
        <v>23</v>
      </c>
      <c r="AI2910">
        <v>7</v>
      </c>
      <c r="AJ2910">
        <v>16</v>
      </c>
      <c r="AK2910">
        <v>14</v>
      </c>
      <c r="AX2910">
        <v>36</v>
      </c>
      <c r="AY2910">
        <v>30</v>
      </c>
      <c r="AZ2910">
        <v>66</v>
      </c>
      <c r="BA2910">
        <v>34</v>
      </c>
      <c r="BB2910">
        <v>39</v>
      </c>
      <c r="BC2910">
        <v>73</v>
      </c>
      <c r="BD2910">
        <v>55</v>
      </c>
      <c r="BE2910">
        <v>40</v>
      </c>
      <c r="BF2910">
        <v>95</v>
      </c>
      <c r="BG2910">
        <v>37</v>
      </c>
      <c r="BH2910">
        <v>53</v>
      </c>
      <c r="BI2910">
        <v>90</v>
      </c>
      <c r="BP2910">
        <v>93</v>
      </c>
      <c r="BQ2910">
        <v>3</v>
      </c>
      <c r="BR2910">
        <v>40</v>
      </c>
      <c r="BS2910">
        <v>12</v>
      </c>
      <c r="BT2910">
        <v>13</v>
      </c>
      <c r="BU2910">
        <v>0</v>
      </c>
      <c r="BV2910">
        <v>1</v>
      </c>
      <c r="BW2910">
        <v>162</v>
      </c>
      <c r="BX2910">
        <v>134</v>
      </c>
      <c r="BY2910">
        <v>0.20895522399999999</v>
      </c>
      <c r="BZ2910" s="10">
        <v>0.20895522399999999</v>
      </c>
      <c r="CA2910" s="7">
        <v>45606</v>
      </c>
      <c r="CE2910">
        <v>70</v>
      </c>
      <c r="CF2910">
        <v>61</v>
      </c>
      <c r="CG2910">
        <v>31</v>
      </c>
      <c r="CI2910">
        <f t="shared" si="252"/>
        <v>2024</v>
      </c>
      <c r="CJ2910" t="str">
        <f t="shared" si="253"/>
        <v>7866_2024</v>
      </c>
    </row>
    <row r="2911" spans="1:88" x14ac:dyDescent="0.25">
      <c r="A2911" t="s">
        <v>140</v>
      </c>
      <c r="B2911" t="s">
        <v>141</v>
      </c>
      <c r="C2911">
        <v>8408</v>
      </c>
      <c r="D2911">
        <v>-31.965259</v>
      </c>
      <c r="E2911">
        <v>115.88330000000001</v>
      </c>
      <c r="F2911">
        <v>2</v>
      </c>
      <c r="G2911" t="s">
        <v>1178</v>
      </c>
      <c r="H2911">
        <v>125</v>
      </c>
      <c r="I2911">
        <v>305</v>
      </c>
      <c r="J2911">
        <v>305</v>
      </c>
      <c r="K2911">
        <v>125</v>
      </c>
      <c r="T2911">
        <v>386</v>
      </c>
      <c r="Y2911">
        <v>485</v>
      </c>
      <c r="AX2911">
        <v>386</v>
      </c>
      <c r="AY2911">
        <v>485</v>
      </c>
      <c r="AZ2911">
        <v>871</v>
      </c>
      <c r="BA2911">
        <v>485</v>
      </c>
      <c r="BB2911">
        <v>386</v>
      </c>
      <c r="BC2911">
        <v>871</v>
      </c>
      <c r="BP2911">
        <v>239</v>
      </c>
      <c r="BQ2911">
        <v>19</v>
      </c>
      <c r="BR2911">
        <v>474</v>
      </c>
      <c r="BS2911">
        <v>108</v>
      </c>
      <c r="BT2911">
        <v>14</v>
      </c>
      <c r="BU2911">
        <v>11</v>
      </c>
      <c r="BV2911">
        <v>6</v>
      </c>
      <c r="BW2911">
        <v>871</v>
      </c>
      <c r="BZ2911" s="10"/>
      <c r="CA2911" s="7">
        <v>45606</v>
      </c>
      <c r="CE2911">
        <v>351</v>
      </c>
      <c r="CF2911">
        <v>297</v>
      </c>
      <c r="CG2911">
        <v>223</v>
      </c>
      <c r="CI2911">
        <f t="shared" si="252"/>
        <v>2024</v>
      </c>
      <c r="CJ2911" t="str">
        <f t="shared" si="253"/>
        <v>8408_2024</v>
      </c>
    </row>
    <row r="2912" spans="1:88" x14ac:dyDescent="0.25">
      <c r="A2912" t="s">
        <v>79</v>
      </c>
      <c r="B2912" t="s">
        <v>1179</v>
      </c>
      <c r="C2912">
        <v>8357</v>
      </c>
      <c r="D2912">
        <v>-31.432348000000001</v>
      </c>
      <c r="E2912">
        <v>152.894114</v>
      </c>
      <c r="F2912">
        <v>3</v>
      </c>
      <c r="G2912" t="s">
        <v>1180</v>
      </c>
      <c r="H2912">
        <v>5</v>
      </c>
      <c r="I2912">
        <v>185</v>
      </c>
      <c r="J2912">
        <v>96</v>
      </c>
      <c r="K2912">
        <v>276</v>
      </c>
      <c r="L2912">
        <v>272</v>
      </c>
      <c r="M2912">
        <v>92</v>
      </c>
      <c r="T2912">
        <v>11</v>
      </c>
      <c r="U2912">
        <v>6</v>
      </c>
      <c r="Y2912">
        <v>13</v>
      </c>
      <c r="Z2912">
        <v>12</v>
      </c>
      <c r="AD2912">
        <v>9</v>
      </c>
      <c r="AE2912">
        <v>20</v>
      </c>
      <c r="AX2912">
        <v>17</v>
      </c>
      <c r="AY2912">
        <v>22</v>
      </c>
      <c r="AZ2912">
        <v>39</v>
      </c>
      <c r="BA2912">
        <v>25</v>
      </c>
      <c r="BB2912">
        <v>31</v>
      </c>
      <c r="BC2912">
        <v>56</v>
      </c>
      <c r="BD2912">
        <v>29</v>
      </c>
      <c r="BE2912">
        <v>18</v>
      </c>
      <c r="BF2912">
        <v>47</v>
      </c>
      <c r="BP2912">
        <v>29</v>
      </c>
      <c r="BQ2912">
        <v>7</v>
      </c>
      <c r="BR2912">
        <v>32</v>
      </c>
      <c r="BS2912">
        <v>0</v>
      </c>
      <c r="BT2912">
        <v>3</v>
      </c>
      <c r="BU2912">
        <v>0</v>
      </c>
      <c r="BV2912">
        <v>0</v>
      </c>
      <c r="BW2912">
        <v>71</v>
      </c>
      <c r="BZ2912" s="10"/>
      <c r="CA2912" s="7">
        <v>45606</v>
      </c>
      <c r="CE2912">
        <v>29</v>
      </c>
      <c r="CF2912">
        <v>14</v>
      </c>
      <c r="CG2912">
        <v>28</v>
      </c>
      <c r="CI2912">
        <f t="shared" si="252"/>
        <v>2024</v>
      </c>
      <c r="CJ2912" t="str">
        <f t="shared" si="253"/>
        <v>8357_2024</v>
      </c>
    </row>
    <row r="2913" spans="1:88" x14ac:dyDescent="0.25">
      <c r="A2913" t="s">
        <v>79</v>
      </c>
      <c r="B2913" t="s">
        <v>1179</v>
      </c>
      <c r="C2913">
        <v>8358</v>
      </c>
      <c r="D2913">
        <v>-31.433385999999999</v>
      </c>
      <c r="E2913">
        <v>152.89916199999999</v>
      </c>
      <c r="F2913">
        <v>3</v>
      </c>
      <c r="G2913" t="s">
        <v>1181</v>
      </c>
      <c r="H2913">
        <v>35</v>
      </c>
      <c r="I2913">
        <v>215</v>
      </c>
      <c r="J2913">
        <v>125</v>
      </c>
      <c r="K2913">
        <v>305</v>
      </c>
      <c r="L2913">
        <v>305</v>
      </c>
      <c r="M2913">
        <v>125</v>
      </c>
      <c r="T2913">
        <v>8</v>
      </c>
      <c r="U2913">
        <v>2</v>
      </c>
      <c r="Y2913">
        <v>14</v>
      </c>
      <c r="Z2913">
        <v>8</v>
      </c>
      <c r="AD2913">
        <v>6</v>
      </c>
      <c r="AE2913">
        <v>16</v>
      </c>
      <c r="AX2913">
        <v>10</v>
      </c>
      <c r="AY2913">
        <v>20</v>
      </c>
      <c r="AZ2913">
        <v>30</v>
      </c>
      <c r="BA2913">
        <v>22</v>
      </c>
      <c r="BB2913">
        <v>24</v>
      </c>
      <c r="BC2913">
        <v>46</v>
      </c>
      <c r="BD2913">
        <v>22</v>
      </c>
      <c r="BE2913">
        <v>10</v>
      </c>
      <c r="BF2913">
        <v>32</v>
      </c>
      <c r="BP2913">
        <v>8</v>
      </c>
      <c r="BQ2913">
        <v>2</v>
      </c>
      <c r="BR2913">
        <v>43</v>
      </c>
      <c r="BS2913">
        <v>0</v>
      </c>
      <c r="BT2913">
        <v>1</v>
      </c>
      <c r="BU2913">
        <v>0</v>
      </c>
      <c r="BV2913">
        <v>0</v>
      </c>
      <c r="BW2913">
        <v>54</v>
      </c>
      <c r="BZ2913" s="10"/>
      <c r="CA2913" s="7">
        <v>45606</v>
      </c>
      <c r="CE2913">
        <v>23</v>
      </c>
      <c r="CF2913">
        <v>19</v>
      </c>
      <c r="CG2913">
        <v>12</v>
      </c>
      <c r="CI2913">
        <f t="shared" si="252"/>
        <v>2024</v>
      </c>
      <c r="CJ2913" t="str">
        <f t="shared" si="253"/>
        <v>8358_2024</v>
      </c>
    </row>
    <row r="2914" spans="1:88" x14ac:dyDescent="0.25">
      <c r="A2914" t="s">
        <v>79</v>
      </c>
      <c r="B2914" t="s">
        <v>1179</v>
      </c>
      <c r="C2914">
        <v>8359</v>
      </c>
      <c r="D2914">
        <v>-31.434930000000001</v>
      </c>
      <c r="E2914">
        <v>152.90022999999999</v>
      </c>
      <c r="F2914">
        <v>4</v>
      </c>
      <c r="G2914" t="s">
        <v>1182</v>
      </c>
      <c r="H2914">
        <v>87</v>
      </c>
      <c r="I2914">
        <v>267</v>
      </c>
      <c r="J2914">
        <v>177</v>
      </c>
      <c r="K2914">
        <v>357</v>
      </c>
      <c r="L2914">
        <v>270</v>
      </c>
      <c r="M2914">
        <v>90</v>
      </c>
      <c r="N2914">
        <v>353</v>
      </c>
      <c r="O2914">
        <v>173</v>
      </c>
      <c r="T2914">
        <v>1</v>
      </c>
      <c r="U2914">
        <v>20</v>
      </c>
      <c r="V2914">
        <v>1</v>
      </c>
      <c r="Y2914">
        <v>2</v>
      </c>
      <c r="Z2914">
        <v>0</v>
      </c>
      <c r="AA2914">
        <v>16</v>
      </c>
      <c r="AD2914">
        <v>17</v>
      </c>
      <c r="AE2914">
        <v>0</v>
      </c>
      <c r="AF2914">
        <v>0</v>
      </c>
      <c r="AI2914">
        <v>1</v>
      </c>
      <c r="AJ2914">
        <v>9</v>
      </c>
      <c r="AK2914">
        <v>0</v>
      </c>
      <c r="AX2914">
        <v>22</v>
      </c>
      <c r="AY2914">
        <v>20</v>
      </c>
      <c r="AZ2914">
        <v>42</v>
      </c>
      <c r="BA2914">
        <v>18</v>
      </c>
      <c r="BB2914">
        <v>10</v>
      </c>
      <c r="BC2914">
        <v>28</v>
      </c>
      <c r="BD2914">
        <v>17</v>
      </c>
      <c r="BE2914">
        <v>20</v>
      </c>
      <c r="BF2914">
        <v>37</v>
      </c>
      <c r="BG2914">
        <v>10</v>
      </c>
      <c r="BH2914">
        <v>17</v>
      </c>
      <c r="BI2914">
        <v>27</v>
      </c>
      <c r="BP2914">
        <v>15</v>
      </c>
      <c r="BQ2914">
        <v>3</v>
      </c>
      <c r="BR2914">
        <v>49</v>
      </c>
      <c r="BS2914">
        <v>0</v>
      </c>
      <c r="BT2914">
        <v>0</v>
      </c>
      <c r="BU2914">
        <v>0</v>
      </c>
      <c r="BV2914">
        <v>0</v>
      </c>
      <c r="BW2914">
        <v>67</v>
      </c>
      <c r="BZ2914" s="10"/>
      <c r="CA2914" s="7">
        <v>45606</v>
      </c>
      <c r="CE2914">
        <v>20</v>
      </c>
      <c r="CF2914">
        <v>31</v>
      </c>
      <c r="CG2914">
        <v>16</v>
      </c>
      <c r="CI2914">
        <f t="shared" si="252"/>
        <v>2024</v>
      </c>
      <c r="CJ2914" t="str">
        <f t="shared" si="253"/>
        <v>8359_2024</v>
      </c>
    </row>
    <row r="2915" spans="1:88" x14ac:dyDescent="0.25">
      <c r="A2915" t="s">
        <v>79</v>
      </c>
      <c r="B2915" t="s">
        <v>1179</v>
      </c>
      <c r="C2915">
        <v>8360</v>
      </c>
      <c r="D2915">
        <v>-31.438645999999999</v>
      </c>
      <c r="E2915">
        <v>152.890209</v>
      </c>
      <c r="F2915">
        <v>4</v>
      </c>
      <c r="G2915" t="s">
        <v>1183</v>
      </c>
      <c r="H2915">
        <v>9</v>
      </c>
      <c r="I2915">
        <v>189</v>
      </c>
      <c r="J2915">
        <v>66</v>
      </c>
      <c r="K2915">
        <v>246</v>
      </c>
      <c r="L2915">
        <v>185</v>
      </c>
      <c r="M2915">
        <v>5</v>
      </c>
      <c r="N2915">
        <v>247</v>
      </c>
      <c r="O2915">
        <v>67</v>
      </c>
      <c r="T2915">
        <v>5</v>
      </c>
      <c r="U2915">
        <v>2</v>
      </c>
      <c r="V2915">
        <v>0</v>
      </c>
      <c r="Y2915">
        <v>2</v>
      </c>
      <c r="Z2915">
        <v>5</v>
      </c>
      <c r="AA2915">
        <v>20</v>
      </c>
      <c r="AD2915">
        <v>1</v>
      </c>
      <c r="AE2915">
        <v>4</v>
      </c>
      <c r="AF2915">
        <v>2</v>
      </c>
      <c r="AI2915">
        <v>0</v>
      </c>
      <c r="AJ2915">
        <v>25</v>
      </c>
      <c r="AK2915">
        <v>2</v>
      </c>
      <c r="AX2915">
        <v>7</v>
      </c>
      <c r="AY2915">
        <v>3</v>
      </c>
      <c r="AZ2915">
        <v>10</v>
      </c>
      <c r="BA2915">
        <v>27</v>
      </c>
      <c r="BB2915">
        <v>34</v>
      </c>
      <c r="BC2915">
        <v>61</v>
      </c>
      <c r="BD2915">
        <v>7</v>
      </c>
      <c r="BE2915">
        <v>9</v>
      </c>
      <c r="BF2915">
        <v>16</v>
      </c>
      <c r="BG2915">
        <v>27</v>
      </c>
      <c r="BH2915">
        <v>22</v>
      </c>
      <c r="BI2915">
        <v>49</v>
      </c>
      <c r="BP2915">
        <v>13</v>
      </c>
      <c r="BQ2915">
        <v>41</v>
      </c>
      <c r="BR2915">
        <v>13</v>
      </c>
      <c r="BS2915">
        <v>0</v>
      </c>
      <c r="BT2915">
        <v>0</v>
      </c>
      <c r="BU2915">
        <v>1</v>
      </c>
      <c r="BV2915">
        <v>0</v>
      </c>
      <c r="BW2915">
        <v>68</v>
      </c>
      <c r="BZ2915" s="10"/>
      <c r="CA2915" s="7">
        <v>45606</v>
      </c>
      <c r="CE2915">
        <v>12</v>
      </c>
      <c r="CF2915">
        <v>39</v>
      </c>
      <c r="CG2915">
        <v>17</v>
      </c>
      <c r="CI2915">
        <f t="shared" si="252"/>
        <v>2024</v>
      </c>
      <c r="CJ2915" t="str">
        <f t="shared" si="253"/>
        <v>8360_2024</v>
      </c>
    </row>
    <row r="2916" spans="1:88" x14ac:dyDescent="0.25">
      <c r="A2916" t="s">
        <v>79</v>
      </c>
      <c r="B2916" t="s">
        <v>1179</v>
      </c>
      <c r="C2916">
        <v>8361</v>
      </c>
      <c r="D2916">
        <v>-31.448412999999999</v>
      </c>
      <c r="E2916">
        <v>152.879142</v>
      </c>
      <c r="F2916">
        <v>4</v>
      </c>
      <c r="G2916" t="s">
        <v>1184</v>
      </c>
      <c r="H2916">
        <v>28</v>
      </c>
      <c r="I2916">
        <v>208</v>
      </c>
      <c r="J2916">
        <v>130</v>
      </c>
      <c r="K2916">
        <v>310</v>
      </c>
      <c r="L2916">
        <v>226</v>
      </c>
      <c r="M2916">
        <v>46</v>
      </c>
      <c r="N2916">
        <v>293</v>
      </c>
      <c r="O2916">
        <v>113</v>
      </c>
      <c r="T2916">
        <v>3</v>
      </c>
      <c r="U2916">
        <v>5</v>
      </c>
      <c r="V2916">
        <v>1</v>
      </c>
      <c r="Y2916">
        <v>0</v>
      </c>
      <c r="Z2916">
        <v>4</v>
      </c>
      <c r="AA2916">
        <v>0</v>
      </c>
      <c r="AD2916">
        <v>3</v>
      </c>
      <c r="AE2916">
        <v>2</v>
      </c>
      <c r="AF2916">
        <v>0</v>
      </c>
      <c r="AI2916">
        <v>1</v>
      </c>
      <c r="AJ2916">
        <v>1</v>
      </c>
      <c r="AK2916">
        <v>0</v>
      </c>
      <c r="AX2916">
        <v>9</v>
      </c>
      <c r="AY2916">
        <v>4</v>
      </c>
      <c r="AZ2916">
        <v>13</v>
      </c>
      <c r="BA2916">
        <v>4</v>
      </c>
      <c r="BB2916">
        <v>6</v>
      </c>
      <c r="BC2916">
        <v>10</v>
      </c>
      <c r="BD2916">
        <v>5</v>
      </c>
      <c r="BE2916">
        <v>9</v>
      </c>
      <c r="BF2916">
        <v>14</v>
      </c>
      <c r="BG2916">
        <v>2</v>
      </c>
      <c r="BH2916">
        <v>1</v>
      </c>
      <c r="BI2916">
        <v>3</v>
      </c>
      <c r="BP2916">
        <v>15</v>
      </c>
      <c r="BQ2916">
        <v>4</v>
      </c>
      <c r="BR2916">
        <v>1</v>
      </c>
      <c r="BS2916">
        <v>0</v>
      </c>
      <c r="BT2916">
        <v>0</v>
      </c>
      <c r="BU2916">
        <v>0</v>
      </c>
      <c r="BV2916">
        <v>0</v>
      </c>
      <c r="BW2916">
        <v>20</v>
      </c>
      <c r="BZ2916" s="10"/>
      <c r="CA2916" s="7">
        <v>45606</v>
      </c>
      <c r="CE2916">
        <v>8</v>
      </c>
      <c r="CF2916">
        <v>4</v>
      </c>
      <c r="CG2916">
        <v>8</v>
      </c>
      <c r="CI2916">
        <f t="shared" si="252"/>
        <v>2024</v>
      </c>
      <c r="CJ2916" t="str">
        <f t="shared" si="253"/>
        <v>8361_2024</v>
      </c>
    </row>
    <row r="2917" spans="1:88" x14ac:dyDescent="0.25">
      <c r="A2917" t="s">
        <v>79</v>
      </c>
      <c r="B2917" t="s">
        <v>1179</v>
      </c>
      <c r="C2917">
        <v>8362</v>
      </c>
      <c r="D2917">
        <v>-31.452679</v>
      </c>
      <c r="E2917">
        <v>152.87487899999999</v>
      </c>
      <c r="F2917">
        <v>4</v>
      </c>
      <c r="G2917" t="s">
        <v>1185</v>
      </c>
      <c r="H2917">
        <v>30</v>
      </c>
      <c r="I2917">
        <v>210</v>
      </c>
      <c r="J2917">
        <v>100</v>
      </c>
      <c r="K2917">
        <v>280</v>
      </c>
      <c r="L2917">
        <v>185</v>
      </c>
      <c r="M2917">
        <v>5</v>
      </c>
      <c r="N2917">
        <v>254</v>
      </c>
      <c r="O2917">
        <v>74</v>
      </c>
      <c r="T2917">
        <v>0</v>
      </c>
      <c r="U2917">
        <v>5</v>
      </c>
      <c r="V2917">
        <v>0</v>
      </c>
      <c r="Y2917">
        <v>0</v>
      </c>
      <c r="Z2917">
        <v>0</v>
      </c>
      <c r="AA2917">
        <v>0</v>
      </c>
      <c r="AD2917">
        <v>1</v>
      </c>
      <c r="AE2917">
        <v>0</v>
      </c>
      <c r="AF2917">
        <v>0</v>
      </c>
      <c r="AI2917">
        <v>0</v>
      </c>
      <c r="AJ2917">
        <v>0</v>
      </c>
      <c r="AK2917">
        <v>0</v>
      </c>
      <c r="AX2917">
        <v>5</v>
      </c>
      <c r="AY2917">
        <v>1</v>
      </c>
      <c r="AZ2917">
        <v>6</v>
      </c>
      <c r="BA2917">
        <v>0</v>
      </c>
      <c r="BB2917">
        <v>0</v>
      </c>
      <c r="BC2917">
        <v>0</v>
      </c>
      <c r="BD2917">
        <v>1</v>
      </c>
      <c r="BE2917">
        <v>5</v>
      </c>
      <c r="BF2917">
        <v>6</v>
      </c>
      <c r="BG2917">
        <v>0</v>
      </c>
      <c r="BH2917">
        <v>0</v>
      </c>
      <c r="BI2917">
        <v>0</v>
      </c>
      <c r="BP2917">
        <v>5</v>
      </c>
      <c r="BQ2917">
        <v>0</v>
      </c>
      <c r="BR2917">
        <v>1</v>
      </c>
      <c r="BS2917">
        <v>0</v>
      </c>
      <c r="BT2917">
        <v>0</v>
      </c>
      <c r="BU2917">
        <v>0</v>
      </c>
      <c r="BV2917">
        <v>0</v>
      </c>
      <c r="BW2917">
        <v>6</v>
      </c>
      <c r="BZ2917" s="10"/>
      <c r="CA2917" s="7">
        <v>45606</v>
      </c>
      <c r="CE2917">
        <v>4</v>
      </c>
      <c r="CF2917">
        <v>1</v>
      </c>
      <c r="CG2917">
        <v>1</v>
      </c>
      <c r="CI2917">
        <f t="shared" si="252"/>
        <v>2024</v>
      </c>
      <c r="CJ2917" t="str">
        <f t="shared" si="253"/>
        <v>8362_2024</v>
      </c>
    </row>
    <row r="2918" spans="1:88" x14ac:dyDescent="0.25">
      <c r="A2918" t="s">
        <v>79</v>
      </c>
      <c r="B2918" t="s">
        <v>1179</v>
      </c>
      <c r="C2918">
        <v>8363</v>
      </c>
      <c r="D2918">
        <v>-31.456251999999999</v>
      </c>
      <c r="E2918">
        <v>152.897851</v>
      </c>
      <c r="F2918">
        <v>4</v>
      </c>
      <c r="G2918" t="s">
        <v>1186</v>
      </c>
      <c r="H2918">
        <v>9</v>
      </c>
      <c r="I2918">
        <v>189</v>
      </c>
      <c r="J2918">
        <v>99</v>
      </c>
      <c r="K2918">
        <v>279</v>
      </c>
      <c r="L2918">
        <v>187</v>
      </c>
      <c r="M2918">
        <v>7</v>
      </c>
      <c r="N2918">
        <v>280</v>
      </c>
      <c r="O2918">
        <v>100</v>
      </c>
      <c r="T2918">
        <v>1</v>
      </c>
      <c r="U2918">
        <v>4</v>
      </c>
      <c r="V2918">
        <v>1</v>
      </c>
      <c r="Y2918">
        <v>0</v>
      </c>
      <c r="Z2918">
        <v>1</v>
      </c>
      <c r="AA2918">
        <v>2</v>
      </c>
      <c r="AD2918">
        <v>9</v>
      </c>
      <c r="AE2918">
        <v>3</v>
      </c>
      <c r="AF2918">
        <v>1</v>
      </c>
      <c r="AI2918">
        <v>3</v>
      </c>
      <c r="AJ2918">
        <v>1</v>
      </c>
      <c r="AK2918">
        <v>2</v>
      </c>
      <c r="AX2918">
        <v>6</v>
      </c>
      <c r="AY2918">
        <v>12</v>
      </c>
      <c r="AZ2918">
        <v>18</v>
      </c>
      <c r="BA2918">
        <v>3</v>
      </c>
      <c r="BB2918">
        <v>5</v>
      </c>
      <c r="BC2918">
        <v>8</v>
      </c>
      <c r="BD2918">
        <v>13</v>
      </c>
      <c r="BE2918">
        <v>7</v>
      </c>
      <c r="BF2918">
        <v>20</v>
      </c>
      <c r="BG2918">
        <v>6</v>
      </c>
      <c r="BH2918">
        <v>4</v>
      </c>
      <c r="BI2918">
        <v>10</v>
      </c>
      <c r="BP2918">
        <v>18</v>
      </c>
      <c r="BQ2918">
        <v>0</v>
      </c>
      <c r="BR2918">
        <v>5</v>
      </c>
      <c r="BS2918">
        <v>0</v>
      </c>
      <c r="BT2918">
        <v>5</v>
      </c>
      <c r="BU2918">
        <v>0</v>
      </c>
      <c r="BV2918">
        <v>0</v>
      </c>
      <c r="BW2918">
        <v>28</v>
      </c>
      <c r="BZ2918" s="10"/>
      <c r="CA2918" s="7">
        <v>45606</v>
      </c>
      <c r="CE2918">
        <v>8</v>
      </c>
      <c r="CF2918">
        <v>12</v>
      </c>
      <c r="CG2918">
        <v>8</v>
      </c>
      <c r="CI2918">
        <f t="shared" si="252"/>
        <v>2024</v>
      </c>
      <c r="CJ2918" t="str">
        <f t="shared" si="253"/>
        <v>8363_2024</v>
      </c>
    </row>
    <row r="2919" spans="1:88" x14ac:dyDescent="0.25">
      <c r="A2919" t="s">
        <v>79</v>
      </c>
      <c r="B2919" t="s">
        <v>1179</v>
      </c>
      <c r="C2919">
        <v>8364</v>
      </c>
      <c r="D2919">
        <v>-31.454433999999999</v>
      </c>
      <c r="E2919">
        <v>152.90719300000001</v>
      </c>
      <c r="F2919">
        <v>3</v>
      </c>
      <c r="G2919" t="s">
        <v>1187</v>
      </c>
      <c r="H2919">
        <v>45</v>
      </c>
      <c r="I2919">
        <v>225</v>
      </c>
      <c r="J2919">
        <v>166</v>
      </c>
      <c r="K2919">
        <v>346</v>
      </c>
      <c r="L2919">
        <v>304</v>
      </c>
      <c r="M2919">
        <v>124</v>
      </c>
      <c r="T2919">
        <v>0</v>
      </c>
      <c r="U2919">
        <v>7</v>
      </c>
      <c r="Y2919">
        <v>0</v>
      </c>
      <c r="Z2919">
        <v>0</v>
      </c>
      <c r="AD2919">
        <v>6</v>
      </c>
      <c r="AE2919">
        <v>1</v>
      </c>
      <c r="AX2919">
        <v>7</v>
      </c>
      <c r="AY2919">
        <v>6</v>
      </c>
      <c r="AZ2919">
        <v>13</v>
      </c>
      <c r="BA2919">
        <v>0</v>
      </c>
      <c r="BB2919">
        <v>1</v>
      </c>
      <c r="BC2919">
        <v>1</v>
      </c>
      <c r="BD2919">
        <v>7</v>
      </c>
      <c r="BE2919">
        <v>7</v>
      </c>
      <c r="BF2919">
        <v>14</v>
      </c>
      <c r="BP2919">
        <v>4</v>
      </c>
      <c r="BQ2919">
        <v>5</v>
      </c>
      <c r="BR2919">
        <v>5</v>
      </c>
      <c r="BS2919">
        <v>0</v>
      </c>
      <c r="BT2919">
        <v>0</v>
      </c>
      <c r="BU2919">
        <v>0</v>
      </c>
      <c r="BV2919">
        <v>0</v>
      </c>
      <c r="BW2919">
        <v>14</v>
      </c>
      <c r="BZ2919" s="10"/>
      <c r="CA2919" s="7">
        <v>45606</v>
      </c>
      <c r="CE2919">
        <v>9</v>
      </c>
      <c r="CF2919">
        <v>1</v>
      </c>
      <c r="CG2919">
        <v>4</v>
      </c>
      <c r="CI2919">
        <f t="shared" si="252"/>
        <v>2024</v>
      </c>
      <c r="CJ2919" t="str">
        <f t="shared" si="253"/>
        <v>8364_2024</v>
      </c>
    </row>
    <row r="2920" spans="1:88" x14ac:dyDescent="0.25">
      <c r="A2920" t="s">
        <v>79</v>
      </c>
      <c r="B2920" t="s">
        <v>1179</v>
      </c>
      <c r="C2920">
        <v>8365</v>
      </c>
      <c r="D2920">
        <v>-31.447226000000001</v>
      </c>
      <c r="E2920">
        <v>152.89961</v>
      </c>
      <c r="F2920">
        <v>4</v>
      </c>
      <c r="G2920" t="s">
        <v>1188</v>
      </c>
      <c r="H2920">
        <v>82</v>
      </c>
      <c r="I2920">
        <v>262</v>
      </c>
      <c r="J2920">
        <v>170</v>
      </c>
      <c r="K2920">
        <v>350</v>
      </c>
      <c r="L2920">
        <v>264</v>
      </c>
      <c r="M2920">
        <v>84</v>
      </c>
      <c r="N2920">
        <v>347</v>
      </c>
      <c r="O2920">
        <v>167</v>
      </c>
      <c r="T2920">
        <v>3</v>
      </c>
      <c r="U2920">
        <v>9</v>
      </c>
      <c r="V2920">
        <v>2</v>
      </c>
      <c r="Y2920">
        <v>9</v>
      </c>
      <c r="Z2920">
        <v>5</v>
      </c>
      <c r="AA2920">
        <v>9</v>
      </c>
      <c r="AD2920">
        <v>7</v>
      </c>
      <c r="AE2920">
        <v>4</v>
      </c>
      <c r="AF2920">
        <v>31</v>
      </c>
      <c r="AI2920">
        <v>0</v>
      </c>
      <c r="AJ2920">
        <v>3</v>
      </c>
      <c r="AK2920">
        <v>16</v>
      </c>
      <c r="AX2920">
        <v>14</v>
      </c>
      <c r="AY2920">
        <v>16</v>
      </c>
      <c r="AZ2920">
        <v>30</v>
      </c>
      <c r="BA2920">
        <v>23</v>
      </c>
      <c r="BB2920">
        <v>10</v>
      </c>
      <c r="BC2920">
        <v>33</v>
      </c>
      <c r="BD2920">
        <v>42</v>
      </c>
      <c r="BE2920">
        <v>30</v>
      </c>
      <c r="BF2920">
        <v>72</v>
      </c>
      <c r="BG2920">
        <v>19</v>
      </c>
      <c r="BH2920">
        <v>42</v>
      </c>
      <c r="BI2920">
        <v>61</v>
      </c>
      <c r="BP2920">
        <v>79</v>
      </c>
      <c r="BQ2920">
        <v>0</v>
      </c>
      <c r="BR2920">
        <v>11</v>
      </c>
      <c r="BS2920">
        <v>1</v>
      </c>
      <c r="BT2920">
        <v>7</v>
      </c>
      <c r="BU2920">
        <v>0</v>
      </c>
      <c r="BV2920">
        <v>0</v>
      </c>
      <c r="BW2920">
        <v>98</v>
      </c>
      <c r="BZ2920" s="10"/>
      <c r="CA2920" s="7">
        <v>45606</v>
      </c>
      <c r="CE2920">
        <v>37</v>
      </c>
      <c r="CF2920">
        <v>35</v>
      </c>
      <c r="CG2920">
        <v>26</v>
      </c>
      <c r="CI2920">
        <f t="shared" si="252"/>
        <v>2024</v>
      </c>
      <c r="CJ2920" t="str">
        <f t="shared" si="253"/>
        <v>8365_2024</v>
      </c>
    </row>
    <row r="2921" spans="1:88" x14ac:dyDescent="0.25">
      <c r="A2921" t="s">
        <v>79</v>
      </c>
      <c r="B2921" t="s">
        <v>1179</v>
      </c>
      <c r="C2921">
        <v>8366</v>
      </c>
      <c r="D2921">
        <v>-31.433468000000001</v>
      </c>
      <c r="E2921">
        <v>152.91130999999999</v>
      </c>
      <c r="F2921">
        <v>3</v>
      </c>
      <c r="G2921" t="s">
        <v>1189</v>
      </c>
      <c r="H2921">
        <v>65</v>
      </c>
      <c r="I2921">
        <v>245</v>
      </c>
      <c r="J2921">
        <v>156</v>
      </c>
      <c r="K2921">
        <v>336</v>
      </c>
      <c r="L2921">
        <v>238</v>
      </c>
      <c r="M2921">
        <v>58</v>
      </c>
      <c r="T2921">
        <v>14</v>
      </c>
      <c r="U2921">
        <v>26</v>
      </c>
      <c r="Y2921">
        <v>7</v>
      </c>
      <c r="Z2921">
        <v>26</v>
      </c>
      <c r="AD2921">
        <v>16</v>
      </c>
      <c r="AE2921">
        <v>38</v>
      </c>
      <c r="AX2921">
        <v>40</v>
      </c>
      <c r="AY2921">
        <v>23</v>
      </c>
      <c r="AZ2921">
        <v>63</v>
      </c>
      <c r="BA2921">
        <v>33</v>
      </c>
      <c r="BB2921">
        <v>52</v>
      </c>
      <c r="BC2921">
        <v>85</v>
      </c>
      <c r="BD2921">
        <v>54</v>
      </c>
      <c r="BE2921">
        <v>52</v>
      </c>
      <c r="BF2921">
        <v>106</v>
      </c>
      <c r="BP2921">
        <v>45</v>
      </c>
      <c r="BQ2921">
        <v>5</v>
      </c>
      <c r="BR2921">
        <v>60</v>
      </c>
      <c r="BS2921">
        <v>3</v>
      </c>
      <c r="BT2921">
        <v>3</v>
      </c>
      <c r="BU2921">
        <v>7</v>
      </c>
      <c r="BV2921">
        <v>4</v>
      </c>
      <c r="BW2921">
        <v>127</v>
      </c>
      <c r="BZ2921" s="10"/>
      <c r="CA2921" s="7">
        <v>45606</v>
      </c>
      <c r="CE2921">
        <v>48</v>
      </c>
      <c r="CF2921">
        <v>36</v>
      </c>
      <c r="CG2921">
        <v>43</v>
      </c>
      <c r="CI2921">
        <f t="shared" si="252"/>
        <v>2024</v>
      </c>
      <c r="CJ2921" t="str">
        <f t="shared" si="253"/>
        <v>8366_2024</v>
      </c>
    </row>
    <row r="2922" spans="1:88" x14ac:dyDescent="0.25">
      <c r="A2922" t="s">
        <v>79</v>
      </c>
      <c r="B2922" t="s">
        <v>1179</v>
      </c>
      <c r="C2922">
        <v>8367</v>
      </c>
      <c r="D2922">
        <v>-31.432856000000001</v>
      </c>
      <c r="E2922">
        <v>152.91728800000001</v>
      </c>
      <c r="F2922">
        <v>4</v>
      </c>
      <c r="G2922" t="s">
        <v>1190</v>
      </c>
      <c r="H2922">
        <v>84</v>
      </c>
      <c r="I2922">
        <v>264</v>
      </c>
      <c r="J2922">
        <v>180</v>
      </c>
      <c r="K2922">
        <v>360</v>
      </c>
      <c r="L2922">
        <v>265</v>
      </c>
      <c r="M2922">
        <v>85</v>
      </c>
      <c r="N2922">
        <v>356</v>
      </c>
      <c r="O2922">
        <v>176</v>
      </c>
      <c r="T2922">
        <v>10</v>
      </c>
      <c r="U2922">
        <v>12</v>
      </c>
      <c r="V2922">
        <v>8</v>
      </c>
      <c r="Y2922">
        <v>8</v>
      </c>
      <c r="Z2922">
        <v>1</v>
      </c>
      <c r="AA2922">
        <v>8</v>
      </c>
      <c r="AD2922">
        <v>10</v>
      </c>
      <c r="AE2922">
        <v>7</v>
      </c>
      <c r="AF2922">
        <v>4</v>
      </c>
      <c r="AI2922">
        <v>5</v>
      </c>
      <c r="AJ2922">
        <v>9</v>
      </c>
      <c r="AK2922">
        <v>3</v>
      </c>
      <c r="AX2922">
        <v>30</v>
      </c>
      <c r="AY2922">
        <v>23</v>
      </c>
      <c r="AZ2922">
        <v>53</v>
      </c>
      <c r="BA2922">
        <v>17</v>
      </c>
      <c r="BB2922">
        <v>26</v>
      </c>
      <c r="BC2922">
        <v>43</v>
      </c>
      <c r="BD2922">
        <v>21</v>
      </c>
      <c r="BE2922">
        <v>16</v>
      </c>
      <c r="BF2922">
        <v>37</v>
      </c>
      <c r="BG2922">
        <v>17</v>
      </c>
      <c r="BH2922">
        <v>20</v>
      </c>
      <c r="BI2922">
        <v>37</v>
      </c>
      <c r="BP2922">
        <v>16</v>
      </c>
      <c r="BQ2922">
        <v>4</v>
      </c>
      <c r="BR2922">
        <v>51</v>
      </c>
      <c r="BS2922">
        <v>4</v>
      </c>
      <c r="BT2922">
        <v>9</v>
      </c>
      <c r="BU2922">
        <v>1</v>
      </c>
      <c r="BV2922">
        <v>0</v>
      </c>
      <c r="BW2922">
        <v>85</v>
      </c>
      <c r="BZ2922" s="10"/>
      <c r="CA2922" s="7">
        <v>45606</v>
      </c>
      <c r="CE2922">
        <v>29</v>
      </c>
      <c r="CF2922">
        <v>22</v>
      </c>
      <c r="CG2922">
        <v>34</v>
      </c>
      <c r="CI2922">
        <f t="shared" si="252"/>
        <v>2024</v>
      </c>
      <c r="CJ2922" t="str">
        <f t="shared" si="253"/>
        <v>8367_2024</v>
      </c>
    </row>
    <row r="2923" spans="1:88" x14ac:dyDescent="0.25">
      <c r="A2923" t="s">
        <v>79</v>
      </c>
      <c r="B2923" t="s">
        <v>1179</v>
      </c>
      <c r="C2923">
        <v>8368</v>
      </c>
      <c r="D2923">
        <v>-31.430661000000001</v>
      </c>
      <c r="E2923">
        <v>152.91956300000001</v>
      </c>
      <c r="F2923">
        <v>4</v>
      </c>
      <c r="G2923" t="s">
        <v>1191</v>
      </c>
      <c r="H2923">
        <v>90</v>
      </c>
      <c r="I2923">
        <v>270</v>
      </c>
      <c r="J2923">
        <v>175</v>
      </c>
      <c r="K2923">
        <v>355</v>
      </c>
      <c r="L2923">
        <v>270</v>
      </c>
      <c r="M2923">
        <v>90</v>
      </c>
      <c r="N2923">
        <v>296</v>
      </c>
      <c r="O2923">
        <v>116</v>
      </c>
      <c r="T2923">
        <v>45</v>
      </c>
      <c r="U2923">
        <v>64</v>
      </c>
      <c r="V2923">
        <v>65</v>
      </c>
      <c r="Y2923">
        <v>48</v>
      </c>
      <c r="Z2923">
        <v>41</v>
      </c>
      <c r="AA2923">
        <v>20</v>
      </c>
      <c r="AD2923">
        <v>63</v>
      </c>
      <c r="AE2923">
        <v>22</v>
      </c>
      <c r="AF2923">
        <v>27</v>
      </c>
      <c r="AI2923">
        <v>48</v>
      </c>
      <c r="AJ2923">
        <v>10</v>
      </c>
      <c r="AK2923">
        <v>30</v>
      </c>
      <c r="AX2923">
        <v>174</v>
      </c>
      <c r="AY2923">
        <v>159</v>
      </c>
      <c r="AZ2923">
        <v>333</v>
      </c>
      <c r="BA2923">
        <v>109</v>
      </c>
      <c r="BB2923">
        <v>77</v>
      </c>
      <c r="BC2923">
        <v>186</v>
      </c>
      <c r="BD2923">
        <v>112</v>
      </c>
      <c r="BE2923">
        <v>135</v>
      </c>
      <c r="BF2923">
        <v>247</v>
      </c>
      <c r="BG2923">
        <v>88</v>
      </c>
      <c r="BH2923">
        <v>112</v>
      </c>
      <c r="BI2923">
        <v>200</v>
      </c>
      <c r="BP2923">
        <v>37</v>
      </c>
      <c r="BQ2923">
        <v>10</v>
      </c>
      <c r="BR2923">
        <v>386</v>
      </c>
      <c r="BS2923">
        <v>3</v>
      </c>
      <c r="BT2923">
        <v>42</v>
      </c>
      <c r="BU2923">
        <v>0</v>
      </c>
      <c r="BV2923">
        <v>5</v>
      </c>
      <c r="BW2923">
        <v>483</v>
      </c>
      <c r="BZ2923" s="10"/>
      <c r="CA2923" s="7">
        <v>45606</v>
      </c>
      <c r="CE2923">
        <v>195</v>
      </c>
      <c r="CF2923">
        <v>159</v>
      </c>
      <c r="CG2923">
        <v>129</v>
      </c>
      <c r="CI2923">
        <f t="shared" si="252"/>
        <v>2024</v>
      </c>
      <c r="CJ2923" t="str">
        <f t="shared" si="253"/>
        <v>8368_2024</v>
      </c>
    </row>
    <row r="2924" spans="1:88" x14ac:dyDescent="0.25">
      <c r="A2924" t="s">
        <v>111</v>
      </c>
      <c r="B2924" t="s">
        <v>213</v>
      </c>
      <c r="C2924">
        <v>4545</v>
      </c>
      <c r="D2924">
        <v>-37.834496000000001</v>
      </c>
      <c r="E2924">
        <v>144.964066</v>
      </c>
      <c r="F2924">
        <v>4</v>
      </c>
      <c r="G2924" t="s">
        <v>1050</v>
      </c>
      <c r="H2924">
        <v>70</v>
      </c>
      <c r="I2924">
        <v>250</v>
      </c>
      <c r="J2924">
        <v>160</v>
      </c>
      <c r="K2924">
        <v>340</v>
      </c>
      <c r="L2924">
        <v>250</v>
      </c>
      <c r="M2924">
        <v>70</v>
      </c>
      <c r="N2924">
        <v>340</v>
      </c>
      <c r="O2924">
        <v>160</v>
      </c>
      <c r="T2924">
        <v>37</v>
      </c>
      <c r="U2924">
        <v>191</v>
      </c>
      <c r="V2924">
        <v>28</v>
      </c>
      <c r="Y2924">
        <v>15</v>
      </c>
      <c r="Z2924">
        <v>34</v>
      </c>
      <c r="AA2924">
        <v>74</v>
      </c>
      <c r="AD2924">
        <v>140</v>
      </c>
      <c r="AE2924">
        <v>29</v>
      </c>
      <c r="AF2924">
        <v>10</v>
      </c>
      <c r="AI2924">
        <v>30</v>
      </c>
      <c r="AJ2924">
        <v>78</v>
      </c>
      <c r="AK2924">
        <v>12</v>
      </c>
      <c r="AX2924">
        <v>256</v>
      </c>
      <c r="AY2924">
        <v>185</v>
      </c>
      <c r="AZ2924">
        <v>441</v>
      </c>
      <c r="BA2924">
        <v>123</v>
      </c>
      <c r="BB2924">
        <v>144</v>
      </c>
      <c r="BC2924">
        <v>267</v>
      </c>
      <c r="BD2924">
        <v>179</v>
      </c>
      <c r="BE2924">
        <v>237</v>
      </c>
      <c r="BF2924">
        <v>416</v>
      </c>
      <c r="BG2924">
        <v>120</v>
      </c>
      <c r="BH2924">
        <v>112</v>
      </c>
      <c r="BI2924">
        <v>232</v>
      </c>
      <c r="BP2924">
        <v>134</v>
      </c>
      <c r="BQ2924">
        <v>28</v>
      </c>
      <c r="BR2924">
        <v>428</v>
      </c>
      <c r="BS2924">
        <v>30</v>
      </c>
      <c r="BT2924">
        <v>41</v>
      </c>
      <c r="BU2924">
        <v>14</v>
      </c>
      <c r="BV2924">
        <v>3</v>
      </c>
      <c r="BW2924">
        <v>678</v>
      </c>
      <c r="BX2924">
        <v>646</v>
      </c>
      <c r="BY2924">
        <v>4.9535603999999997E-2</v>
      </c>
      <c r="BZ2924" s="10">
        <v>4.9535603999999997E-2</v>
      </c>
      <c r="CA2924" s="7">
        <v>45606</v>
      </c>
      <c r="CE2924">
        <v>220</v>
      </c>
      <c r="CF2924">
        <v>256</v>
      </c>
      <c r="CG2924">
        <v>202</v>
      </c>
      <c r="CI2924">
        <f t="shared" si="252"/>
        <v>2024</v>
      </c>
      <c r="CJ2924" t="str">
        <f t="shared" si="253"/>
        <v>4545_2024</v>
      </c>
    </row>
    <row r="2925" spans="1:88" x14ac:dyDescent="0.25">
      <c r="A2925" t="s">
        <v>111</v>
      </c>
      <c r="B2925" t="s">
        <v>213</v>
      </c>
      <c r="C2925">
        <v>4555</v>
      </c>
      <c r="D2925">
        <v>-37.853259000000001</v>
      </c>
      <c r="E2925">
        <v>144.981752</v>
      </c>
      <c r="F2925">
        <v>4</v>
      </c>
      <c r="G2925" t="s">
        <v>1051</v>
      </c>
      <c r="H2925">
        <v>99</v>
      </c>
      <c r="I2925">
        <v>279</v>
      </c>
      <c r="J2925">
        <v>164</v>
      </c>
      <c r="K2925">
        <v>344</v>
      </c>
      <c r="L2925">
        <v>261</v>
      </c>
      <c r="M2925">
        <v>81</v>
      </c>
      <c r="N2925">
        <v>344</v>
      </c>
      <c r="O2925">
        <v>164</v>
      </c>
      <c r="T2925">
        <v>7</v>
      </c>
      <c r="U2925">
        <v>89</v>
      </c>
      <c r="V2925">
        <v>6</v>
      </c>
      <c r="Y2925">
        <v>7</v>
      </c>
      <c r="Z2925">
        <v>19</v>
      </c>
      <c r="AA2925">
        <v>201</v>
      </c>
      <c r="AD2925">
        <v>58</v>
      </c>
      <c r="AE2925">
        <v>23</v>
      </c>
      <c r="AF2925">
        <v>95</v>
      </c>
      <c r="AI2925">
        <v>10</v>
      </c>
      <c r="AJ2925">
        <v>90</v>
      </c>
      <c r="AK2925">
        <v>24</v>
      </c>
      <c r="AX2925">
        <v>102</v>
      </c>
      <c r="AY2925">
        <v>75</v>
      </c>
      <c r="AZ2925">
        <v>177</v>
      </c>
      <c r="BA2925">
        <v>227</v>
      </c>
      <c r="BB2925">
        <v>120</v>
      </c>
      <c r="BC2925">
        <v>347</v>
      </c>
      <c r="BD2925">
        <v>176</v>
      </c>
      <c r="BE2925">
        <v>132</v>
      </c>
      <c r="BF2925">
        <v>308</v>
      </c>
      <c r="BG2925">
        <v>124</v>
      </c>
      <c r="BH2925">
        <v>302</v>
      </c>
      <c r="BI2925">
        <v>426</v>
      </c>
      <c r="BP2925">
        <v>156</v>
      </c>
      <c r="BQ2925">
        <v>47</v>
      </c>
      <c r="BR2925">
        <v>328</v>
      </c>
      <c r="BS2925">
        <v>36</v>
      </c>
      <c r="BT2925">
        <v>31</v>
      </c>
      <c r="BU2925">
        <v>25</v>
      </c>
      <c r="BV2925">
        <v>6</v>
      </c>
      <c r="BW2925">
        <v>629</v>
      </c>
      <c r="BX2925">
        <v>686</v>
      </c>
      <c r="BY2925">
        <v>-8.3090379000000006E-2</v>
      </c>
      <c r="BZ2925" s="10">
        <v>-8.3090379000000006E-2</v>
      </c>
      <c r="CA2925" s="7">
        <v>45606</v>
      </c>
      <c r="CE2925">
        <v>217</v>
      </c>
      <c r="CF2925">
        <v>210</v>
      </c>
      <c r="CG2925">
        <v>202</v>
      </c>
      <c r="CI2925">
        <f t="shared" si="252"/>
        <v>2024</v>
      </c>
      <c r="CJ2925" t="str">
        <f t="shared" si="253"/>
        <v>4555_2024</v>
      </c>
    </row>
    <row r="2926" spans="1:88" x14ac:dyDescent="0.25">
      <c r="A2926" t="s">
        <v>111</v>
      </c>
      <c r="B2926" t="s">
        <v>213</v>
      </c>
      <c r="C2926">
        <v>7966</v>
      </c>
      <c r="D2926">
        <v>-37.833098</v>
      </c>
      <c r="E2926">
        <v>144.971901</v>
      </c>
      <c r="F2926">
        <v>3</v>
      </c>
      <c r="G2926" t="s">
        <v>1053</v>
      </c>
      <c r="H2926">
        <v>135</v>
      </c>
      <c r="I2926">
        <v>315</v>
      </c>
      <c r="J2926">
        <v>190</v>
      </c>
      <c r="K2926">
        <v>10</v>
      </c>
      <c r="L2926">
        <v>344</v>
      </c>
      <c r="M2926">
        <v>164</v>
      </c>
      <c r="T2926">
        <v>0</v>
      </c>
      <c r="U2926">
        <v>228</v>
      </c>
      <c r="Y2926">
        <v>0</v>
      </c>
      <c r="Z2926">
        <v>231</v>
      </c>
      <c r="AD2926">
        <v>0</v>
      </c>
      <c r="AE2926">
        <v>0</v>
      </c>
      <c r="AX2926">
        <v>228</v>
      </c>
      <c r="AY2926">
        <v>0</v>
      </c>
      <c r="AZ2926">
        <v>228</v>
      </c>
      <c r="BA2926">
        <v>231</v>
      </c>
      <c r="BB2926">
        <v>0</v>
      </c>
      <c r="BC2926">
        <v>231</v>
      </c>
      <c r="BD2926">
        <v>0</v>
      </c>
      <c r="BE2926">
        <v>459</v>
      </c>
      <c r="BF2926">
        <v>459</v>
      </c>
      <c r="BP2926">
        <v>180</v>
      </c>
      <c r="BQ2926">
        <v>9</v>
      </c>
      <c r="BR2926">
        <v>225</v>
      </c>
      <c r="BS2926">
        <v>17</v>
      </c>
      <c r="BT2926">
        <v>7</v>
      </c>
      <c r="BU2926">
        <v>9</v>
      </c>
      <c r="BV2926">
        <v>12</v>
      </c>
      <c r="BW2926">
        <v>459</v>
      </c>
      <c r="BX2926">
        <v>687</v>
      </c>
      <c r="BY2926">
        <v>-0.33187772900000001</v>
      </c>
      <c r="BZ2926" s="10">
        <v>-0.33187772900000001</v>
      </c>
      <c r="CA2926" s="7">
        <v>45606</v>
      </c>
      <c r="CE2926">
        <v>143</v>
      </c>
      <c r="CF2926">
        <v>158</v>
      </c>
      <c r="CG2926">
        <v>158</v>
      </c>
      <c r="CI2926">
        <f t="shared" si="252"/>
        <v>2024</v>
      </c>
      <c r="CJ2926" t="str">
        <f t="shared" si="253"/>
        <v>7966_2024</v>
      </c>
    </row>
    <row r="2927" spans="1:88" x14ac:dyDescent="0.25">
      <c r="A2927" t="s">
        <v>111</v>
      </c>
      <c r="B2927" t="s">
        <v>213</v>
      </c>
      <c r="C2927">
        <v>7967</v>
      </c>
      <c r="D2927">
        <v>-37.832070999999999</v>
      </c>
      <c r="E2927">
        <v>144.971823</v>
      </c>
      <c r="F2927">
        <v>3</v>
      </c>
      <c r="G2927" t="s">
        <v>1055</v>
      </c>
      <c r="H2927">
        <v>125</v>
      </c>
      <c r="I2927">
        <v>305</v>
      </c>
      <c r="J2927">
        <v>171</v>
      </c>
      <c r="K2927">
        <v>351</v>
      </c>
      <c r="L2927">
        <v>346</v>
      </c>
      <c r="M2927">
        <v>166</v>
      </c>
      <c r="T2927">
        <v>35</v>
      </c>
      <c r="U2927">
        <v>13</v>
      </c>
      <c r="Y2927">
        <v>12</v>
      </c>
      <c r="Z2927">
        <v>88</v>
      </c>
      <c r="AD2927">
        <v>43</v>
      </c>
      <c r="AE2927">
        <v>220</v>
      </c>
      <c r="AX2927">
        <v>48</v>
      </c>
      <c r="AY2927">
        <v>55</v>
      </c>
      <c r="AZ2927">
        <v>103</v>
      </c>
      <c r="BA2927">
        <v>100</v>
      </c>
      <c r="BB2927">
        <v>255</v>
      </c>
      <c r="BC2927">
        <v>355</v>
      </c>
      <c r="BD2927">
        <v>263</v>
      </c>
      <c r="BE2927">
        <v>101</v>
      </c>
      <c r="BF2927">
        <v>364</v>
      </c>
      <c r="BP2927">
        <v>115</v>
      </c>
      <c r="BQ2927">
        <v>38</v>
      </c>
      <c r="BR2927">
        <v>175</v>
      </c>
      <c r="BS2927">
        <v>50</v>
      </c>
      <c r="BT2927">
        <v>20</v>
      </c>
      <c r="BU2927">
        <v>13</v>
      </c>
      <c r="BV2927">
        <v>0</v>
      </c>
      <c r="BW2927">
        <v>411</v>
      </c>
      <c r="BX2927">
        <v>381</v>
      </c>
      <c r="BY2927">
        <v>7.8740157000000005E-2</v>
      </c>
      <c r="BZ2927" s="10">
        <v>7.8740157000000005E-2</v>
      </c>
      <c r="CA2927" s="7">
        <v>45606</v>
      </c>
      <c r="CE2927">
        <v>117</v>
      </c>
      <c r="CF2927">
        <v>146</v>
      </c>
      <c r="CG2927">
        <v>148</v>
      </c>
      <c r="CI2927">
        <f t="shared" si="252"/>
        <v>2024</v>
      </c>
      <c r="CJ2927" t="str">
        <f t="shared" si="253"/>
        <v>7967_2024</v>
      </c>
    </row>
    <row r="2928" spans="1:88" x14ac:dyDescent="0.25">
      <c r="A2928" t="s">
        <v>79</v>
      </c>
      <c r="B2928" t="s">
        <v>91</v>
      </c>
      <c r="C2928">
        <v>3642</v>
      </c>
      <c r="D2928">
        <v>-33.926787040000001</v>
      </c>
      <c r="E2928">
        <v>151.2348571</v>
      </c>
      <c r="F2928">
        <v>4</v>
      </c>
      <c r="G2928" t="s">
        <v>94</v>
      </c>
      <c r="H2928">
        <v>37</v>
      </c>
      <c r="I2928">
        <v>217</v>
      </c>
      <c r="J2928">
        <v>100</v>
      </c>
      <c r="K2928">
        <v>280</v>
      </c>
      <c r="L2928">
        <v>199</v>
      </c>
      <c r="M2928">
        <v>19</v>
      </c>
      <c r="N2928">
        <v>280</v>
      </c>
      <c r="O2928">
        <v>100</v>
      </c>
      <c r="T2928">
        <v>4</v>
      </c>
      <c r="U2928">
        <v>7</v>
      </c>
      <c r="V2928">
        <v>0</v>
      </c>
      <c r="Y2928">
        <v>7</v>
      </c>
      <c r="Z2928">
        <v>0</v>
      </c>
      <c r="AA2928">
        <v>43</v>
      </c>
      <c r="AD2928">
        <v>6</v>
      </c>
      <c r="AE2928">
        <v>0</v>
      </c>
      <c r="AF2928">
        <v>5</v>
      </c>
      <c r="AI2928">
        <v>3</v>
      </c>
      <c r="AJ2928">
        <v>24</v>
      </c>
      <c r="AK2928">
        <v>1</v>
      </c>
      <c r="AX2928">
        <v>11</v>
      </c>
      <c r="AY2928">
        <v>16</v>
      </c>
      <c r="AZ2928">
        <v>27</v>
      </c>
      <c r="BA2928">
        <v>50</v>
      </c>
      <c r="BB2928">
        <v>28</v>
      </c>
      <c r="BC2928">
        <v>78</v>
      </c>
      <c r="BD2928">
        <v>11</v>
      </c>
      <c r="BE2928">
        <v>8</v>
      </c>
      <c r="BF2928">
        <v>19</v>
      </c>
      <c r="BG2928">
        <v>28</v>
      </c>
      <c r="BH2928">
        <v>48</v>
      </c>
      <c r="BI2928">
        <v>76</v>
      </c>
      <c r="BP2928">
        <v>8</v>
      </c>
      <c r="BQ2928">
        <v>8</v>
      </c>
      <c r="BR2928">
        <v>68</v>
      </c>
      <c r="BS2928">
        <v>4</v>
      </c>
      <c r="BT2928">
        <v>11</v>
      </c>
      <c r="BU2928">
        <v>0</v>
      </c>
      <c r="BV2928">
        <v>1</v>
      </c>
      <c r="BW2928">
        <v>100</v>
      </c>
      <c r="BZ2928" s="10"/>
      <c r="CA2928" s="7">
        <v>45606</v>
      </c>
      <c r="CE2928">
        <v>25</v>
      </c>
      <c r="CF2928">
        <v>47</v>
      </c>
      <c r="CG2928">
        <v>28</v>
      </c>
      <c r="CI2928">
        <f t="shared" si="252"/>
        <v>2024</v>
      </c>
      <c r="CJ2928" t="str">
        <f t="shared" si="253"/>
        <v>3642_2024</v>
      </c>
    </row>
    <row r="2929" spans="1:88" x14ac:dyDescent="0.25">
      <c r="A2929" t="s">
        <v>79</v>
      </c>
      <c r="B2929" t="s">
        <v>91</v>
      </c>
      <c r="C2929">
        <v>3643</v>
      </c>
      <c r="D2929">
        <v>-33.92751363</v>
      </c>
      <c r="E2929">
        <v>151.2431411</v>
      </c>
      <c r="F2929">
        <v>3</v>
      </c>
      <c r="G2929" t="s">
        <v>95</v>
      </c>
      <c r="H2929">
        <v>10</v>
      </c>
      <c r="I2929">
        <v>190</v>
      </c>
      <c r="J2929">
        <v>100</v>
      </c>
      <c r="K2929">
        <v>280</v>
      </c>
      <c r="L2929">
        <v>280</v>
      </c>
      <c r="M2929">
        <v>100</v>
      </c>
      <c r="T2929">
        <v>19</v>
      </c>
      <c r="U2929">
        <v>12</v>
      </c>
      <c r="Y2929">
        <v>15</v>
      </c>
      <c r="Z2929">
        <v>23</v>
      </c>
      <c r="AD2929">
        <v>17</v>
      </c>
      <c r="AE2929">
        <v>20</v>
      </c>
      <c r="AX2929">
        <v>31</v>
      </c>
      <c r="AY2929">
        <v>32</v>
      </c>
      <c r="AZ2929">
        <v>63</v>
      </c>
      <c r="BA2929">
        <v>38</v>
      </c>
      <c r="BB2929">
        <v>39</v>
      </c>
      <c r="BC2929">
        <v>77</v>
      </c>
      <c r="BD2929">
        <v>37</v>
      </c>
      <c r="BE2929">
        <v>35</v>
      </c>
      <c r="BF2929">
        <v>72</v>
      </c>
      <c r="BP2929">
        <v>19</v>
      </c>
      <c r="BQ2929">
        <v>5</v>
      </c>
      <c r="BR2929">
        <v>42</v>
      </c>
      <c r="BS2929">
        <v>23</v>
      </c>
      <c r="BT2929">
        <v>17</v>
      </c>
      <c r="BU2929">
        <v>0</v>
      </c>
      <c r="BV2929">
        <v>0</v>
      </c>
      <c r="BW2929">
        <v>106</v>
      </c>
      <c r="BZ2929" s="10"/>
      <c r="CA2929" s="7">
        <v>45606</v>
      </c>
      <c r="CE2929">
        <v>42</v>
      </c>
      <c r="CF2929">
        <v>32</v>
      </c>
      <c r="CG2929">
        <v>32</v>
      </c>
      <c r="CI2929">
        <f t="shared" si="252"/>
        <v>2024</v>
      </c>
      <c r="CJ2929" t="str">
        <f t="shared" si="253"/>
        <v>3643_2024</v>
      </c>
    </row>
    <row r="2930" spans="1:88" x14ac:dyDescent="0.25">
      <c r="A2930" t="s">
        <v>79</v>
      </c>
      <c r="B2930" t="s">
        <v>91</v>
      </c>
      <c r="C2930">
        <v>3644</v>
      </c>
      <c r="D2930">
        <v>-33.927746659999997</v>
      </c>
      <c r="E2930">
        <v>151.25106840000001</v>
      </c>
      <c r="F2930">
        <v>3</v>
      </c>
      <c r="G2930" t="s">
        <v>1192</v>
      </c>
      <c r="H2930">
        <v>133</v>
      </c>
      <c r="I2930">
        <v>313</v>
      </c>
      <c r="J2930">
        <v>247</v>
      </c>
      <c r="K2930">
        <v>67</v>
      </c>
      <c r="L2930">
        <v>320</v>
      </c>
      <c r="M2930">
        <v>140</v>
      </c>
      <c r="T2930">
        <v>19</v>
      </c>
      <c r="U2930">
        <v>67</v>
      </c>
      <c r="Y2930">
        <v>19</v>
      </c>
      <c r="Z2930">
        <v>48</v>
      </c>
      <c r="AD2930">
        <v>46</v>
      </c>
      <c r="AE2930">
        <v>58</v>
      </c>
      <c r="AX2930">
        <v>86</v>
      </c>
      <c r="AY2930">
        <v>65</v>
      </c>
      <c r="AZ2930">
        <v>151</v>
      </c>
      <c r="BA2930">
        <v>67</v>
      </c>
      <c r="BB2930">
        <v>77</v>
      </c>
      <c r="BC2930">
        <v>144</v>
      </c>
      <c r="BD2930">
        <v>104</v>
      </c>
      <c r="BE2930">
        <v>115</v>
      </c>
      <c r="BF2930">
        <v>219</v>
      </c>
      <c r="BP2930">
        <v>61</v>
      </c>
      <c r="BQ2930">
        <v>6</v>
      </c>
      <c r="BR2930">
        <v>139</v>
      </c>
      <c r="BS2930">
        <v>19</v>
      </c>
      <c r="BT2930">
        <v>31</v>
      </c>
      <c r="BU2930">
        <v>1</v>
      </c>
      <c r="BV2930">
        <v>0</v>
      </c>
      <c r="BW2930">
        <v>257</v>
      </c>
      <c r="BZ2930" s="10"/>
      <c r="CA2930" s="7">
        <v>45606</v>
      </c>
      <c r="CE2930">
        <v>95</v>
      </c>
      <c r="CF2930">
        <v>86</v>
      </c>
      <c r="CG2930">
        <v>76</v>
      </c>
      <c r="CI2930">
        <f t="shared" si="252"/>
        <v>2024</v>
      </c>
      <c r="CJ2930" t="str">
        <f t="shared" si="253"/>
        <v>3644_2024</v>
      </c>
    </row>
    <row r="2931" spans="1:88" x14ac:dyDescent="0.25">
      <c r="A2931" t="s">
        <v>79</v>
      </c>
      <c r="B2931" t="s">
        <v>91</v>
      </c>
      <c r="C2931">
        <v>6526</v>
      </c>
      <c r="D2931">
        <v>-33.917743000000002</v>
      </c>
      <c r="E2931">
        <v>151.225056</v>
      </c>
      <c r="F2931">
        <v>4</v>
      </c>
      <c r="G2931" t="s">
        <v>1193</v>
      </c>
      <c r="H2931">
        <v>10</v>
      </c>
      <c r="I2931">
        <v>190</v>
      </c>
      <c r="J2931">
        <v>99</v>
      </c>
      <c r="K2931">
        <v>279</v>
      </c>
      <c r="L2931">
        <v>189</v>
      </c>
      <c r="M2931">
        <v>9</v>
      </c>
      <c r="N2931">
        <v>281</v>
      </c>
      <c r="O2931">
        <v>101</v>
      </c>
      <c r="T2931">
        <v>0</v>
      </c>
      <c r="U2931">
        <v>2</v>
      </c>
      <c r="V2931">
        <v>6</v>
      </c>
      <c r="Y2931">
        <v>1</v>
      </c>
      <c r="Z2931">
        <v>10</v>
      </c>
      <c r="AA2931">
        <v>42</v>
      </c>
      <c r="AD2931">
        <v>11</v>
      </c>
      <c r="AE2931">
        <v>26</v>
      </c>
      <c r="AF2931">
        <v>90</v>
      </c>
      <c r="AI2931">
        <v>5</v>
      </c>
      <c r="AJ2931">
        <v>67</v>
      </c>
      <c r="AK2931">
        <v>54</v>
      </c>
      <c r="AX2931">
        <v>8</v>
      </c>
      <c r="AY2931">
        <v>17</v>
      </c>
      <c r="AZ2931">
        <v>25</v>
      </c>
      <c r="BA2931">
        <v>53</v>
      </c>
      <c r="BB2931">
        <v>93</v>
      </c>
      <c r="BC2931">
        <v>146</v>
      </c>
      <c r="BD2931">
        <v>127</v>
      </c>
      <c r="BE2931">
        <v>66</v>
      </c>
      <c r="BF2931">
        <v>193</v>
      </c>
      <c r="BG2931">
        <v>126</v>
      </c>
      <c r="BH2931">
        <v>138</v>
      </c>
      <c r="BI2931">
        <v>264</v>
      </c>
      <c r="BP2931">
        <v>120</v>
      </c>
      <c r="BQ2931">
        <v>36</v>
      </c>
      <c r="BR2931">
        <v>146</v>
      </c>
      <c r="BS2931">
        <v>9</v>
      </c>
      <c r="BT2931">
        <v>3</v>
      </c>
      <c r="BU2931">
        <v>0</v>
      </c>
      <c r="BV2931">
        <v>0</v>
      </c>
      <c r="BW2931">
        <v>314</v>
      </c>
      <c r="BZ2931" s="10"/>
      <c r="CA2931" s="7">
        <v>45606</v>
      </c>
      <c r="CE2931">
        <v>117</v>
      </c>
      <c r="CF2931">
        <v>99</v>
      </c>
      <c r="CG2931">
        <v>98</v>
      </c>
      <c r="CI2931">
        <f t="shared" si="252"/>
        <v>2024</v>
      </c>
      <c r="CJ2931" t="str">
        <f t="shared" si="253"/>
        <v>6526_2024</v>
      </c>
    </row>
    <row r="2932" spans="1:88" x14ac:dyDescent="0.25">
      <c r="A2932" t="s">
        <v>79</v>
      </c>
      <c r="B2932" t="s">
        <v>91</v>
      </c>
      <c r="C2932">
        <v>6527</v>
      </c>
      <c r="D2932">
        <v>-33.925122999999999</v>
      </c>
      <c r="E2932">
        <v>151.226606</v>
      </c>
      <c r="F2932">
        <v>4</v>
      </c>
      <c r="G2932" t="s">
        <v>1194</v>
      </c>
      <c r="H2932">
        <v>82</v>
      </c>
      <c r="I2932">
        <v>262</v>
      </c>
      <c r="J2932">
        <v>166</v>
      </c>
      <c r="K2932">
        <v>346</v>
      </c>
      <c r="L2932">
        <v>258</v>
      </c>
      <c r="M2932">
        <v>78</v>
      </c>
      <c r="N2932">
        <v>349</v>
      </c>
      <c r="O2932">
        <v>169</v>
      </c>
      <c r="T2932">
        <v>8</v>
      </c>
      <c r="U2932">
        <v>70</v>
      </c>
      <c r="V2932">
        <v>11</v>
      </c>
      <c r="Y2932">
        <v>4</v>
      </c>
      <c r="Z2932">
        <v>7</v>
      </c>
      <c r="AA2932">
        <v>51</v>
      </c>
      <c r="AD2932">
        <v>78</v>
      </c>
      <c r="AE2932">
        <v>5</v>
      </c>
      <c r="AF2932">
        <v>20</v>
      </c>
      <c r="AI2932">
        <v>18</v>
      </c>
      <c r="AJ2932">
        <v>63</v>
      </c>
      <c r="AK2932">
        <v>7</v>
      </c>
      <c r="AX2932">
        <v>89</v>
      </c>
      <c r="AY2932">
        <v>100</v>
      </c>
      <c r="AZ2932">
        <v>189</v>
      </c>
      <c r="BA2932">
        <v>62</v>
      </c>
      <c r="BB2932">
        <v>76</v>
      </c>
      <c r="BC2932">
        <v>138</v>
      </c>
      <c r="BD2932">
        <v>103</v>
      </c>
      <c r="BE2932">
        <v>84</v>
      </c>
      <c r="BF2932">
        <v>187</v>
      </c>
      <c r="BG2932">
        <v>88</v>
      </c>
      <c r="BH2932">
        <v>82</v>
      </c>
      <c r="BI2932">
        <v>170</v>
      </c>
      <c r="BP2932">
        <v>87</v>
      </c>
      <c r="BQ2932">
        <v>32</v>
      </c>
      <c r="BR2932">
        <v>212</v>
      </c>
      <c r="BS2932">
        <v>7</v>
      </c>
      <c r="BT2932">
        <v>4</v>
      </c>
      <c r="BU2932">
        <v>0</v>
      </c>
      <c r="BV2932">
        <v>0</v>
      </c>
      <c r="BW2932">
        <v>342</v>
      </c>
      <c r="BZ2932" s="10"/>
      <c r="CA2932" s="7">
        <v>45606</v>
      </c>
      <c r="CE2932">
        <v>126</v>
      </c>
      <c r="CF2932">
        <v>102</v>
      </c>
      <c r="CG2932">
        <v>114</v>
      </c>
      <c r="CI2932">
        <f t="shared" si="252"/>
        <v>2024</v>
      </c>
      <c r="CJ2932" t="str">
        <f t="shared" si="253"/>
        <v>6527_2024</v>
      </c>
    </row>
    <row r="2933" spans="1:88" x14ac:dyDescent="0.25">
      <c r="A2933" t="s">
        <v>79</v>
      </c>
      <c r="B2933" t="s">
        <v>91</v>
      </c>
      <c r="C2933">
        <v>6864</v>
      </c>
      <c r="D2933">
        <v>-33.913178000000002</v>
      </c>
      <c r="E2933">
        <v>151.22473400000001</v>
      </c>
      <c r="F2933">
        <v>4</v>
      </c>
      <c r="G2933" t="s">
        <v>644</v>
      </c>
      <c r="H2933">
        <v>9</v>
      </c>
      <c r="I2933">
        <v>189</v>
      </c>
      <c r="J2933">
        <v>150</v>
      </c>
      <c r="K2933">
        <v>330</v>
      </c>
      <c r="L2933">
        <v>189</v>
      </c>
      <c r="M2933">
        <v>9</v>
      </c>
      <c r="N2933">
        <v>318</v>
      </c>
      <c r="O2933">
        <v>138</v>
      </c>
      <c r="T2933">
        <v>72</v>
      </c>
      <c r="U2933">
        <v>80</v>
      </c>
      <c r="V2933">
        <v>1</v>
      </c>
      <c r="Y2933">
        <v>54</v>
      </c>
      <c r="Z2933">
        <v>26</v>
      </c>
      <c r="AA2933">
        <v>118</v>
      </c>
      <c r="AD2933">
        <v>125</v>
      </c>
      <c r="AE2933">
        <v>32</v>
      </c>
      <c r="AF2933">
        <v>14</v>
      </c>
      <c r="AI2933">
        <v>8</v>
      </c>
      <c r="AJ2933">
        <v>130</v>
      </c>
      <c r="AK2933">
        <v>18</v>
      </c>
      <c r="AX2933">
        <v>153</v>
      </c>
      <c r="AY2933">
        <v>187</v>
      </c>
      <c r="AZ2933">
        <v>340</v>
      </c>
      <c r="BA2933">
        <v>198</v>
      </c>
      <c r="BB2933">
        <v>234</v>
      </c>
      <c r="BC2933">
        <v>432</v>
      </c>
      <c r="BD2933">
        <v>171</v>
      </c>
      <c r="BE2933">
        <v>124</v>
      </c>
      <c r="BF2933">
        <v>295</v>
      </c>
      <c r="BG2933">
        <v>156</v>
      </c>
      <c r="BH2933">
        <v>133</v>
      </c>
      <c r="BI2933">
        <v>289</v>
      </c>
      <c r="BP2933">
        <v>288</v>
      </c>
      <c r="BQ2933">
        <v>64</v>
      </c>
      <c r="BR2933">
        <v>274</v>
      </c>
      <c r="BS2933">
        <v>43</v>
      </c>
      <c r="BT2933">
        <v>8</v>
      </c>
      <c r="BU2933">
        <v>1</v>
      </c>
      <c r="BV2933">
        <v>0</v>
      </c>
      <c r="BW2933">
        <v>678</v>
      </c>
      <c r="BZ2933" s="10"/>
      <c r="CA2933" s="7">
        <v>45606</v>
      </c>
      <c r="CE2933">
        <v>235</v>
      </c>
      <c r="CF2933">
        <v>245</v>
      </c>
      <c r="CG2933">
        <v>198</v>
      </c>
      <c r="CI2933">
        <f t="shared" si="252"/>
        <v>2024</v>
      </c>
      <c r="CJ2933" t="str">
        <f t="shared" si="253"/>
        <v>6864_2024</v>
      </c>
    </row>
    <row r="2934" spans="1:88" x14ac:dyDescent="0.25">
      <c r="A2934" t="s">
        <v>79</v>
      </c>
      <c r="B2934" t="s">
        <v>91</v>
      </c>
      <c r="C2934">
        <v>7625</v>
      </c>
      <c r="D2934">
        <v>-33.926228000000002</v>
      </c>
      <c r="E2934">
        <v>151.230929</v>
      </c>
      <c r="F2934">
        <v>4</v>
      </c>
      <c r="G2934" t="s">
        <v>886</v>
      </c>
      <c r="H2934">
        <v>98</v>
      </c>
      <c r="I2934">
        <v>278</v>
      </c>
      <c r="J2934">
        <v>135</v>
      </c>
      <c r="K2934">
        <v>315</v>
      </c>
      <c r="L2934">
        <v>279</v>
      </c>
      <c r="M2934">
        <v>99</v>
      </c>
      <c r="N2934">
        <v>312</v>
      </c>
      <c r="O2934">
        <v>132</v>
      </c>
      <c r="T2934">
        <v>1</v>
      </c>
      <c r="U2934">
        <v>0</v>
      </c>
      <c r="V2934">
        <v>0</v>
      </c>
      <c r="Y2934">
        <v>0</v>
      </c>
      <c r="Z2934">
        <v>0</v>
      </c>
      <c r="AA2934">
        <v>0</v>
      </c>
      <c r="AD2934">
        <v>0</v>
      </c>
      <c r="AE2934">
        <v>0</v>
      </c>
      <c r="AF2934">
        <v>0</v>
      </c>
      <c r="AI2934">
        <v>0</v>
      </c>
      <c r="AJ2934">
        <v>0</v>
      </c>
      <c r="AK2934">
        <v>0</v>
      </c>
      <c r="AX2934">
        <v>1</v>
      </c>
      <c r="AY2934">
        <v>0</v>
      </c>
      <c r="AZ2934">
        <v>1</v>
      </c>
      <c r="BA2934">
        <v>0</v>
      </c>
      <c r="BB2934">
        <v>1</v>
      </c>
      <c r="BC2934">
        <v>1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P2934">
        <v>0</v>
      </c>
      <c r="BQ2934">
        <v>1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1</v>
      </c>
      <c r="BZ2934" s="10"/>
      <c r="CA2934" s="7">
        <v>45606</v>
      </c>
      <c r="CE2934">
        <v>1</v>
      </c>
      <c r="CF2934">
        <v>0</v>
      </c>
      <c r="CG2934">
        <v>0</v>
      </c>
      <c r="CI2934">
        <f t="shared" si="252"/>
        <v>2024</v>
      </c>
      <c r="CJ2934" t="str">
        <f t="shared" si="253"/>
        <v>7625_2024</v>
      </c>
    </row>
    <row r="2935" spans="1:88" x14ac:dyDescent="0.25">
      <c r="A2935" t="s">
        <v>79</v>
      </c>
      <c r="B2935" t="s">
        <v>91</v>
      </c>
      <c r="C2935">
        <v>7735</v>
      </c>
      <c r="D2935">
        <v>-33.927124999999997</v>
      </c>
      <c r="E2935">
        <v>151.239</v>
      </c>
      <c r="F2935">
        <v>4</v>
      </c>
      <c r="G2935" t="s">
        <v>935</v>
      </c>
      <c r="H2935">
        <v>10</v>
      </c>
      <c r="I2935">
        <v>190</v>
      </c>
      <c r="J2935">
        <v>98</v>
      </c>
      <c r="K2935">
        <v>278</v>
      </c>
      <c r="L2935">
        <v>190</v>
      </c>
      <c r="M2935">
        <v>10</v>
      </c>
      <c r="N2935">
        <v>278</v>
      </c>
      <c r="O2935">
        <v>98</v>
      </c>
      <c r="T2935">
        <v>9</v>
      </c>
      <c r="U2935">
        <v>54</v>
      </c>
      <c r="V2935">
        <v>9</v>
      </c>
      <c r="Y2935">
        <v>10</v>
      </c>
      <c r="Z2935">
        <v>24</v>
      </c>
      <c r="AA2935">
        <v>6</v>
      </c>
      <c r="AD2935">
        <v>46</v>
      </c>
      <c r="AE2935">
        <v>18</v>
      </c>
      <c r="AF2935">
        <v>11</v>
      </c>
      <c r="AI2935">
        <v>5</v>
      </c>
      <c r="AJ2935">
        <v>2</v>
      </c>
      <c r="AK2935">
        <v>5</v>
      </c>
      <c r="AX2935">
        <v>72</v>
      </c>
      <c r="AY2935">
        <v>61</v>
      </c>
      <c r="AZ2935">
        <v>133</v>
      </c>
      <c r="BA2935">
        <v>40</v>
      </c>
      <c r="BB2935">
        <v>29</v>
      </c>
      <c r="BC2935">
        <v>69</v>
      </c>
      <c r="BD2935">
        <v>75</v>
      </c>
      <c r="BE2935">
        <v>83</v>
      </c>
      <c r="BF2935">
        <v>158</v>
      </c>
      <c r="BG2935">
        <v>12</v>
      </c>
      <c r="BH2935">
        <v>26</v>
      </c>
      <c r="BI2935">
        <v>38</v>
      </c>
      <c r="BP2935">
        <v>62</v>
      </c>
      <c r="BQ2935">
        <v>16</v>
      </c>
      <c r="BR2935">
        <v>66</v>
      </c>
      <c r="BS2935">
        <v>36</v>
      </c>
      <c r="BT2935">
        <v>18</v>
      </c>
      <c r="BU2935">
        <v>0</v>
      </c>
      <c r="BV2935">
        <v>1</v>
      </c>
      <c r="BW2935">
        <v>199</v>
      </c>
      <c r="BZ2935" s="10"/>
      <c r="CA2935" s="7">
        <v>45606</v>
      </c>
      <c r="CE2935">
        <v>94</v>
      </c>
      <c r="CF2935">
        <v>63</v>
      </c>
      <c r="CG2935">
        <v>42</v>
      </c>
      <c r="CI2935">
        <f t="shared" si="252"/>
        <v>2024</v>
      </c>
      <c r="CJ2935" t="str">
        <f t="shared" si="253"/>
        <v>7735_2024</v>
      </c>
    </row>
    <row r="2936" spans="1:88" x14ac:dyDescent="0.25">
      <c r="A2936" t="s">
        <v>79</v>
      </c>
      <c r="B2936" t="s">
        <v>91</v>
      </c>
      <c r="C2936">
        <v>7895</v>
      </c>
      <c r="D2936">
        <v>-33.919573999999997</v>
      </c>
      <c r="E2936">
        <v>151.22500099999999</v>
      </c>
      <c r="F2936">
        <v>4</v>
      </c>
      <c r="G2936" t="s">
        <v>1057</v>
      </c>
      <c r="H2936">
        <v>82</v>
      </c>
      <c r="I2936">
        <v>262</v>
      </c>
      <c r="J2936">
        <v>172</v>
      </c>
      <c r="K2936">
        <v>352</v>
      </c>
      <c r="L2936">
        <v>262</v>
      </c>
      <c r="M2936">
        <v>82</v>
      </c>
      <c r="N2936">
        <v>352</v>
      </c>
      <c r="O2936">
        <v>172</v>
      </c>
      <c r="T2936">
        <v>13</v>
      </c>
      <c r="U2936">
        <v>51</v>
      </c>
      <c r="V2936">
        <v>10</v>
      </c>
      <c r="Y2936">
        <v>4</v>
      </c>
      <c r="Z2936">
        <v>15</v>
      </c>
      <c r="AA2936">
        <v>44</v>
      </c>
      <c r="AD2936">
        <v>36</v>
      </c>
      <c r="AE2936">
        <v>14</v>
      </c>
      <c r="AF2936">
        <v>16</v>
      </c>
      <c r="AI2936">
        <v>6</v>
      </c>
      <c r="AJ2936">
        <v>62</v>
      </c>
      <c r="AK2936">
        <v>9</v>
      </c>
      <c r="AX2936">
        <v>74</v>
      </c>
      <c r="AY2936">
        <v>46</v>
      </c>
      <c r="AZ2936">
        <v>120</v>
      </c>
      <c r="BA2936">
        <v>63</v>
      </c>
      <c r="BB2936">
        <v>89</v>
      </c>
      <c r="BC2936">
        <v>152</v>
      </c>
      <c r="BD2936">
        <v>66</v>
      </c>
      <c r="BE2936">
        <v>75</v>
      </c>
      <c r="BF2936">
        <v>141</v>
      </c>
      <c r="BG2936">
        <v>77</v>
      </c>
      <c r="BH2936">
        <v>70</v>
      </c>
      <c r="BI2936">
        <v>147</v>
      </c>
      <c r="BP2936">
        <v>108</v>
      </c>
      <c r="BQ2936">
        <v>44</v>
      </c>
      <c r="BR2936">
        <v>120</v>
      </c>
      <c r="BS2936">
        <v>2</v>
      </c>
      <c r="BT2936">
        <v>4</v>
      </c>
      <c r="BU2936">
        <v>2</v>
      </c>
      <c r="BV2936">
        <v>0</v>
      </c>
      <c r="BW2936">
        <v>280</v>
      </c>
      <c r="BZ2936" s="10"/>
      <c r="CA2936" s="7">
        <v>45606</v>
      </c>
      <c r="CE2936">
        <v>114</v>
      </c>
      <c r="CF2936">
        <v>87</v>
      </c>
      <c r="CG2936">
        <v>79</v>
      </c>
      <c r="CI2936">
        <f t="shared" si="252"/>
        <v>2024</v>
      </c>
      <c r="CJ2936" t="str">
        <f t="shared" si="253"/>
        <v>7895_2024</v>
      </c>
    </row>
    <row r="2937" spans="1:88" x14ac:dyDescent="0.25">
      <c r="A2937" t="s">
        <v>79</v>
      </c>
      <c r="B2937" t="s">
        <v>91</v>
      </c>
      <c r="C2937">
        <v>7897</v>
      </c>
      <c r="D2937">
        <v>-33.920206</v>
      </c>
      <c r="E2937">
        <v>151.24270100000001</v>
      </c>
      <c r="F2937">
        <v>4</v>
      </c>
      <c r="G2937" t="s">
        <v>1059</v>
      </c>
      <c r="H2937">
        <v>100</v>
      </c>
      <c r="I2937">
        <v>280</v>
      </c>
      <c r="J2937">
        <v>175</v>
      </c>
      <c r="K2937">
        <v>355</v>
      </c>
      <c r="L2937">
        <v>280</v>
      </c>
      <c r="M2937">
        <v>100</v>
      </c>
      <c r="N2937">
        <v>355</v>
      </c>
      <c r="O2937">
        <v>175</v>
      </c>
      <c r="T2937">
        <v>58</v>
      </c>
      <c r="U2937">
        <v>23</v>
      </c>
      <c r="V2937">
        <v>143</v>
      </c>
      <c r="Y2937">
        <v>80</v>
      </c>
      <c r="Z2937">
        <v>17</v>
      </c>
      <c r="AA2937">
        <v>148</v>
      </c>
      <c r="AD2937">
        <v>53</v>
      </c>
      <c r="AE2937">
        <v>25</v>
      </c>
      <c r="AF2937">
        <v>65</v>
      </c>
      <c r="AI2937">
        <v>164</v>
      </c>
      <c r="AJ2937">
        <v>138</v>
      </c>
      <c r="AK2937">
        <v>48</v>
      </c>
      <c r="AX2937">
        <v>224</v>
      </c>
      <c r="AY2937">
        <v>297</v>
      </c>
      <c r="AZ2937">
        <v>521</v>
      </c>
      <c r="BA2937">
        <v>245</v>
      </c>
      <c r="BB2937">
        <v>221</v>
      </c>
      <c r="BC2937">
        <v>466</v>
      </c>
      <c r="BD2937">
        <v>143</v>
      </c>
      <c r="BE2937">
        <v>88</v>
      </c>
      <c r="BF2937">
        <v>231</v>
      </c>
      <c r="BG2937">
        <v>350</v>
      </c>
      <c r="BH2937">
        <v>356</v>
      </c>
      <c r="BI2937">
        <v>706</v>
      </c>
      <c r="BP2937">
        <v>47</v>
      </c>
      <c r="BQ2937">
        <v>32</v>
      </c>
      <c r="BR2937">
        <v>785</v>
      </c>
      <c r="BS2937">
        <v>18</v>
      </c>
      <c r="BT2937">
        <v>55</v>
      </c>
      <c r="BU2937">
        <v>1</v>
      </c>
      <c r="BV2937">
        <v>24</v>
      </c>
      <c r="BW2937">
        <v>962</v>
      </c>
      <c r="BZ2937" s="10"/>
      <c r="CA2937" s="7">
        <v>45606</v>
      </c>
      <c r="CE2937">
        <v>173</v>
      </c>
      <c r="CF2937">
        <v>397</v>
      </c>
      <c r="CG2937">
        <v>392</v>
      </c>
      <c r="CI2937">
        <f t="shared" si="252"/>
        <v>2024</v>
      </c>
      <c r="CJ2937" t="str">
        <f t="shared" si="253"/>
        <v>7897_2024</v>
      </c>
    </row>
    <row r="2938" spans="1:88" x14ac:dyDescent="0.25">
      <c r="A2938" t="s">
        <v>79</v>
      </c>
      <c r="B2938" t="s">
        <v>1195</v>
      </c>
      <c r="C2938">
        <v>8339</v>
      </c>
      <c r="D2938">
        <v>-33.818263000000002</v>
      </c>
      <c r="E2938">
        <v>151.080602</v>
      </c>
      <c r="F2938">
        <v>3</v>
      </c>
      <c r="G2938" t="s">
        <v>1196</v>
      </c>
      <c r="H2938">
        <v>139</v>
      </c>
      <c r="I2938">
        <v>319</v>
      </c>
      <c r="J2938">
        <v>265</v>
      </c>
      <c r="K2938">
        <v>85</v>
      </c>
      <c r="L2938">
        <v>323</v>
      </c>
      <c r="M2938">
        <v>143</v>
      </c>
      <c r="T2938">
        <v>262</v>
      </c>
      <c r="U2938">
        <v>91</v>
      </c>
      <c r="Y2938">
        <v>257</v>
      </c>
      <c r="Z2938">
        <v>4</v>
      </c>
      <c r="AD2938">
        <v>93</v>
      </c>
      <c r="AE2938">
        <v>0</v>
      </c>
      <c r="AX2938">
        <v>353</v>
      </c>
      <c r="AY2938">
        <v>350</v>
      </c>
      <c r="AZ2938">
        <v>703</v>
      </c>
      <c r="BA2938">
        <v>261</v>
      </c>
      <c r="BB2938">
        <v>262</v>
      </c>
      <c r="BC2938">
        <v>523</v>
      </c>
      <c r="BD2938">
        <v>93</v>
      </c>
      <c r="BE2938">
        <v>95</v>
      </c>
      <c r="BF2938">
        <v>188</v>
      </c>
      <c r="BP2938">
        <v>291</v>
      </c>
      <c r="BQ2938">
        <v>30</v>
      </c>
      <c r="BR2938">
        <v>250</v>
      </c>
      <c r="BS2938">
        <v>106</v>
      </c>
      <c r="BT2938">
        <v>15</v>
      </c>
      <c r="BU2938">
        <v>15</v>
      </c>
      <c r="BV2938">
        <v>0</v>
      </c>
      <c r="BW2938">
        <v>707</v>
      </c>
      <c r="BZ2938" s="10"/>
      <c r="CA2938" s="7">
        <v>45606</v>
      </c>
      <c r="CE2938">
        <v>298</v>
      </c>
      <c r="CF2938">
        <v>225</v>
      </c>
      <c r="CG2938">
        <v>184</v>
      </c>
      <c r="CI2938">
        <f t="shared" si="252"/>
        <v>2024</v>
      </c>
      <c r="CJ2938" t="str">
        <f t="shared" si="253"/>
        <v>8339_2024</v>
      </c>
    </row>
    <row r="2939" spans="1:88" x14ac:dyDescent="0.25">
      <c r="A2939" t="s">
        <v>79</v>
      </c>
      <c r="B2939" t="s">
        <v>1195</v>
      </c>
      <c r="C2939">
        <v>8340</v>
      </c>
      <c r="D2939">
        <v>-33.819009000000001</v>
      </c>
      <c r="E2939">
        <v>151.08578399999999</v>
      </c>
      <c r="F2939">
        <v>3</v>
      </c>
      <c r="G2939" t="s">
        <v>1197</v>
      </c>
      <c r="H2939">
        <v>19</v>
      </c>
      <c r="I2939">
        <v>199</v>
      </c>
      <c r="J2939">
        <v>83</v>
      </c>
      <c r="K2939">
        <v>263</v>
      </c>
      <c r="L2939">
        <v>290</v>
      </c>
      <c r="M2939">
        <v>110</v>
      </c>
      <c r="T2939">
        <v>94</v>
      </c>
      <c r="U2939">
        <v>13</v>
      </c>
      <c r="Y2939">
        <v>77</v>
      </c>
      <c r="Z2939">
        <v>504</v>
      </c>
      <c r="AD2939">
        <v>26</v>
      </c>
      <c r="AE2939">
        <v>504</v>
      </c>
      <c r="AX2939">
        <v>107</v>
      </c>
      <c r="AY2939">
        <v>103</v>
      </c>
      <c r="AZ2939">
        <v>210</v>
      </c>
      <c r="BA2939">
        <v>581</v>
      </c>
      <c r="BB2939">
        <v>598</v>
      </c>
      <c r="BC2939">
        <v>1179</v>
      </c>
      <c r="BD2939">
        <v>530</v>
      </c>
      <c r="BE2939">
        <v>517</v>
      </c>
      <c r="BF2939">
        <v>1047</v>
      </c>
      <c r="BP2939">
        <v>319</v>
      </c>
      <c r="BQ2939">
        <v>32</v>
      </c>
      <c r="BR2939">
        <v>618</v>
      </c>
      <c r="BS2939">
        <v>166</v>
      </c>
      <c r="BT2939">
        <v>61</v>
      </c>
      <c r="BU2939">
        <v>10</v>
      </c>
      <c r="BV2939">
        <v>12</v>
      </c>
      <c r="BW2939">
        <v>1218</v>
      </c>
      <c r="BZ2939" s="10"/>
      <c r="CA2939" s="7">
        <v>45606</v>
      </c>
      <c r="CE2939">
        <v>440</v>
      </c>
      <c r="CF2939">
        <v>440</v>
      </c>
      <c r="CG2939">
        <v>338</v>
      </c>
      <c r="CI2939">
        <f t="shared" si="252"/>
        <v>2024</v>
      </c>
      <c r="CJ2939" t="str">
        <f t="shared" si="253"/>
        <v>8340_2024</v>
      </c>
    </row>
    <row r="2940" spans="1:88" x14ac:dyDescent="0.25">
      <c r="A2940" t="s">
        <v>79</v>
      </c>
      <c r="B2940" t="s">
        <v>1195</v>
      </c>
      <c r="C2940">
        <v>8341</v>
      </c>
      <c r="D2940">
        <v>-33.820988999999997</v>
      </c>
      <c r="E2940">
        <v>151.094336</v>
      </c>
      <c r="F2940">
        <v>3</v>
      </c>
      <c r="G2940" t="s">
        <v>1198</v>
      </c>
      <c r="H2940">
        <v>81</v>
      </c>
      <c r="I2940">
        <v>261</v>
      </c>
      <c r="J2940">
        <v>171</v>
      </c>
      <c r="K2940">
        <v>351</v>
      </c>
      <c r="L2940">
        <v>340</v>
      </c>
      <c r="M2940">
        <v>160</v>
      </c>
      <c r="T2940">
        <v>112</v>
      </c>
      <c r="U2940">
        <v>19</v>
      </c>
      <c r="Y2940">
        <v>53</v>
      </c>
      <c r="Z2940">
        <v>705</v>
      </c>
      <c r="AD2940">
        <v>29</v>
      </c>
      <c r="AE2940">
        <v>881</v>
      </c>
      <c r="AX2940">
        <v>131</v>
      </c>
      <c r="AY2940">
        <v>82</v>
      </c>
      <c r="AZ2940">
        <v>213</v>
      </c>
      <c r="BA2940">
        <v>758</v>
      </c>
      <c r="BB2940">
        <v>993</v>
      </c>
      <c r="BC2940">
        <v>1751</v>
      </c>
      <c r="BD2940">
        <v>910</v>
      </c>
      <c r="BE2940">
        <v>724</v>
      </c>
      <c r="BF2940">
        <v>1634</v>
      </c>
      <c r="BP2940">
        <v>120</v>
      </c>
      <c r="BQ2940">
        <v>1</v>
      </c>
      <c r="BR2940">
        <v>1520</v>
      </c>
      <c r="BS2940">
        <v>40</v>
      </c>
      <c r="BT2940">
        <v>108</v>
      </c>
      <c r="BU2940">
        <v>0</v>
      </c>
      <c r="BV2940">
        <v>10</v>
      </c>
      <c r="BW2940">
        <v>1799</v>
      </c>
      <c r="BZ2940" s="10"/>
      <c r="CA2940" s="7">
        <v>45606</v>
      </c>
      <c r="CE2940">
        <v>466</v>
      </c>
      <c r="CF2940">
        <v>614</v>
      </c>
      <c r="CG2940">
        <v>719</v>
      </c>
      <c r="CI2940">
        <f t="shared" ref="CI2940:CI3003" si="254">YEAR(CA2940)</f>
        <v>2024</v>
      </c>
      <c r="CJ2940" t="str">
        <f t="shared" si="253"/>
        <v>8341_2024</v>
      </c>
    </row>
    <row r="2941" spans="1:88" x14ac:dyDescent="0.25">
      <c r="A2941" t="s">
        <v>79</v>
      </c>
      <c r="B2941" t="s">
        <v>1195</v>
      </c>
      <c r="C2941">
        <v>8342</v>
      </c>
      <c r="D2941">
        <v>-33.819923000000003</v>
      </c>
      <c r="E2941">
        <v>151.08970500000001</v>
      </c>
      <c r="F2941">
        <v>3</v>
      </c>
      <c r="G2941" t="s">
        <v>1199</v>
      </c>
      <c r="H2941">
        <v>102</v>
      </c>
      <c r="I2941">
        <v>282</v>
      </c>
      <c r="J2941">
        <v>226</v>
      </c>
      <c r="K2941">
        <v>46</v>
      </c>
      <c r="L2941">
        <v>350</v>
      </c>
      <c r="M2941">
        <v>170</v>
      </c>
      <c r="T2941">
        <v>7</v>
      </c>
      <c r="U2941">
        <v>140</v>
      </c>
      <c r="Y2941">
        <v>3</v>
      </c>
      <c r="Z2941">
        <v>71</v>
      </c>
      <c r="AD2941">
        <v>207</v>
      </c>
      <c r="AE2941">
        <v>77</v>
      </c>
      <c r="AX2941">
        <v>147</v>
      </c>
      <c r="AY2941">
        <v>210</v>
      </c>
      <c r="AZ2941">
        <v>357</v>
      </c>
      <c r="BA2941">
        <v>74</v>
      </c>
      <c r="BB2941">
        <v>84</v>
      </c>
      <c r="BC2941">
        <v>158</v>
      </c>
      <c r="BD2941">
        <v>284</v>
      </c>
      <c r="BE2941">
        <v>211</v>
      </c>
      <c r="BF2941">
        <v>495</v>
      </c>
      <c r="BP2941">
        <v>141</v>
      </c>
      <c r="BQ2941">
        <v>5</v>
      </c>
      <c r="BR2941">
        <v>294</v>
      </c>
      <c r="BS2941">
        <v>30</v>
      </c>
      <c r="BT2941">
        <v>23</v>
      </c>
      <c r="BU2941">
        <v>6</v>
      </c>
      <c r="BV2941">
        <v>6</v>
      </c>
      <c r="BW2941">
        <v>505</v>
      </c>
      <c r="BZ2941" s="10"/>
      <c r="CA2941" s="7">
        <v>45606</v>
      </c>
      <c r="CE2941">
        <v>165</v>
      </c>
      <c r="CF2941">
        <v>191</v>
      </c>
      <c r="CG2941">
        <v>149</v>
      </c>
      <c r="CI2941">
        <f t="shared" si="254"/>
        <v>2024</v>
      </c>
      <c r="CJ2941" t="str">
        <f t="shared" si="253"/>
        <v>8342_2024</v>
      </c>
    </row>
    <row r="2942" spans="1:88" x14ac:dyDescent="0.25">
      <c r="A2942" t="s">
        <v>79</v>
      </c>
      <c r="B2942" t="s">
        <v>1195</v>
      </c>
      <c r="C2942">
        <v>8343</v>
      </c>
      <c r="D2942">
        <v>-33.823134000000003</v>
      </c>
      <c r="E2942">
        <v>151.09821400000001</v>
      </c>
      <c r="F2942">
        <v>3</v>
      </c>
      <c r="G2942" t="s">
        <v>1200</v>
      </c>
      <c r="H2942">
        <v>42</v>
      </c>
      <c r="I2942">
        <v>222</v>
      </c>
      <c r="J2942">
        <v>125</v>
      </c>
      <c r="K2942">
        <v>305</v>
      </c>
      <c r="L2942">
        <v>309</v>
      </c>
      <c r="M2942">
        <v>129</v>
      </c>
      <c r="T2942">
        <v>5</v>
      </c>
      <c r="U2942">
        <v>43</v>
      </c>
      <c r="Y2942">
        <v>8</v>
      </c>
      <c r="Z2942">
        <v>172</v>
      </c>
      <c r="AD2942">
        <v>38</v>
      </c>
      <c r="AE2942">
        <v>194</v>
      </c>
      <c r="AX2942">
        <v>48</v>
      </c>
      <c r="AY2942">
        <v>46</v>
      </c>
      <c r="AZ2942">
        <v>94</v>
      </c>
      <c r="BA2942">
        <v>180</v>
      </c>
      <c r="BB2942">
        <v>199</v>
      </c>
      <c r="BC2942">
        <v>379</v>
      </c>
      <c r="BD2942">
        <v>232</v>
      </c>
      <c r="BE2942">
        <v>215</v>
      </c>
      <c r="BF2942">
        <v>447</v>
      </c>
      <c r="BP2942">
        <v>114</v>
      </c>
      <c r="BQ2942">
        <v>9</v>
      </c>
      <c r="BR2942">
        <v>281</v>
      </c>
      <c r="BS2942">
        <v>24</v>
      </c>
      <c r="BT2942">
        <v>24</v>
      </c>
      <c r="BU2942">
        <v>8</v>
      </c>
      <c r="BV2942">
        <v>0</v>
      </c>
      <c r="BW2942">
        <v>460</v>
      </c>
      <c r="BZ2942" s="10"/>
      <c r="CA2942" s="7">
        <v>45606</v>
      </c>
      <c r="CE2942">
        <v>159</v>
      </c>
      <c r="CF2942">
        <v>153</v>
      </c>
      <c r="CG2942">
        <v>148</v>
      </c>
      <c r="CI2942">
        <f t="shared" si="254"/>
        <v>2024</v>
      </c>
      <c r="CJ2942" t="str">
        <f t="shared" si="253"/>
        <v>8343_2024</v>
      </c>
    </row>
    <row r="2943" spans="1:88" x14ac:dyDescent="0.25">
      <c r="A2943" t="s">
        <v>79</v>
      </c>
      <c r="B2943" t="s">
        <v>1195</v>
      </c>
      <c r="C2943">
        <v>8344</v>
      </c>
      <c r="D2943">
        <v>-33.783735999999998</v>
      </c>
      <c r="E2943">
        <v>151.117347</v>
      </c>
      <c r="F2943">
        <v>4</v>
      </c>
      <c r="G2943" t="s">
        <v>1201</v>
      </c>
      <c r="H2943">
        <v>0</v>
      </c>
      <c r="I2943">
        <v>180</v>
      </c>
      <c r="J2943">
        <v>55</v>
      </c>
      <c r="K2943">
        <v>235</v>
      </c>
      <c r="L2943">
        <v>231</v>
      </c>
      <c r="M2943">
        <v>51</v>
      </c>
      <c r="N2943">
        <v>267</v>
      </c>
      <c r="O2943">
        <v>87</v>
      </c>
      <c r="T2943">
        <v>0</v>
      </c>
      <c r="U2943">
        <v>0</v>
      </c>
      <c r="V2943">
        <v>0</v>
      </c>
      <c r="Y2943">
        <v>0</v>
      </c>
      <c r="Z2943">
        <v>124</v>
      </c>
      <c r="AA2943">
        <v>1</v>
      </c>
      <c r="AD2943">
        <v>0</v>
      </c>
      <c r="AE2943">
        <v>150</v>
      </c>
      <c r="AF2943">
        <v>3</v>
      </c>
      <c r="AI2943">
        <v>0</v>
      </c>
      <c r="AJ2943">
        <v>0</v>
      </c>
      <c r="AK2943">
        <v>8</v>
      </c>
      <c r="AX2943">
        <v>0</v>
      </c>
      <c r="AY2943">
        <v>0</v>
      </c>
      <c r="AZ2943">
        <v>0</v>
      </c>
      <c r="BA2943">
        <v>125</v>
      </c>
      <c r="BB2943">
        <v>150</v>
      </c>
      <c r="BC2943">
        <v>275</v>
      </c>
      <c r="BD2943">
        <v>153</v>
      </c>
      <c r="BE2943">
        <v>132</v>
      </c>
      <c r="BF2943">
        <v>285</v>
      </c>
      <c r="BG2943">
        <v>8</v>
      </c>
      <c r="BH2943">
        <v>4</v>
      </c>
      <c r="BI2943">
        <v>12</v>
      </c>
      <c r="BP2943">
        <v>45</v>
      </c>
      <c r="BQ2943">
        <v>2</v>
      </c>
      <c r="BR2943">
        <v>179</v>
      </c>
      <c r="BS2943">
        <v>34</v>
      </c>
      <c r="BT2943">
        <v>24</v>
      </c>
      <c r="BU2943">
        <v>2</v>
      </c>
      <c r="BV2943">
        <v>0</v>
      </c>
      <c r="BW2943">
        <v>286</v>
      </c>
      <c r="BZ2943" s="10"/>
      <c r="CA2943" s="7">
        <v>45606</v>
      </c>
      <c r="CE2943">
        <v>145</v>
      </c>
      <c r="CF2943">
        <v>91</v>
      </c>
      <c r="CG2943">
        <v>50</v>
      </c>
      <c r="CI2943">
        <f t="shared" si="254"/>
        <v>2024</v>
      </c>
      <c r="CJ2943" t="str">
        <f t="shared" si="253"/>
        <v>8344_2024</v>
      </c>
    </row>
    <row r="2944" spans="1:88" x14ac:dyDescent="0.25">
      <c r="A2944" t="s">
        <v>79</v>
      </c>
      <c r="B2944" t="s">
        <v>1195</v>
      </c>
      <c r="C2944">
        <v>8345</v>
      </c>
      <c r="D2944">
        <v>-33.814073999999998</v>
      </c>
      <c r="E2944">
        <v>151.14023399999999</v>
      </c>
      <c r="F2944">
        <v>3</v>
      </c>
      <c r="G2944" t="s">
        <v>1202</v>
      </c>
      <c r="H2944">
        <v>15</v>
      </c>
      <c r="I2944">
        <v>195</v>
      </c>
      <c r="J2944">
        <v>191</v>
      </c>
      <c r="K2944">
        <v>11</v>
      </c>
      <c r="L2944">
        <v>257</v>
      </c>
      <c r="M2944">
        <v>77</v>
      </c>
      <c r="T2944">
        <v>21</v>
      </c>
      <c r="U2944">
        <v>2</v>
      </c>
      <c r="Y2944">
        <v>14</v>
      </c>
      <c r="Z2944">
        <v>2</v>
      </c>
      <c r="AD2944">
        <v>4</v>
      </c>
      <c r="AE2944">
        <v>6</v>
      </c>
      <c r="AX2944">
        <v>23</v>
      </c>
      <c r="AY2944">
        <v>18</v>
      </c>
      <c r="AZ2944">
        <v>41</v>
      </c>
      <c r="BA2944">
        <v>16</v>
      </c>
      <c r="BB2944">
        <v>27</v>
      </c>
      <c r="BC2944">
        <v>43</v>
      </c>
      <c r="BD2944">
        <v>10</v>
      </c>
      <c r="BE2944">
        <v>4</v>
      </c>
      <c r="BF2944">
        <v>14</v>
      </c>
      <c r="BP2944">
        <v>21</v>
      </c>
      <c r="BQ2944">
        <v>3</v>
      </c>
      <c r="BR2944">
        <v>17</v>
      </c>
      <c r="BS2944">
        <v>6</v>
      </c>
      <c r="BT2944">
        <v>2</v>
      </c>
      <c r="BU2944">
        <v>0</v>
      </c>
      <c r="BV2944">
        <v>0</v>
      </c>
      <c r="BW2944">
        <v>49</v>
      </c>
      <c r="BZ2944" s="10"/>
      <c r="CA2944" s="7">
        <v>45606</v>
      </c>
      <c r="CE2944">
        <v>16</v>
      </c>
      <c r="CF2944">
        <v>11</v>
      </c>
      <c r="CG2944">
        <v>22</v>
      </c>
      <c r="CI2944">
        <f t="shared" si="254"/>
        <v>2024</v>
      </c>
      <c r="CJ2944" t="str">
        <f t="shared" si="253"/>
        <v>8345_2024</v>
      </c>
    </row>
    <row r="2945" spans="1:88" x14ac:dyDescent="0.25">
      <c r="A2945" t="s">
        <v>111</v>
      </c>
      <c r="B2945" t="s">
        <v>1203</v>
      </c>
      <c r="C2945">
        <v>8354</v>
      </c>
      <c r="D2945">
        <v>-38.367798999999998</v>
      </c>
      <c r="E2945">
        <v>145.70964900000001</v>
      </c>
      <c r="F2945">
        <v>3</v>
      </c>
      <c r="G2945" t="s">
        <v>1204</v>
      </c>
      <c r="H2945">
        <v>134</v>
      </c>
      <c r="I2945">
        <v>314</v>
      </c>
      <c r="J2945">
        <v>228</v>
      </c>
      <c r="K2945">
        <v>48</v>
      </c>
      <c r="L2945">
        <v>317</v>
      </c>
      <c r="M2945">
        <v>137</v>
      </c>
      <c r="T2945">
        <v>9</v>
      </c>
      <c r="U2945">
        <v>19</v>
      </c>
      <c r="Y2945">
        <v>13</v>
      </c>
      <c r="Z2945">
        <v>13</v>
      </c>
      <c r="AD2945">
        <v>20</v>
      </c>
      <c r="AE2945">
        <v>16</v>
      </c>
      <c r="AX2945">
        <v>28</v>
      </c>
      <c r="AY2945">
        <v>33</v>
      </c>
      <c r="AZ2945">
        <v>61</v>
      </c>
      <c r="BA2945">
        <v>26</v>
      </c>
      <c r="BB2945">
        <v>25</v>
      </c>
      <c r="BC2945">
        <v>51</v>
      </c>
      <c r="BD2945">
        <v>36</v>
      </c>
      <c r="BE2945">
        <v>32</v>
      </c>
      <c r="BF2945">
        <v>68</v>
      </c>
      <c r="BP2945">
        <v>13</v>
      </c>
      <c r="BQ2945">
        <v>5</v>
      </c>
      <c r="BR2945">
        <v>54</v>
      </c>
      <c r="BS2945">
        <v>2</v>
      </c>
      <c r="BT2945">
        <v>16</v>
      </c>
      <c r="BU2945">
        <v>0</v>
      </c>
      <c r="BV2945">
        <v>0</v>
      </c>
      <c r="BW2945">
        <v>90</v>
      </c>
      <c r="BZ2945" s="10"/>
      <c r="CA2945" s="7">
        <v>45606</v>
      </c>
      <c r="CE2945">
        <v>28</v>
      </c>
      <c r="CF2945">
        <v>38</v>
      </c>
      <c r="CG2945">
        <v>24</v>
      </c>
      <c r="CI2945">
        <f t="shared" si="254"/>
        <v>2024</v>
      </c>
      <c r="CJ2945" t="str">
        <f t="shared" si="253"/>
        <v>8354_2024</v>
      </c>
    </row>
    <row r="2946" spans="1:88" x14ac:dyDescent="0.25">
      <c r="A2946" t="s">
        <v>111</v>
      </c>
      <c r="B2946" t="s">
        <v>1203</v>
      </c>
      <c r="C2946">
        <v>8355</v>
      </c>
      <c r="D2946">
        <v>-38.547088000000002</v>
      </c>
      <c r="E2946">
        <v>145.94728799999999</v>
      </c>
      <c r="F2946">
        <v>4</v>
      </c>
      <c r="G2946" t="s">
        <v>1205</v>
      </c>
      <c r="H2946">
        <v>63</v>
      </c>
      <c r="I2946">
        <v>243</v>
      </c>
      <c r="J2946">
        <v>153</v>
      </c>
      <c r="K2946">
        <v>333</v>
      </c>
      <c r="L2946">
        <v>247</v>
      </c>
      <c r="M2946">
        <v>67</v>
      </c>
      <c r="N2946">
        <v>338</v>
      </c>
      <c r="O2946">
        <v>158</v>
      </c>
      <c r="T2946">
        <v>1</v>
      </c>
      <c r="U2946">
        <v>0</v>
      </c>
      <c r="V2946">
        <v>1</v>
      </c>
      <c r="Y2946">
        <v>0</v>
      </c>
      <c r="Z2946">
        <v>0</v>
      </c>
      <c r="AA2946">
        <v>23</v>
      </c>
      <c r="AD2946">
        <v>0</v>
      </c>
      <c r="AE2946">
        <v>0</v>
      </c>
      <c r="AF2946">
        <v>0</v>
      </c>
      <c r="AI2946">
        <v>0</v>
      </c>
      <c r="AJ2946">
        <v>23</v>
      </c>
      <c r="AK2946">
        <v>0</v>
      </c>
      <c r="AX2946">
        <v>2</v>
      </c>
      <c r="AY2946">
        <v>0</v>
      </c>
      <c r="AZ2946">
        <v>2</v>
      </c>
      <c r="BA2946">
        <v>23</v>
      </c>
      <c r="BB2946">
        <v>24</v>
      </c>
      <c r="BC2946">
        <v>47</v>
      </c>
      <c r="BD2946">
        <v>0</v>
      </c>
      <c r="BE2946">
        <v>0</v>
      </c>
      <c r="BF2946">
        <v>0</v>
      </c>
      <c r="BG2946">
        <v>23</v>
      </c>
      <c r="BH2946">
        <v>24</v>
      </c>
      <c r="BI2946">
        <v>47</v>
      </c>
      <c r="BP2946">
        <v>20</v>
      </c>
      <c r="BQ2946">
        <v>11</v>
      </c>
      <c r="BR2946">
        <v>9</v>
      </c>
      <c r="BS2946">
        <v>4</v>
      </c>
      <c r="BT2946">
        <v>2</v>
      </c>
      <c r="BU2946">
        <v>2</v>
      </c>
      <c r="BV2946">
        <v>0</v>
      </c>
      <c r="BW2946">
        <v>48</v>
      </c>
      <c r="BZ2946" s="10"/>
      <c r="CA2946" s="7">
        <v>45606</v>
      </c>
      <c r="CE2946">
        <v>10</v>
      </c>
      <c r="CF2946">
        <v>15</v>
      </c>
      <c r="CG2946">
        <v>23</v>
      </c>
      <c r="CI2946">
        <f t="shared" si="254"/>
        <v>2024</v>
      </c>
      <c r="CJ2946" t="str">
        <f t="shared" si="253"/>
        <v>8355_2024</v>
      </c>
    </row>
    <row r="2947" spans="1:88" x14ac:dyDescent="0.25">
      <c r="A2947" t="s">
        <v>111</v>
      </c>
      <c r="B2947" t="s">
        <v>193</v>
      </c>
      <c r="C2947">
        <v>5615</v>
      </c>
      <c r="D2947">
        <v>-37.834007999999997</v>
      </c>
      <c r="E2947">
        <v>145.00463099999999</v>
      </c>
      <c r="F2947">
        <v>2</v>
      </c>
      <c r="G2947" t="s">
        <v>194</v>
      </c>
      <c r="H2947">
        <v>233</v>
      </c>
      <c r="I2947">
        <v>53</v>
      </c>
      <c r="J2947">
        <v>358</v>
      </c>
      <c r="K2947">
        <v>178</v>
      </c>
      <c r="T2947">
        <v>436</v>
      </c>
      <c r="Y2947">
        <v>278</v>
      </c>
      <c r="AX2947">
        <v>436</v>
      </c>
      <c r="AY2947">
        <v>278</v>
      </c>
      <c r="AZ2947">
        <v>714</v>
      </c>
      <c r="BA2947">
        <v>278</v>
      </c>
      <c r="BB2947">
        <v>436</v>
      </c>
      <c r="BC2947">
        <v>714</v>
      </c>
      <c r="BP2947">
        <v>169</v>
      </c>
      <c r="BQ2947">
        <v>9</v>
      </c>
      <c r="BR2947">
        <v>254</v>
      </c>
      <c r="BS2947">
        <v>237</v>
      </c>
      <c r="BT2947">
        <v>44</v>
      </c>
      <c r="BU2947">
        <v>1</v>
      </c>
      <c r="BV2947">
        <v>0</v>
      </c>
      <c r="BW2947">
        <v>714</v>
      </c>
      <c r="BX2947">
        <v>783</v>
      </c>
      <c r="BY2947">
        <v>-8.8122605000000007E-2</v>
      </c>
      <c r="BZ2947" s="10">
        <v>-8.8122605000000007E-2</v>
      </c>
      <c r="CA2947" s="7">
        <v>45606</v>
      </c>
      <c r="CE2947">
        <v>237</v>
      </c>
      <c r="CF2947">
        <v>269</v>
      </c>
      <c r="CG2947">
        <v>208</v>
      </c>
      <c r="CI2947">
        <f t="shared" si="254"/>
        <v>2024</v>
      </c>
      <c r="CJ2947" t="str">
        <f t="shared" ref="CJ2947:CJ3006" si="255">_xlfn.CONCAT(C2947,"_",CI2947)</f>
        <v>5615_2024</v>
      </c>
    </row>
    <row r="2948" spans="1:88" x14ac:dyDescent="0.25">
      <c r="A2948" t="s">
        <v>111</v>
      </c>
      <c r="B2948" t="s">
        <v>193</v>
      </c>
      <c r="C2948">
        <v>5664</v>
      </c>
      <c r="D2948">
        <v>-37.875171999999999</v>
      </c>
      <c r="E2948">
        <v>145.070742</v>
      </c>
      <c r="F2948">
        <v>3</v>
      </c>
      <c r="G2948" t="s">
        <v>248</v>
      </c>
      <c r="H2948">
        <v>86</v>
      </c>
      <c r="I2948">
        <v>266</v>
      </c>
      <c r="J2948">
        <v>165</v>
      </c>
      <c r="K2948">
        <v>345</v>
      </c>
      <c r="L2948">
        <v>294</v>
      </c>
      <c r="M2948">
        <v>114</v>
      </c>
      <c r="T2948">
        <v>99</v>
      </c>
      <c r="U2948">
        <v>210</v>
      </c>
      <c r="Y2948">
        <v>72</v>
      </c>
      <c r="Z2948">
        <v>150</v>
      </c>
      <c r="AD2948">
        <v>215</v>
      </c>
      <c r="AE2948">
        <v>169</v>
      </c>
      <c r="AX2948">
        <v>309</v>
      </c>
      <c r="AY2948">
        <v>287</v>
      </c>
      <c r="AZ2948">
        <v>596</v>
      </c>
      <c r="BA2948">
        <v>222</v>
      </c>
      <c r="BB2948">
        <v>268</v>
      </c>
      <c r="BC2948">
        <v>490</v>
      </c>
      <c r="BD2948">
        <v>384</v>
      </c>
      <c r="BE2948">
        <v>360</v>
      </c>
      <c r="BF2948">
        <v>744</v>
      </c>
      <c r="BP2948">
        <v>380</v>
      </c>
      <c r="BQ2948">
        <v>27</v>
      </c>
      <c r="BR2948">
        <v>267</v>
      </c>
      <c r="BS2948">
        <v>160</v>
      </c>
      <c r="BT2948">
        <v>77</v>
      </c>
      <c r="BU2948">
        <v>3</v>
      </c>
      <c r="BV2948">
        <v>1</v>
      </c>
      <c r="BW2948">
        <v>915</v>
      </c>
      <c r="BX2948">
        <v>966</v>
      </c>
      <c r="BY2948">
        <v>-5.2795030999999999E-2</v>
      </c>
      <c r="BZ2948" s="10">
        <v>-5.2795030999999999E-2</v>
      </c>
      <c r="CA2948" s="7">
        <v>45606</v>
      </c>
      <c r="CE2948">
        <v>324</v>
      </c>
      <c r="CF2948">
        <v>312</v>
      </c>
      <c r="CG2948">
        <v>279</v>
      </c>
      <c r="CI2948">
        <f t="shared" si="254"/>
        <v>2024</v>
      </c>
      <c r="CJ2948" t="str">
        <f t="shared" si="255"/>
        <v>5664_2024</v>
      </c>
    </row>
    <row r="2949" spans="1:88" x14ac:dyDescent="0.25">
      <c r="A2949" t="s">
        <v>111</v>
      </c>
      <c r="B2949" t="s">
        <v>193</v>
      </c>
      <c r="C2949">
        <v>6028</v>
      </c>
      <c r="D2949">
        <v>-37.860838000000001</v>
      </c>
      <c r="E2949">
        <v>145.06187499999999</v>
      </c>
      <c r="F2949">
        <v>2</v>
      </c>
      <c r="G2949" t="s">
        <v>363</v>
      </c>
      <c r="H2949">
        <v>3</v>
      </c>
      <c r="I2949">
        <v>183</v>
      </c>
      <c r="J2949">
        <v>195</v>
      </c>
      <c r="K2949">
        <v>15</v>
      </c>
      <c r="T2949">
        <v>538</v>
      </c>
      <c r="Y2949">
        <v>508</v>
      </c>
      <c r="AX2949">
        <v>538</v>
      </c>
      <c r="AY2949">
        <v>508</v>
      </c>
      <c r="AZ2949">
        <v>1046</v>
      </c>
      <c r="BA2949">
        <v>508</v>
      </c>
      <c r="BB2949">
        <v>538</v>
      </c>
      <c r="BC2949">
        <v>1046</v>
      </c>
      <c r="BP2949">
        <v>387</v>
      </c>
      <c r="BQ2949">
        <v>20</v>
      </c>
      <c r="BR2949">
        <v>320</v>
      </c>
      <c r="BS2949">
        <v>222</v>
      </c>
      <c r="BT2949">
        <v>89</v>
      </c>
      <c r="BU2949">
        <v>5</v>
      </c>
      <c r="BV2949">
        <v>3</v>
      </c>
      <c r="BW2949">
        <v>1046</v>
      </c>
      <c r="BX2949">
        <v>1057</v>
      </c>
      <c r="BY2949">
        <v>-1.0406812E-2</v>
      </c>
      <c r="BZ2949" s="10">
        <v>-1.0406812E-2</v>
      </c>
      <c r="CA2949" s="7">
        <v>45606</v>
      </c>
      <c r="CE2949">
        <v>364</v>
      </c>
      <c r="CF2949">
        <v>384</v>
      </c>
      <c r="CG2949">
        <v>298</v>
      </c>
      <c r="CI2949">
        <f t="shared" si="254"/>
        <v>2024</v>
      </c>
      <c r="CJ2949" t="str">
        <f t="shared" si="255"/>
        <v>6028_2024</v>
      </c>
    </row>
    <row r="2950" spans="1:88" x14ac:dyDescent="0.25">
      <c r="A2950" t="s">
        <v>111</v>
      </c>
      <c r="B2950" t="s">
        <v>193</v>
      </c>
      <c r="C2950">
        <v>7905</v>
      </c>
      <c r="D2950">
        <v>-37.837491</v>
      </c>
      <c r="E2950">
        <v>145.03267700000001</v>
      </c>
      <c r="F2950">
        <v>4</v>
      </c>
      <c r="G2950" t="s">
        <v>1060</v>
      </c>
      <c r="H2950">
        <v>5</v>
      </c>
      <c r="I2950">
        <v>185</v>
      </c>
      <c r="J2950">
        <v>105</v>
      </c>
      <c r="K2950">
        <v>285</v>
      </c>
      <c r="L2950">
        <v>190</v>
      </c>
      <c r="M2950">
        <v>10</v>
      </c>
      <c r="N2950">
        <v>264</v>
      </c>
      <c r="O2950">
        <v>84</v>
      </c>
      <c r="T2950">
        <v>3</v>
      </c>
      <c r="U2950">
        <v>58</v>
      </c>
      <c r="V2950">
        <v>20</v>
      </c>
      <c r="Y2950">
        <v>8</v>
      </c>
      <c r="Z2950">
        <v>7</v>
      </c>
      <c r="AA2950">
        <v>369</v>
      </c>
      <c r="AD2950">
        <v>70</v>
      </c>
      <c r="AE2950">
        <v>0</v>
      </c>
      <c r="AF2950">
        <v>40</v>
      </c>
      <c r="AI2950">
        <v>25</v>
      </c>
      <c r="AJ2950">
        <v>494</v>
      </c>
      <c r="AK2950">
        <v>19</v>
      </c>
      <c r="AX2950">
        <v>81</v>
      </c>
      <c r="AY2950">
        <v>103</v>
      </c>
      <c r="AZ2950">
        <v>184</v>
      </c>
      <c r="BA2950">
        <v>384</v>
      </c>
      <c r="BB2950">
        <v>497</v>
      </c>
      <c r="BC2950">
        <v>881</v>
      </c>
      <c r="BD2950">
        <v>110</v>
      </c>
      <c r="BE2950">
        <v>84</v>
      </c>
      <c r="BF2950">
        <v>194</v>
      </c>
      <c r="BG2950">
        <v>538</v>
      </c>
      <c r="BH2950">
        <v>429</v>
      </c>
      <c r="BI2950">
        <v>967</v>
      </c>
      <c r="BP2950">
        <v>551</v>
      </c>
      <c r="BQ2950">
        <v>49</v>
      </c>
      <c r="BR2950">
        <v>207</v>
      </c>
      <c r="BS2950">
        <v>263</v>
      </c>
      <c r="BT2950">
        <v>35</v>
      </c>
      <c r="BU2950">
        <v>8</v>
      </c>
      <c r="BV2950">
        <v>0</v>
      </c>
      <c r="BW2950">
        <v>1113</v>
      </c>
      <c r="BX2950">
        <v>1041</v>
      </c>
      <c r="BY2950">
        <v>6.9164265000000003E-2</v>
      </c>
      <c r="BZ2950" s="10">
        <v>6.9164265000000003E-2</v>
      </c>
      <c r="CA2950" s="7">
        <v>45606</v>
      </c>
      <c r="CE2950">
        <v>359</v>
      </c>
      <c r="CF2950">
        <v>406</v>
      </c>
      <c r="CG2950">
        <v>348</v>
      </c>
      <c r="CI2950">
        <f t="shared" si="254"/>
        <v>2024</v>
      </c>
      <c r="CJ2950" t="str">
        <f t="shared" si="255"/>
        <v>7905_2024</v>
      </c>
    </row>
    <row r="2951" spans="1:88" x14ac:dyDescent="0.25">
      <c r="A2951" t="s">
        <v>111</v>
      </c>
      <c r="B2951" t="s">
        <v>193</v>
      </c>
      <c r="C2951">
        <v>7906</v>
      </c>
      <c r="D2951">
        <v>-37.844670999999998</v>
      </c>
      <c r="E2951">
        <v>145.03855999999999</v>
      </c>
      <c r="F2951">
        <v>4</v>
      </c>
      <c r="G2951" t="s">
        <v>1061</v>
      </c>
      <c r="H2951">
        <v>96</v>
      </c>
      <c r="I2951">
        <v>276</v>
      </c>
      <c r="J2951">
        <v>135</v>
      </c>
      <c r="K2951">
        <v>315</v>
      </c>
      <c r="L2951">
        <v>275</v>
      </c>
      <c r="M2951">
        <v>95</v>
      </c>
      <c r="N2951">
        <v>343</v>
      </c>
      <c r="O2951">
        <v>163</v>
      </c>
      <c r="T2951">
        <v>4</v>
      </c>
      <c r="U2951">
        <v>14</v>
      </c>
      <c r="V2951">
        <v>1</v>
      </c>
      <c r="Y2951">
        <v>2</v>
      </c>
      <c r="Z2951">
        <v>25</v>
      </c>
      <c r="AA2951">
        <v>111</v>
      </c>
      <c r="AD2951">
        <v>4</v>
      </c>
      <c r="AE2951">
        <v>16</v>
      </c>
      <c r="AF2951">
        <v>24</v>
      </c>
      <c r="AI2951">
        <v>7</v>
      </c>
      <c r="AJ2951">
        <v>118</v>
      </c>
      <c r="AK2951">
        <v>20</v>
      </c>
      <c r="AX2951">
        <v>19</v>
      </c>
      <c r="AY2951">
        <v>13</v>
      </c>
      <c r="AZ2951">
        <v>32</v>
      </c>
      <c r="BA2951">
        <v>138</v>
      </c>
      <c r="BB2951">
        <v>138</v>
      </c>
      <c r="BC2951">
        <v>276</v>
      </c>
      <c r="BD2951">
        <v>44</v>
      </c>
      <c r="BE2951">
        <v>59</v>
      </c>
      <c r="BF2951">
        <v>103</v>
      </c>
      <c r="BG2951">
        <v>145</v>
      </c>
      <c r="BH2951">
        <v>136</v>
      </c>
      <c r="BI2951">
        <v>281</v>
      </c>
      <c r="BP2951">
        <v>67</v>
      </c>
      <c r="BQ2951">
        <v>20</v>
      </c>
      <c r="BR2951">
        <v>156</v>
      </c>
      <c r="BS2951">
        <v>43</v>
      </c>
      <c r="BT2951">
        <v>57</v>
      </c>
      <c r="BU2951">
        <v>2</v>
      </c>
      <c r="BV2951">
        <v>1</v>
      </c>
      <c r="BW2951">
        <v>346</v>
      </c>
      <c r="BX2951">
        <v>246</v>
      </c>
      <c r="BY2951">
        <v>0.40650406500000003</v>
      </c>
      <c r="BZ2951" s="10">
        <v>0.40650406500000003</v>
      </c>
      <c r="CA2951" s="7">
        <v>45606</v>
      </c>
      <c r="CE2951">
        <v>126</v>
      </c>
      <c r="CF2951">
        <v>114</v>
      </c>
      <c r="CG2951">
        <v>106</v>
      </c>
      <c r="CI2951">
        <f t="shared" si="254"/>
        <v>2024</v>
      </c>
      <c r="CJ2951" t="str">
        <f t="shared" si="255"/>
        <v>7906_2024</v>
      </c>
    </row>
    <row r="2952" spans="1:88" x14ac:dyDescent="0.25">
      <c r="A2952" t="s">
        <v>111</v>
      </c>
      <c r="B2952" t="s">
        <v>193</v>
      </c>
      <c r="C2952">
        <v>7907</v>
      </c>
      <c r="D2952">
        <v>-37.853363999999999</v>
      </c>
      <c r="E2952">
        <v>145.056443</v>
      </c>
      <c r="F2952">
        <v>3</v>
      </c>
      <c r="G2952" t="s">
        <v>1062</v>
      </c>
      <c r="H2952">
        <v>70</v>
      </c>
      <c r="I2952">
        <v>250</v>
      </c>
      <c r="J2952">
        <v>161</v>
      </c>
      <c r="K2952">
        <v>341</v>
      </c>
      <c r="L2952">
        <v>308</v>
      </c>
      <c r="M2952">
        <v>128</v>
      </c>
      <c r="T2952">
        <v>2</v>
      </c>
      <c r="U2952">
        <v>297</v>
      </c>
      <c r="Y2952">
        <v>2</v>
      </c>
      <c r="Z2952">
        <v>71</v>
      </c>
      <c r="AD2952">
        <v>338</v>
      </c>
      <c r="AE2952">
        <v>58</v>
      </c>
      <c r="AX2952">
        <v>299</v>
      </c>
      <c r="AY2952">
        <v>340</v>
      </c>
      <c r="AZ2952">
        <v>639</v>
      </c>
      <c r="BA2952">
        <v>73</v>
      </c>
      <c r="BB2952">
        <v>60</v>
      </c>
      <c r="BC2952">
        <v>133</v>
      </c>
      <c r="BD2952">
        <v>396</v>
      </c>
      <c r="BE2952">
        <v>368</v>
      </c>
      <c r="BF2952">
        <v>764</v>
      </c>
      <c r="BP2952">
        <v>431</v>
      </c>
      <c r="BQ2952">
        <v>41</v>
      </c>
      <c r="BR2952">
        <v>97</v>
      </c>
      <c r="BS2952">
        <v>181</v>
      </c>
      <c r="BT2952">
        <v>13</v>
      </c>
      <c r="BU2952">
        <v>3</v>
      </c>
      <c r="BV2952">
        <v>2</v>
      </c>
      <c r="BW2952">
        <v>768</v>
      </c>
      <c r="BX2952">
        <v>774</v>
      </c>
      <c r="BY2952">
        <v>-7.7519379999999999E-3</v>
      </c>
      <c r="BZ2952" s="10">
        <v>-7.7519379999999999E-3</v>
      </c>
      <c r="CA2952" s="7">
        <v>45606</v>
      </c>
      <c r="CE2952">
        <v>262</v>
      </c>
      <c r="CF2952">
        <v>266</v>
      </c>
      <c r="CG2952">
        <v>240</v>
      </c>
      <c r="CI2952">
        <f t="shared" si="254"/>
        <v>2024</v>
      </c>
      <c r="CJ2952" t="str">
        <f t="shared" si="255"/>
        <v>7907_2024</v>
      </c>
    </row>
    <row r="2953" spans="1:88" x14ac:dyDescent="0.25">
      <c r="A2953" t="s">
        <v>111</v>
      </c>
      <c r="B2953" t="s">
        <v>193</v>
      </c>
      <c r="C2953">
        <v>7908</v>
      </c>
      <c r="D2953">
        <v>-37.867620000000002</v>
      </c>
      <c r="E2953">
        <v>145.065034</v>
      </c>
      <c r="F2953">
        <v>4</v>
      </c>
      <c r="G2953" t="s">
        <v>1063</v>
      </c>
      <c r="H2953">
        <v>56</v>
      </c>
      <c r="I2953">
        <v>236</v>
      </c>
      <c r="J2953">
        <v>150</v>
      </c>
      <c r="K2953">
        <v>330</v>
      </c>
      <c r="L2953">
        <v>240</v>
      </c>
      <c r="M2953">
        <v>60</v>
      </c>
      <c r="N2953">
        <v>330</v>
      </c>
      <c r="O2953">
        <v>150</v>
      </c>
      <c r="T2953">
        <v>37</v>
      </c>
      <c r="U2953">
        <v>26</v>
      </c>
      <c r="V2953">
        <v>54</v>
      </c>
      <c r="Y2953">
        <v>20</v>
      </c>
      <c r="Z2953">
        <v>10</v>
      </c>
      <c r="AA2953">
        <v>395</v>
      </c>
      <c r="AD2953">
        <v>22</v>
      </c>
      <c r="AE2953">
        <v>22</v>
      </c>
      <c r="AF2953">
        <v>8</v>
      </c>
      <c r="AI2953">
        <v>56</v>
      </c>
      <c r="AJ2953">
        <v>383</v>
      </c>
      <c r="AK2953">
        <v>4</v>
      </c>
      <c r="AX2953">
        <v>117</v>
      </c>
      <c r="AY2953">
        <v>98</v>
      </c>
      <c r="AZ2953">
        <v>215</v>
      </c>
      <c r="BA2953">
        <v>425</v>
      </c>
      <c r="BB2953">
        <v>442</v>
      </c>
      <c r="BC2953">
        <v>867</v>
      </c>
      <c r="BD2953">
        <v>52</v>
      </c>
      <c r="BE2953">
        <v>40</v>
      </c>
      <c r="BF2953">
        <v>92</v>
      </c>
      <c r="BG2953">
        <v>443</v>
      </c>
      <c r="BH2953">
        <v>457</v>
      </c>
      <c r="BI2953">
        <v>900</v>
      </c>
      <c r="BP2953">
        <v>344</v>
      </c>
      <c r="BQ2953">
        <v>23</v>
      </c>
      <c r="BR2953">
        <v>374</v>
      </c>
      <c r="BS2953">
        <v>158</v>
      </c>
      <c r="BT2953">
        <v>131</v>
      </c>
      <c r="BU2953">
        <v>7</v>
      </c>
      <c r="BV2953">
        <v>0</v>
      </c>
      <c r="BW2953">
        <v>1037</v>
      </c>
      <c r="BX2953">
        <v>989</v>
      </c>
      <c r="BY2953">
        <v>4.8533872999999998E-2</v>
      </c>
      <c r="BZ2953" s="10">
        <v>4.8533872999999998E-2</v>
      </c>
      <c r="CA2953" s="7">
        <v>45606</v>
      </c>
      <c r="CE2953">
        <v>354</v>
      </c>
      <c r="CF2953">
        <v>366</v>
      </c>
      <c r="CG2953">
        <v>317</v>
      </c>
      <c r="CI2953">
        <f t="shared" si="254"/>
        <v>2024</v>
      </c>
      <c r="CJ2953" t="str">
        <f t="shared" si="255"/>
        <v>7908_2024</v>
      </c>
    </row>
    <row r="2954" spans="1:88" x14ac:dyDescent="0.25">
      <c r="A2954" t="s">
        <v>79</v>
      </c>
      <c r="B2954" t="s">
        <v>1206</v>
      </c>
      <c r="C2954">
        <v>8249</v>
      </c>
      <c r="D2954">
        <v>-34.042853000000001</v>
      </c>
      <c r="E2954">
        <v>151.1285</v>
      </c>
      <c r="F2954">
        <v>2</v>
      </c>
      <c r="G2954" t="s">
        <v>1207</v>
      </c>
      <c r="H2954">
        <v>108</v>
      </c>
      <c r="I2954">
        <v>288</v>
      </c>
      <c r="J2954">
        <v>293</v>
      </c>
      <c r="K2954">
        <v>113</v>
      </c>
      <c r="T2954">
        <v>24</v>
      </c>
      <c r="Y2954">
        <v>38</v>
      </c>
      <c r="AX2954">
        <v>24</v>
      </c>
      <c r="AY2954">
        <v>38</v>
      </c>
      <c r="AZ2954">
        <v>62</v>
      </c>
      <c r="BA2954">
        <v>38</v>
      </c>
      <c r="BB2954">
        <v>24</v>
      </c>
      <c r="BC2954">
        <v>62</v>
      </c>
      <c r="BP2954">
        <v>29</v>
      </c>
      <c r="BQ2954">
        <v>7</v>
      </c>
      <c r="BR2954">
        <v>14</v>
      </c>
      <c r="BS2954">
        <v>6</v>
      </c>
      <c r="BT2954">
        <v>5</v>
      </c>
      <c r="BU2954">
        <v>0</v>
      </c>
      <c r="BV2954">
        <v>1</v>
      </c>
      <c r="BW2954">
        <v>62</v>
      </c>
      <c r="BZ2954" s="10"/>
      <c r="CA2954" s="7">
        <v>45606</v>
      </c>
      <c r="CC2954">
        <v>8</v>
      </c>
      <c r="CD2954">
        <v>25</v>
      </c>
      <c r="CE2954">
        <v>29</v>
      </c>
      <c r="CI2954">
        <f t="shared" si="254"/>
        <v>2024</v>
      </c>
      <c r="CJ2954" t="str">
        <f t="shared" si="255"/>
        <v>8249_2024</v>
      </c>
    </row>
    <row r="2955" spans="1:88" x14ac:dyDescent="0.25">
      <c r="A2955" t="s">
        <v>79</v>
      </c>
      <c r="B2955" t="s">
        <v>581</v>
      </c>
      <c r="C2955">
        <v>6632</v>
      </c>
      <c r="D2955">
        <v>-34.044956999999997</v>
      </c>
      <c r="E2955">
        <v>151.052909</v>
      </c>
      <c r="F2955">
        <v>3</v>
      </c>
      <c r="G2955" t="s">
        <v>582</v>
      </c>
      <c r="H2955">
        <v>9</v>
      </c>
      <c r="I2955">
        <v>189</v>
      </c>
      <c r="J2955">
        <v>55</v>
      </c>
      <c r="K2955">
        <v>235</v>
      </c>
      <c r="L2955">
        <v>195</v>
      </c>
      <c r="M2955">
        <v>15</v>
      </c>
      <c r="T2955">
        <v>0</v>
      </c>
      <c r="U2955">
        <v>253</v>
      </c>
      <c r="Y2955">
        <v>0</v>
      </c>
      <c r="Z2955">
        <v>8</v>
      </c>
      <c r="AD2955">
        <v>334</v>
      </c>
      <c r="AE2955">
        <v>47</v>
      </c>
      <c r="AX2955">
        <v>253</v>
      </c>
      <c r="AY2955">
        <v>334</v>
      </c>
      <c r="AZ2955">
        <v>587</v>
      </c>
      <c r="BA2955">
        <v>8</v>
      </c>
      <c r="BB2955">
        <v>47</v>
      </c>
      <c r="BC2955">
        <v>55</v>
      </c>
      <c r="BD2955">
        <v>381</v>
      </c>
      <c r="BE2955">
        <v>261</v>
      </c>
      <c r="BF2955">
        <v>642</v>
      </c>
      <c r="BP2955">
        <v>587</v>
      </c>
      <c r="BQ2955">
        <v>9</v>
      </c>
      <c r="BR2955">
        <v>0</v>
      </c>
      <c r="BS2955">
        <v>2</v>
      </c>
      <c r="BT2955">
        <v>0</v>
      </c>
      <c r="BU2955">
        <v>1</v>
      </c>
      <c r="BV2955">
        <v>43</v>
      </c>
      <c r="BW2955">
        <v>642</v>
      </c>
      <c r="BZ2955" s="10"/>
      <c r="CA2955" s="7">
        <v>45606</v>
      </c>
      <c r="CC2955">
        <v>285</v>
      </c>
      <c r="CD2955">
        <v>247</v>
      </c>
      <c r="CE2955">
        <v>110</v>
      </c>
      <c r="CI2955">
        <f t="shared" si="254"/>
        <v>2024</v>
      </c>
      <c r="CJ2955" t="str">
        <f t="shared" si="255"/>
        <v>6632_2024</v>
      </c>
    </row>
    <row r="2956" spans="1:88" x14ac:dyDescent="0.25">
      <c r="A2956" t="s">
        <v>79</v>
      </c>
      <c r="B2956" t="s">
        <v>581</v>
      </c>
      <c r="C2956">
        <v>6633</v>
      </c>
      <c r="D2956">
        <v>-34.039580999999998</v>
      </c>
      <c r="E2956">
        <v>151.15644399999999</v>
      </c>
      <c r="F2956">
        <v>3</v>
      </c>
      <c r="G2956" t="s">
        <v>583</v>
      </c>
      <c r="H2956">
        <v>46</v>
      </c>
      <c r="I2956">
        <v>226</v>
      </c>
      <c r="J2956">
        <v>182</v>
      </c>
      <c r="K2956">
        <v>2</v>
      </c>
      <c r="L2956">
        <v>264</v>
      </c>
      <c r="M2956">
        <v>84</v>
      </c>
      <c r="T2956">
        <v>91</v>
      </c>
      <c r="U2956">
        <v>243</v>
      </c>
      <c r="Y2956">
        <v>80</v>
      </c>
      <c r="Z2956">
        <v>91</v>
      </c>
      <c r="AD2956">
        <v>247</v>
      </c>
      <c r="AE2956">
        <v>89</v>
      </c>
      <c r="AX2956">
        <v>334</v>
      </c>
      <c r="AY2956">
        <v>327</v>
      </c>
      <c r="AZ2956">
        <v>661</v>
      </c>
      <c r="BA2956">
        <v>171</v>
      </c>
      <c r="BB2956">
        <v>180</v>
      </c>
      <c r="BC2956">
        <v>351</v>
      </c>
      <c r="BD2956">
        <v>336</v>
      </c>
      <c r="BE2956">
        <v>334</v>
      </c>
      <c r="BF2956">
        <v>670</v>
      </c>
      <c r="BP2956">
        <v>701</v>
      </c>
      <c r="BQ2956">
        <v>34</v>
      </c>
      <c r="BR2956">
        <v>21</v>
      </c>
      <c r="BS2956">
        <v>77</v>
      </c>
      <c r="BT2956">
        <v>7</v>
      </c>
      <c r="BU2956">
        <v>1</v>
      </c>
      <c r="BV2956">
        <v>0</v>
      </c>
      <c r="BW2956">
        <v>841</v>
      </c>
      <c r="BZ2956" s="10"/>
      <c r="CA2956" s="7">
        <v>45606</v>
      </c>
      <c r="CC2956">
        <v>335</v>
      </c>
      <c r="CD2956">
        <v>276</v>
      </c>
      <c r="CE2956">
        <v>230</v>
      </c>
      <c r="CI2956">
        <f t="shared" si="254"/>
        <v>2024</v>
      </c>
      <c r="CJ2956" t="str">
        <f t="shared" si="255"/>
        <v>6633_2024</v>
      </c>
    </row>
    <row r="2957" spans="1:88" x14ac:dyDescent="0.25">
      <c r="A2957" t="s">
        <v>79</v>
      </c>
      <c r="B2957" t="s">
        <v>581</v>
      </c>
      <c r="C2957">
        <v>6634</v>
      </c>
      <c r="D2957">
        <v>-33.996353999999997</v>
      </c>
      <c r="E2957">
        <v>151.06937500000001</v>
      </c>
      <c r="F2957">
        <v>2</v>
      </c>
      <c r="G2957" t="s">
        <v>584</v>
      </c>
      <c r="H2957">
        <v>42</v>
      </c>
      <c r="I2957">
        <v>222</v>
      </c>
      <c r="J2957">
        <v>216</v>
      </c>
      <c r="K2957">
        <v>36</v>
      </c>
      <c r="T2957">
        <v>274</v>
      </c>
      <c r="Y2957">
        <v>328</v>
      </c>
      <c r="AX2957">
        <v>274</v>
      </c>
      <c r="AY2957">
        <v>328</v>
      </c>
      <c r="AZ2957">
        <v>602</v>
      </c>
      <c r="BA2957">
        <v>328</v>
      </c>
      <c r="BB2957">
        <v>274</v>
      </c>
      <c r="BC2957">
        <v>602</v>
      </c>
      <c r="BP2957">
        <v>111</v>
      </c>
      <c r="BQ2957">
        <v>5</v>
      </c>
      <c r="BR2957">
        <v>326</v>
      </c>
      <c r="BS2957">
        <v>89</v>
      </c>
      <c r="BT2957">
        <v>63</v>
      </c>
      <c r="BU2957">
        <v>0</v>
      </c>
      <c r="BV2957">
        <v>8</v>
      </c>
      <c r="BW2957">
        <v>602</v>
      </c>
      <c r="BZ2957" s="10"/>
      <c r="CA2957" s="7">
        <v>45606</v>
      </c>
      <c r="CC2957">
        <v>129</v>
      </c>
      <c r="CD2957">
        <v>248</v>
      </c>
      <c r="CE2957">
        <v>225</v>
      </c>
      <c r="CI2957">
        <f t="shared" si="254"/>
        <v>2024</v>
      </c>
      <c r="CJ2957" t="str">
        <f t="shared" si="255"/>
        <v>6634_2024</v>
      </c>
    </row>
    <row r="2958" spans="1:88" x14ac:dyDescent="0.25">
      <c r="A2958" t="s">
        <v>79</v>
      </c>
      <c r="B2958" t="s">
        <v>581</v>
      </c>
      <c r="C2958">
        <v>6635</v>
      </c>
      <c r="D2958">
        <v>-34.039164</v>
      </c>
      <c r="E2958">
        <v>151.137294</v>
      </c>
      <c r="F2958">
        <v>3</v>
      </c>
      <c r="G2958" t="s">
        <v>585</v>
      </c>
      <c r="H2958">
        <v>10</v>
      </c>
      <c r="I2958">
        <v>190</v>
      </c>
      <c r="J2958">
        <v>100</v>
      </c>
      <c r="K2958">
        <v>280</v>
      </c>
      <c r="L2958">
        <v>279</v>
      </c>
      <c r="M2958">
        <v>99</v>
      </c>
      <c r="T2958">
        <v>68</v>
      </c>
      <c r="U2958">
        <v>6</v>
      </c>
      <c r="Y2958">
        <v>90</v>
      </c>
      <c r="Z2958">
        <v>248</v>
      </c>
      <c r="AD2958">
        <v>4</v>
      </c>
      <c r="AE2958">
        <v>299</v>
      </c>
      <c r="AX2958">
        <v>74</v>
      </c>
      <c r="AY2958">
        <v>94</v>
      </c>
      <c r="AZ2958">
        <v>168</v>
      </c>
      <c r="BA2958">
        <v>338</v>
      </c>
      <c r="BB2958">
        <v>367</v>
      </c>
      <c r="BC2958">
        <v>705</v>
      </c>
      <c r="BD2958">
        <v>303</v>
      </c>
      <c r="BE2958">
        <v>254</v>
      </c>
      <c r="BF2958">
        <v>557</v>
      </c>
      <c r="BP2958">
        <v>541</v>
      </c>
      <c r="BQ2958">
        <v>12</v>
      </c>
      <c r="BR2958">
        <v>57</v>
      </c>
      <c r="BS2958">
        <v>80</v>
      </c>
      <c r="BT2958">
        <v>24</v>
      </c>
      <c r="BU2958">
        <v>1</v>
      </c>
      <c r="BV2958">
        <v>0</v>
      </c>
      <c r="BW2958">
        <v>715</v>
      </c>
      <c r="BZ2958" s="10"/>
      <c r="CA2958" s="7">
        <v>45606</v>
      </c>
      <c r="CC2958">
        <v>261</v>
      </c>
      <c r="CD2958">
        <v>247</v>
      </c>
      <c r="CE2958">
        <v>207</v>
      </c>
      <c r="CI2958">
        <f t="shared" si="254"/>
        <v>2024</v>
      </c>
      <c r="CJ2958" t="str">
        <f t="shared" si="255"/>
        <v>6635_2024</v>
      </c>
    </row>
    <row r="2959" spans="1:88" x14ac:dyDescent="0.25">
      <c r="A2959" t="s">
        <v>79</v>
      </c>
      <c r="B2959" t="s">
        <v>581</v>
      </c>
      <c r="C2959">
        <v>6636</v>
      </c>
      <c r="D2959">
        <v>-33.998159999999999</v>
      </c>
      <c r="E2959">
        <v>151.02810299999999</v>
      </c>
      <c r="F2959">
        <v>3</v>
      </c>
      <c r="G2959" t="s">
        <v>586</v>
      </c>
      <c r="H2959">
        <v>111</v>
      </c>
      <c r="I2959">
        <v>291</v>
      </c>
      <c r="J2959">
        <v>258</v>
      </c>
      <c r="K2959">
        <v>78</v>
      </c>
      <c r="L2959">
        <v>350</v>
      </c>
      <c r="M2959">
        <v>170</v>
      </c>
      <c r="T2959">
        <v>50</v>
      </c>
      <c r="U2959">
        <v>12</v>
      </c>
      <c r="Y2959">
        <v>61</v>
      </c>
      <c r="Z2959">
        <v>6</v>
      </c>
      <c r="AD2959">
        <v>18</v>
      </c>
      <c r="AE2959">
        <v>18</v>
      </c>
      <c r="AX2959">
        <v>62</v>
      </c>
      <c r="AY2959">
        <v>79</v>
      </c>
      <c r="AZ2959">
        <v>141</v>
      </c>
      <c r="BA2959">
        <v>67</v>
      </c>
      <c r="BB2959">
        <v>68</v>
      </c>
      <c r="BC2959">
        <v>135</v>
      </c>
      <c r="BD2959">
        <v>36</v>
      </c>
      <c r="BE2959">
        <v>18</v>
      </c>
      <c r="BF2959">
        <v>54</v>
      </c>
      <c r="BP2959">
        <v>22</v>
      </c>
      <c r="BQ2959">
        <v>2</v>
      </c>
      <c r="BR2959">
        <v>60</v>
      </c>
      <c r="BS2959">
        <v>62</v>
      </c>
      <c r="BT2959">
        <v>15</v>
      </c>
      <c r="BU2959">
        <v>2</v>
      </c>
      <c r="BV2959">
        <v>2</v>
      </c>
      <c r="BW2959">
        <v>165</v>
      </c>
      <c r="BZ2959" s="10"/>
      <c r="CA2959" s="7">
        <v>45606</v>
      </c>
      <c r="CC2959">
        <v>51</v>
      </c>
      <c r="CD2959">
        <v>60</v>
      </c>
      <c r="CE2959">
        <v>54</v>
      </c>
      <c r="CI2959">
        <f t="shared" si="254"/>
        <v>2024</v>
      </c>
      <c r="CJ2959" t="str">
        <f t="shared" si="255"/>
        <v>6636_2024</v>
      </c>
    </row>
    <row r="2960" spans="1:88" x14ac:dyDescent="0.25">
      <c r="A2960" t="s">
        <v>79</v>
      </c>
      <c r="B2960" t="s">
        <v>581</v>
      </c>
      <c r="C2960">
        <v>6637</v>
      </c>
      <c r="D2960">
        <v>-34.045518999999999</v>
      </c>
      <c r="E2960">
        <v>151.15904599999999</v>
      </c>
      <c r="F2960">
        <v>2</v>
      </c>
      <c r="G2960" t="s">
        <v>587</v>
      </c>
      <c r="H2960">
        <v>29</v>
      </c>
      <c r="I2960">
        <v>209</v>
      </c>
      <c r="J2960">
        <v>210</v>
      </c>
      <c r="K2960">
        <v>30</v>
      </c>
      <c r="T2960">
        <v>1174</v>
      </c>
      <c r="Y2960">
        <v>861</v>
      </c>
      <c r="AX2960">
        <v>1174</v>
      </c>
      <c r="AY2960">
        <v>861</v>
      </c>
      <c r="AZ2960">
        <v>2035</v>
      </c>
      <c r="BA2960">
        <v>861</v>
      </c>
      <c r="BB2960">
        <v>1174</v>
      </c>
      <c r="BC2960">
        <v>2035</v>
      </c>
      <c r="BP2960">
        <v>23</v>
      </c>
      <c r="BQ2960">
        <v>11</v>
      </c>
      <c r="BR2960">
        <v>1641</v>
      </c>
      <c r="BS2960">
        <v>153</v>
      </c>
      <c r="BT2960">
        <v>199</v>
      </c>
      <c r="BU2960">
        <v>5</v>
      </c>
      <c r="BV2960">
        <v>3</v>
      </c>
      <c r="BW2960">
        <v>2035</v>
      </c>
      <c r="BZ2960" s="10"/>
      <c r="CA2960" s="7">
        <v>45606</v>
      </c>
      <c r="CC2960">
        <v>429</v>
      </c>
      <c r="CD2960">
        <v>764</v>
      </c>
      <c r="CE2960">
        <v>842</v>
      </c>
      <c r="CI2960">
        <f t="shared" si="254"/>
        <v>2024</v>
      </c>
      <c r="CJ2960" t="str">
        <f t="shared" si="255"/>
        <v>6637_2024</v>
      </c>
    </row>
    <row r="2961" spans="1:88" x14ac:dyDescent="0.25">
      <c r="A2961" t="s">
        <v>111</v>
      </c>
      <c r="B2961" t="s">
        <v>1208</v>
      </c>
      <c r="C2961">
        <v>8276</v>
      </c>
      <c r="D2961">
        <v>-38.363771999999997</v>
      </c>
      <c r="E2961">
        <v>142.47879699999999</v>
      </c>
      <c r="F2961">
        <v>4</v>
      </c>
      <c r="G2961" t="s">
        <v>1209</v>
      </c>
      <c r="H2961">
        <v>95</v>
      </c>
      <c r="I2961">
        <v>275</v>
      </c>
      <c r="J2961">
        <v>160</v>
      </c>
      <c r="K2961">
        <v>340</v>
      </c>
      <c r="L2961">
        <v>280</v>
      </c>
      <c r="M2961">
        <v>100</v>
      </c>
      <c r="N2961">
        <v>359</v>
      </c>
      <c r="O2961">
        <v>179</v>
      </c>
      <c r="T2961">
        <v>16</v>
      </c>
      <c r="U2961">
        <v>8</v>
      </c>
      <c r="Y2961">
        <v>27</v>
      </c>
      <c r="Z2961">
        <v>34</v>
      </c>
      <c r="AD2961">
        <v>6</v>
      </c>
      <c r="AE2961">
        <v>17</v>
      </c>
      <c r="AX2961">
        <v>24</v>
      </c>
      <c r="AY2961">
        <v>33</v>
      </c>
      <c r="AZ2961">
        <v>57</v>
      </c>
      <c r="BA2961">
        <v>61</v>
      </c>
      <c r="BB2961">
        <v>33</v>
      </c>
      <c r="BC2961">
        <v>94</v>
      </c>
      <c r="BD2961">
        <v>23</v>
      </c>
      <c r="BE2961">
        <v>42</v>
      </c>
      <c r="BF2961">
        <v>65</v>
      </c>
      <c r="BP2961">
        <v>20</v>
      </c>
      <c r="BQ2961">
        <v>9</v>
      </c>
      <c r="BR2961">
        <v>29</v>
      </c>
      <c r="BS2961">
        <v>21</v>
      </c>
      <c r="BT2961">
        <v>26</v>
      </c>
      <c r="BU2961">
        <v>2</v>
      </c>
      <c r="BV2961">
        <v>1</v>
      </c>
      <c r="BW2961">
        <v>108</v>
      </c>
      <c r="BZ2961" s="10"/>
      <c r="CA2961" s="7">
        <v>45606</v>
      </c>
      <c r="CE2961">
        <v>32</v>
      </c>
      <c r="CF2961">
        <v>54</v>
      </c>
      <c r="CG2961">
        <v>22</v>
      </c>
      <c r="CI2961">
        <f t="shared" si="254"/>
        <v>2024</v>
      </c>
      <c r="CJ2961" t="str">
        <f t="shared" si="255"/>
        <v>8276_2024</v>
      </c>
    </row>
    <row r="2962" spans="1:88" x14ac:dyDescent="0.25">
      <c r="A2962" t="s">
        <v>111</v>
      </c>
      <c r="B2962" t="s">
        <v>1208</v>
      </c>
      <c r="C2962">
        <v>8277</v>
      </c>
      <c r="D2962">
        <v>-38.374600000000001</v>
      </c>
      <c r="E2962">
        <v>142.50160700000001</v>
      </c>
      <c r="F2962">
        <v>5</v>
      </c>
      <c r="G2962" t="s">
        <v>1210</v>
      </c>
      <c r="H2962">
        <v>16</v>
      </c>
      <c r="I2962">
        <v>196</v>
      </c>
      <c r="J2962">
        <v>99</v>
      </c>
      <c r="K2962">
        <v>279</v>
      </c>
      <c r="L2962">
        <v>135</v>
      </c>
      <c r="M2962">
        <v>315</v>
      </c>
      <c r="N2962">
        <v>223</v>
      </c>
      <c r="O2962">
        <v>43</v>
      </c>
      <c r="P2962">
        <v>280</v>
      </c>
      <c r="Q2962">
        <v>100</v>
      </c>
      <c r="T2962">
        <v>6</v>
      </c>
      <c r="U2962">
        <v>0</v>
      </c>
      <c r="V2962">
        <v>8</v>
      </c>
      <c r="W2962">
        <v>0</v>
      </c>
      <c r="Y2962">
        <v>9</v>
      </c>
      <c r="Z2962">
        <v>0</v>
      </c>
      <c r="AA2962">
        <v>10</v>
      </c>
      <c r="AB2962">
        <v>7</v>
      </c>
      <c r="AD2962">
        <v>0</v>
      </c>
      <c r="AE2962">
        <v>0</v>
      </c>
      <c r="AF2962">
        <v>0</v>
      </c>
      <c r="AG2962">
        <v>0</v>
      </c>
      <c r="AI2962">
        <v>8</v>
      </c>
      <c r="AJ2962">
        <v>3</v>
      </c>
      <c r="AK2962">
        <v>0</v>
      </c>
      <c r="AL2962">
        <v>0</v>
      </c>
      <c r="AN2962">
        <v>1</v>
      </c>
      <c r="AO2962">
        <v>4</v>
      </c>
      <c r="AP2962">
        <v>0</v>
      </c>
      <c r="AQ2962">
        <v>0</v>
      </c>
      <c r="AX2962">
        <v>14</v>
      </c>
      <c r="AY2962">
        <v>18</v>
      </c>
      <c r="AZ2962">
        <v>32</v>
      </c>
      <c r="BA2962">
        <v>26</v>
      </c>
      <c r="BB2962">
        <v>13</v>
      </c>
      <c r="BC2962">
        <v>39</v>
      </c>
      <c r="BD2962">
        <v>0</v>
      </c>
      <c r="BE2962">
        <v>0</v>
      </c>
      <c r="BF2962">
        <v>0</v>
      </c>
      <c r="BG2962">
        <v>11</v>
      </c>
      <c r="BH2962">
        <v>18</v>
      </c>
      <c r="BI2962">
        <v>29</v>
      </c>
      <c r="BJ2962">
        <v>5</v>
      </c>
      <c r="BK2962">
        <v>7</v>
      </c>
      <c r="BL2962">
        <v>12</v>
      </c>
      <c r="BP2962">
        <v>13</v>
      </c>
      <c r="BQ2962">
        <v>3</v>
      </c>
      <c r="BR2962">
        <v>20</v>
      </c>
      <c r="BS2962">
        <v>4</v>
      </c>
      <c r="BT2962">
        <v>10</v>
      </c>
      <c r="BU2962">
        <v>3</v>
      </c>
      <c r="BV2962">
        <v>3</v>
      </c>
      <c r="BW2962">
        <v>56</v>
      </c>
      <c r="BZ2962" s="10"/>
      <c r="CA2962" s="7">
        <v>45606</v>
      </c>
      <c r="CE2962">
        <v>15</v>
      </c>
      <c r="CF2962">
        <v>30</v>
      </c>
      <c r="CG2962">
        <v>11</v>
      </c>
      <c r="CI2962">
        <f t="shared" si="254"/>
        <v>2024</v>
      </c>
      <c r="CJ2962" t="str">
        <f t="shared" si="255"/>
        <v>8277_2024</v>
      </c>
    </row>
    <row r="2963" spans="1:88" x14ac:dyDescent="0.25">
      <c r="A2963" t="s">
        <v>111</v>
      </c>
      <c r="B2963" t="s">
        <v>1208</v>
      </c>
      <c r="C2963">
        <v>8278</v>
      </c>
      <c r="D2963">
        <v>-38.389733</v>
      </c>
      <c r="E2963">
        <v>142.48367300000001</v>
      </c>
      <c r="F2963">
        <v>2</v>
      </c>
      <c r="G2963" t="s">
        <v>1211</v>
      </c>
      <c r="H2963">
        <v>170</v>
      </c>
      <c r="I2963">
        <v>350</v>
      </c>
      <c r="J2963">
        <v>345</v>
      </c>
      <c r="K2963">
        <v>165</v>
      </c>
      <c r="T2963">
        <v>105</v>
      </c>
      <c r="Y2963">
        <v>153</v>
      </c>
      <c r="AX2963">
        <v>105</v>
      </c>
      <c r="AY2963">
        <v>153</v>
      </c>
      <c r="AZ2963">
        <v>258</v>
      </c>
      <c r="BA2963">
        <v>153</v>
      </c>
      <c r="BB2963">
        <v>105</v>
      </c>
      <c r="BC2963">
        <v>258</v>
      </c>
      <c r="BP2963">
        <v>34</v>
      </c>
      <c r="BQ2963">
        <v>9</v>
      </c>
      <c r="BR2963">
        <v>163</v>
      </c>
      <c r="BS2963">
        <v>13</v>
      </c>
      <c r="BT2963">
        <v>26</v>
      </c>
      <c r="BU2963">
        <v>10</v>
      </c>
      <c r="BV2963">
        <v>3</v>
      </c>
      <c r="BW2963">
        <v>258</v>
      </c>
      <c r="BZ2963" s="10"/>
      <c r="CA2963" s="7">
        <v>45606</v>
      </c>
      <c r="CE2963">
        <v>107</v>
      </c>
      <c r="CF2963">
        <v>76</v>
      </c>
      <c r="CG2963">
        <v>75</v>
      </c>
      <c r="CI2963">
        <f t="shared" si="254"/>
        <v>2024</v>
      </c>
      <c r="CJ2963" t="str">
        <f t="shared" si="255"/>
        <v>8278_2024</v>
      </c>
    </row>
    <row r="2964" spans="1:88" x14ac:dyDescent="0.25">
      <c r="A2964" t="s">
        <v>111</v>
      </c>
      <c r="B2964" t="s">
        <v>1208</v>
      </c>
      <c r="C2964">
        <v>8279</v>
      </c>
      <c r="D2964">
        <v>-38.348621999999999</v>
      </c>
      <c r="E2964">
        <v>142.47862699999999</v>
      </c>
      <c r="F2964">
        <v>2</v>
      </c>
      <c r="G2964" t="s">
        <v>1212</v>
      </c>
      <c r="H2964">
        <v>138</v>
      </c>
      <c r="I2964">
        <v>318</v>
      </c>
      <c r="J2964">
        <v>307</v>
      </c>
      <c r="K2964">
        <v>127</v>
      </c>
      <c r="T2964">
        <v>1</v>
      </c>
      <c r="Y2964">
        <v>0</v>
      </c>
      <c r="AX2964">
        <v>1</v>
      </c>
      <c r="AY2964">
        <v>0</v>
      </c>
      <c r="AZ2964">
        <v>1</v>
      </c>
      <c r="BA2964">
        <v>0</v>
      </c>
      <c r="BB2964">
        <v>1</v>
      </c>
      <c r="BC2964">
        <v>1</v>
      </c>
      <c r="BP2964">
        <v>1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1</v>
      </c>
      <c r="BZ2964" s="10"/>
      <c r="CA2964" s="7">
        <v>45606</v>
      </c>
      <c r="CE2964">
        <v>0</v>
      </c>
      <c r="CF2964">
        <v>0</v>
      </c>
      <c r="CG2964">
        <v>1</v>
      </c>
      <c r="CI2964">
        <f t="shared" si="254"/>
        <v>2024</v>
      </c>
      <c r="CJ2964" t="str">
        <f t="shared" si="255"/>
        <v>8279_2024</v>
      </c>
    </row>
    <row r="2965" spans="1:88" x14ac:dyDescent="0.25">
      <c r="A2965" t="s">
        <v>111</v>
      </c>
      <c r="B2965" t="s">
        <v>1213</v>
      </c>
      <c r="C2965">
        <v>8318</v>
      </c>
      <c r="D2965">
        <v>-38.595120999999999</v>
      </c>
      <c r="E2965">
        <v>146.668488</v>
      </c>
      <c r="F2965">
        <v>4</v>
      </c>
      <c r="G2965" t="s">
        <v>1214</v>
      </c>
      <c r="H2965">
        <v>94</v>
      </c>
      <c r="I2965">
        <v>274</v>
      </c>
      <c r="J2965">
        <v>231</v>
      </c>
      <c r="K2965">
        <v>51</v>
      </c>
      <c r="L2965">
        <v>280</v>
      </c>
      <c r="M2965">
        <v>100</v>
      </c>
      <c r="N2965">
        <v>351</v>
      </c>
      <c r="O2965">
        <v>171</v>
      </c>
      <c r="T2965">
        <v>1</v>
      </c>
      <c r="U2965">
        <v>0</v>
      </c>
      <c r="V2965">
        <v>0</v>
      </c>
      <c r="Y2965">
        <v>1</v>
      </c>
      <c r="Z2965">
        <v>0</v>
      </c>
      <c r="AA2965">
        <v>8</v>
      </c>
      <c r="AD2965">
        <v>0</v>
      </c>
      <c r="AE2965">
        <v>0</v>
      </c>
      <c r="AF2965">
        <v>0</v>
      </c>
      <c r="AI2965">
        <v>0</v>
      </c>
      <c r="AJ2965">
        <v>9</v>
      </c>
      <c r="AK2965">
        <v>0</v>
      </c>
      <c r="AX2965">
        <v>1</v>
      </c>
      <c r="AY2965">
        <v>1</v>
      </c>
      <c r="AZ2965">
        <v>2</v>
      </c>
      <c r="BA2965">
        <v>9</v>
      </c>
      <c r="BB2965">
        <v>10</v>
      </c>
      <c r="BC2965">
        <v>19</v>
      </c>
      <c r="BD2965">
        <v>0</v>
      </c>
      <c r="BE2965">
        <v>0</v>
      </c>
      <c r="BF2965">
        <v>0</v>
      </c>
      <c r="BG2965">
        <v>9</v>
      </c>
      <c r="BH2965">
        <v>8</v>
      </c>
      <c r="BI2965">
        <v>17</v>
      </c>
      <c r="BP2965">
        <v>14</v>
      </c>
      <c r="BQ2965">
        <v>3</v>
      </c>
      <c r="BR2965">
        <v>2</v>
      </c>
      <c r="BS2965">
        <v>0</v>
      </c>
      <c r="BT2965">
        <v>0</v>
      </c>
      <c r="BU2965">
        <v>0</v>
      </c>
      <c r="BV2965">
        <v>0</v>
      </c>
      <c r="BW2965">
        <v>19</v>
      </c>
      <c r="BZ2965" s="10"/>
      <c r="CA2965" s="7">
        <v>45606</v>
      </c>
      <c r="CE2965">
        <v>9</v>
      </c>
      <c r="CF2965">
        <v>6</v>
      </c>
      <c r="CG2965">
        <v>4</v>
      </c>
      <c r="CI2965">
        <f t="shared" si="254"/>
        <v>2024</v>
      </c>
      <c r="CJ2965" t="str">
        <f t="shared" si="255"/>
        <v>8318_2024</v>
      </c>
    </row>
    <row r="2966" spans="1:88" x14ac:dyDescent="0.25">
      <c r="A2966" t="s">
        <v>111</v>
      </c>
      <c r="B2966" t="s">
        <v>1213</v>
      </c>
      <c r="C2966">
        <v>8321</v>
      </c>
      <c r="D2966">
        <v>-38.650803000000003</v>
      </c>
      <c r="E2966">
        <v>146.67516499999999</v>
      </c>
      <c r="F2966">
        <v>4</v>
      </c>
      <c r="G2966" t="s">
        <v>1215</v>
      </c>
      <c r="H2966">
        <v>56</v>
      </c>
      <c r="I2966">
        <v>236</v>
      </c>
      <c r="J2966">
        <v>157</v>
      </c>
      <c r="K2966">
        <v>337</v>
      </c>
      <c r="L2966">
        <v>218</v>
      </c>
      <c r="M2966">
        <v>38</v>
      </c>
      <c r="N2966">
        <v>340</v>
      </c>
      <c r="O2966">
        <v>160</v>
      </c>
      <c r="T2966">
        <v>0</v>
      </c>
      <c r="U2966">
        <v>0</v>
      </c>
      <c r="V2966">
        <v>0</v>
      </c>
      <c r="Y2966">
        <v>0</v>
      </c>
      <c r="Z2966">
        <v>0</v>
      </c>
      <c r="AA2966">
        <v>17</v>
      </c>
      <c r="AD2966">
        <v>0</v>
      </c>
      <c r="AE2966">
        <v>0</v>
      </c>
      <c r="AF2966">
        <v>0</v>
      </c>
      <c r="AI2966">
        <v>0</v>
      </c>
      <c r="AJ2966">
        <v>8</v>
      </c>
      <c r="AK2966">
        <v>1</v>
      </c>
      <c r="AX2966">
        <v>0</v>
      </c>
      <c r="AY2966">
        <v>0</v>
      </c>
      <c r="AZ2966">
        <v>0</v>
      </c>
      <c r="BA2966">
        <v>17</v>
      </c>
      <c r="BB2966">
        <v>8</v>
      </c>
      <c r="BC2966">
        <v>25</v>
      </c>
      <c r="BD2966">
        <v>0</v>
      </c>
      <c r="BE2966">
        <v>1</v>
      </c>
      <c r="BF2966">
        <v>1</v>
      </c>
      <c r="BG2966">
        <v>9</v>
      </c>
      <c r="BH2966">
        <v>17</v>
      </c>
      <c r="BI2966">
        <v>26</v>
      </c>
      <c r="BP2966">
        <v>12</v>
      </c>
      <c r="BQ2966">
        <v>0</v>
      </c>
      <c r="BR2966">
        <v>3</v>
      </c>
      <c r="BS2966">
        <v>0</v>
      </c>
      <c r="BT2966">
        <v>11</v>
      </c>
      <c r="BU2966">
        <v>0</v>
      </c>
      <c r="BV2966">
        <v>0</v>
      </c>
      <c r="BW2966">
        <v>26</v>
      </c>
      <c r="BZ2966" s="10"/>
      <c r="CA2966" s="7">
        <v>45606</v>
      </c>
      <c r="CE2966">
        <v>8</v>
      </c>
      <c r="CF2966">
        <v>7</v>
      </c>
      <c r="CG2966">
        <v>11</v>
      </c>
      <c r="CI2966">
        <f t="shared" si="254"/>
        <v>2024</v>
      </c>
      <c r="CJ2966" t="str">
        <f t="shared" si="255"/>
        <v>8321_2024</v>
      </c>
    </row>
    <row r="2967" spans="1:88" x14ac:dyDescent="0.25">
      <c r="A2967" t="s">
        <v>111</v>
      </c>
      <c r="B2967" t="s">
        <v>152</v>
      </c>
      <c r="C2967">
        <v>5016</v>
      </c>
      <c r="D2967">
        <v>-37.653182999999999</v>
      </c>
      <c r="E2967">
        <v>145.03505799999999</v>
      </c>
      <c r="F2967">
        <v>4</v>
      </c>
      <c r="G2967" t="s">
        <v>153</v>
      </c>
      <c r="H2967">
        <v>5</v>
      </c>
      <c r="I2967">
        <v>185</v>
      </c>
      <c r="J2967">
        <v>104</v>
      </c>
      <c r="K2967">
        <v>284</v>
      </c>
      <c r="L2967">
        <v>211</v>
      </c>
      <c r="M2967">
        <v>31</v>
      </c>
      <c r="N2967">
        <v>283</v>
      </c>
      <c r="O2967">
        <v>103</v>
      </c>
      <c r="T2967">
        <v>2</v>
      </c>
      <c r="U2967">
        <v>13</v>
      </c>
      <c r="V2967">
        <v>21</v>
      </c>
      <c r="Y2967">
        <v>4</v>
      </c>
      <c r="Z2967">
        <v>2</v>
      </c>
      <c r="AA2967">
        <v>16</v>
      </c>
      <c r="AD2967">
        <v>13</v>
      </c>
      <c r="AE2967">
        <v>4</v>
      </c>
      <c r="AF2967">
        <v>3</v>
      </c>
      <c r="AI2967">
        <v>13</v>
      </c>
      <c r="AJ2967">
        <v>13</v>
      </c>
      <c r="AK2967">
        <v>7</v>
      </c>
      <c r="AX2967">
        <v>36</v>
      </c>
      <c r="AY2967">
        <v>30</v>
      </c>
      <c r="AZ2967">
        <v>66</v>
      </c>
      <c r="BA2967">
        <v>22</v>
      </c>
      <c r="BB2967">
        <v>19</v>
      </c>
      <c r="BC2967">
        <v>41</v>
      </c>
      <c r="BD2967">
        <v>20</v>
      </c>
      <c r="BE2967">
        <v>22</v>
      </c>
      <c r="BF2967">
        <v>42</v>
      </c>
      <c r="BG2967">
        <v>33</v>
      </c>
      <c r="BH2967">
        <v>40</v>
      </c>
      <c r="BI2967">
        <v>73</v>
      </c>
      <c r="BP2967">
        <v>28</v>
      </c>
      <c r="BQ2967">
        <v>1</v>
      </c>
      <c r="BR2967">
        <v>59</v>
      </c>
      <c r="BS2967">
        <v>12</v>
      </c>
      <c r="BT2967">
        <v>10</v>
      </c>
      <c r="BU2967">
        <v>1</v>
      </c>
      <c r="BV2967">
        <v>0</v>
      </c>
      <c r="BW2967">
        <v>111</v>
      </c>
      <c r="BX2967">
        <v>95</v>
      </c>
      <c r="BY2967">
        <v>0.16842105299999999</v>
      </c>
      <c r="BZ2967" s="10">
        <v>0.16842105299999999</v>
      </c>
      <c r="CA2967" s="7">
        <v>45606</v>
      </c>
      <c r="CE2967">
        <v>40</v>
      </c>
      <c r="CF2967">
        <v>42</v>
      </c>
      <c r="CG2967">
        <v>29</v>
      </c>
      <c r="CI2967">
        <f t="shared" si="254"/>
        <v>2024</v>
      </c>
      <c r="CJ2967" t="str">
        <f t="shared" si="255"/>
        <v>5016_2024</v>
      </c>
    </row>
    <row r="2968" spans="1:88" x14ac:dyDescent="0.25">
      <c r="A2968" t="s">
        <v>111</v>
      </c>
      <c r="B2968" t="s">
        <v>152</v>
      </c>
      <c r="C2968">
        <v>5023</v>
      </c>
      <c r="D2968">
        <v>-37.696097000000002</v>
      </c>
      <c r="E2968">
        <v>145.022166</v>
      </c>
      <c r="F2968">
        <v>4</v>
      </c>
      <c r="G2968" t="s">
        <v>154</v>
      </c>
      <c r="H2968">
        <v>36</v>
      </c>
      <c r="I2968">
        <v>216</v>
      </c>
      <c r="J2968">
        <v>125</v>
      </c>
      <c r="K2968">
        <v>305</v>
      </c>
      <c r="L2968">
        <v>213</v>
      </c>
      <c r="M2968">
        <v>33</v>
      </c>
      <c r="N2968">
        <v>277</v>
      </c>
      <c r="O2968">
        <v>97</v>
      </c>
      <c r="T2968">
        <v>13</v>
      </c>
      <c r="U2968">
        <v>7</v>
      </c>
      <c r="V2968">
        <v>16</v>
      </c>
      <c r="Y2968">
        <v>13</v>
      </c>
      <c r="Z2968">
        <v>8</v>
      </c>
      <c r="AA2968">
        <v>17</v>
      </c>
      <c r="AD2968">
        <v>6</v>
      </c>
      <c r="AE2968">
        <v>7</v>
      </c>
      <c r="AF2968">
        <v>9</v>
      </c>
      <c r="AI2968">
        <v>5</v>
      </c>
      <c r="AJ2968">
        <v>5</v>
      </c>
      <c r="AK2968">
        <v>2</v>
      </c>
      <c r="AX2968">
        <v>36</v>
      </c>
      <c r="AY2968">
        <v>24</v>
      </c>
      <c r="AZ2968">
        <v>60</v>
      </c>
      <c r="BA2968">
        <v>38</v>
      </c>
      <c r="BB2968">
        <v>25</v>
      </c>
      <c r="BC2968">
        <v>63</v>
      </c>
      <c r="BD2968">
        <v>22</v>
      </c>
      <c r="BE2968">
        <v>17</v>
      </c>
      <c r="BF2968">
        <v>39</v>
      </c>
      <c r="BG2968">
        <v>12</v>
      </c>
      <c r="BH2968">
        <v>42</v>
      </c>
      <c r="BI2968">
        <v>54</v>
      </c>
      <c r="BP2968">
        <v>29</v>
      </c>
      <c r="BQ2968">
        <v>2</v>
      </c>
      <c r="BR2968">
        <v>60</v>
      </c>
      <c r="BS2968">
        <v>6</v>
      </c>
      <c r="BT2968">
        <v>7</v>
      </c>
      <c r="BU2968">
        <v>3</v>
      </c>
      <c r="BV2968">
        <v>1</v>
      </c>
      <c r="BW2968">
        <v>108</v>
      </c>
      <c r="BX2968">
        <v>135</v>
      </c>
      <c r="BY2968">
        <v>-0.2</v>
      </c>
      <c r="BZ2968" s="10">
        <v>-0.2</v>
      </c>
      <c r="CA2968" s="7">
        <v>45606</v>
      </c>
      <c r="CE2968">
        <v>44</v>
      </c>
      <c r="CF2968">
        <v>32</v>
      </c>
      <c r="CG2968">
        <v>32</v>
      </c>
      <c r="CI2968">
        <f t="shared" si="254"/>
        <v>2024</v>
      </c>
      <c r="CJ2968" t="str">
        <f t="shared" si="255"/>
        <v>5023_2024</v>
      </c>
    </row>
    <row r="2969" spans="1:88" x14ac:dyDescent="0.25">
      <c r="A2969" t="s">
        <v>111</v>
      </c>
      <c r="B2969" t="s">
        <v>152</v>
      </c>
      <c r="C2969">
        <v>5026</v>
      </c>
      <c r="D2969">
        <v>-37.686172999999997</v>
      </c>
      <c r="E2969">
        <v>145.06774899999999</v>
      </c>
      <c r="F2969">
        <v>4</v>
      </c>
      <c r="G2969" t="s">
        <v>155</v>
      </c>
      <c r="H2969">
        <v>13</v>
      </c>
      <c r="I2969">
        <v>193</v>
      </c>
      <c r="J2969">
        <v>96</v>
      </c>
      <c r="K2969">
        <v>276</v>
      </c>
      <c r="L2969">
        <v>215</v>
      </c>
      <c r="M2969">
        <v>35</v>
      </c>
      <c r="N2969">
        <v>280</v>
      </c>
      <c r="O2969">
        <v>100</v>
      </c>
      <c r="T2969">
        <v>1</v>
      </c>
      <c r="U2969">
        <v>23</v>
      </c>
      <c r="V2969">
        <v>30</v>
      </c>
      <c r="Y2969">
        <v>3</v>
      </c>
      <c r="Z2969">
        <v>0</v>
      </c>
      <c r="AA2969">
        <v>0</v>
      </c>
      <c r="AD2969">
        <v>25</v>
      </c>
      <c r="AE2969">
        <v>0</v>
      </c>
      <c r="AF2969">
        <v>9</v>
      </c>
      <c r="AI2969">
        <v>30</v>
      </c>
      <c r="AJ2969">
        <v>0</v>
      </c>
      <c r="AK2969">
        <v>4</v>
      </c>
      <c r="AX2969">
        <v>54</v>
      </c>
      <c r="AY2969">
        <v>58</v>
      </c>
      <c r="AZ2969">
        <v>112</v>
      </c>
      <c r="BA2969">
        <v>3</v>
      </c>
      <c r="BB2969">
        <v>1</v>
      </c>
      <c r="BC2969">
        <v>4</v>
      </c>
      <c r="BD2969">
        <v>34</v>
      </c>
      <c r="BE2969">
        <v>27</v>
      </c>
      <c r="BF2969">
        <v>61</v>
      </c>
      <c r="BG2969">
        <v>34</v>
      </c>
      <c r="BH2969">
        <v>39</v>
      </c>
      <c r="BI2969">
        <v>73</v>
      </c>
      <c r="BP2969">
        <v>59</v>
      </c>
      <c r="BQ2969">
        <v>7</v>
      </c>
      <c r="BR2969">
        <v>30</v>
      </c>
      <c r="BS2969">
        <v>4</v>
      </c>
      <c r="BT2969">
        <v>7</v>
      </c>
      <c r="BU2969">
        <v>0</v>
      </c>
      <c r="BV2969">
        <v>18</v>
      </c>
      <c r="BW2969">
        <v>125</v>
      </c>
      <c r="BX2969">
        <v>134</v>
      </c>
      <c r="BY2969">
        <v>-6.7164179000000004E-2</v>
      </c>
      <c r="BZ2969" s="10">
        <v>-6.7164179000000004E-2</v>
      </c>
      <c r="CA2969" s="7">
        <v>45606</v>
      </c>
      <c r="CE2969">
        <v>46</v>
      </c>
      <c r="CF2969">
        <v>45</v>
      </c>
      <c r="CG2969">
        <v>34</v>
      </c>
      <c r="CI2969">
        <f t="shared" si="254"/>
        <v>2024</v>
      </c>
      <c r="CJ2969" t="str">
        <f t="shared" si="255"/>
        <v>5026_2024</v>
      </c>
    </row>
    <row r="2970" spans="1:88" x14ac:dyDescent="0.25">
      <c r="A2970" t="s">
        <v>111</v>
      </c>
      <c r="B2970" t="s">
        <v>152</v>
      </c>
      <c r="C2970">
        <v>5027</v>
      </c>
      <c r="D2970">
        <v>-37.678809000000001</v>
      </c>
      <c r="E2970">
        <v>145.069436</v>
      </c>
      <c r="F2970">
        <v>4</v>
      </c>
      <c r="G2970" t="s">
        <v>156</v>
      </c>
      <c r="H2970">
        <v>8</v>
      </c>
      <c r="I2970">
        <v>188</v>
      </c>
      <c r="J2970">
        <v>101</v>
      </c>
      <c r="K2970">
        <v>281</v>
      </c>
      <c r="L2970">
        <v>189</v>
      </c>
      <c r="M2970">
        <v>9</v>
      </c>
      <c r="N2970">
        <v>275</v>
      </c>
      <c r="O2970">
        <v>95</v>
      </c>
      <c r="T2970">
        <v>17</v>
      </c>
      <c r="U2970">
        <v>23</v>
      </c>
      <c r="V2970">
        <v>7</v>
      </c>
      <c r="Y2970">
        <v>20</v>
      </c>
      <c r="Z2970">
        <v>14</v>
      </c>
      <c r="AA2970">
        <v>24</v>
      </c>
      <c r="AD2970">
        <v>32</v>
      </c>
      <c r="AE2970">
        <v>8</v>
      </c>
      <c r="AF2970">
        <v>8</v>
      </c>
      <c r="AI2970">
        <v>5</v>
      </c>
      <c r="AJ2970">
        <v>13</v>
      </c>
      <c r="AK2970">
        <v>7</v>
      </c>
      <c r="AX2970">
        <v>47</v>
      </c>
      <c r="AY2970">
        <v>57</v>
      </c>
      <c r="AZ2970">
        <v>104</v>
      </c>
      <c r="BA2970">
        <v>58</v>
      </c>
      <c r="BB2970">
        <v>38</v>
      </c>
      <c r="BC2970">
        <v>96</v>
      </c>
      <c r="BD2970">
        <v>48</v>
      </c>
      <c r="BE2970">
        <v>44</v>
      </c>
      <c r="BF2970">
        <v>92</v>
      </c>
      <c r="BG2970">
        <v>25</v>
      </c>
      <c r="BH2970">
        <v>39</v>
      </c>
      <c r="BI2970">
        <v>64</v>
      </c>
      <c r="BP2970">
        <v>43</v>
      </c>
      <c r="BQ2970">
        <v>1</v>
      </c>
      <c r="BR2970">
        <v>119</v>
      </c>
      <c r="BS2970">
        <v>2</v>
      </c>
      <c r="BT2970">
        <v>5</v>
      </c>
      <c r="BU2970">
        <v>0</v>
      </c>
      <c r="BV2970">
        <v>8</v>
      </c>
      <c r="BW2970">
        <v>178</v>
      </c>
      <c r="BX2970">
        <v>161</v>
      </c>
      <c r="BY2970">
        <v>0.105590062</v>
      </c>
      <c r="BZ2970" s="10">
        <v>0.105590062</v>
      </c>
      <c r="CA2970" s="7">
        <v>45606</v>
      </c>
      <c r="CE2970">
        <v>34</v>
      </c>
      <c r="CF2970">
        <v>81</v>
      </c>
      <c r="CG2970">
        <v>63</v>
      </c>
      <c r="CI2970">
        <f t="shared" si="254"/>
        <v>2024</v>
      </c>
      <c r="CJ2970" t="str">
        <f t="shared" si="255"/>
        <v>5027_2024</v>
      </c>
    </row>
    <row r="2971" spans="1:88" x14ac:dyDescent="0.25">
      <c r="A2971" t="s">
        <v>111</v>
      </c>
      <c r="B2971" t="s">
        <v>152</v>
      </c>
      <c r="C2971">
        <v>6031</v>
      </c>
      <c r="D2971">
        <v>-37.668044000000002</v>
      </c>
      <c r="E2971">
        <v>144.98199500000001</v>
      </c>
      <c r="F2971">
        <v>4</v>
      </c>
      <c r="G2971" t="s">
        <v>366</v>
      </c>
      <c r="H2971">
        <v>5</v>
      </c>
      <c r="I2971">
        <v>185</v>
      </c>
      <c r="J2971">
        <v>142</v>
      </c>
      <c r="K2971">
        <v>322</v>
      </c>
      <c r="L2971">
        <v>181</v>
      </c>
      <c r="M2971">
        <v>1</v>
      </c>
      <c r="N2971">
        <v>295</v>
      </c>
      <c r="O2971">
        <v>115</v>
      </c>
      <c r="T2971">
        <v>5</v>
      </c>
      <c r="U2971">
        <v>24</v>
      </c>
      <c r="V2971">
        <v>8</v>
      </c>
      <c r="Y2971">
        <v>7</v>
      </c>
      <c r="Z2971">
        <v>10</v>
      </c>
      <c r="AA2971">
        <v>3</v>
      </c>
      <c r="AD2971">
        <v>25</v>
      </c>
      <c r="AE2971">
        <v>3</v>
      </c>
      <c r="AF2971">
        <v>4</v>
      </c>
      <c r="AI2971">
        <v>6</v>
      </c>
      <c r="AJ2971">
        <v>5</v>
      </c>
      <c r="AK2971">
        <v>6</v>
      </c>
      <c r="AX2971">
        <v>37</v>
      </c>
      <c r="AY2971">
        <v>38</v>
      </c>
      <c r="AZ2971">
        <v>75</v>
      </c>
      <c r="BA2971">
        <v>20</v>
      </c>
      <c r="BB2971">
        <v>13</v>
      </c>
      <c r="BC2971">
        <v>33</v>
      </c>
      <c r="BD2971">
        <v>32</v>
      </c>
      <c r="BE2971">
        <v>40</v>
      </c>
      <c r="BF2971">
        <v>72</v>
      </c>
      <c r="BG2971">
        <v>17</v>
      </c>
      <c r="BH2971">
        <v>15</v>
      </c>
      <c r="BI2971">
        <v>32</v>
      </c>
      <c r="BP2971">
        <v>75</v>
      </c>
      <c r="BQ2971">
        <v>5</v>
      </c>
      <c r="BR2971">
        <v>16</v>
      </c>
      <c r="BS2971">
        <v>0</v>
      </c>
      <c r="BT2971">
        <v>8</v>
      </c>
      <c r="BU2971">
        <v>0</v>
      </c>
      <c r="BV2971">
        <v>2</v>
      </c>
      <c r="BW2971">
        <v>106</v>
      </c>
      <c r="BX2971">
        <v>98</v>
      </c>
      <c r="BY2971">
        <v>8.1632652999999999E-2</v>
      </c>
      <c r="BZ2971" s="10">
        <v>8.1632652999999999E-2</v>
      </c>
      <c r="CA2971" s="7">
        <v>45606</v>
      </c>
      <c r="CE2971">
        <v>44</v>
      </c>
      <c r="CF2971">
        <v>34</v>
      </c>
      <c r="CG2971">
        <v>28</v>
      </c>
      <c r="CI2971">
        <f t="shared" si="254"/>
        <v>2024</v>
      </c>
      <c r="CJ2971" t="str">
        <f t="shared" si="255"/>
        <v>6031_2024</v>
      </c>
    </row>
    <row r="2972" spans="1:88" x14ac:dyDescent="0.25">
      <c r="A2972" t="s">
        <v>111</v>
      </c>
      <c r="B2972" t="s">
        <v>152</v>
      </c>
      <c r="C2972">
        <v>6033</v>
      </c>
      <c r="D2972">
        <v>-37.676079999999999</v>
      </c>
      <c r="E2972">
        <v>145.00762499999999</v>
      </c>
      <c r="F2972">
        <v>4</v>
      </c>
      <c r="G2972" t="s">
        <v>368</v>
      </c>
      <c r="H2972">
        <v>41</v>
      </c>
      <c r="I2972">
        <v>221</v>
      </c>
      <c r="J2972">
        <v>175</v>
      </c>
      <c r="K2972">
        <v>355</v>
      </c>
      <c r="L2972">
        <v>208</v>
      </c>
      <c r="M2972">
        <v>28</v>
      </c>
      <c r="N2972">
        <v>351</v>
      </c>
      <c r="O2972">
        <v>171</v>
      </c>
      <c r="T2972">
        <v>6</v>
      </c>
      <c r="U2972">
        <v>13</v>
      </c>
      <c r="V2972">
        <v>1</v>
      </c>
      <c r="Y2972">
        <v>6</v>
      </c>
      <c r="Z2972">
        <v>4</v>
      </c>
      <c r="AA2972">
        <v>22</v>
      </c>
      <c r="AD2972">
        <v>12</v>
      </c>
      <c r="AE2972">
        <v>1</v>
      </c>
      <c r="AF2972">
        <v>13</v>
      </c>
      <c r="AI2972">
        <v>1</v>
      </c>
      <c r="AJ2972">
        <v>16</v>
      </c>
      <c r="AK2972">
        <v>10</v>
      </c>
      <c r="AX2972">
        <v>20</v>
      </c>
      <c r="AY2972">
        <v>19</v>
      </c>
      <c r="AZ2972">
        <v>39</v>
      </c>
      <c r="BA2972">
        <v>32</v>
      </c>
      <c r="BB2972">
        <v>23</v>
      </c>
      <c r="BC2972">
        <v>55</v>
      </c>
      <c r="BD2972">
        <v>26</v>
      </c>
      <c r="BE2972">
        <v>27</v>
      </c>
      <c r="BF2972">
        <v>53</v>
      </c>
      <c r="BG2972">
        <v>27</v>
      </c>
      <c r="BH2972">
        <v>36</v>
      </c>
      <c r="BI2972">
        <v>63</v>
      </c>
      <c r="BP2972">
        <v>21</v>
      </c>
      <c r="BQ2972">
        <v>1</v>
      </c>
      <c r="BR2972">
        <v>56</v>
      </c>
      <c r="BS2972">
        <v>6</v>
      </c>
      <c r="BT2972">
        <v>20</v>
      </c>
      <c r="BU2972">
        <v>1</v>
      </c>
      <c r="BV2972">
        <v>0</v>
      </c>
      <c r="BW2972">
        <v>105</v>
      </c>
      <c r="BX2972">
        <v>115</v>
      </c>
      <c r="BY2972">
        <v>-8.6956521999999994E-2</v>
      </c>
      <c r="BZ2972" s="10">
        <v>-8.6956521999999994E-2</v>
      </c>
      <c r="CA2972" s="7">
        <v>45606</v>
      </c>
      <c r="CE2972">
        <v>35</v>
      </c>
      <c r="CF2972">
        <v>43</v>
      </c>
      <c r="CG2972">
        <v>27</v>
      </c>
      <c r="CI2972">
        <f t="shared" si="254"/>
        <v>2024</v>
      </c>
      <c r="CJ2972" t="str">
        <f t="shared" si="255"/>
        <v>6033_2024</v>
      </c>
    </row>
    <row r="2973" spans="1:88" x14ac:dyDescent="0.25">
      <c r="A2973" t="s">
        <v>111</v>
      </c>
      <c r="B2973" t="s">
        <v>152</v>
      </c>
      <c r="C2973">
        <v>6038</v>
      </c>
      <c r="D2973">
        <v>-37.650412000000003</v>
      </c>
      <c r="E2973">
        <v>145.058131</v>
      </c>
      <c r="F2973">
        <v>5</v>
      </c>
      <c r="G2973" t="s">
        <v>373</v>
      </c>
      <c r="H2973">
        <v>83</v>
      </c>
      <c r="I2973">
        <v>263</v>
      </c>
      <c r="J2973">
        <v>117</v>
      </c>
      <c r="K2973">
        <v>297</v>
      </c>
      <c r="L2973">
        <v>158</v>
      </c>
      <c r="M2973">
        <v>338</v>
      </c>
      <c r="N2973">
        <v>261</v>
      </c>
      <c r="O2973">
        <v>81</v>
      </c>
      <c r="P2973">
        <v>328</v>
      </c>
      <c r="Q2973">
        <v>148</v>
      </c>
      <c r="T2973">
        <v>6</v>
      </c>
      <c r="U2973">
        <v>5</v>
      </c>
      <c r="V2973">
        <v>41</v>
      </c>
      <c r="W2973">
        <v>7</v>
      </c>
      <c r="Y2973">
        <v>3</v>
      </c>
      <c r="Z2973">
        <v>1</v>
      </c>
      <c r="AA2973">
        <v>1</v>
      </c>
      <c r="AB2973">
        <v>2</v>
      </c>
      <c r="AD2973">
        <v>5</v>
      </c>
      <c r="AE2973">
        <v>2</v>
      </c>
      <c r="AF2973">
        <v>1</v>
      </c>
      <c r="AG2973">
        <v>6</v>
      </c>
      <c r="AI2973">
        <v>42</v>
      </c>
      <c r="AJ2973">
        <v>1</v>
      </c>
      <c r="AK2973">
        <v>5</v>
      </c>
      <c r="AL2973">
        <v>1</v>
      </c>
      <c r="AN2973">
        <v>6</v>
      </c>
      <c r="AO2973">
        <v>1</v>
      </c>
      <c r="AP2973">
        <v>7</v>
      </c>
      <c r="AQ2973">
        <v>3</v>
      </c>
      <c r="AX2973">
        <v>59</v>
      </c>
      <c r="AY2973">
        <v>56</v>
      </c>
      <c r="AZ2973">
        <v>115</v>
      </c>
      <c r="BA2973">
        <v>7</v>
      </c>
      <c r="BB2973">
        <v>10</v>
      </c>
      <c r="BC2973">
        <v>17</v>
      </c>
      <c r="BD2973">
        <v>14</v>
      </c>
      <c r="BE2973">
        <v>18</v>
      </c>
      <c r="BF2973">
        <v>32</v>
      </c>
      <c r="BG2973">
        <v>49</v>
      </c>
      <c r="BH2973">
        <v>46</v>
      </c>
      <c r="BI2973">
        <v>95</v>
      </c>
      <c r="BJ2973">
        <v>17</v>
      </c>
      <c r="BK2973">
        <v>16</v>
      </c>
      <c r="BL2973">
        <v>33</v>
      </c>
      <c r="BP2973">
        <v>49</v>
      </c>
      <c r="BQ2973">
        <v>4</v>
      </c>
      <c r="BR2973">
        <v>64</v>
      </c>
      <c r="BS2973">
        <v>9</v>
      </c>
      <c r="BT2973">
        <v>18</v>
      </c>
      <c r="BU2973">
        <v>2</v>
      </c>
      <c r="BV2973">
        <v>0</v>
      </c>
      <c r="BW2973">
        <v>146</v>
      </c>
      <c r="BX2973">
        <v>147</v>
      </c>
      <c r="BY2973">
        <v>-6.8027210000000003E-3</v>
      </c>
      <c r="BZ2973" s="10">
        <v>-6.8027210000000003E-3</v>
      </c>
      <c r="CA2973" s="7">
        <v>45606</v>
      </c>
      <c r="CE2973">
        <v>51</v>
      </c>
      <c r="CF2973">
        <v>40</v>
      </c>
      <c r="CG2973">
        <v>55</v>
      </c>
      <c r="CI2973">
        <f t="shared" si="254"/>
        <v>2024</v>
      </c>
      <c r="CJ2973" t="str">
        <f t="shared" si="255"/>
        <v>6038_2024</v>
      </c>
    </row>
    <row r="2974" spans="1:88" x14ac:dyDescent="0.25">
      <c r="A2974" t="s">
        <v>111</v>
      </c>
      <c r="B2974" t="s">
        <v>152</v>
      </c>
      <c r="C2974">
        <v>6246</v>
      </c>
      <c r="D2974">
        <v>-37.668301</v>
      </c>
      <c r="E2974">
        <v>145.03884199999999</v>
      </c>
      <c r="F2974">
        <v>4</v>
      </c>
      <c r="G2974" t="s">
        <v>430</v>
      </c>
      <c r="H2974">
        <v>33</v>
      </c>
      <c r="I2974">
        <v>213</v>
      </c>
      <c r="J2974">
        <v>100</v>
      </c>
      <c r="K2974">
        <v>280</v>
      </c>
      <c r="L2974">
        <v>206</v>
      </c>
      <c r="M2974">
        <v>26</v>
      </c>
      <c r="N2974">
        <v>293</v>
      </c>
      <c r="O2974">
        <v>113</v>
      </c>
      <c r="T2974">
        <v>10</v>
      </c>
      <c r="U2974">
        <v>30</v>
      </c>
      <c r="V2974">
        <v>8</v>
      </c>
      <c r="Y2974">
        <v>19</v>
      </c>
      <c r="Z2974">
        <v>9</v>
      </c>
      <c r="AA2974">
        <v>8</v>
      </c>
      <c r="AD2974">
        <v>46</v>
      </c>
      <c r="AE2974">
        <v>1</v>
      </c>
      <c r="AF2974">
        <v>7</v>
      </c>
      <c r="AI2974">
        <v>0</v>
      </c>
      <c r="AJ2974">
        <v>7</v>
      </c>
      <c r="AK2974">
        <v>13</v>
      </c>
      <c r="AX2974">
        <v>48</v>
      </c>
      <c r="AY2974">
        <v>65</v>
      </c>
      <c r="AZ2974">
        <v>113</v>
      </c>
      <c r="BA2974">
        <v>36</v>
      </c>
      <c r="BB2974">
        <v>18</v>
      </c>
      <c r="BC2974">
        <v>54</v>
      </c>
      <c r="BD2974">
        <v>54</v>
      </c>
      <c r="BE2974">
        <v>52</v>
      </c>
      <c r="BF2974">
        <v>106</v>
      </c>
      <c r="BG2974">
        <v>20</v>
      </c>
      <c r="BH2974">
        <v>23</v>
      </c>
      <c r="BI2974">
        <v>43</v>
      </c>
      <c r="BP2974">
        <v>63</v>
      </c>
      <c r="BQ2974">
        <v>2</v>
      </c>
      <c r="BR2974">
        <v>40</v>
      </c>
      <c r="BS2974">
        <v>20</v>
      </c>
      <c r="BT2974">
        <v>33</v>
      </c>
      <c r="BU2974">
        <v>0</v>
      </c>
      <c r="BV2974">
        <v>0</v>
      </c>
      <c r="BW2974">
        <v>158</v>
      </c>
      <c r="BX2974">
        <v>134</v>
      </c>
      <c r="BY2974">
        <v>0.17910447800000001</v>
      </c>
      <c r="BZ2974" s="10">
        <v>0.17910447800000001</v>
      </c>
      <c r="CA2974" s="7">
        <v>45606</v>
      </c>
      <c r="CE2974">
        <v>50</v>
      </c>
      <c r="CF2974">
        <v>45</v>
      </c>
      <c r="CG2974">
        <v>63</v>
      </c>
      <c r="CI2974">
        <f t="shared" si="254"/>
        <v>2024</v>
      </c>
      <c r="CJ2974" t="str">
        <f t="shared" si="255"/>
        <v>6246_2024</v>
      </c>
    </row>
    <row r="2975" spans="1:88" x14ac:dyDescent="0.25">
      <c r="A2975" t="s">
        <v>111</v>
      </c>
      <c r="B2975" t="s">
        <v>152</v>
      </c>
      <c r="C2975">
        <v>6619</v>
      </c>
      <c r="D2975">
        <v>-37.662365000000001</v>
      </c>
      <c r="E2975">
        <v>145.051524</v>
      </c>
      <c r="F2975">
        <v>3</v>
      </c>
      <c r="G2975" t="s">
        <v>567</v>
      </c>
      <c r="H2975">
        <v>87</v>
      </c>
      <c r="I2975">
        <v>267</v>
      </c>
      <c r="J2975">
        <v>228</v>
      </c>
      <c r="K2975">
        <v>48</v>
      </c>
      <c r="L2975">
        <v>267</v>
      </c>
      <c r="M2975">
        <v>87</v>
      </c>
      <c r="T2975">
        <v>13</v>
      </c>
      <c r="U2975">
        <v>14</v>
      </c>
      <c r="Y2975">
        <v>4</v>
      </c>
      <c r="Z2975">
        <v>5</v>
      </c>
      <c r="AD2975">
        <v>15</v>
      </c>
      <c r="AE2975">
        <v>3</v>
      </c>
      <c r="AX2975">
        <v>27</v>
      </c>
      <c r="AY2975">
        <v>19</v>
      </c>
      <c r="AZ2975">
        <v>46</v>
      </c>
      <c r="BA2975">
        <v>9</v>
      </c>
      <c r="BB2975">
        <v>16</v>
      </c>
      <c r="BC2975">
        <v>25</v>
      </c>
      <c r="BD2975">
        <v>18</v>
      </c>
      <c r="BE2975">
        <v>19</v>
      </c>
      <c r="BF2975">
        <v>37</v>
      </c>
      <c r="BP2975">
        <v>5</v>
      </c>
      <c r="BQ2975">
        <v>3</v>
      </c>
      <c r="BR2975">
        <v>31</v>
      </c>
      <c r="BS2975">
        <v>5</v>
      </c>
      <c r="BT2975">
        <v>8</v>
      </c>
      <c r="BU2975">
        <v>2</v>
      </c>
      <c r="BV2975">
        <v>0</v>
      </c>
      <c r="BW2975">
        <v>54</v>
      </c>
      <c r="BX2975">
        <v>60</v>
      </c>
      <c r="BY2975">
        <v>-0.1</v>
      </c>
      <c r="BZ2975" s="10">
        <v>-0.1</v>
      </c>
      <c r="CA2975" s="7">
        <v>45606</v>
      </c>
      <c r="CE2975">
        <v>18</v>
      </c>
      <c r="CF2975">
        <v>18</v>
      </c>
      <c r="CG2975">
        <v>18</v>
      </c>
      <c r="CI2975">
        <f t="shared" si="254"/>
        <v>2024</v>
      </c>
      <c r="CJ2975" t="str">
        <f t="shared" si="255"/>
        <v>6619_2024</v>
      </c>
    </row>
    <row r="2976" spans="1:88" x14ac:dyDescent="0.25">
      <c r="A2976" t="s">
        <v>111</v>
      </c>
      <c r="B2976" t="s">
        <v>152</v>
      </c>
      <c r="C2976">
        <v>6620</v>
      </c>
      <c r="D2976">
        <v>-37.686326999999999</v>
      </c>
      <c r="E2976">
        <v>145.02882500000001</v>
      </c>
      <c r="F2976">
        <v>4</v>
      </c>
      <c r="G2976" t="s">
        <v>568</v>
      </c>
      <c r="H2976">
        <v>10</v>
      </c>
      <c r="I2976">
        <v>190</v>
      </c>
      <c r="J2976">
        <v>101</v>
      </c>
      <c r="K2976">
        <v>281</v>
      </c>
      <c r="L2976">
        <v>190</v>
      </c>
      <c r="M2976">
        <v>10</v>
      </c>
      <c r="N2976">
        <v>272</v>
      </c>
      <c r="O2976">
        <v>92</v>
      </c>
      <c r="T2976">
        <v>1</v>
      </c>
      <c r="U2976">
        <v>16</v>
      </c>
      <c r="V2976">
        <v>2</v>
      </c>
      <c r="Y2976">
        <v>3</v>
      </c>
      <c r="Z2976">
        <v>6</v>
      </c>
      <c r="AA2976">
        <v>65</v>
      </c>
      <c r="AD2976">
        <v>10</v>
      </c>
      <c r="AE2976">
        <v>6</v>
      </c>
      <c r="AF2976">
        <v>6</v>
      </c>
      <c r="AI2976">
        <v>3</v>
      </c>
      <c r="AJ2976">
        <v>54</v>
      </c>
      <c r="AK2976">
        <v>3</v>
      </c>
      <c r="AX2976">
        <v>19</v>
      </c>
      <c r="AY2976">
        <v>16</v>
      </c>
      <c r="AZ2976">
        <v>35</v>
      </c>
      <c r="BA2976">
        <v>74</v>
      </c>
      <c r="BB2976">
        <v>61</v>
      </c>
      <c r="BC2976">
        <v>135</v>
      </c>
      <c r="BD2976">
        <v>22</v>
      </c>
      <c r="BE2976">
        <v>25</v>
      </c>
      <c r="BF2976">
        <v>47</v>
      </c>
      <c r="BG2976">
        <v>60</v>
      </c>
      <c r="BH2976">
        <v>73</v>
      </c>
      <c r="BI2976">
        <v>133</v>
      </c>
      <c r="BP2976">
        <v>124</v>
      </c>
      <c r="BQ2976">
        <v>21</v>
      </c>
      <c r="BR2976">
        <v>11</v>
      </c>
      <c r="BS2976">
        <v>1</v>
      </c>
      <c r="BT2976">
        <v>10</v>
      </c>
      <c r="BU2976">
        <v>8</v>
      </c>
      <c r="BV2976">
        <v>0</v>
      </c>
      <c r="BW2976">
        <v>175</v>
      </c>
      <c r="BX2976">
        <v>147</v>
      </c>
      <c r="BY2976">
        <v>0.19047618999999999</v>
      </c>
      <c r="BZ2976" s="10">
        <v>0.19047618999999999</v>
      </c>
      <c r="CA2976" s="7">
        <v>45606</v>
      </c>
      <c r="CE2976">
        <v>61</v>
      </c>
      <c r="CF2976">
        <v>51</v>
      </c>
      <c r="CG2976">
        <v>63</v>
      </c>
      <c r="CI2976">
        <f t="shared" si="254"/>
        <v>2024</v>
      </c>
      <c r="CJ2976" t="str">
        <f t="shared" si="255"/>
        <v>6620_2024</v>
      </c>
    </row>
    <row r="2977" spans="1:88" x14ac:dyDescent="0.25">
      <c r="A2977" t="s">
        <v>111</v>
      </c>
      <c r="B2977" t="s">
        <v>152</v>
      </c>
      <c r="C2977">
        <v>6621</v>
      </c>
      <c r="D2977">
        <v>-37.514125</v>
      </c>
      <c r="E2977">
        <v>145.11478399999999</v>
      </c>
      <c r="F2977">
        <v>4</v>
      </c>
      <c r="G2977" t="s">
        <v>569</v>
      </c>
      <c r="H2977">
        <v>18</v>
      </c>
      <c r="I2977">
        <v>198</v>
      </c>
      <c r="J2977">
        <v>99</v>
      </c>
      <c r="K2977">
        <v>279</v>
      </c>
      <c r="L2977">
        <v>190</v>
      </c>
      <c r="M2977">
        <v>10</v>
      </c>
      <c r="N2977">
        <v>337</v>
      </c>
      <c r="O2977">
        <v>157</v>
      </c>
      <c r="T2977">
        <v>8</v>
      </c>
      <c r="U2977">
        <v>13</v>
      </c>
      <c r="V2977">
        <v>1</v>
      </c>
      <c r="Y2977">
        <v>4</v>
      </c>
      <c r="Z2977">
        <v>11</v>
      </c>
      <c r="AA2977">
        <v>4</v>
      </c>
      <c r="AD2977">
        <v>19</v>
      </c>
      <c r="AE2977">
        <v>14</v>
      </c>
      <c r="AF2977">
        <v>5</v>
      </c>
      <c r="AI2977">
        <v>0</v>
      </c>
      <c r="AJ2977">
        <v>5</v>
      </c>
      <c r="AK2977">
        <v>1</v>
      </c>
      <c r="AX2977">
        <v>22</v>
      </c>
      <c r="AY2977">
        <v>23</v>
      </c>
      <c r="AZ2977">
        <v>45</v>
      </c>
      <c r="BA2977">
        <v>19</v>
      </c>
      <c r="BB2977">
        <v>27</v>
      </c>
      <c r="BC2977">
        <v>46</v>
      </c>
      <c r="BD2977">
        <v>38</v>
      </c>
      <c r="BE2977">
        <v>25</v>
      </c>
      <c r="BF2977">
        <v>63</v>
      </c>
      <c r="BG2977">
        <v>6</v>
      </c>
      <c r="BH2977">
        <v>10</v>
      </c>
      <c r="BI2977">
        <v>16</v>
      </c>
      <c r="BP2977">
        <v>26</v>
      </c>
      <c r="BQ2977">
        <v>0</v>
      </c>
      <c r="BR2977">
        <v>40</v>
      </c>
      <c r="BS2977">
        <v>0</v>
      </c>
      <c r="BT2977">
        <v>11</v>
      </c>
      <c r="BU2977">
        <v>1</v>
      </c>
      <c r="BV2977">
        <v>7</v>
      </c>
      <c r="BW2977">
        <v>85</v>
      </c>
      <c r="BX2977">
        <v>79</v>
      </c>
      <c r="BY2977">
        <v>7.5949367000000004E-2</v>
      </c>
      <c r="BZ2977" s="10">
        <v>7.5949367000000004E-2</v>
      </c>
      <c r="CA2977" s="7">
        <v>45606</v>
      </c>
      <c r="CE2977">
        <v>16</v>
      </c>
      <c r="CF2977">
        <v>37</v>
      </c>
      <c r="CG2977">
        <v>32</v>
      </c>
      <c r="CI2977">
        <f t="shared" si="254"/>
        <v>2024</v>
      </c>
      <c r="CJ2977" t="str">
        <f t="shared" si="255"/>
        <v>6621_2024</v>
      </c>
    </row>
    <row r="2978" spans="1:88" x14ac:dyDescent="0.25">
      <c r="A2978" t="s">
        <v>111</v>
      </c>
      <c r="B2978" t="s">
        <v>152</v>
      </c>
      <c r="C2978">
        <v>6622</v>
      </c>
      <c r="D2978">
        <v>-37.676220000000001</v>
      </c>
      <c r="E2978">
        <v>145.04156499999999</v>
      </c>
      <c r="F2978">
        <v>3</v>
      </c>
      <c r="G2978" t="s">
        <v>570</v>
      </c>
      <c r="H2978">
        <v>109</v>
      </c>
      <c r="I2978">
        <v>289</v>
      </c>
      <c r="J2978">
        <v>167</v>
      </c>
      <c r="K2978">
        <v>347</v>
      </c>
      <c r="L2978">
        <v>288</v>
      </c>
      <c r="M2978">
        <v>108</v>
      </c>
      <c r="T2978">
        <v>44</v>
      </c>
      <c r="U2978">
        <v>15</v>
      </c>
      <c r="Y2978">
        <v>61</v>
      </c>
      <c r="Z2978">
        <v>6</v>
      </c>
      <c r="AD2978">
        <v>21</v>
      </c>
      <c r="AE2978">
        <v>8</v>
      </c>
      <c r="AX2978">
        <v>59</v>
      </c>
      <c r="AY2978">
        <v>82</v>
      </c>
      <c r="AZ2978">
        <v>141</v>
      </c>
      <c r="BA2978">
        <v>67</v>
      </c>
      <c r="BB2978">
        <v>52</v>
      </c>
      <c r="BC2978">
        <v>119</v>
      </c>
      <c r="BD2978">
        <v>29</v>
      </c>
      <c r="BE2978">
        <v>21</v>
      </c>
      <c r="BF2978">
        <v>50</v>
      </c>
      <c r="BP2978">
        <v>101</v>
      </c>
      <c r="BQ2978">
        <v>7</v>
      </c>
      <c r="BR2978">
        <v>28</v>
      </c>
      <c r="BS2978">
        <v>12</v>
      </c>
      <c r="BT2978">
        <v>4</v>
      </c>
      <c r="BU2978">
        <v>3</v>
      </c>
      <c r="BV2978">
        <v>0</v>
      </c>
      <c r="BW2978">
        <v>155</v>
      </c>
      <c r="BX2978">
        <v>105</v>
      </c>
      <c r="BY2978">
        <v>0.47619047599999997</v>
      </c>
      <c r="BZ2978" s="10">
        <v>0.47619047599999997</v>
      </c>
      <c r="CA2978" s="7">
        <v>45606</v>
      </c>
      <c r="CE2978">
        <v>66</v>
      </c>
      <c r="CF2978">
        <v>28</v>
      </c>
      <c r="CG2978">
        <v>61</v>
      </c>
      <c r="CI2978">
        <f t="shared" si="254"/>
        <v>2024</v>
      </c>
      <c r="CJ2978" t="str">
        <f t="shared" si="255"/>
        <v>6622_2024</v>
      </c>
    </row>
    <row r="2979" spans="1:88" x14ac:dyDescent="0.25">
      <c r="A2979" t="s">
        <v>111</v>
      </c>
      <c r="B2979" t="s">
        <v>152</v>
      </c>
      <c r="C2979">
        <v>6624</v>
      </c>
      <c r="D2979">
        <v>-37.586995999999999</v>
      </c>
      <c r="E2979">
        <v>145.103195</v>
      </c>
      <c r="F2979">
        <v>4</v>
      </c>
      <c r="G2979" t="s">
        <v>572</v>
      </c>
      <c r="H2979">
        <v>10</v>
      </c>
      <c r="I2979">
        <v>190</v>
      </c>
      <c r="J2979">
        <v>97</v>
      </c>
      <c r="K2979">
        <v>277</v>
      </c>
      <c r="L2979">
        <v>190</v>
      </c>
      <c r="M2979">
        <v>10</v>
      </c>
      <c r="N2979">
        <v>279</v>
      </c>
      <c r="O2979">
        <v>99</v>
      </c>
      <c r="T2979">
        <v>1</v>
      </c>
      <c r="U2979">
        <v>5</v>
      </c>
      <c r="V2979">
        <v>3</v>
      </c>
      <c r="Y2979">
        <v>0</v>
      </c>
      <c r="Z2979">
        <v>2</v>
      </c>
      <c r="AA2979">
        <v>9</v>
      </c>
      <c r="AD2979">
        <v>4</v>
      </c>
      <c r="AE2979">
        <v>6</v>
      </c>
      <c r="AF2979">
        <v>2</v>
      </c>
      <c r="AI2979">
        <v>4</v>
      </c>
      <c r="AJ2979">
        <v>7</v>
      </c>
      <c r="AK2979">
        <v>8</v>
      </c>
      <c r="AX2979">
        <v>9</v>
      </c>
      <c r="AY2979">
        <v>8</v>
      </c>
      <c r="AZ2979">
        <v>17</v>
      </c>
      <c r="BA2979">
        <v>11</v>
      </c>
      <c r="BB2979">
        <v>14</v>
      </c>
      <c r="BC2979">
        <v>25</v>
      </c>
      <c r="BD2979">
        <v>12</v>
      </c>
      <c r="BE2979">
        <v>15</v>
      </c>
      <c r="BF2979">
        <v>27</v>
      </c>
      <c r="BG2979">
        <v>19</v>
      </c>
      <c r="BH2979">
        <v>14</v>
      </c>
      <c r="BI2979">
        <v>33</v>
      </c>
      <c r="BP2979">
        <v>25</v>
      </c>
      <c r="BQ2979">
        <v>2</v>
      </c>
      <c r="BR2979">
        <v>16</v>
      </c>
      <c r="BS2979">
        <v>1</v>
      </c>
      <c r="BT2979">
        <v>7</v>
      </c>
      <c r="BU2979">
        <v>0</v>
      </c>
      <c r="BV2979">
        <v>0</v>
      </c>
      <c r="BW2979">
        <v>51</v>
      </c>
      <c r="BX2979">
        <v>92</v>
      </c>
      <c r="BY2979">
        <v>-0.44565217400000001</v>
      </c>
      <c r="BZ2979" s="10">
        <v>-0.44565217400000001</v>
      </c>
      <c r="CA2979" s="7">
        <v>45606</v>
      </c>
      <c r="CE2979">
        <v>21</v>
      </c>
      <c r="CF2979">
        <v>17</v>
      </c>
      <c r="CG2979">
        <v>13</v>
      </c>
      <c r="CI2979">
        <f t="shared" si="254"/>
        <v>2024</v>
      </c>
      <c r="CJ2979" t="str">
        <f t="shared" si="255"/>
        <v>6624_2024</v>
      </c>
    </row>
    <row r="2980" spans="1:88" x14ac:dyDescent="0.25">
      <c r="A2980" t="s">
        <v>79</v>
      </c>
      <c r="B2980" t="s">
        <v>877</v>
      </c>
      <c r="C2980">
        <v>7535</v>
      </c>
      <c r="D2980">
        <v>-33.810640999999997</v>
      </c>
      <c r="E2980">
        <v>151.192409</v>
      </c>
      <c r="F2980">
        <v>3</v>
      </c>
      <c r="G2980" t="s">
        <v>881</v>
      </c>
      <c r="H2980">
        <v>8</v>
      </c>
      <c r="I2980">
        <v>188</v>
      </c>
      <c r="J2980">
        <v>140</v>
      </c>
      <c r="K2980">
        <v>320</v>
      </c>
      <c r="L2980">
        <v>260</v>
      </c>
      <c r="M2980">
        <v>80</v>
      </c>
      <c r="T2980">
        <v>99</v>
      </c>
      <c r="U2980">
        <v>18</v>
      </c>
      <c r="Y2980">
        <v>120</v>
      </c>
      <c r="Z2980">
        <v>44</v>
      </c>
      <c r="AD2980">
        <v>30</v>
      </c>
      <c r="AE2980">
        <v>41</v>
      </c>
      <c r="AX2980">
        <v>117</v>
      </c>
      <c r="AY2980">
        <v>150</v>
      </c>
      <c r="AZ2980">
        <v>267</v>
      </c>
      <c r="BA2980">
        <v>164</v>
      </c>
      <c r="BB2980">
        <v>140</v>
      </c>
      <c r="BC2980">
        <v>304</v>
      </c>
      <c r="BD2980">
        <v>71</v>
      </c>
      <c r="BE2980">
        <v>62</v>
      </c>
      <c r="BF2980">
        <v>133</v>
      </c>
      <c r="BP2980">
        <v>52</v>
      </c>
      <c r="BQ2980">
        <v>16</v>
      </c>
      <c r="BR2980">
        <v>204</v>
      </c>
      <c r="BS2980">
        <v>41</v>
      </c>
      <c r="BT2980">
        <v>37</v>
      </c>
      <c r="BU2980">
        <v>0</v>
      </c>
      <c r="BV2980">
        <v>2</v>
      </c>
      <c r="BW2980">
        <v>352</v>
      </c>
      <c r="BZ2980" s="10"/>
      <c r="CA2980" s="7">
        <v>45606</v>
      </c>
      <c r="CE2980">
        <v>142</v>
      </c>
      <c r="CF2980">
        <v>117</v>
      </c>
      <c r="CG2980">
        <v>93</v>
      </c>
      <c r="CI2980">
        <f t="shared" si="254"/>
        <v>2024</v>
      </c>
      <c r="CJ2980" t="str">
        <f t="shared" si="255"/>
        <v>7535_2024</v>
      </c>
    </row>
    <row r="2981" spans="1:88" x14ac:dyDescent="0.25">
      <c r="A2981" t="s">
        <v>79</v>
      </c>
      <c r="B2981" t="s">
        <v>877</v>
      </c>
      <c r="C2981">
        <v>7704</v>
      </c>
      <c r="D2981">
        <v>-33.822491999999997</v>
      </c>
      <c r="E2981">
        <v>151.1867</v>
      </c>
      <c r="F2981">
        <v>3</v>
      </c>
      <c r="G2981" t="s">
        <v>908</v>
      </c>
      <c r="H2981">
        <v>60</v>
      </c>
      <c r="I2981">
        <v>240</v>
      </c>
      <c r="J2981">
        <v>150</v>
      </c>
      <c r="K2981">
        <v>330</v>
      </c>
      <c r="L2981">
        <v>330</v>
      </c>
      <c r="M2981">
        <v>150</v>
      </c>
      <c r="T2981">
        <v>20</v>
      </c>
      <c r="U2981">
        <v>26</v>
      </c>
      <c r="Y2981">
        <v>28</v>
      </c>
      <c r="Z2981">
        <v>20</v>
      </c>
      <c r="AD2981">
        <v>31</v>
      </c>
      <c r="AE2981">
        <v>48</v>
      </c>
      <c r="AX2981">
        <v>46</v>
      </c>
      <c r="AY2981">
        <v>59</v>
      </c>
      <c r="AZ2981">
        <v>105</v>
      </c>
      <c r="BA2981">
        <v>48</v>
      </c>
      <c r="BB2981">
        <v>68</v>
      </c>
      <c r="BC2981">
        <v>116</v>
      </c>
      <c r="BD2981">
        <v>79</v>
      </c>
      <c r="BE2981">
        <v>46</v>
      </c>
      <c r="BF2981">
        <v>125</v>
      </c>
      <c r="BP2981">
        <v>6</v>
      </c>
      <c r="BQ2981">
        <v>1</v>
      </c>
      <c r="BR2981">
        <v>127</v>
      </c>
      <c r="BS2981">
        <v>25</v>
      </c>
      <c r="BT2981">
        <v>12</v>
      </c>
      <c r="BU2981">
        <v>0</v>
      </c>
      <c r="BV2981">
        <v>2</v>
      </c>
      <c r="BW2981">
        <v>173</v>
      </c>
      <c r="BZ2981" s="10"/>
      <c r="CA2981" s="7">
        <v>45606</v>
      </c>
      <c r="CE2981">
        <v>53</v>
      </c>
      <c r="CF2981">
        <v>71</v>
      </c>
      <c r="CG2981">
        <v>49</v>
      </c>
      <c r="CI2981">
        <f t="shared" si="254"/>
        <v>2024</v>
      </c>
      <c r="CJ2981" t="str">
        <f t="shared" si="255"/>
        <v>7704_2024</v>
      </c>
    </row>
    <row r="2982" spans="1:88" x14ac:dyDescent="0.25">
      <c r="A2982" t="s">
        <v>79</v>
      </c>
      <c r="B2982" t="s">
        <v>877</v>
      </c>
      <c r="C2982">
        <v>7705</v>
      </c>
      <c r="D2982">
        <v>-33.819389000000001</v>
      </c>
      <c r="E2982">
        <v>151.19290000000001</v>
      </c>
      <c r="F2982">
        <v>3</v>
      </c>
      <c r="G2982" t="s">
        <v>909</v>
      </c>
      <c r="H2982">
        <v>170</v>
      </c>
      <c r="I2982">
        <v>350</v>
      </c>
      <c r="J2982">
        <v>243</v>
      </c>
      <c r="K2982">
        <v>63</v>
      </c>
      <c r="L2982">
        <v>351</v>
      </c>
      <c r="M2982">
        <v>171</v>
      </c>
      <c r="T2982">
        <v>19</v>
      </c>
      <c r="U2982">
        <v>130</v>
      </c>
      <c r="Y2982">
        <v>8</v>
      </c>
      <c r="Z2982">
        <v>10</v>
      </c>
      <c r="AD2982">
        <v>122</v>
      </c>
      <c r="AE2982">
        <v>10</v>
      </c>
      <c r="AX2982">
        <v>149</v>
      </c>
      <c r="AY2982">
        <v>130</v>
      </c>
      <c r="AZ2982">
        <v>279</v>
      </c>
      <c r="BA2982">
        <v>18</v>
      </c>
      <c r="BB2982">
        <v>29</v>
      </c>
      <c r="BC2982">
        <v>47</v>
      </c>
      <c r="BD2982">
        <v>132</v>
      </c>
      <c r="BE2982">
        <v>140</v>
      </c>
      <c r="BF2982">
        <v>272</v>
      </c>
      <c r="BP2982">
        <v>16</v>
      </c>
      <c r="BQ2982">
        <v>13</v>
      </c>
      <c r="BR2982">
        <v>231</v>
      </c>
      <c r="BS2982">
        <v>21</v>
      </c>
      <c r="BT2982">
        <v>12</v>
      </c>
      <c r="BU2982">
        <v>3</v>
      </c>
      <c r="BV2982">
        <v>3</v>
      </c>
      <c r="BW2982">
        <v>299</v>
      </c>
      <c r="BZ2982" s="10"/>
      <c r="CA2982" s="7">
        <v>45606</v>
      </c>
      <c r="CE2982">
        <v>96</v>
      </c>
      <c r="CF2982">
        <v>123</v>
      </c>
      <c r="CG2982">
        <v>80</v>
      </c>
      <c r="CI2982">
        <f t="shared" si="254"/>
        <v>2024</v>
      </c>
      <c r="CJ2982" t="str">
        <f t="shared" si="255"/>
        <v>7705_2024</v>
      </c>
    </row>
    <row r="2983" spans="1:88" x14ac:dyDescent="0.25">
      <c r="A2983" t="s">
        <v>79</v>
      </c>
      <c r="B2983" t="s">
        <v>877</v>
      </c>
      <c r="C2983">
        <v>7708</v>
      </c>
      <c r="D2983">
        <v>-33.811917000000001</v>
      </c>
      <c r="E2983">
        <v>151.21789999999999</v>
      </c>
      <c r="F2983">
        <v>4</v>
      </c>
      <c r="G2983" t="s">
        <v>912</v>
      </c>
      <c r="H2983">
        <v>11</v>
      </c>
      <c r="I2983">
        <v>191</v>
      </c>
      <c r="J2983">
        <v>98</v>
      </c>
      <c r="K2983">
        <v>278</v>
      </c>
      <c r="L2983">
        <v>191</v>
      </c>
      <c r="M2983">
        <v>11</v>
      </c>
      <c r="N2983">
        <v>280</v>
      </c>
      <c r="O2983">
        <v>100</v>
      </c>
      <c r="T2983">
        <v>13</v>
      </c>
      <c r="U2983">
        <v>19</v>
      </c>
      <c r="V2983">
        <v>7</v>
      </c>
      <c r="Y2983">
        <v>8</v>
      </c>
      <c r="Z2983">
        <v>46</v>
      </c>
      <c r="AA2983">
        <v>63</v>
      </c>
      <c r="AD2983">
        <v>18</v>
      </c>
      <c r="AE2983">
        <v>39</v>
      </c>
      <c r="AF2983">
        <v>7</v>
      </c>
      <c r="AI2983">
        <v>11</v>
      </c>
      <c r="AJ2983">
        <v>88</v>
      </c>
      <c r="AK2983">
        <v>8</v>
      </c>
      <c r="AX2983">
        <v>39</v>
      </c>
      <c r="AY2983">
        <v>37</v>
      </c>
      <c r="AZ2983">
        <v>76</v>
      </c>
      <c r="BA2983">
        <v>117</v>
      </c>
      <c r="BB2983">
        <v>140</v>
      </c>
      <c r="BC2983">
        <v>257</v>
      </c>
      <c r="BD2983">
        <v>64</v>
      </c>
      <c r="BE2983">
        <v>73</v>
      </c>
      <c r="BF2983">
        <v>137</v>
      </c>
      <c r="BG2983">
        <v>107</v>
      </c>
      <c r="BH2983">
        <v>77</v>
      </c>
      <c r="BI2983">
        <v>184</v>
      </c>
      <c r="BP2983">
        <v>27</v>
      </c>
      <c r="BQ2983">
        <v>0</v>
      </c>
      <c r="BR2983">
        <v>218</v>
      </c>
      <c r="BS2983">
        <v>24</v>
      </c>
      <c r="BT2983">
        <v>54</v>
      </c>
      <c r="BU2983">
        <v>0</v>
      </c>
      <c r="BV2983">
        <v>4</v>
      </c>
      <c r="BW2983">
        <v>327</v>
      </c>
      <c r="BZ2983" s="10"/>
      <c r="CA2983" s="7">
        <v>45606</v>
      </c>
      <c r="CE2983">
        <v>137</v>
      </c>
      <c r="CF2983">
        <v>98</v>
      </c>
      <c r="CG2983">
        <v>92</v>
      </c>
      <c r="CI2983">
        <f t="shared" si="254"/>
        <v>2024</v>
      </c>
      <c r="CJ2983" t="str">
        <f t="shared" si="255"/>
        <v>7708_2024</v>
      </c>
    </row>
    <row r="2984" spans="1:88" x14ac:dyDescent="0.25">
      <c r="A2984" t="s">
        <v>79</v>
      </c>
      <c r="B2984" t="s">
        <v>877</v>
      </c>
      <c r="C2984">
        <v>8059</v>
      </c>
      <c r="D2984">
        <v>-33.800922</v>
      </c>
      <c r="E2984">
        <v>151.20150000000001</v>
      </c>
      <c r="F2984">
        <v>4</v>
      </c>
      <c r="G2984" t="s">
        <v>1216</v>
      </c>
      <c r="H2984">
        <v>9</v>
      </c>
      <c r="I2984">
        <v>189</v>
      </c>
      <c r="J2984">
        <v>100</v>
      </c>
      <c r="K2984">
        <v>280</v>
      </c>
      <c r="L2984">
        <v>191</v>
      </c>
      <c r="M2984">
        <v>11</v>
      </c>
      <c r="N2984">
        <v>283</v>
      </c>
      <c r="O2984">
        <v>103</v>
      </c>
      <c r="T2984">
        <v>12</v>
      </c>
      <c r="U2984">
        <v>3</v>
      </c>
      <c r="V2984">
        <v>2</v>
      </c>
      <c r="Y2984">
        <v>4</v>
      </c>
      <c r="Z2984">
        <v>7</v>
      </c>
      <c r="AA2984">
        <v>33</v>
      </c>
      <c r="AD2984">
        <v>3</v>
      </c>
      <c r="AE2984">
        <v>10</v>
      </c>
      <c r="AF2984">
        <v>8</v>
      </c>
      <c r="AI2984">
        <v>0</v>
      </c>
      <c r="AJ2984">
        <v>35</v>
      </c>
      <c r="AK2984">
        <v>19</v>
      </c>
      <c r="AX2984">
        <v>17</v>
      </c>
      <c r="AY2984">
        <v>7</v>
      </c>
      <c r="AZ2984">
        <v>24</v>
      </c>
      <c r="BA2984">
        <v>44</v>
      </c>
      <c r="BB2984">
        <v>57</v>
      </c>
      <c r="BC2984">
        <v>101</v>
      </c>
      <c r="BD2984">
        <v>21</v>
      </c>
      <c r="BE2984">
        <v>29</v>
      </c>
      <c r="BF2984">
        <v>50</v>
      </c>
      <c r="BG2984">
        <v>54</v>
      </c>
      <c r="BH2984">
        <v>43</v>
      </c>
      <c r="BI2984">
        <v>97</v>
      </c>
      <c r="BP2984">
        <v>11</v>
      </c>
      <c r="BQ2984">
        <v>4</v>
      </c>
      <c r="BR2984">
        <v>93</v>
      </c>
      <c r="BS2984">
        <v>5</v>
      </c>
      <c r="BT2984">
        <v>21</v>
      </c>
      <c r="BU2984">
        <v>0</v>
      </c>
      <c r="BV2984">
        <v>2</v>
      </c>
      <c r="BW2984">
        <v>136</v>
      </c>
      <c r="BZ2984" s="10"/>
      <c r="CA2984" s="7">
        <v>45606</v>
      </c>
      <c r="CE2984">
        <v>53</v>
      </c>
      <c r="CF2984">
        <v>41</v>
      </c>
      <c r="CG2984">
        <v>42</v>
      </c>
      <c r="CI2984">
        <f t="shared" si="254"/>
        <v>2024</v>
      </c>
      <c r="CJ2984" t="str">
        <f t="shared" si="255"/>
        <v>8059_2024</v>
      </c>
    </row>
    <row r="2985" spans="1:88" x14ac:dyDescent="0.25">
      <c r="A2985" t="s">
        <v>79</v>
      </c>
      <c r="B2985" t="s">
        <v>877</v>
      </c>
      <c r="C2985">
        <v>8061</v>
      </c>
      <c r="D2985">
        <v>-33.805394999999997</v>
      </c>
      <c r="E2985">
        <v>151.17910000000001</v>
      </c>
      <c r="F2985">
        <v>4</v>
      </c>
      <c r="G2985" t="s">
        <v>1217</v>
      </c>
      <c r="H2985">
        <v>2</v>
      </c>
      <c r="I2985">
        <v>182</v>
      </c>
      <c r="J2985">
        <v>62</v>
      </c>
      <c r="K2985">
        <v>242</v>
      </c>
      <c r="L2985">
        <v>161</v>
      </c>
      <c r="M2985">
        <v>341</v>
      </c>
      <c r="N2985">
        <v>265</v>
      </c>
      <c r="O2985">
        <v>85</v>
      </c>
      <c r="T2985">
        <v>30</v>
      </c>
      <c r="U2985">
        <v>148</v>
      </c>
      <c r="V2985">
        <v>40</v>
      </c>
      <c r="Y2985">
        <v>17</v>
      </c>
      <c r="Z2985">
        <v>16</v>
      </c>
      <c r="AA2985">
        <v>32</v>
      </c>
      <c r="AD2985">
        <v>50</v>
      </c>
      <c r="AE2985">
        <v>30</v>
      </c>
      <c r="AF2985">
        <v>12</v>
      </c>
      <c r="AI2985">
        <v>61</v>
      </c>
      <c r="AJ2985">
        <v>68</v>
      </c>
      <c r="AK2985">
        <v>12</v>
      </c>
      <c r="AX2985">
        <v>218</v>
      </c>
      <c r="AY2985">
        <v>128</v>
      </c>
      <c r="AZ2985">
        <v>346</v>
      </c>
      <c r="BA2985">
        <v>65</v>
      </c>
      <c r="BB2985">
        <v>128</v>
      </c>
      <c r="BC2985">
        <v>193</v>
      </c>
      <c r="BD2985">
        <v>92</v>
      </c>
      <c r="BE2985">
        <v>176</v>
      </c>
      <c r="BF2985">
        <v>268</v>
      </c>
      <c r="BG2985">
        <v>141</v>
      </c>
      <c r="BH2985">
        <v>84</v>
      </c>
      <c r="BI2985">
        <v>225</v>
      </c>
      <c r="BP2985">
        <v>172</v>
      </c>
      <c r="BQ2985">
        <v>36</v>
      </c>
      <c r="BR2985">
        <v>269</v>
      </c>
      <c r="BS2985">
        <v>25</v>
      </c>
      <c r="BT2985">
        <v>14</v>
      </c>
      <c r="BU2985">
        <v>0</v>
      </c>
      <c r="BV2985">
        <v>0</v>
      </c>
      <c r="BW2985">
        <v>516</v>
      </c>
      <c r="BZ2985" s="10"/>
      <c r="CA2985" s="7">
        <v>45606</v>
      </c>
      <c r="CE2985">
        <v>201</v>
      </c>
      <c r="CF2985">
        <v>167</v>
      </c>
      <c r="CG2985">
        <v>148</v>
      </c>
      <c r="CI2985">
        <f t="shared" si="254"/>
        <v>2024</v>
      </c>
      <c r="CJ2985" t="str">
        <f t="shared" si="255"/>
        <v>8061_2024</v>
      </c>
    </row>
    <row r="2986" spans="1:88" x14ac:dyDescent="0.25">
      <c r="A2986" t="s">
        <v>79</v>
      </c>
      <c r="B2986" t="s">
        <v>877</v>
      </c>
      <c r="C2986">
        <v>8062</v>
      </c>
      <c r="D2986">
        <v>-33.813031000000002</v>
      </c>
      <c r="E2986">
        <v>151.20230000000001</v>
      </c>
      <c r="F2986">
        <v>2</v>
      </c>
      <c r="G2986" t="s">
        <v>1218</v>
      </c>
      <c r="H2986">
        <v>100</v>
      </c>
      <c r="I2986">
        <v>280</v>
      </c>
      <c r="J2986">
        <v>287</v>
      </c>
      <c r="K2986">
        <v>107</v>
      </c>
      <c r="T2986">
        <v>216</v>
      </c>
      <c r="Y2986">
        <v>162</v>
      </c>
      <c r="AX2986">
        <v>216</v>
      </c>
      <c r="AY2986">
        <v>162</v>
      </c>
      <c r="AZ2986">
        <v>378</v>
      </c>
      <c r="BA2986">
        <v>162</v>
      </c>
      <c r="BB2986">
        <v>216</v>
      </c>
      <c r="BC2986">
        <v>378</v>
      </c>
      <c r="BP2986">
        <v>55</v>
      </c>
      <c r="BQ2986">
        <v>8</v>
      </c>
      <c r="BR2986">
        <v>164</v>
      </c>
      <c r="BS2986">
        <v>80</v>
      </c>
      <c r="BT2986">
        <v>57</v>
      </c>
      <c r="BU2986">
        <v>1</v>
      </c>
      <c r="BV2986">
        <v>13</v>
      </c>
      <c r="BW2986">
        <v>378</v>
      </c>
      <c r="BZ2986" s="10"/>
      <c r="CA2986" s="7">
        <v>45606</v>
      </c>
      <c r="CE2986">
        <v>145</v>
      </c>
      <c r="CF2986">
        <v>129</v>
      </c>
      <c r="CG2986">
        <v>104</v>
      </c>
      <c r="CI2986">
        <f t="shared" si="254"/>
        <v>2024</v>
      </c>
      <c r="CJ2986" t="str">
        <f t="shared" si="255"/>
        <v>8062_2024</v>
      </c>
    </row>
    <row r="2987" spans="1:88" x14ac:dyDescent="0.25">
      <c r="A2987" t="s">
        <v>79</v>
      </c>
      <c r="B2987" t="s">
        <v>877</v>
      </c>
      <c r="C2987">
        <v>8064</v>
      </c>
      <c r="D2987">
        <v>-33.802388000000001</v>
      </c>
      <c r="E2987">
        <v>151.2115</v>
      </c>
      <c r="F2987">
        <v>4</v>
      </c>
      <c r="G2987" t="s">
        <v>1219</v>
      </c>
      <c r="H2987">
        <v>0</v>
      </c>
      <c r="I2987">
        <v>180</v>
      </c>
      <c r="J2987">
        <v>90</v>
      </c>
      <c r="K2987">
        <v>270</v>
      </c>
      <c r="L2987">
        <v>180</v>
      </c>
      <c r="M2987">
        <v>360</v>
      </c>
      <c r="N2987">
        <v>270</v>
      </c>
      <c r="O2987">
        <v>90</v>
      </c>
      <c r="T2987">
        <v>8</v>
      </c>
      <c r="U2987">
        <v>5</v>
      </c>
      <c r="V2987">
        <v>5</v>
      </c>
      <c r="Y2987">
        <v>24</v>
      </c>
      <c r="Z2987">
        <v>23</v>
      </c>
      <c r="AA2987">
        <v>31</v>
      </c>
      <c r="AD2987">
        <v>7</v>
      </c>
      <c r="AE2987">
        <v>18</v>
      </c>
      <c r="AF2987">
        <v>5</v>
      </c>
      <c r="AI2987">
        <v>3</v>
      </c>
      <c r="AJ2987">
        <v>55</v>
      </c>
      <c r="AK2987">
        <v>5</v>
      </c>
      <c r="AX2987">
        <v>18</v>
      </c>
      <c r="AY2987">
        <v>34</v>
      </c>
      <c r="AZ2987">
        <v>52</v>
      </c>
      <c r="BA2987">
        <v>78</v>
      </c>
      <c r="BB2987">
        <v>81</v>
      </c>
      <c r="BC2987">
        <v>159</v>
      </c>
      <c r="BD2987">
        <v>30</v>
      </c>
      <c r="BE2987">
        <v>33</v>
      </c>
      <c r="BF2987">
        <v>63</v>
      </c>
      <c r="BG2987">
        <v>63</v>
      </c>
      <c r="BH2987">
        <v>41</v>
      </c>
      <c r="BI2987">
        <v>104</v>
      </c>
      <c r="BP2987">
        <v>24</v>
      </c>
      <c r="BQ2987">
        <v>5</v>
      </c>
      <c r="BR2987">
        <v>109</v>
      </c>
      <c r="BS2987">
        <v>28</v>
      </c>
      <c r="BT2987">
        <v>23</v>
      </c>
      <c r="BU2987">
        <v>0</v>
      </c>
      <c r="BV2987">
        <v>0</v>
      </c>
      <c r="BW2987">
        <v>189</v>
      </c>
      <c r="BZ2987" s="10"/>
      <c r="CA2987" s="7">
        <v>45606</v>
      </c>
      <c r="CE2987">
        <v>86</v>
      </c>
      <c r="CF2987">
        <v>62</v>
      </c>
      <c r="CG2987">
        <v>41</v>
      </c>
      <c r="CI2987">
        <f t="shared" si="254"/>
        <v>2024</v>
      </c>
      <c r="CJ2987" t="str">
        <f t="shared" si="255"/>
        <v>8064_2024</v>
      </c>
    </row>
    <row r="2988" spans="1:88" x14ac:dyDescent="0.25">
      <c r="A2988" t="s">
        <v>79</v>
      </c>
      <c r="B2988" t="s">
        <v>877</v>
      </c>
      <c r="C2988">
        <v>8065</v>
      </c>
      <c r="D2988">
        <v>-33.795450000000002</v>
      </c>
      <c r="E2988">
        <v>151.2003</v>
      </c>
      <c r="F2988">
        <v>3</v>
      </c>
      <c r="G2988" t="s">
        <v>1220</v>
      </c>
      <c r="H2988">
        <v>70</v>
      </c>
      <c r="I2988">
        <v>250</v>
      </c>
      <c r="J2988">
        <v>160</v>
      </c>
      <c r="K2988">
        <v>340</v>
      </c>
      <c r="L2988">
        <v>341</v>
      </c>
      <c r="M2988">
        <v>161</v>
      </c>
      <c r="T2988">
        <v>70</v>
      </c>
      <c r="U2988">
        <v>18</v>
      </c>
      <c r="Y2988">
        <v>47</v>
      </c>
      <c r="Z2988">
        <v>131</v>
      </c>
      <c r="AD2988">
        <v>12</v>
      </c>
      <c r="AE2988">
        <v>121</v>
      </c>
      <c r="AX2988">
        <v>88</v>
      </c>
      <c r="AY2988">
        <v>59</v>
      </c>
      <c r="AZ2988">
        <v>147</v>
      </c>
      <c r="BA2988">
        <v>178</v>
      </c>
      <c r="BB2988">
        <v>191</v>
      </c>
      <c r="BC2988">
        <v>369</v>
      </c>
      <c r="BD2988">
        <v>133</v>
      </c>
      <c r="BE2988">
        <v>149</v>
      </c>
      <c r="BF2988">
        <v>282</v>
      </c>
      <c r="BP2988">
        <v>24</v>
      </c>
      <c r="BQ2988">
        <v>6</v>
      </c>
      <c r="BR2988">
        <v>304</v>
      </c>
      <c r="BS2988">
        <v>15</v>
      </c>
      <c r="BT2988">
        <v>50</v>
      </c>
      <c r="BU2988">
        <v>0</v>
      </c>
      <c r="BV2988">
        <v>0</v>
      </c>
      <c r="BW2988">
        <v>399</v>
      </c>
      <c r="BZ2988" s="10"/>
      <c r="CA2988" s="7">
        <v>45606</v>
      </c>
      <c r="CE2988">
        <v>160</v>
      </c>
      <c r="CF2988">
        <v>137</v>
      </c>
      <c r="CG2988">
        <v>102</v>
      </c>
      <c r="CI2988">
        <f t="shared" si="254"/>
        <v>2024</v>
      </c>
      <c r="CJ2988" t="str">
        <f t="shared" si="255"/>
        <v>8065_2024</v>
      </c>
    </row>
    <row r="2989" spans="1:88" x14ac:dyDescent="0.25">
      <c r="A2989" t="s">
        <v>79</v>
      </c>
      <c r="B2989" t="s">
        <v>877</v>
      </c>
      <c r="C2989">
        <v>8066</v>
      </c>
      <c r="D2989">
        <v>-33.808030000000002</v>
      </c>
      <c r="E2989">
        <v>151.18350000000001</v>
      </c>
      <c r="F2989">
        <v>3</v>
      </c>
      <c r="G2989" t="s">
        <v>1221</v>
      </c>
      <c r="H2989">
        <v>134</v>
      </c>
      <c r="I2989">
        <v>314</v>
      </c>
      <c r="J2989">
        <v>240</v>
      </c>
      <c r="K2989">
        <v>60</v>
      </c>
      <c r="L2989">
        <v>319</v>
      </c>
      <c r="M2989">
        <v>139</v>
      </c>
      <c r="T2989">
        <v>115</v>
      </c>
      <c r="U2989">
        <v>73</v>
      </c>
      <c r="Y2989">
        <v>163</v>
      </c>
      <c r="Z2989">
        <v>6</v>
      </c>
      <c r="AD2989">
        <v>147</v>
      </c>
      <c r="AE2989">
        <v>1</v>
      </c>
      <c r="AX2989">
        <v>188</v>
      </c>
      <c r="AY2989">
        <v>310</v>
      </c>
      <c r="AZ2989">
        <v>498</v>
      </c>
      <c r="BA2989">
        <v>169</v>
      </c>
      <c r="BB2989">
        <v>116</v>
      </c>
      <c r="BC2989">
        <v>285</v>
      </c>
      <c r="BD2989">
        <v>148</v>
      </c>
      <c r="BE2989">
        <v>79</v>
      </c>
      <c r="BF2989">
        <v>227</v>
      </c>
      <c r="BP2989">
        <v>13</v>
      </c>
      <c r="BQ2989">
        <v>15</v>
      </c>
      <c r="BR2989">
        <v>450</v>
      </c>
      <c r="BS2989">
        <v>10</v>
      </c>
      <c r="BT2989">
        <v>17</v>
      </c>
      <c r="BU2989">
        <v>0</v>
      </c>
      <c r="BV2989">
        <v>0</v>
      </c>
      <c r="BW2989">
        <v>505</v>
      </c>
      <c r="BZ2989" s="10"/>
      <c r="CA2989" s="7">
        <v>45606</v>
      </c>
      <c r="CE2989">
        <v>175</v>
      </c>
      <c r="CF2989">
        <v>173</v>
      </c>
      <c r="CG2989">
        <v>157</v>
      </c>
      <c r="CI2989">
        <f t="shared" si="254"/>
        <v>2024</v>
      </c>
      <c r="CJ2989" t="str">
        <f t="shared" si="255"/>
        <v>8066_2024</v>
      </c>
    </row>
    <row r="2990" spans="1:88" x14ac:dyDescent="0.25">
      <c r="A2990" t="s">
        <v>111</v>
      </c>
      <c r="B2990" t="s">
        <v>157</v>
      </c>
      <c r="C2990">
        <v>5047</v>
      </c>
      <c r="D2990">
        <v>-37.876595000000002</v>
      </c>
      <c r="E2990">
        <v>144.73719399999999</v>
      </c>
      <c r="F2990">
        <v>4</v>
      </c>
      <c r="G2990" t="s">
        <v>158</v>
      </c>
      <c r="H2990">
        <v>6</v>
      </c>
      <c r="I2990">
        <v>186</v>
      </c>
      <c r="J2990">
        <v>91</v>
      </c>
      <c r="K2990">
        <v>271</v>
      </c>
      <c r="L2990">
        <v>193</v>
      </c>
      <c r="M2990">
        <v>13</v>
      </c>
      <c r="N2990">
        <v>259</v>
      </c>
      <c r="O2990">
        <v>79</v>
      </c>
      <c r="T2990">
        <v>59</v>
      </c>
      <c r="U2990">
        <v>52</v>
      </c>
      <c r="V2990">
        <v>56</v>
      </c>
      <c r="Y2990">
        <v>41</v>
      </c>
      <c r="Z2990">
        <v>28</v>
      </c>
      <c r="AA2990">
        <v>38</v>
      </c>
      <c r="AD2990">
        <v>39</v>
      </c>
      <c r="AE2990">
        <v>33</v>
      </c>
      <c r="AF2990">
        <v>30</v>
      </c>
      <c r="AI2990">
        <v>74</v>
      </c>
      <c r="AJ2990">
        <v>66</v>
      </c>
      <c r="AK2990">
        <v>55</v>
      </c>
      <c r="AX2990">
        <v>167</v>
      </c>
      <c r="AY2990">
        <v>154</v>
      </c>
      <c r="AZ2990">
        <v>321</v>
      </c>
      <c r="BA2990">
        <v>107</v>
      </c>
      <c r="BB2990">
        <v>158</v>
      </c>
      <c r="BC2990">
        <v>265</v>
      </c>
      <c r="BD2990">
        <v>102</v>
      </c>
      <c r="BE2990">
        <v>135</v>
      </c>
      <c r="BF2990">
        <v>237</v>
      </c>
      <c r="BG2990">
        <v>195</v>
      </c>
      <c r="BH2990">
        <v>124</v>
      </c>
      <c r="BI2990">
        <v>319</v>
      </c>
      <c r="BP2990">
        <v>226</v>
      </c>
      <c r="BQ2990">
        <v>39</v>
      </c>
      <c r="BR2990">
        <v>211</v>
      </c>
      <c r="BS2990">
        <v>55</v>
      </c>
      <c r="BT2990">
        <v>32</v>
      </c>
      <c r="BU2990">
        <v>8</v>
      </c>
      <c r="BV2990">
        <v>0</v>
      </c>
      <c r="BW2990">
        <v>571</v>
      </c>
      <c r="BX2990">
        <v>142</v>
      </c>
      <c r="BY2990">
        <v>3.0211267610000001</v>
      </c>
      <c r="BZ2990" s="10">
        <v>3.0211267610000001</v>
      </c>
      <c r="CA2990" s="7">
        <v>45606</v>
      </c>
      <c r="CE2990">
        <v>201</v>
      </c>
      <c r="CF2990">
        <v>193</v>
      </c>
      <c r="CG2990">
        <v>177</v>
      </c>
      <c r="CI2990">
        <f t="shared" si="254"/>
        <v>2024</v>
      </c>
      <c r="CJ2990" t="str">
        <f t="shared" si="255"/>
        <v>5047_2024</v>
      </c>
    </row>
    <row r="2991" spans="1:88" x14ac:dyDescent="0.25">
      <c r="A2991" t="s">
        <v>111</v>
      </c>
      <c r="B2991" t="s">
        <v>157</v>
      </c>
      <c r="C2991">
        <v>5052</v>
      </c>
      <c r="D2991">
        <v>-37.851049000000003</v>
      </c>
      <c r="E2991">
        <v>144.71219300000001</v>
      </c>
      <c r="F2991">
        <v>4</v>
      </c>
      <c r="G2991" t="s">
        <v>159</v>
      </c>
      <c r="H2991">
        <v>17</v>
      </c>
      <c r="I2991">
        <v>197</v>
      </c>
      <c r="J2991">
        <v>97</v>
      </c>
      <c r="K2991">
        <v>277</v>
      </c>
      <c r="L2991">
        <v>207</v>
      </c>
      <c r="M2991">
        <v>27</v>
      </c>
      <c r="N2991">
        <v>275</v>
      </c>
      <c r="O2991">
        <v>95</v>
      </c>
      <c r="T2991">
        <v>1</v>
      </c>
      <c r="U2991">
        <v>11</v>
      </c>
      <c r="V2991">
        <v>6</v>
      </c>
      <c r="Y2991">
        <v>10</v>
      </c>
      <c r="Z2991">
        <v>1</v>
      </c>
      <c r="AA2991">
        <v>15</v>
      </c>
      <c r="AD2991">
        <v>10</v>
      </c>
      <c r="AE2991">
        <v>0</v>
      </c>
      <c r="AF2991">
        <v>15</v>
      </c>
      <c r="AI2991">
        <v>19</v>
      </c>
      <c r="AJ2991">
        <v>12</v>
      </c>
      <c r="AK2991">
        <v>8</v>
      </c>
      <c r="AX2991">
        <v>18</v>
      </c>
      <c r="AY2991">
        <v>39</v>
      </c>
      <c r="AZ2991">
        <v>57</v>
      </c>
      <c r="BA2991">
        <v>26</v>
      </c>
      <c r="BB2991">
        <v>13</v>
      </c>
      <c r="BC2991">
        <v>39</v>
      </c>
      <c r="BD2991">
        <v>25</v>
      </c>
      <c r="BE2991">
        <v>20</v>
      </c>
      <c r="BF2991">
        <v>45</v>
      </c>
      <c r="BG2991">
        <v>39</v>
      </c>
      <c r="BH2991">
        <v>36</v>
      </c>
      <c r="BI2991">
        <v>75</v>
      </c>
      <c r="BP2991">
        <v>40</v>
      </c>
      <c r="BQ2991">
        <v>0</v>
      </c>
      <c r="BR2991">
        <v>34</v>
      </c>
      <c r="BS2991">
        <v>9</v>
      </c>
      <c r="BT2991">
        <v>11</v>
      </c>
      <c r="BU2991">
        <v>6</v>
      </c>
      <c r="BV2991">
        <v>8</v>
      </c>
      <c r="BW2991">
        <v>108</v>
      </c>
      <c r="BX2991">
        <v>202</v>
      </c>
      <c r="BY2991">
        <v>-0.46534653500000001</v>
      </c>
      <c r="BZ2991" s="10">
        <v>-0.46534653500000001</v>
      </c>
      <c r="CA2991" s="7">
        <v>45606</v>
      </c>
      <c r="CE2991">
        <v>32</v>
      </c>
      <c r="CF2991">
        <v>42</v>
      </c>
      <c r="CG2991">
        <v>34</v>
      </c>
      <c r="CI2991">
        <f t="shared" si="254"/>
        <v>2024</v>
      </c>
      <c r="CJ2991" t="str">
        <f t="shared" si="255"/>
        <v>5052_2024</v>
      </c>
    </row>
    <row r="2992" spans="1:88" x14ac:dyDescent="0.25">
      <c r="A2992" t="s">
        <v>111</v>
      </c>
      <c r="B2992" t="s">
        <v>157</v>
      </c>
      <c r="C2992">
        <v>5055</v>
      </c>
      <c r="D2992">
        <v>-37.898569000000002</v>
      </c>
      <c r="E2992">
        <v>144.77960999999999</v>
      </c>
      <c r="F2992">
        <v>3</v>
      </c>
      <c r="G2992" t="s">
        <v>160</v>
      </c>
      <c r="H2992">
        <v>59</v>
      </c>
      <c r="I2992">
        <v>239</v>
      </c>
      <c r="J2992">
        <v>150</v>
      </c>
      <c r="K2992">
        <v>330</v>
      </c>
      <c r="L2992">
        <v>242</v>
      </c>
      <c r="M2992">
        <v>62</v>
      </c>
      <c r="T2992">
        <v>52</v>
      </c>
      <c r="U2992">
        <v>47</v>
      </c>
      <c r="Y2992">
        <v>69</v>
      </c>
      <c r="Z2992">
        <v>13</v>
      </c>
      <c r="AD2992">
        <v>48</v>
      </c>
      <c r="AE2992">
        <v>6</v>
      </c>
      <c r="AX2992">
        <v>99</v>
      </c>
      <c r="AY2992">
        <v>117</v>
      </c>
      <c r="AZ2992">
        <v>216</v>
      </c>
      <c r="BA2992">
        <v>82</v>
      </c>
      <c r="BB2992">
        <v>58</v>
      </c>
      <c r="BC2992">
        <v>140</v>
      </c>
      <c r="BD2992">
        <v>54</v>
      </c>
      <c r="BE2992">
        <v>60</v>
      </c>
      <c r="BF2992">
        <v>114</v>
      </c>
      <c r="BP2992">
        <v>168</v>
      </c>
      <c r="BQ2992">
        <v>8</v>
      </c>
      <c r="BR2992">
        <v>29</v>
      </c>
      <c r="BS2992">
        <v>16</v>
      </c>
      <c r="BT2992">
        <v>13</v>
      </c>
      <c r="BU2992">
        <v>0</v>
      </c>
      <c r="BV2992">
        <v>1</v>
      </c>
      <c r="BW2992">
        <v>235</v>
      </c>
      <c r="BX2992">
        <v>229</v>
      </c>
      <c r="BY2992">
        <v>2.6200873E-2</v>
      </c>
      <c r="BZ2992" s="10">
        <v>2.6200873E-2</v>
      </c>
      <c r="CA2992" s="7">
        <v>45606</v>
      </c>
      <c r="CE2992">
        <v>100</v>
      </c>
      <c r="CF2992">
        <v>76</v>
      </c>
      <c r="CG2992">
        <v>59</v>
      </c>
      <c r="CI2992">
        <f t="shared" si="254"/>
        <v>2024</v>
      </c>
      <c r="CJ2992" t="str">
        <f t="shared" si="255"/>
        <v>5055_2024</v>
      </c>
    </row>
    <row r="2993" spans="1:88" x14ac:dyDescent="0.25">
      <c r="A2993" t="s">
        <v>111</v>
      </c>
      <c r="B2993" t="s">
        <v>157</v>
      </c>
      <c r="C2993">
        <v>5592</v>
      </c>
      <c r="D2993">
        <v>-37.868875000000003</v>
      </c>
      <c r="E2993">
        <v>144.720685</v>
      </c>
      <c r="F2993">
        <v>3</v>
      </c>
      <c r="G2993" t="s">
        <v>173</v>
      </c>
      <c r="H2993">
        <v>58</v>
      </c>
      <c r="I2993">
        <v>238</v>
      </c>
      <c r="J2993">
        <v>147</v>
      </c>
      <c r="K2993">
        <v>327</v>
      </c>
      <c r="L2993">
        <v>271</v>
      </c>
      <c r="M2993">
        <v>91</v>
      </c>
      <c r="T2993">
        <v>25</v>
      </c>
      <c r="U2993">
        <v>21</v>
      </c>
      <c r="Y2993">
        <v>28</v>
      </c>
      <c r="Z2993">
        <v>21</v>
      </c>
      <c r="AD2993">
        <v>7</v>
      </c>
      <c r="AE2993">
        <v>21</v>
      </c>
      <c r="AX2993">
        <v>46</v>
      </c>
      <c r="AY2993">
        <v>35</v>
      </c>
      <c r="AZ2993">
        <v>81</v>
      </c>
      <c r="BA2993">
        <v>49</v>
      </c>
      <c r="BB2993">
        <v>46</v>
      </c>
      <c r="BC2993">
        <v>95</v>
      </c>
      <c r="BD2993">
        <v>28</v>
      </c>
      <c r="BE2993">
        <v>42</v>
      </c>
      <c r="BF2993">
        <v>70</v>
      </c>
      <c r="BP2993">
        <v>71</v>
      </c>
      <c r="BQ2993">
        <v>12</v>
      </c>
      <c r="BR2993">
        <v>20</v>
      </c>
      <c r="BS2993">
        <v>7</v>
      </c>
      <c r="BT2993">
        <v>13</v>
      </c>
      <c r="BU2993">
        <v>0</v>
      </c>
      <c r="BV2993">
        <v>0</v>
      </c>
      <c r="BW2993">
        <v>123</v>
      </c>
      <c r="BX2993">
        <v>158</v>
      </c>
      <c r="BY2993">
        <v>-0.221518987</v>
      </c>
      <c r="BZ2993" s="10">
        <v>-0.221518987</v>
      </c>
      <c r="CA2993" s="7">
        <v>45606</v>
      </c>
      <c r="CE2993">
        <v>33</v>
      </c>
      <c r="CF2993">
        <v>57</v>
      </c>
      <c r="CG2993">
        <v>33</v>
      </c>
      <c r="CI2993">
        <f t="shared" si="254"/>
        <v>2024</v>
      </c>
      <c r="CJ2993" t="str">
        <f t="shared" si="255"/>
        <v>5592_2024</v>
      </c>
    </row>
    <row r="2994" spans="1:88" x14ac:dyDescent="0.25">
      <c r="A2994" t="s">
        <v>111</v>
      </c>
      <c r="B2994" t="s">
        <v>157</v>
      </c>
      <c r="C2994">
        <v>5593</v>
      </c>
      <c r="D2994">
        <v>-37.824747000000002</v>
      </c>
      <c r="E2994">
        <v>144.81346500000001</v>
      </c>
      <c r="F2994">
        <v>3</v>
      </c>
      <c r="G2994" t="s">
        <v>174</v>
      </c>
      <c r="H2994">
        <v>81</v>
      </c>
      <c r="I2994">
        <v>261</v>
      </c>
      <c r="J2994">
        <v>244</v>
      </c>
      <c r="K2994">
        <v>64</v>
      </c>
      <c r="L2994">
        <v>314</v>
      </c>
      <c r="M2994">
        <v>134</v>
      </c>
      <c r="T2994">
        <v>16</v>
      </c>
      <c r="U2994">
        <v>1</v>
      </c>
      <c r="Y2994">
        <v>28</v>
      </c>
      <c r="Z2994">
        <v>6</v>
      </c>
      <c r="AD2994">
        <v>3</v>
      </c>
      <c r="AE2994">
        <v>3</v>
      </c>
      <c r="AX2994">
        <v>17</v>
      </c>
      <c r="AY2994">
        <v>31</v>
      </c>
      <c r="AZ2994">
        <v>48</v>
      </c>
      <c r="BA2994">
        <v>34</v>
      </c>
      <c r="BB2994">
        <v>19</v>
      </c>
      <c r="BC2994">
        <v>53</v>
      </c>
      <c r="BD2994">
        <v>6</v>
      </c>
      <c r="BE2994">
        <v>7</v>
      </c>
      <c r="BF2994">
        <v>13</v>
      </c>
      <c r="BP2994">
        <v>46</v>
      </c>
      <c r="BQ2994">
        <v>9</v>
      </c>
      <c r="BR2994">
        <v>0</v>
      </c>
      <c r="BS2994">
        <v>1</v>
      </c>
      <c r="BT2994">
        <v>0</v>
      </c>
      <c r="BU2994">
        <v>1</v>
      </c>
      <c r="BV2994">
        <v>0</v>
      </c>
      <c r="BW2994">
        <v>57</v>
      </c>
      <c r="BX2994">
        <v>47</v>
      </c>
      <c r="BY2994">
        <v>0.21276595700000001</v>
      </c>
      <c r="BZ2994" s="10">
        <v>0.21276595700000001</v>
      </c>
      <c r="CA2994" s="7">
        <v>45606</v>
      </c>
      <c r="CE2994">
        <v>16</v>
      </c>
      <c r="CF2994">
        <v>29</v>
      </c>
      <c r="CG2994">
        <v>12</v>
      </c>
      <c r="CI2994">
        <f t="shared" si="254"/>
        <v>2024</v>
      </c>
      <c r="CJ2994" t="str">
        <f t="shared" si="255"/>
        <v>5593_2024</v>
      </c>
    </row>
    <row r="2995" spans="1:88" x14ac:dyDescent="0.25">
      <c r="A2995" t="s">
        <v>111</v>
      </c>
      <c r="B2995" t="s">
        <v>157</v>
      </c>
      <c r="C2995">
        <v>5596</v>
      </c>
      <c r="D2995">
        <v>-37.900910000000003</v>
      </c>
      <c r="E2995">
        <v>144.659459</v>
      </c>
      <c r="F2995">
        <v>4</v>
      </c>
      <c r="G2995" t="s">
        <v>178</v>
      </c>
      <c r="H2995">
        <v>5</v>
      </c>
      <c r="I2995">
        <v>185</v>
      </c>
      <c r="J2995">
        <v>79</v>
      </c>
      <c r="K2995">
        <v>259</v>
      </c>
      <c r="L2995">
        <v>173</v>
      </c>
      <c r="M2995">
        <v>353</v>
      </c>
      <c r="N2995">
        <v>262</v>
      </c>
      <c r="O2995">
        <v>82</v>
      </c>
      <c r="T2995">
        <v>2</v>
      </c>
      <c r="U2995">
        <v>4</v>
      </c>
      <c r="V2995">
        <v>24</v>
      </c>
      <c r="Y2995">
        <v>0</v>
      </c>
      <c r="Z2995">
        <v>2</v>
      </c>
      <c r="AA2995">
        <v>133</v>
      </c>
      <c r="AD2995">
        <v>3</v>
      </c>
      <c r="AE2995">
        <v>6</v>
      </c>
      <c r="AF2995">
        <v>50</v>
      </c>
      <c r="AI2995">
        <v>17</v>
      </c>
      <c r="AJ2995">
        <v>100</v>
      </c>
      <c r="AK2995">
        <v>33</v>
      </c>
      <c r="AX2995">
        <v>30</v>
      </c>
      <c r="AY2995">
        <v>20</v>
      </c>
      <c r="AZ2995">
        <v>50</v>
      </c>
      <c r="BA2995">
        <v>135</v>
      </c>
      <c r="BB2995">
        <v>108</v>
      </c>
      <c r="BC2995">
        <v>243</v>
      </c>
      <c r="BD2995">
        <v>59</v>
      </c>
      <c r="BE2995">
        <v>39</v>
      </c>
      <c r="BF2995">
        <v>98</v>
      </c>
      <c r="BG2995">
        <v>150</v>
      </c>
      <c r="BH2995">
        <v>207</v>
      </c>
      <c r="BI2995">
        <v>357</v>
      </c>
      <c r="BP2995">
        <v>39</v>
      </c>
      <c r="BQ2995">
        <v>4</v>
      </c>
      <c r="BR2995">
        <v>277</v>
      </c>
      <c r="BS2995">
        <v>12</v>
      </c>
      <c r="BT2995">
        <v>36</v>
      </c>
      <c r="BU2995">
        <v>2</v>
      </c>
      <c r="BV2995">
        <v>4</v>
      </c>
      <c r="BW2995">
        <v>374</v>
      </c>
      <c r="BX2995">
        <v>325</v>
      </c>
      <c r="BY2995">
        <v>0.150769231</v>
      </c>
      <c r="BZ2995" s="10">
        <v>0.150769231</v>
      </c>
      <c r="CA2995" s="7">
        <v>45606</v>
      </c>
      <c r="CE2995">
        <v>109</v>
      </c>
      <c r="CF2995">
        <v>108</v>
      </c>
      <c r="CG2995">
        <v>157</v>
      </c>
      <c r="CI2995">
        <f t="shared" si="254"/>
        <v>2024</v>
      </c>
      <c r="CJ2995" t="str">
        <f t="shared" si="255"/>
        <v>5596_2024</v>
      </c>
    </row>
    <row r="2996" spans="1:88" x14ac:dyDescent="0.25">
      <c r="A2996" t="s">
        <v>111</v>
      </c>
      <c r="B2996" t="s">
        <v>157</v>
      </c>
      <c r="C2996">
        <v>6043</v>
      </c>
      <c r="D2996">
        <v>-37.919029000000002</v>
      </c>
      <c r="E2996">
        <v>144.65866199999999</v>
      </c>
      <c r="F2996">
        <v>4</v>
      </c>
      <c r="G2996" t="s">
        <v>378</v>
      </c>
      <c r="H2996">
        <v>66</v>
      </c>
      <c r="I2996">
        <v>246</v>
      </c>
      <c r="J2996">
        <v>201</v>
      </c>
      <c r="K2996">
        <v>21</v>
      </c>
      <c r="L2996">
        <v>247</v>
      </c>
      <c r="M2996">
        <v>67</v>
      </c>
      <c r="N2996">
        <v>302</v>
      </c>
      <c r="O2996">
        <v>122</v>
      </c>
      <c r="T2996">
        <v>0</v>
      </c>
      <c r="U2996">
        <v>5</v>
      </c>
      <c r="V2996">
        <v>16</v>
      </c>
      <c r="Y2996">
        <v>2</v>
      </c>
      <c r="Z2996">
        <v>1</v>
      </c>
      <c r="AA2996">
        <v>0</v>
      </c>
      <c r="AD2996">
        <v>1</v>
      </c>
      <c r="AE2996">
        <v>0</v>
      </c>
      <c r="AF2996">
        <v>3</v>
      </c>
      <c r="AI2996">
        <v>10</v>
      </c>
      <c r="AJ2996">
        <v>0</v>
      </c>
      <c r="AK2996">
        <v>2</v>
      </c>
      <c r="AX2996">
        <v>21</v>
      </c>
      <c r="AY2996">
        <v>13</v>
      </c>
      <c r="AZ2996">
        <v>34</v>
      </c>
      <c r="BA2996">
        <v>3</v>
      </c>
      <c r="BB2996">
        <v>0</v>
      </c>
      <c r="BC2996">
        <v>3</v>
      </c>
      <c r="BD2996">
        <v>4</v>
      </c>
      <c r="BE2996">
        <v>8</v>
      </c>
      <c r="BF2996">
        <v>12</v>
      </c>
      <c r="BG2996">
        <v>12</v>
      </c>
      <c r="BH2996">
        <v>19</v>
      </c>
      <c r="BI2996">
        <v>31</v>
      </c>
      <c r="BP2996">
        <v>4</v>
      </c>
      <c r="BQ2996">
        <v>1</v>
      </c>
      <c r="BR2996">
        <v>19</v>
      </c>
      <c r="BS2996">
        <v>11</v>
      </c>
      <c r="BT2996">
        <v>3</v>
      </c>
      <c r="BU2996">
        <v>0</v>
      </c>
      <c r="BV2996">
        <v>2</v>
      </c>
      <c r="BW2996">
        <v>40</v>
      </c>
      <c r="BX2996">
        <v>57</v>
      </c>
      <c r="BY2996">
        <v>-0.29824561399999999</v>
      </c>
      <c r="BZ2996" s="10">
        <v>-0.29824561399999999</v>
      </c>
      <c r="CA2996" s="7">
        <v>45606</v>
      </c>
      <c r="CE2996">
        <v>15</v>
      </c>
      <c r="CF2996">
        <v>8</v>
      </c>
      <c r="CG2996">
        <v>17</v>
      </c>
      <c r="CI2996">
        <f t="shared" si="254"/>
        <v>2024</v>
      </c>
      <c r="CJ2996" t="str">
        <f t="shared" si="255"/>
        <v>6043_2024</v>
      </c>
    </row>
    <row r="2997" spans="1:88" x14ac:dyDescent="0.25">
      <c r="A2997" t="s">
        <v>111</v>
      </c>
      <c r="B2997" t="s">
        <v>157</v>
      </c>
      <c r="C2997">
        <v>6250</v>
      </c>
      <c r="D2997">
        <v>-37.820585000000001</v>
      </c>
      <c r="E2997">
        <v>144.825098</v>
      </c>
      <c r="F2997">
        <v>3</v>
      </c>
      <c r="G2997" t="s">
        <v>433</v>
      </c>
      <c r="H2997">
        <v>70</v>
      </c>
      <c r="I2997">
        <v>250</v>
      </c>
      <c r="J2997">
        <v>238</v>
      </c>
      <c r="K2997">
        <v>58</v>
      </c>
      <c r="L2997">
        <v>344</v>
      </c>
      <c r="M2997">
        <v>164</v>
      </c>
      <c r="U2997">
        <v>15</v>
      </c>
      <c r="V2997">
        <v>0</v>
      </c>
      <c r="AD2997">
        <v>17</v>
      </c>
      <c r="AF2997">
        <v>3</v>
      </c>
      <c r="AI2997">
        <v>3</v>
      </c>
      <c r="AK2997">
        <v>1</v>
      </c>
      <c r="AX2997">
        <v>15</v>
      </c>
      <c r="AY2997">
        <v>20</v>
      </c>
      <c r="AZ2997">
        <v>35</v>
      </c>
      <c r="BD2997">
        <v>20</v>
      </c>
      <c r="BE2997">
        <v>16</v>
      </c>
      <c r="BF2997">
        <v>36</v>
      </c>
      <c r="BG2997">
        <v>4</v>
      </c>
      <c r="BH2997">
        <v>3</v>
      </c>
      <c r="BI2997">
        <v>7</v>
      </c>
      <c r="BP2997">
        <v>32</v>
      </c>
      <c r="BQ2997">
        <v>4</v>
      </c>
      <c r="BR2997">
        <v>0</v>
      </c>
      <c r="BS2997">
        <v>2</v>
      </c>
      <c r="BT2997">
        <v>0</v>
      </c>
      <c r="BU2997">
        <v>0</v>
      </c>
      <c r="BV2997">
        <v>1</v>
      </c>
      <c r="BW2997">
        <v>39</v>
      </c>
      <c r="BX2997">
        <v>54</v>
      </c>
      <c r="BY2997">
        <v>-0.27777777799999998</v>
      </c>
      <c r="BZ2997" s="10">
        <v>-0.27777777799999998</v>
      </c>
      <c r="CA2997" s="7">
        <v>45606</v>
      </c>
      <c r="CE2997">
        <v>15</v>
      </c>
      <c r="CF2997">
        <v>17</v>
      </c>
      <c r="CG2997">
        <v>7</v>
      </c>
      <c r="CI2997">
        <f t="shared" si="254"/>
        <v>2024</v>
      </c>
      <c r="CJ2997" t="str">
        <f t="shared" si="255"/>
        <v>6250_2024</v>
      </c>
    </row>
    <row r="2998" spans="1:88" x14ac:dyDescent="0.25">
      <c r="A2998" t="s">
        <v>111</v>
      </c>
      <c r="B2998" t="s">
        <v>157</v>
      </c>
      <c r="C2998">
        <v>7020</v>
      </c>
      <c r="D2998">
        <v>-37.903032000000003</v>
      </c>
      <c r="E2998">
        <v>144.65101000000001</v>
      </c>
      <c r="F2998">
        <v>4</v>
      </c>
      <c r="G2998" t="s">
        <v>697</v>
      </c>
      <c r="H2998">
        <v>70</v>
      </c>
      <c r="I2998">
        <v>250</v>
      </c>
      <c r="J2998">
        <v>246</v>
      </c>
      <c r="K2998">
        <v>66</v>
      </c>
      <c r="L2998">
        <v>307</v>
      </c>
      <c r="M2998">
        <v>127</v>
      </c>
      <c r="N2998">
        <v>346</v>
      </c>
      <c r="O2998">
        <v>166</v>
      </c>
      <c r="T2998">
        <v>11</v>
      </c>
      <c r="U2998">
        <v>7</v>
      </c>
      <c r="V2998">
        <v>15</v>
      </c>
      <c r="Y2998">
        <v>26</v>
      </c>
      <c r="Z2998">
        <v>4</v>
      </c>
      <c r="AA2998">
        <v>3</v>
      </c>
      <c r="AD2998">
        <v>5</v>
      </c>
      <c r="AE2998">
        <v>6</v>
      </c>
      <c r="AF2998">
        <v>2</v>
      </c>
      <c r="AI2998">
        <v>19</v>
      </c>
      <c r="AJ2998">
        <v>0</v>
      </c>
      <c r="AK2998">
        <v>0</v>
      </c>
      <c r="AX2998">
        <v>33</v>
      </c>
      <c r="AY2998">
        <v>50</v>
      </c>
      <c r="AZ2998">
        <v>83</v>
      </c>
      <c r="BA2998">
        <v>33</v>
      </c>
      <c r="BB2998">
        <v>17</v>
      </c>
      <c r="BC2998">
        <v>50</v>
      </c>
      <c r="BD2998">
        <v>13</v>
      </c>
      <c r="BE2998">
        <v>11</v>
      </c>
      <c r="BF2998">
        <v>24</v>
      </c>
      <c r="BG2998">
        <v>19</v>
      </c>
      <c r="BH2998">
        <v>20</v>
      </c>
      <c r="BI2998">
        <v>39</v>
      </c>
      <c r="BP2998">
        <v>46</v>
      </c>
      <c r="BQ2998">
        <v>3</v>
      </c>
      <c r="BR2998">
        <v>43</v>
      </c>
      <c r="BS2998">
        <v>3</v>
      </c>
      <c r="BT2998">
        <v>0</v>
      </c>
      <c r="BU2998">
        <v>2</v>
      </c>
      <c r="BV2998">
        <v>1</v>
      </c>
      <c r="BW2998">
        <v>98</v>
      </c>
      <c r="BX2998">
        <v>43</v>
      </c>
      <c r="BY2998">
        <v>1.279069767</v>
      </c>
      <c r="BZ2998" s="10">
        <v>1.279069767</v>
      </c>
      <c r="CA2998" s="7">
        <v>45606</v>
      </c>
      <c r="CE2998">
        <v>51</v>
      </c>
      <c r="CF2998">
        <v>25</v>
      </c>
      <c r="CG2998">
        <v>22</v>
      </c>
      <c r="CI2998">
        <f t="shared" si="254"/>
        <v>2024</v>
      </c>
      <c r="CJ2998" t="str">
        <f t="shared" si="255"/>
        <v>7020_2024</v>
      </c>
    </row>
    <row r="2999" spans="1:88" x14ac:dyDescent="0.25">
      <c r="A2999" t="s">
        <v>111</v>
      </c>
      <c r="B2999" t="s">
        <v>157</v>
      </c>
      <c r="C2999">
        <v>7021</v>
      </c>
      <c r="D2999">
        <v>-37.912908999999999</v>
      </c>
      <c r="E2999">
        <v>144.68338</v>
      </c>
      <c r="F2999">
        <v>4</v>
      </c>
      <c r="G2999" t="s">
        <v>698</v>
      </c>
      <c r="H2999">
        <v>123</v>
      </c>
      <c r="I2999">
        <v>303</v>
      </c>
      <c r="J2999">
        <v>186</v>
      </c>
      <c r="K2999">
        <v>6</v>
      </c>
      <c r="L2999">
        <v>307</v>
      </c>
      <c r="M2999">
        <v>127</v>
      </c>
      <c r="N2999">
        <v>351</v>
      </c>
      <c r="O2999">
        <v>171</v>
      </c>
      <c r="T2999">
        <v>15</v>
      </c>
      <c r="U2999">
        <v>13</v>
      </c>
      <c r="V2999">
        <v>0</v>
      </c>
      <c r="Y2999">
        <v>0</v>
      </c>
      <c r="Z2999">
        <v>4</v>
      </c>
      <c r="AA2999">
        <v>0</v>
      </c>
      <c r="AD2999">
        <v>16</v>
      </c>
      <c r="AE2999">
        <v>23</v>
      </c>
      <c r="AF2999">
        <v>0</v>
      </c>
      <c r="AI2999">
        <v>0</v>
      </c>
      <c r="AJ2999">
        <v>4</v>
      </c>
      <c r="AK2999">
        <v>0</v>
      </c>
      <c r="AX2999">
        <v>28</v>
      </c>
      <c r="AY2999">
        <v>16</v>
      </c>
      <c r="AZ2999">
        <v>44</v>
      </c>
      <c r="BA2999">
        <v>4</v>
      </c>
      <c r="BB2999">
        <v>42</v>
      </c>
      <c r="BC2999">
        <v>46</v>
      </c>
      <c r="BD2999">
        <v>39</v>
      </c>
      <c r="BE2999">
        <v>17</v>
      </c>
      <c r="BF2999">
        <v>56</v>
      </c>
      <c r="BG2999">
        <v>4</v>
      </c>
      <c r="BH2999">
        <v>0</v>
      </c>
      <c r="BI2999">
        <v>4</v>
      </c>
      <c r="BP2999">
        <v>46</v>
      </c>
      <c r="BQ2999">
        <v>4</v>
      </c>
      <c r="BR2999">
        <v>22</v>
      </c>
      <c r="BS2999">
        <v>3</v>
      </c>
      <c r="BT2999">
        <v>0</v>
      </c>
      <c r="BU2999">
        <v>0</v>
      </c>
      <c r="BV2999">
        <v>0</v>
      </c>
      <c r="BW2999">
        <v>75</v>
      </c>
      <c r="BX2999">
        <v>177</v>
      </c>
      <c r="BY2999">
        <v>-0.57627118600000005</v>
      </c>
      <c r="BZ2999" s="10">
        <v>-0.57627118600000005</v>
      </c>
      <c r="CA2999" s="7">
        <v>45606</v>
      </c>
      <c r="CE2999">
        <v>15</v>
      </c>
      <c r="CF2999">
        <v>37</v>
      </c>
      <c r="CG2999">
        <v>23</v>
      </c>
      <c r="CI2999">
        <f t="shared" si="254"/>
        <v>2024</v>
      </c>
      <c r="CJ2999" t="str">
        <f t="shared" si="255"/>
        <v>7021_2024</v>
      </c>
    </row>
    <row r="3000" spans="1:88" x14ac:dyDescent="0.25">
      <c r="A3000" t="s">
        <v>111</v>
      </c>
      <c r="B3000" t="s">
        <v>157</v>
      </c>
      <c r="C3000">
        <v>7185</v>
      </c>
      <c r="D3000">
        <v>-37.898055999999997</v>
      </c>
      <c r="E3000">
        <v>144.70433399999999</v>
      </c>
      <c r="F3000">
        <v>4</v>
      </c>
      <c r="G3000" t="s">
        <v>780</v>
      </c>
      <c r="H3000">
        <v>18</v>
      </c>
      <c r="I3000">
        <v>198</v>
      </c>
      <c r="J3000">
        <v>98</v>
      </c>
      <c r="K3000">
        <v>278</v>
      </c>
      <c r="L3000">
        <v>200</v>
      </c>
      <c r="M3000">
        <v>20</v>
      </c>
      <c r="N3000">
        <v>277</v>
      </c>
      <c r="O3000">
        <v>97</v>
      </c>
      <c r="T3000">
        <v>0</v>
      </c>
      <c r="U3000">
        <v>0</v>
      </c>
      <c r="V3000">
        <v>0</v>
      </c>
      <c r="Y3000">
        <v>0</v>
      </c>
      <c r="Z3000">
        <v>4</v>
      </c>
      <c r="AA3000">
        <v>18</v>
      </c>
      <c r="AD3000">
        <v>0</v>
      </c>
      <c r="AE3000">
        <v>9</v>
      </c>
      <c r="AF3000">
        <v>19</v>
      </c>
      <c r="AI3000">
        <v>0</v>
      </c>
      <c r="AJ3000">
        <v>18</v>
      </c>
      <c r="AK3000">
        <v>8</v>
      </c>
      <c r="AX3000">
        <v>0</v>
      </c>
      <c r="AY3000">
        <v>0</v>
      </c>
      <c r="AZ3000">
        <v>0</v>
      </c>
      <c r="BA3000">
        <v>22</v>
      </c>
      <c r="BB3000">
        <v>27</v>
      </c>
      <c r="BC3000">
        <v>49</v>
      </c>
      <c r="BD3000">
        <v>28</v>
      </c>
      <c r="BE3000">
        <v>12</v>
      </c>
      <c r="BF3000">
        <v>40</v>
      </c>
      <c r="BG3000">
        <v>26</v>
      </c>
      <c r="BH3000">
        <v>37</v>
      </c>
      <c r="BI3000">
        <v>63</v>
      </c>
      <c r="BP3000">
        <v>60</v>
      </c>
      <c r="BQ3000">
        <v>4</v>
      </c>
      <c r="BR3000">
        <v>2</v>
      </c>
      <c r="BS3000">
        <v>10</v>
      </c>
      <c r="BT3000">
        <v>0</v>
      </c>
      <c r="BU3000">
        <v>0</v>
      </c>
      <c r="BV3000">
        <v>0</v>
      </c>
      <c r="BW3000">
        <v>76</v>
      </c>
      <c r="BX3000">
        <v>65</v>
      </c>
      <c r="BY3000">
        <v>0.169230769</v>
      </c>
      <c r="BZ3000" s="10">
        <v>0.169230769</v>
      </c>
      <c r="CA3000" s="7">
        <v>45606</v>
      </c>
      <c r="CE3000">
        <v>32</v>
      </c>
      <c r="CF3000">
        <v>30</v>
      </c>
      <c r="CG3000">
        <v>14</v>
      </c>
      <c r="CI3000">
        <f t="shared" si="254"/>
        <v>2024</v>
      </c>
      <c r="CJ3000" t="str">
        <f t="shared" si="255"/>
        <v>7185_2024</v>
      </c>
    </row>
    <row r="3001" spans="1:88" x14ac:dyDescent="0.25">
      <c r="A3001" t="s">
        <v>111</v>
      </c>
      <c r="B3001" t="s">
        <v>157</v>
      </c>
      <c r="C3001">
        <v>7472</v>
      </c>
      <c r="D3001">
        <v>-37.895902</v>
      </c>
      <c r="E3001">
        <v>144.716735</v>
      </c>
      <c r="F3001">
        <v>5</v>
      </c>
      <c r="G3001" t="s">
        <v>849</v>
      </c>
      <c r="H3001">
        <v>10</v>
      </c>
      <c r="I3001">
        <v>190</v>
      </c>
      <c r="J3001">
        <v>98</v>
      </c>
      <c r="K3001">
        <v>278</v>
      </c>
      <c r="L3001">
        <v>186</v>
      </c>
      <c r="M3001">
        <v>6</v>
      </c>
      <c r="N3001">
        <v>267</v>
      </c>
      <c r="O3001">
        <v>87</v>
      </c>
      <c r="P3001">
        <v>330</v>
      </c>
      <c r="Q3001">
        <v>150</v>
      </c>
      <c r="T3001">
        <v>13</v>
      </c>
      <c r="U3001">
        <v>15</v>
      </c>
      <c r="V3001">
        <v>2</v>
      </c>
      <c r="W3001">
        <v>5</v>
      </c>
      <c r="Y3001">
        <v>3</v>
      </c>
      <c r="Z3001">
        <v>26</v>
      </c>
      <c r="AA3001">
        <v>8</v>
      </c>
      <c r="AB3001">
        <v>2</v>
      </c>
      <c r="AD3001">
        <v>13</v>
      </c>
      <c r="AE3001">
        <v>25</v>
      </c>
      <c r="AF3001">
        <v>1</v>
      </c>
      <c r="AG3001">
        <v>2</v>
      </c>
      <c r="AI3001">
        <v>11</v>
      </c>
      <c r="AJ3001">
        <v>18</v>
      </c>
      <c r="AK3001">
        <v>7</v>
      </c>
      <c r="AL3001">
        <v>3</v>
      </c>
      <c r="AN3001">
        <v>7</v>
      </c>
      <c r="AO3001">
        <v>5</v>
      </c>
      <c r="AP3001">
        <v>2</v>
      </c>
      <c r="AQ3001">
        <v>2</v>
      </c>
      <c r="AX3001">
        <v>35</v>
      </c>
      <c r="AY3001">
        <v>34</v>
      </c>
      <c r="AZ3001">
        <v>69</v>
      </c>
      <c r="BA3001">
        <v>39</v>
      </c>
      <c r="BB3001">
        <v>61</v>
      </c>
      <c r="BC3001">
        <v>100</v>
      </c>
      <c r="BD3001">
        <v>41</v>
      </c>
      <c r="BE3001">
        <v>50</v>
      </c>
      <c r="BF3001">
        <v>91</v>
      </c>
      <c r="BG3001">
        <v>39</v>
      </c>
      <c r="BH3001">
        <v>13</v>
      </c>
      <c r="BI3001">
        <v>52</v>
      </c>
      <c r="BJ3001">
        <v>16</v>
      </c>
      <c r="BK3001">
        <v>12</v>
      </c>
      <c r="BL3001">
        <v>28</v>
      </c>
      <c r="BP3001">
        <v>76</v>
      </c>
      <c r="BQ3001">
        <v>1</v>
      </c>
      <c r="BR3001">
        <v>65</v>
      </c>
      <c r="BS3001">
        <v>22</v>
      </c>
      <c r="BT3001">
        <v>5</v>
      </c>
      <c r="BU3001">
        <v>1</v>
      </c>
      <c r="BV3001">
        <v>0</v>
      </c>
      <c r="BW3001">
        <v>170</v>
      </c>
      <c r="BX3001">
        <v>188</v>
      </c>
      <c r="BY3001">
        <v>-9.5744680999999998E-2</v>
      </c>
      <c r="BZ3001" s="10">
        <v>-9.5744680999999998E-2</v>
      </c>
      <c r="CA3001" s="7">
        <v>45606</v>
      </c>
      <c r="CE3001">
        <v>74</v>
      </c>
      <c r="CF3001">
        <v>57</v>
      </c>
      <c r="CG3001">
        <v>39</v>
      </c>
      <c r="CI3001">
        <f t="shared" si="254"/>
        <v>2024</v>
      </c>
      <c r="CJ3001" t="str">
        <f t="shared" si="255"/>
        <v>7472_2024</v>
      </c>
    </row>
    <row r="3002" spans="1:88" x14ac:dyDescent="0.25">
      <c r="A3002" t="s">
        <v>111</v>
      </c>
      <c r="B3002" t="s">
        <v>196</v>
      </c>
      <c r="C3002">
        <v>5617</v>
      </c>
      <c r="D3002">
        <v>-37.834009999999999</v>
      </c>
      <c r="E3002">
        <v>145.02362600000001</v>
      </c>
      <c r="F3002">
        <v>3</v>
      </c>
      <c r="G3002" t="s">
        <v>197</v>
      </c>
      <c r="H3002">
        <v>80</v>
      </c>
      <c r="I3002">
        <v>260</v>
      </c>
      <c r="J3002">
        <v>130</v>
      </c>
      <c r="K3002">
        <v>310</v>
      </c>
      <c r="L3002">
        <v>327</v>
      </c>
      <c r="M3002">
        <v>147</v>
      </c>
      <c r="T3002">
        <v>92</v>
      </c>
      <c r="U3002">
        <v>273</v>
      </c>
      <c r="Y3002">
        <v>26</v>
      </c>
      <c r="Z3002">
        <v>273</v>
      </c>
      <c r="AD3002">
        <v>224</v>
      </c>
      <c r="AE3002">
        <v>275</v>
      </c>
      <c r="AX3002">
        <v>365</v>
      </c>
      <c r="AY3002">
        <v>250</v>
      </c>
      <c r="AZ3002">
        <v>615</v>
      </c>
      <c r="BA3002">
        <v>299</v>
      </c>
      <c r="BB3002">
        <v>367</v>
      </c>
      <c r="BC3002">
        <v>666</v>
      </c>
      <c r="BD3002">
        <v>499</v>
      </c>
      <c r="BE3002">
        <v>546</v>
      </c>
      <c r="BF3002">
        <v>1045</v>
      </c>
      <c r="BP3002">
        <v>689</v>
      </c>
      <c r="BQ3002">
        <v>6</v>
      </c>
      <c r="BR3002">
        <v>115</v>
      </c>
      <c r="BS3002">
        <v>331</v>
      </c>
      <c r="BT3002">
        <v>16</v>
      </c>
      <c r="BU3002">
        <v>2</v>
      </c>
      <c r="BV3002">
        <v>4</v>
      </c>
      <c r="BW3002">
        <v>1163</v>
      </c>
      <c r="BX3002">
        <v>1428</v>
      </c>
      <c r="BY3002">
        <v>-0.18557423000000001</v>
      </c>
      <c r="BZ3002" s="10">
        <v>-0.18557423000000001</v>
      </c>
      <c r="CA3002" s="7">
        <v>45606</v>
      </c>
      <c r="CE3002">
        <v>431</v>
      </c>
      <c r="CF3002">
        <v>430</v>
      </c>
      <c r="CG3002">
        <v>302</v>
      </c>
      <c r="CI3002">
        <f t="shared" si="254"/>
        <v>2024</v>
      </c>
      <c r="CJ3002" t="str">
        <f t="shared" si="255"/>
        <v>5617_2024</v>
      </c>
    </row>
    <row r="3003" spans="1:88" x14ac:dyDescent="0.25">
      <c r="A3003" t="s">
        <v>111</v>
      </c>
      <c r="B3003" t="s">
        <v>196</v>
      </c>
      <c r="C3003">
        <v>5618</v>
      </c>
      <c r="D3003">
        <v>-37.805456999999997</v>
      </c>
      <c r="E3003">
        <v>144.99900299999999</v>
      </c>
      <c r="F3003">
        <v>3</v>
      </c>
      <c r="G3003" t="s">
        <v>198</v>
      </c>
      <c r="H3003">
        <v>24</v>
      </c>
      <c r="I3003">
        <v>204</v>
      </c>
      <c r="J3003">
        <v>89</v>
      </c>
      <c r="K3003">
        <v>269</v>
      </c>
      <c r="L3003">
        <v>270</v>
      </c>
      <c r="M3003">
        <v>90</v>
      </c>
      <c r="T3003">
        <v>0</v>
      </c>
      <c r="U3003">
        <v>309</v>
      </c>
      <c r="Y3003">
        <v>0</v>
      </c>
      <c r="Z3003">
        <v>0</v>
      </c>
      <c r="AD3003">
        <v>277</v>
      </c>
      <c r="AE3003">
        <v>0</v>
      </c>
      <c r="AX3003">
        <v>309</v>
      </c>
      <c r="AY3003">
        <v>277</v>
      </c>
      <c r="AZ3003">
        <v>586</v>
      </c>
      <c r="BA3003">
        <v>0</v>
      </c>
      <c r="BB3003">
        <v>0</v>
      </c>
      <c r="BC3003">
        <v>0</v>
      </c>
      <c r="BD3003">
        <v>277</v>
      </c>
      <c r="BE3003">
        <v>309</v>
      </c>
      <c r="BF3003">
        <v>586</v>
      </c>
      <c r="BP3003">
        <v>155</v>
      </c>
      <c r="BQ3003">
        <v>14</v>
      </c>
      <c r="BR3003">
        <v>264</v>
      </c>
      <c r="BS3003">
        <v>67</v>
      </c>
      <c r="BT3003">
        <v>85</v>
      </c>
      <c r="BU3003">
        <v>1</v>
      </c>
      <c r="BV3003">
        <v>0</v>
      </c>
      <c r="BW3003">
        <v>586</v>
      </c>
      <c r="BX3003">
        <v>740</v>
      </c>
      <c r="BY3003">
        <v>-0.20810810800000001</v>
      </c>
      <c r="BZ3003" s="10">
        <v>-0.20810810800000001</v>
      </c>
      <c r="CA3003" s="7">
        <v>45606</v>
      </c>
      <c r="CE3003">
        <v>150</v>
      </c>
      <c r="CF3003">
        <v>220</v>
      </c>
      <c r="CG3003">
        <v>216</v>
      </c>
      <c r="CI3003">
        <f t="shared" si="254"/>
        <v>2024</v>
      </c>
      <c r="CJ3003" t="str">
        <f t="shared" si="255"/>
        <v>5618_2024</v>
      </c>
    </row>
    <row r="3004" spans="1:88" x14ac:dyDescent="0.25">
      <c r="A3004" t="s">
        <v>111</v>
      </c>
      <c r="B3004" t="s">
        <v>196</v>
      </c>
      <c r="C3004">
        <v>5619</v>
      </c>
      <c r="D3004">
        <v>-37.796014</v>
      </c>
      <c r="E3004">
        <v>145.00105600000001</v>
      </c>
      <c r="F3004">
        <v>3</v>
      </c>
      <c r="G3004" t="s">
        <v>199</v>
      </c>
      <c r="H3004">
        <v>14</v>
      </c>
      <c r="I3004">
        <v>194</v>
      </c>
      <c r="J3004">
        <v>78</v>
      </c>
      <c r="K3004">
        <v>258</v>
      </c>
      <c r="L3004">
        <v>248</v>
      </c>
      <c r="M3004">
        <v>68</v>
      </c>
      <c r="T3004">
        <v>141</v>
      </c>
      <c r="U3004">
        <v>254</v>
      </c>
      <c r="Y3004">
        <v>76</v>
      </c>
      <c r="Z3004">
        <v>243</v>
      </c>
      <c r="AD3004">
        <v>221</v>
      </c>
      <c r="AE3004">
        <v>248</v>
      </c>
      <c r="AX3004">
        <v>395</v>
      </c>
      <c r="AY3004">
        <v>297</v>
      </c>
      <c r="AZ3004">
        <v>692</v>
      </c>
      <c r="BA3004">
        <v>319</v>
      </c>
      <c r="BB3004">
        <v>389</v>
      </c>
      <c r="BC3004">
        <v>708</v>
      </c>
      <c r="BD3004">
        <v>469</v>
      </c>
      <c r="BE3004">
        <v>497</v>
      </c>
      <c r="BF3004">
        <v>966</v>
      </c>
      <c r="BP3004">
        <v>227</v>
      </c>
      <c r="BQ3004">
        <v>28</v>
      </c>
      <c r="BR3004">
        <v>520</v>
      </c>
      <c r="BS3004">
        <v>205</v>
      </c>
      <c r="BT3004">
        <v>201</v>
      </c>
      <c r="BU3004">
        <v>2</v>
      </c>
      <c r="BV3004">
        <v>0</v>
      </c>
      <c r="BW3004">
        <v>1183</v>
      </c>
      <c r="BX3004">
        <v>1126</v>
      </c>
      <c r="BY3004">
        <v>5.0621670000000001E-2</v>
      </c>
      <c r="BZ3004" s="10">
        <v>5.0621670000000001E-2</v>
      </c>
      <c r="CA3004" s="7">
        <v>45606</v>
      </c>
      <c r="CE3004">
        <v>328</v>
      </c>
      <c r="CF3004">
        <v>450</v>
      </c>
      <c r="CG3004">
        <v>405</v>
      </c>
      <c r="CI3004">
        <f t="shared" ref="CI3004:CI3006" si="256">YEAR(CA3004)</f>
        <v>2024</v>
      </c>
      <c r="CJ3004" t="str">
        <f t="shared" si="255"/>
        <v>5619_2024</v>
      </c>
    </row>
    <row r="3005" spans="1:88" x14ac:dyDescent="0.25">
      <c r="A3005" t="s">
        <v>111</v>
      </c>
      <c r="B3005" t="s">
        <v>196</v>
      </c>
      <c r="C3005">
        <v>5620</v>
      </c>
      <c r="D3005">
        <v>-37.778438000000001</v>
      </c>
      <c r="E3005">
        <v>144.99042399999999</v>
      </c>
      <c r="F3005">
        <v>4</v>
      </c>
      <c r="G3005" t="s">
        <v>200</v>
      </c>
      <c r="H3005">
        <v>98</v>
      </c>
      <c r="I3005">
        <v>278</v>
      </c>
      <c r="J3005">
        <v>145</v>
      </c>
      <c r="K3005">
        <v>325</v>
      </c>
      <c r="L3005">
        <v>171</v>
      </c>
      <c r="M3005">
        <v>351</v>
      </c>
      <c r="N3005">
        <v>341</v>
      </c>
      <c r="O3005">
        <v>161</v>
      </c>
      <c r="T3005">
        <v>6</v>
      </c>
      <c r="U3005">
        <v>63</v>
      </c>
      <c r="V3005">
        <v>10</v>
      </c>
      <c r="Y3005">
        <v>6</v>
      </c>
      <c r="Z3005">
        <v>61</v>
      </c>
      <c r="AA3005">
        <v>97</v>
      </c>
      <c r="AD3005">
        <v>29</v>
      </c>
      <c r="AE3005">
        <v>41</v>
      </c>
      <c r="AF3005">
        <v>97</v>
      </c>
      <c r="AI3005">
        <v>13</v>
      </c>
      <c r="AJ3005">
        <v>75</v>
      </c>
      <c r="AK3005">
        <v>120</v>
      </c>
      <c r="AX3005">
        <v>79</v>
      </c>
      <c r="AY3005">
        <v>48</v>
      </c>
      <c r="AZ3005">
        <v>127</v>
      </c>
      <c r="BA3005">
        <v>164</v>
      </c>
      <c r="BB3005">
        <v>122</v>
      </c>
      <c r="BC3005">
        <v>286</v>
      </c>
      <c r="BD3005">
        <v>167</v>
      </c>
      <c r="BE3005">
        <v>244</v>
      </c>
      <c r="BF3005">
        <v>411</v>
      </c>
      <c r="BG3005">
        <v>208</v>
      </c>
      <c r="BH3005">
        <v>204</v>
      </c>
      <c r="BI3005">
        <v>412</v>
      </c>
      <c r="BP3005">
        <v>334</v>
      </c>
      <c r="BQ3005">
        <v>26</v>
      </c>
      <c r="BR3005">
        <v>99</v>
      </c>
      <c r="BS3005">
        <v>132</v>
      </c>
      <c r="BT3005">
        <v>20</v>
      </c>
      <c r="BU3005">
        <v>5</v>
      </c>
      <c r="BV3005">
        <v>2</v>
      </c>
      <c r="BW3005">
        <v>618</v>
      </c>
      <c r="BX3005">
        <v>789</v>
      </c>
      <c r="BY3005">
        <v>-0.21673003800000001</v>
      </c>
      <c r="BZ3005" s="10">
        <v>-0.21673003800000001</v>
      </c>
      <c r="CA3005" s="7">
        <v>45606</v>
      </c>
      <c r="CE3005">
        <v>182</v>
      </c>
      <c r="CF3005">
        <v>234</v>
      </c>
      <c r="CG3005">
        <v>202</v>
      </c>
      <c r="CI3005">
        <f t="shared" si="256"/>
        <v>2024</v>
      </c>
      <c r="CJ3005" t="str">
        <f t="shared" si="255"/>
        <v>5620_2024</v>
      </c>
    </row>
    <row r="3006" spans="1:88" x14ac:dyDescent="0.25">
      <c r="A3006" t="s">
        <v>111</v>
      </c>
      <c r="B3006" t="s">
        <v>196</v>
      </c>
      <c r="C3006">
        <v>6850</v>
      </c>
      <c r="D3006">
        <v>-37.810932999999999</v>
      </c>
      <c r="E3006">
        <v>145.00983199999999</v>
      </c>
      <c r="F3006">
        <v>4</v>
      </c>
      <c r="G3006" t="s">
        <v>643</v>
      </c>
      <c r="H3006">
        <v>7</v>
      </c>
      <c r="I3006">
        <v>187</v>
      </c>
      <c r="J3006">
        <v>90</v>
      </c>
      <c r="K3006">
        <v>270</v>
      </c>
      <c r="L3006">
        <v>189</v>
      </c>
      <c r="M3006">
        <v>9</v>
      </c>
      <c r="N3006">
        <v>300</v>
      </c>
      <c r="O3006">
        <v>120</v>
      </c>
      <c r="T3006">
        <v>25</v>
      </c>
      <c r="U3006">
        <v>385</v>
      </c>
      <c r="V3006">
        <v>64</v>
      </c>
      <c r="Y3006">
        <v>27</v>
      </c>
      <c r="Z3006">
        <v>19</v>
      </c>
      <c r="AA3006">
        <v>0</v>
      </c>
      <c r="AD3006">
        <v>321</v>
      </c>
      <c r="AE3006">
        <v>4</v>
      </c>
      <c r="AF3006">
        <v>22</v>
      </c>
      <c r="AI3006">
        <v>78</v>
      </c>
      <c r="AJ3006">
        <v>0</v>
      </c>
      <c r="AK3006">
        <v>48</v>
      </c>
      <c r="AX3006">
        <v>474</v>
      </c>
      <c r="AY3006">
        <v>426</v>
      </c>
      <c r="AZ3006">
        <v>900</v>
      </c>
      <c r="BA3006">
        <v>46</v>
      </c>
      <c r="BB3006">
        <v>29</v>
      </c>
      <c r="BC3006">
        <v>75</v>
      </c>
      <c r="BD3006">
        <v>347</v>
      </c>
      <c r="BE3006">
        <v>452</v>
      </c>
      <c r="BF3006">
        <v>799</v>
      </c>
      <c r="BG3006">
        <v>126</v>
      </c>
      <c r="BH3006">
        <v>86</v>
      </c>
      <c r="BI3006">
        <v>212</v>
      </c>
      <c r="BP3006">
        <v>470</v>
      </c>
      <c r="BQ3006">
        <v>20</v>
      </c>
      <c r="BR3006">
        <v>322</v>
      </c>
      <c r="BS3006">
        <v>97</v>
      </c>
      <c r="BT3006">
        <v>77</v>
      </c>
      <c r="BU3006">
        <v>1</v>
      </c>
      <c r="BV3006">
        <v>6</v>
      </c>
      <c r="BW3006">
        <v>993</v>
      </c>
      <c r="BX3006" t="e">
        <v>#N/A</v>
      </c>
      <c r="BZ3006" s="10"/>
      <c r="CA3006" s="7">
        <v>45606</v>
      </c>
      <c r="CE3006">
        <v>349</v>
      </c>
      <c r="CF3006">
        <v>324</v>
      </c>
      <c r="CG3006">
        <v>320</v>
      </c>
      <c r="CI3006">
        <f t="shared" si="256"/>
        <v>2024</v>
      </c>
      <c r="CJ3006" t="str">
        <f t="shared" si="255"/>
        <v>6850_2024</v>
      </c>
    </row>
  </sheetData>
  <autoFilter ref="A2:CJ2" xr:uid="{D31D4DB7-0A0B-44E5-AD05-6484BC9A8001}"/>
  <mergeCells count="2">
    <mergeCell ref="A1:B1"/>
    <mergeCell ref="C1:J1"/>
  </mergeCells>
  <conditionalFormatting sqref="CI3007:CI1048576 CJ3:CJ3006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2944ECF5F2654A816D448B6C294889" ma:contentTypeVersion="19" ma:contentTypeDescription="Create a new document." ma:contentTypeScope="" ma:versionID="ba88feb6b962a63ddcdaa00210677539">
  <xsd:schema xmlns:xsd="http://www.w3.org/2001/XMLSchema" xmlns:xs="http://www.w3.org/2001/XMLSchema" xmlns:p="http://schemas.microsoft.com/office/2006/metadata/properties" xmlns:ns2="1b1d1377-4b42-47f1-80b2-36df11e19031" xmlns:ns3="2639596c-0f6b-4003-a647-5d4994b5a459" targetNamespace="http://schemas.microsoft.com/office/2006/metadata/properties" ma:root="true" ma:fieldsID="6d8c9d6b68af48dafbb6a12cd551e4e5" ns2:_="" ns3:_="">
    <xsd:import namespace="1b1d1377-4b42-47f1-80b2-36df11e19031"/>
    <xsd:import namespace="2639596c-0f6b-4003-a647-5d4994b5a4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d1377-4b42-47f1-80b2-36df11e19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23583cb-2f5a-4d9a-af13-aeed3cd670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9596c-0f6b-4003-a647-5d4994b5a45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41c9d34-9608-42ad-8694-f37d0773b113}" ma:internalName="TaxCatchAll" ma:showField="CatchAllData" ma:web="2639596c-0f6b-4003-a647-5d4994b5a4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9596c-0f6b-4003-a647-5d4994b5a459" xsi:nil="true"/>
    <lcf76f155ced4ddcb4097134ff3c332f xmlns="1b1d1377-4b42-47f1-80b2-36df11e1903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1E35F0-C88C-4816-82D7-6340192B45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1d1377-4b42-47f1-80b2-36df11e19031"/>
    <ds:schemaRef ds:uri="2639596c-0f6b-4003-a647-5d4994b5a4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5EE964-D1D5-4AED-AD61-9AEDC2834AE3}">
  <ds:schemaRefs>
    <ds:schemaRef ds:uri="http://schemas.microsoft.com/office/2006/metadata/properties"/>
    <ds:schemaRef ds:uri="http://schemas.microsoft.com/office/infopath/2007/PartnerControls"/>
    <ds:schemaRef ds:uri="2639596c-0f6b-4003-a647-5d4994b5a459"/>
    <ds:schemaRef ds:uri="1b1d1377-4b42-47f1-80b2-36df11e19031"/>
  </ds:schemaRefs>
</ds:datastoreItem>
</file>

<file path=customXml/itemProps3.xml><?xml version="1.0" encoding="utf-8"?>
<ds:datastoreItem xmlns:ds="http://schemas.openxmlformats.org/officeDocument/2006/customXml" ds:itemID="{11CF55F7-2249-4B45-BCD4-45D40E2C4B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 Sunday Recreation 2010-25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Priem</dc:creator>
  <cp:lastModifiedBy>Matthew Priem</cp:lastModifiedBy>
  <dcterms:created xsi:type="dcterms:W3CDTF">2026-02-03T03:02:31Z</dcterms:created>
  <dcterms:modified xsi:type="dcterms:W3CDTF">2026-03-24T23:34:49Z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0x010100A82944ECF5F2654A816D448B6C294889</vt:lpwstr>
  </property>
  <property fmtid="{D5CDD505-2E9C-101B-9397-08002B2CF9AE}" pid="3" name="MediaServiceImageTags">
    <vt:lpwstr/>
  </property>
</Properties>
</file>